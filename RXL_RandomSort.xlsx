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_RXL\Development\LAMBDA\"/>
    </mc:Choice>
  </mc:AlternateContent>
  <xr:revisionPtr revIDLastSave="0" documentId="13_ncr:1_{073334A4-2DF1-45E2-BA29-050A94CD7A14}" xr6:coauthVersionLast="47" xr6:coauthVersionMax="47" xr10:uidLastSave="{00000000-0000-0000-0000-000000000000}"/>
  <bookViews>
    <workbookView xWindow="-108" yWindow="-108" windowWidth="23256" windowHeight="12456" xr2:uid="{1605ACE6-66F7-41A1-A7B9-6E9FA9C38EDF}"/>
  </bookViews>
  <sheets>
    <sheet name="RandomSort" sheetId="1" r:id="rId1"/>
    <sheet name="Demo" sheetId="2" r:id="rId2"/>
    <sheet name="VBA" sheetId="3" r:id="rId3"/>
    <sheet name="Lookups" sheetId="4" r:id="rId4"/>
  </sheets>
  <definedNames>
    <definedName name="_OnOff">Lookups!$C$6:$C$7</definedName>
    <definedName name="_YesNo">Lookups!$C$3:$C$4</definedName>
    <definedName name="RXL_RandomSort" comment="Sorts the values in an input array into a random order">_xlfn.LAMBDA(_xlpm.array,_xlop.by_row, _xlfn.LET(_xlpm._inp, _xlpm.array, _xlpm._rows, ROWS(_xlpm._inp), _xlpm._cols, COLUMNS(_xlpm._inp), _xlpm._byRw, IF(_xlfn.ISOMITTED(_xlpm.by_row), -1, INT(_xlpm.by_row)), _xlpm._inpChk, IF(AND(ROWS(_xlpm._inp) &lt;= 1, COLUMNS(_xlpm._inp) &lt;= 1), 2, IF(OR(NOT(ISNUMBER(_xlpm._byRw)), _xlpm._byRw &lt; -1, _xlpm._byRw &gt; 1), 3, 1)), _xlpm._arr, IF(_xlpm._byRw &lt; 0, _xlfn.TOCOL(_xlpm._inp), _xlpm._inp), _xlpm._idx, IF(_xlpm._byRw = 0, _xlfn.SEQUENCE(COLUMNS(_xlpm._arr)), _xlfn.SEQUENCE(ROWS(_xlpm._arr))), _xlpm._rnd, _xlfn.DROP(_xlfn.REDUCE(0, _xlpm._idx, _xlfn.LAMBDA(_xlpm._acc,_xlpm._val, _xlfn.LET(_xlpm._fltr, _xlfn._xlws.FILTER(_xlpm._idx, ISNA(_xlfn.XMATCH(_xlpm._idx, _xlpm._acc))), _xlpm._rr, ROWS(_xlpm._fltr), _xlfn.VSTACK(_xlpm._acc, INDEX(_xlpm._fltr, RANDBETWEEN(1, _xlpm._rr)))))), 1), _xlpm._rtn, IF(_xlpm._byRw &lt; 0, _xlfn.MAKEARRAY(_xlpm._rows, _xlpm._cols, _xlfn.LAMBDA(_xlpm._r,_xlpm._c, INDEX(_xlpm._arr, INDEX(_xlpm._rnd, (_xlpm._r - 1) * _xlpm._cols + _xlpm._c)))), IF(_xlpm._byRw, _xlfn.MAKEARRAY(_xlpm._rows, _xlpm._cols, _xlfn.LAMBDA(_xlpm._r,_xlpm._c, INDEX(_xlpm._arr, INDEX(_xlpm._rnd, _xlpm._r), _xlpm._c))), _xlfn.MAKEARRAY(_xlpm._rows, _xlpm._cols, _xlfn.LAMBDA(_xlpm._r,_xlpm._c, INDEX(_xlpm._arr, _xlpm._r, INDEX(_xlpm._rnd, _xlpm._c)))))), CHOOSE(_xlpm._inpChk, _xlpm._rtn, _xlfn.LAMBDA(0), #VALUE!)))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4" i="1" l="1" a="1"/>
  <c r="J50" i="2" a="1"/>
  <c r="J50" i="2" s="1"/>
  <c r="J37" i="2" a="1"/>
  <c r="J37" i="2" s="1"/>
  <c r="J28" i="2" a="1"/>
  <c r="J28" i="2" s="1"/>
  <c r="F14" i="2" a="1"/>
  <c r="F14" i="2" s="1"/>
  <c r="J47" i="2"/>
  <c r="J60" i="2"/>
  <c r="J33" i="2"/>
  <c r="G14" i="2"/>
  <c r="B2" i="2"/>
  <c r="M254" i="1" a="1"/>
  <c r="F235" i="1"/>
  <c r="G235" i="1" a="1"/>
  <c r="C254" i="1" a="1"/>
  <c r="C254" i="1" s="1"/>
  <c r="D219" i="1" a="1"/>
  <c r="D219" i="1" s="1"/>
  <c r="D226" i="1" s="1" a="1"/>
  <c r="D226" i="1" s="1"/>
  <c r="M188" i="1" a="1"/>
  <c r="M188" i="1" s="1"/>
  <c r="C188" i="1" a="1"/>
  <c r="C188" i="1" s="1"/>
  <c r="J188" i="1" s="1" a="1"/>
  <c r="J188" i="1" s="1"/>
  <c r="G166" i="1" a="1"/>
  <c r="G156" i="1" a="1"/>
  <c r="G116" i="1" a="1"/>
  <c r="D162" i="1" a="1"/>
  <c r="D162" i="1" s="1"/>
  <c r="G134" i="1" a="1"/>
  <c r="G134" i="1" s="1"/>
  <c r="I134" i="1" a="1"/>
  <c r="C116" i="1" a="1"/>
  <c r="C116" i="1" s="1"/>
  <c r="H99" i="1"/>
  <c r="E99" i="1" a="1"/>
  <c r="E99" i="1" s="1"/>
  <c r="C99" i="1" a="1"/>
  <c r="C99" i="1" s="1"/>
  <c r="H86" i="1"/>
  <c r="E86" i="1" a="1"/>
  <c r="E86" i="1" s="1"/>
  <c r="C86" i="1" a="1"/>
  <c r="C86" i="1" s="1"/>
  <c r="C73" i="1" a="1"/>
  <c r="C73" i="1" s="1"/>
  <c r="C60" i="1" a="1"/>
  <c r="C60" i="1" s="1"/>
  <c r="E73" i="1" a="1"/>
  <c r="E73" i="1" s="1"/>
  <c r="H73" i="1"/>
  <c r="H60" i="1"/>
  <c r="E60" i="1" a="1"/>
  <c r="E60" i="1" s="1"/>
  <c r="B71" i="3"/>
  <c r="B2" i="3"/>
  <c r="B38" i="1"/>
  <c r="G166" i="1" l="1"/>
  <c r="G116" i="1"/>
  <c r="I134" i="1"/>
  <c r="M254" i="1"/>
  <c r="G235" i="1"/>
  <c r="J254" i="1"/>
  <c r="G156" i="1"/>
  <c r="S116" i="1" a="1"/>
  <c r="S116" i="1" s="1"/>
  <c r="D116" i="1" a="1"/>
  <c r="D116" i="1" s="1"/>
  <c r="F116" i="1" s="1" a="1"/>
  <c r="F116" i="1" s="1"/>
  <c r="B56" i="1" a="1"/>
  <c r="B56" i="1" s="1"/>
  <c r="D99" i="1" a="1"/>
  <c r="D99" i="1" s="1"/>
  <c r="D86" i="1" a="1"/>
  <c r="D86" i="1" s="1"/>
  <c r="D73" i="1" a="1"/>
  <c r="D73" i="1" s="1"/>
  <c r="G73" i="1" s="1" a="1"/>
  <c r="G73" i="1" s="1"/>
  <c r="D60" i="1" a="1"/>
  <c r="D60" i="1" s="1"/>
  <c r="G60" i="1" s="1" a="1"/>
  <c r="G60" i="1" s="1"/>
  <c r="B112" i="1" l="1" a="1"/>
  <c r="B112" i="1" s="1"/>
  <c r="M116" i="1" a="1"/>
  <c r="O116" i="1" a="1"/>
  <c r="O116" i="1" s="1"/>
  <c r="F99" i="1" a="1"/>
  <c r="F99" i="1" s="1"/>
  <c r="G99" i="1" a="1"/>
  <c r="G99" i="1" s="1"/>
  <c r="F86" i="1" a="1"/>
  <c r="F86" i="1" s="1"/>
  <c r="G86" i="1" a="1"/>
  <c r="G86" i="1" s="1"/>
  <c r="B129" i="1" l="1" a="1"/>
  <c r="B129" i="1" s="1"/>
  <c r="M116" i="1"/>
  <c r="B153" i="1" l="1" a="1"/>
  <c r="B153" i="1" s="1"/>
  <c r="Q116" i="1" a="1"/>
  <c r="N116" i="1" a="1"/>
  <c r="B185" i="1" l="1" a="1"/>
  <c r="B185" i="1" s="1"/>
  <c r="Q116" i="1"/>
  <c r="R116" i="1" s="1" a="1"/>
  <c r="R116" i="1" s="1"/>
  <c r="T116" i="1" s="1" a="1"/>
  <c r="T116" i="1" s="1"/>
  <c r="N116" i="1"/>
  <c r="P116" i="1" s="1" a="1"/>
  <c r="P116" i="1" s="1"/>
  <c r="B217" i="1" l="1" a="1"/>
  <c r="B217" i="1" s="1"/>
  <c r="B233" i="1" s="1" a="1"/>
  <c r="B233" i="1" s="1"/>
  <c r="B251" i="1" s="1" a="1"/>
  <c r="B251" i="1" s="1"/>
  <c r="B29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<sst xmlns="http://schemas.openxmlformats.org/spreadsheetml/2006/main" count="353" uniqueCount="262">
  <si>
    <t>Random Sort Function</t>
  </si>
  <si>
    <t>Purpose:</t>
  </si>
  <si>
    <t>Input data tables:</t>
  </si>
  <si>
    <t>Development</t>
  </si>
  <si>
    <t>Approach:</t>
  </si>
  <si>
    <t>Final Version</t>
  </si>
  <si>
    <t>End of Sheet</t>
  </si>
  <si>
    <t>Description:</t>
  </si>
  <si>
    <t>Parameters:</t>
  </si>
  <si>
    <t>Errors:</t>
  </si>
  <si>
    <t>Notes:</t>
  </si>
  <si>
    <t>Function:</t>
  </si>
  <si>
    <t>Minimised version:</t>
  </si>
  <si>
    <t>[required]</t>
  </si>
  <si>
    <t>[optional]</t>
  </si>
  <si>
    <t>A custom Lambda function which can help to sort a list or array into a random order using each item only once</t>
  </si>
  <si>
    <t>The native Excel RANDARRAY() function is very useful for creating dummy data, but due to the random nature of the output values can be repeated</t>
  </si>
  <si>
    <t>The idea of this function is to take a standard/sorted list of data and to re-arrange it into a random order where all items are included and used only once</t>
  </si>
  <si>
    <t>1D List</t>
  </si>
  <si>
    <t>One</t>
  </si>
  <si>
    <t>Two</t>
  </si>
  <si>
    <t>Three</t>
  </si>
  <si>
    <t>Four</t>
  </si>
  <si>
    <t>Five</t>
  </si>
  <si>
    <t>2D Array</t>
  </si>
  <si>
    <t>Six</t>
  </si>
  <si>
    <t>Seven</t>
  </si>
  <si>
    <t>Eight</t>
  </si>
  <si>
    <t>Nine</t>
  </si>
  <si>
    <t>Ten</t>
  </si>
  <si>
    <t>!!!</t>
  </si>
  <si>
    <t>"""</t>
  </si>
  <si>
    <t>£££</t>
  </si>
  <si>
    <t>$$$</t>
  </si>
  <si>
    <t>%%%</t>
  </si>
  <si>
    <t>^^^</t>
  </si>
  <si>
    <t>&amp;&amp;&amp;</t>
  </si>
  <si>
    <t>***</t>
  </si>
  <si>
    <t>(((</t>
  </si>
  <si>
    <t>)))</t>
  </si>
  <si>
    <t>Multi-column vertical list</t>
  </si>
  <si>
    <t>Multi-row horizontal list</t>
  </si>
  <si>
    <t xml:space="preserve"> -&gt; working with vertical 1D list only</t>
  </si>
  <si>
    <t>Instructions</t>
  </si>
  <si>
    <t>VBA Code</t>
  </si>
  <si>
    <t>A.</t>
  </si>
  <si>
    <t>Start by ensuring that you have this Workbook and the Workbook you wish to copy the function to open in the same Excel instance</t>
  </si>
  <si>
    <t>B.</t>
  </si>
  <si>
    <t>Open the VB Editor window</t>
  </si>
  <si>
    <t>C.</t>
  </si>
  <si>
    <t>D.</t>
  </si>
  <si>
    <t>In the code window which opens for ThisWorkbook, paste the VBA code from below exactly as written</t>
  </si>
  <si>
    <t>E.</t>
  </si>
  <si>
    <t>After copying the VBA code into code window, update line 11 replacing the text "Example.xlsx" with the name of your Excel Workbook/file</t>
  </si>
  <si>
    <t>F.</t>
  </si>
  <si>
    <t>Run the CopyLambda sub routine in ThisWorkbook module and check the Immediate window for the feedback message</t>
  </si>
  <si>
    <t xml:space="preserve">    </t>
  </si>
  <si>
    <t xml:space="preserve">    'Name of custom Lambda function to copy</t>
  </si>
  <si>
    <t xml:space="preserve">    On Error Resume Next</t>
  </si>
  <si>
    <t xml:space="preserve">        'Update "Example.xlsx" with name of the Workbook you wish to copy the function to</t>
  </si>
  <si>
    <t xml:space="preserve">    On Error GoTo 0</t>
  </si>
  <si>
    <t xml:space="preserve">        Exit Sub</t>
  </si>
  <si>
    <t xml:space="preserve">    End If</t>
  </si>
  <si>
    <t xml:space="preserve">        Err.Clear</t>
  </si>
  <si>
    <t xml:space="preserve">                              RefersTo:=nm.RefersTo, _</t>
  </si>
  <si>
    <t xml:space="preserve">                              Visible:=nm.Visible)</t>
  </si>
  <si>
    <t xml:space="preserve">            fn.Comment = nm.Comment</t>
  </si>
  <si>
    <t xml:space="preserve">        Else</t>
  </si>
  <si>
    <t xml:space="preserve">        End If</t>
  </si>
  <si>
    <t xml:space="preserve">    Else</t>
  </si>
  <si>
    <t>End Sub</t>
  </si>
  <si>
    <r>
      <rPr>
        <sz val="10"/>
        <color rgb="FF1E4FA8"/>
        <rFont val="Consolas"/>
        <family val="3"/>
      </rPr>
      <t>Private Sub</t>
    </r>
    <r>
      <rPr>
        <sz val="10"/>
        <color rgb="FF002138"/>
        <rFont val="Consolas"/>
        <family val="3"/>
      </rPr>
      <t xml:space="preserve"> CopyLambda()</t>
    </r>
  </si>
  <si>
    <r>
      <t xml:space="preserve">    </t>
    </r>
    <r>
      <rPr>
        <sz val="10"/>
        <color rgb="FF1E4FA8"/>
        <rFont val="Consolas"/>
        <family val="3"/>
      </rPr>
      <t>Dim</t>
    </r>
    <r>
      <rPr>
        <sz val="10"/>
        <color rgb="FF002138"/>
        <rFont val="Consolas"/>
        <family val="3"/>
      </rPr>
      <t xml:space="preserve"> wb </t>
    </r>
    <r>
      <rPr>
        <sz val="10"/>
        <color rgb="FF1E4FA8"/>
        <rFont val="Consolas"/>
        <family val="3"/>
      </rPr>
      <t>As</t>
    </r>
    <r>
      <rPr>
        <sz val="10"/>
        <color rgb="FF002138"/>
        <rFont val="Consolas"/>
        <family val="3"/>
      </rPr>
      <t xml:space="preserve"> Workbook, nm </t>
    </r>
    <r>
      <rPr>
        <sz val="10"/>
        <color rgb="FF1E4FA8"/>
        <rFont val="Consolas"/>
        <family val="3"/>
      </rPr>
      <t>As</t>
    </r>
    <r>
      <rPr>
        <sz val="10"/>
        <color rgb="FF002138"/>
        <rFont val="Consolas"/>
        <family val="3"/>
      </rPr>
      <t xml:space="preserve"> Name, fn </t>
    </r>
    <r>
      <rPr>
        <sz val="10"/>
        <color rgb="FF1E4FA8"/>
        <rFont val="Consolas"/>
        <family val="3"/>
      </rPr>
      <t>As</t>
    </r>
    <r>
      <rPr>
        <sz val="10"/>
        <color rgb="FF002138"/>
        <rFont val="Consolas"/>
        <family val="3"/>
      </rPr>
      <t xml:space="preserve"> Name</t>
    </r>
  </si>
  <si>
    <r>
      <t xml:space="preserve">    </t>
    </r>
    <r>
      <rPr>
        <sz val="10"/>
        <color rgb="FF1E4FA8"/>
        <rFont val="Consolas"/>
        <family val="3"/>
      </rPr>
      <t>Dim</t>
    </r>
    <r>
      <rPr>
        <sz val="10"/>
        <color rgb="FF002138"/>
        <rFont val="Consolas"/>
        <family val="3"/>
      </rPr>
      <t xml:space="preserve"> strLambda </t>
    </r>
    <r>
      <rPr>
        <sz val="10"/>
        <color rgb="FF1E4FA8"/>
        <rFont val="Consolas"/>
        <family val="3"/>
      </rPr>
      <t>As String</t>
    </r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</si>
  <si>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color rgb="FF002138"/>
        <rFont val="Consolas"/>
        <family val="3"/>
      </rPr>
      <t xml:space="preserve"> wb = Application.Workbooks("Example.xlsx")</t>
    </r>
  </si>
  <si>
    <r>
      <t xml:space="preserve">    </t>
    </r>
    <r>
      <rPr>
        <sz val="10"/>
        <color rgb="FF1E4FA8"/>
        <rFont val="Consolas"/>
        <family val="3"/>
      </rPr>
      <t>If</t>
    </r>
    <r>
      <rPr>
        <sz val="10"/>
        <color rgb="FF002138"/>
        <rFont val="Consolas"/>
        <family val="3"/>
      </rPr>
      <t xml:space="preserve"> wb </t>
    </r>
    <r>
      <rPr>
        <sz val="10"/>
        <color rgb="FF1E4FA8"/>
        <rFont val="Consolas"/>
        <family val="3"/>
      </rPr>
      <t>Is Nothing Then</t>
    </r>
  </si>
  <si>
    <r>
      <t xml:space="preserve">        </t>
    </r>
    <r>
      <rPr>
        <sz val="10"/>
        <color rgb="FF1E4FA8"/>
        <rFont val="Consolas"/>
        <family val="3"/>
      </rPr>
      <t>Debug.Print</t>
    </r>
    <r>
      <rPr>
        <sz val="10"/>
        <color rgb="FF002138"/>
        <rFont val="Consolas"/>
        <family val="3"/>
      </rPr>
      <t xml:space="preserve"> "ERROR: Destination Workbook not found - please ensure it is open"</t>
    </r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</si>
  <si>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color rgb="FF002138"/>
        <rFont val="Consolas"/>
        <family val="3"/>
      </rPr>
      <t xml:space="preserve"> nm = ThisWorkbook.Names(strLambda)</t>
    </r>
  </si>
  <si>
    <r>
      <t xml:space="preserve">    </t>
    </r>
    <r>
      <rPr>
        <sz val="10"/>
        <color rgb="FF1E4FA8"/>
        <rFont val="Consolas"/>
        <family val="3"/>
      </rPr>
      <t>If Not</t>
    </r>
    <r>
      <rPr>
        <sz val="10"/>
        <color rgb="FF002138"/>
        <rFont val="Consolas"/>
        <family val="3"/>
      </rPr>
      <t xml:space="preserve"> nm </t>
    </r>
    <r>
      <rPr>
        <sz val="10"/>
        <color rgb="FF1E4FA8"/>
        <rFont val="Consolas"/>
        <family val="3"/>
      </rPr>
      <t>Is Nothing Then</t>
    </r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</si>
  <si>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color rgb="FF002138"/>
        <rFont val="Consolas"/>
        <family val="3"/>
      </rPr>
      <t xml:space="preserve"> fn = wb.Names.Add(Name:=nm.Name, _</t>
    </r>
  </si>
  <si>
    <r>
      <t xml:space="preserve">        </t>
    </r>
    <r>
      <rPr>
        <sz val="10"/>
        <color rgb="FF1E4FA8"/>
        <rFont val="Consolas"/>
        <family val="3"/>
      </rPr>
      <t>If</t>
    </r>
    <r>
      <rPr>
        <sz val="10"/>
        <color rgb="FF002138"/>
        <rFont val="Consolas"/>
        <family val="3"/>
      </rPr>
      <t xml:space="preserve"> Err.Number = 0 </t>
    </r>
    <r>
      <rPr>
        <sz val="10"/>
        <color rgb="FF1E4FA8"/>
        <rFont val="Consolas"/>
        <family val="3"/>
      </rPr>
      <t>Then</t>
    </r>
  </si>
  <si>
    <r>
      <t xml:space="preserve">            </t>
    </r>
    <r>
      <rPr>
        <sz val="10"/>
        <color rgb="FF1E4FA8"/>
        <rFont val="Consolas"/>
        <family val="3"/>
      </rPr>
      <t>Debug.Print</t>
    </r>
    <r>
      <rPr>
        <sz val="10"/>
        <color rgb="FF002138"/>
        <rFont val="Consolas"/>
        <family val="3"/>
      </rPr>
      <t xml:space="preserve"> "Success! -&gt; " &amp; strLambda &amp; " copied to " &amp; wb.Name</t>
    </r>
  </si>
  <si>
    <r>
      <t xml:space="preserve">            </t>
    </r>
    <r>
      <rPr>
        <sz val="10"/>
        <color rgb="FF1E4FA8"/>
        <rFont val="Consolas"/>
        <family val="3"/>
      </rPr>
      <t>Debug.Print</t>
    </r>
    <r>
      <rPr>
        <sz val="10"/>
        <color rgb="FF002138"/>
        <rFont val="Consolas"/>
        <family val="3"/>
      </rPr>
      <t xml:space="preserve"> "ERROR: Unable to copy " &amp; strLambda &amp; " to " &amp; wb.Name</t>
    </r>
  </si>
  <si>
    <r>
      <t xml:space="preserve">        </t>
    </r>
    <r>
      <rPr>
        <sz val="10"/>
        <color rgb="FF1E4FA8"/>
        <rFont val="Consolas"/>
        <family val="3"/>
      </rPr>
      <t>Debug.Print</t>
    </r>
    <r>
      <rPr>
        <sz val="10"/>
        <color rgb="FF002138"/>
        <rFont val="Consolas"/>
        <family val="3"/>
      </rPr>
      <t xml:space="preserve"> "ERROR: " &amp; strLambda &amp; " not found"</t>
    </r>
  </si>
  <si>
    <t xml:space="preserve">    strLambda = "RXL_RandomSort"</t>
  </si>
  <si>
    <t>In order to copy across the RXL_RandomSort() function from this Workbook to your own project you can use the instructions and VBA code below .</t>
  </si>
  <si>
    <t>In the VB Editor Project Explorer window, select this Workbook (RXL_RandomSort.xlsx) and double click on the object named "ThisWorkbook"</t>
  </si>
  <si>
    <t>Also check line 7 of the code has the correct name of the function you wish to copy (i.e. "RXL_RandomSort")</t>
  </si>
  <si>
    <t>Lookup Tables</t>
  </si>
  <si>
    <t>_YesNo</t>
  </si>
  <si>
    <t>_OnOff</t>
  </si>
  <si>
    <t xml:space="preserve"> - In order to create a random order use the native RANDBETWEEN() function to choose random index values from the source input array </t>
  </si>
  <si>
    <t xml:space="preserve"> - In order to avoid repeated or missing values, can use the approach of:</t>
  </si>
  <si>
    <t xml:space="preserve"> - Can use the REDUCE() function to iterate through and produce an accumulated output array from the function</t>
  </si>
  <si>
    <t xml:space="preserve"> -&gt; RANDBETWEEN() takes a min and max value and then returns a pseudo-random integer value from within that range</t>
  </si>
  <si>
    <t xml:space="preserve"> -&gt; This approach alone will not work as the random element can lead to repeating values from the source input array and/or missing some of the input array values in the final output</t>
  </si>
  <si>
    <t xml:space="preserve"> -- create an index array of the number of rows/cells in the input array which need to be sorted into a random order</t>
  </si>
  <si>
    <t xml:space="preserve"> -- iterate through the index array, at each stage randomly pick a value from the index array and add it to a new randomly ordered output array </t>
  </si>
  <si>
    <t xml:space="preserve"> -- at each new iteration, remove the already picked index values so that the random picking of a new index value is only from the remaining index values, thereby avoiding repetition</t>
  </si>
  <si>
    <t xml:space="preserve"> -&gt; the REDUCE() function can only produce a single output array and there is no native function to remove a specified row from an array</t>
  </si>
  <si>
    <t>[DROP() removes a specified number of rows/columns from the start or end of the array]</t>
  </si>
  <si>
    <t xml:space="preserve"> -&gt; instead use a FILTER() function to filter out the already selected index values and then only select the next index value from the remaining and keep building this as the REDUCE() output</t>
  </si>
  <si>
    <t>Input</t>
  </si>
  <si>
    <t>Index list</t>
  </si>
  <si>
    <t>Ideally would allow for a 1D array (list) or a 2D array, preserving the original dimensions of the input array</t>
  </si>
  <si>
    <t>Filtering for an array of multiple values</t>
  </si>
  <si>
    <t>Output</t>
  </si>
  <si>
    <t>Output (i)</t>
  </si>
  <si>
    <t>Using simple method</t>
  </si>
  <si>
    <t>Selected</t>
  </si>
  <si>
    <t>Note:</t>
  </si>
  <si>
    <t>When using a simple method of comparing the input index list against the previously selected values:</t>
  </si>
  <si>
    <t>if a horisontal selected values array is used to compare against the vertical index list there is a #VALUE! Error</t>
  </si>
  <si>
    <t>if two vertical lists (arrays) are used, the result is #N/A</t>
  </si>
  <si>
    <t>the result of the direct comparison is then four logical values followed by six #N/A errors which collapses the function result to #N/A</t>
  </si>
  <si>
    <t>This is because the lists are directly compared with the missing rows in the previously selected list being expanded with #N/A values</t>
  </si>
  <si>
    <t>Output (ii)</t>
  </si>
  <si>
    <t>Using XMATCH()</t>
  </si>
  <si>
    <t xml:space="preserve">The XMATCH() or MATCH() functions will iterate through each of the look-up values and return an index value if it is found in the </t>
  </si>
  <si>
    <t>look-up array; where there is no match for a look-up value a #N/A value is returned.</t>
  </si>
  <si>
    <t xml:space="preserve">The ISNUMBER() function is used to convert the list of matched values and unmatched values into a TRUE/FALSE list which can be </t>
  </si>
  <si>
    <t>used by the FILTER() function as the basis for inclusion in the filtered output.</t>
  </si>
  <si>
    <t>In this case, by using the previously selected list as the look-up values, the output array of XMATCH() is only four rows long, meaning</t>
  </si>
  <si>
    <t>that the inclusion criteria array for the FILTER() function is a different length to the input array to be filtered, resulting in a #VALUE!</t>
  </si>
  <si>
    <t>XMATCH</t>
  </si>
  <si>
    <t>Output (iii)</t>
  </si>
  <si>
    <t>Using XMATCH() reversing look-up parameters</t>
  </si>
  <si>
    <t>Using XMATCH() reversing look-up parameters + NOT EQUAL TO logic</t>
  </si>
  <si>
    <t>Output (iv)</t>
  </si>
  <si>
    <t>Converting approach to iterative with REDUCE() function &amp; RANDBETWEEN() function</t>
  </si>
  <si>
    <t>Sorted</t>
  </si>
  <si>
    <t xml:space="preserve">Converted </t>
  </si>
  <si>
    <t>Recognising orientation and dimensions of input array</t>
  </si>
  <si>
    <t>Input options</t>
  </si>
  <si>
    <t>1D Vertical</t>
  </si>
  <si>
    <t>1D Horizontal</t>
  </si>
  <si>
    <t>2D Table</t>
  </si>
  <si>
    <t xml:space="preserve">Selection: </t>
  </si>
  <si>
    <t xml:space="preserve">Output: </t>
  </si>
  <si>
    <t>Proving random sort method</t>
  </si>
  <si>
    <t>By using the full index list as the look-up value parameter of the XMATCH and the previously selected values as the look-up array</t>
  </si>
  <si>
    <t>the XMATCH() attempts to match each value in the index list against the previously selected array returning a number is matched</t>
  </si>
  <si>
    <t>or #N/A if unmatched but meaning that the XMATCH() output array is the same length as the original input array and so can be</t>
  </si>
  <si>
    <t>used correctly for the inclusion parameter of the FILTER() function without causing a #VALUE!</t>
  </si>
  <si>
    <t>Works as expected to allow for a dynamic array of filter conditions to be used for the filter inclusion argument.</t>
  </si>
  <si>
    <t>For "include if equal to" logic wrap the XMATCH() with an ISNUMBER() function.</t>
  </si>
  <si>
    <t>For "include if not equal to" logic wrap the XMATCH() with an ISNA() function.</t>
  </si>
  <si>
    <t xml:space="preserve">Information: </t>
  </si>
  <si>
    <t xml:space="preserve">Random sort: </t>
  </si>
  <si>
    <t>Updating version (B) to deal with varrying orientation of input array + use of MAKEARRAY() to construct output</t>
  </si>
  <si>
    <t>Main Functionality Development</t>
  </si>
  <si>
    <t xml:space="preserve">By row: </t>
  </si>
  <si>
    <t>Updating version (D) to include functionality to randomly sort the array on a by-row or by-column basis</t>
  </si>
  <si>
    <t>Testing version (E) with a horizontal multi-column input using the by-column basis</t>
  </si>
  <si>
    <t>array</t>
  </si>
  <si>
    <t>by_row</t>
  </si>
  <si>
    <t>Input Checks &amp; Conversion to LAMBDA() Function</t>
  </si>
  <si>
    <t>Testing input checks</t>
  </si>
  <si>
    <t>Combining version (E) and version (G) functionality + conversion to LAMBDA()</t>
  </si>
  <si>
    <t>LET(</t>
  </si>
  <si>
    <t>_inp, array,</t>
  </si>
  <si>
    <t>_byRw, IF( ISOMITTED(by_row), -1, INT(by_row)),</t>
  </si>
  <si>
    <t>_inpChk, IF(</t>
  </si>
  <si>
    <t>AND(</t>
  </si>
  <si>
    <t>ROWS(_inp) &lt;= 1, COLUMNS(_inp) &lt;= 1</t>
  </si>
  <si>
    <t>), 2, IF(</t>
  </si>
  <si>
    <t>OR(</t>
  </si>
  <si>
    <t>NOT(ISNUMBER(_byRw)),</t>
  </si>
  <si>
    <t>_byRw &lt; -1, _byRw &gt; 1</t>
  </si>
  <si>
    <t>), 3, 1)</t>
  </si>
  <si>
    <t>),</t>
  </si>
  <si>
    <t>_rows, ROWS(_inp),</t>
  </si>
  <si>
    <t>_cols, COLUMNS(_inp),</t>
  </si>
  <si>
    <t>_arr, IF(_byRw &lt; 0, TOCOL(_inp), _inp),</t>
  </si>
  <si>
    <t>_rnd, DROP(</t>
  </si>
  <si>
    <t>REDUCE(0, _idx, LAMBDA(_acc,_val,</t>
  </si>
  <si>
    <t>_fltr, FILTER(_idx, ISNA(XMATCH(_idx, _acc))),</t>
  </si>
  <si>
    <t>_rr, ROWS(_fltr),</t>
  </si>
  <si>
    <t>VSTACK(_acc, INDEX(_fltr, RANDBETWEEN(1, _rr)))</t>
  </si>
  <si>
    <t>)</t>
  </si>
  <si>
    <t>)),</t>
  </si>
  <si>
    <t>1),</t>
  </si>
  <si>
    <t>_rtn, IF(_byRw &lt; 0,</t>
  </si>
  <si>
    <t>MAKEARRAY(_rows, _cols, LAMBDA(_r,_c, INDEX(_arr, INDEX(_rnd, (_r - 1) * _cols + _c)))),</t>
  </si>
  <si>
    <t>IF(_byRw,</t>
  </si>
  <si>
    <t>MAKEARRAY(_rows, _cols, LAMBDA(_r,_c, INDEX(_arr, INDEX(_rnd, _r), _c))),</t>
  </si>
  <si>
    <t>MAKEARRAY(_rows, _cols, LAMBDA(_r,_c, INDEX(_arr, _r, INDEX(_rnd, _c))))</t>
  </si>
  <si>
    <t>CHOOSE(_inpChk, _rtn, LAMBDA(0), #VALUE!)</t>
  </si>
  <si>
    <t>array,</t>
  </si>
  <si>
    <t>[by_row],</t>
  </si>
  <si>
    <t>= LAMBDA(</t>
  </si>
  <si>
    <t>// Parameter definitions</t>
  </si>
  <si>
    <t>// Main function body/calculations</t>
  </si>
  <si>
    <t>// Dealing with the required parameters and calculating the derived variables needed for the main calculation</t>
  </si>
  <si>
    <t>// Dealing with optional parameters &amp; setting default values</t>
  </si>
  <si>
    <t>// Input checks for the optional parameters and required parameters, returning the _inpChk value as 1-to-3</t>
  </si>
  <si>
    <t>// If the input checks (_inpChk) have flagged then the required Excel error code is returned,</t>
  </si>
  <si>
    <t>// otherwise the calculated result (_rtn) is returned</t>
  </si>
  <si>
    <t>// Re-creates the original input array using the randomly sorted index list to re-order the array</t>
  </si>
  <si>
    <t>// Calculates a randomly sorted copy of the index list using a combination of REDUCE() + FILTER()</t>
  </si>
  <si>
    <t>SEQUENCE( COLUMNS(_arr)),</t>
  </si>
  <si>
    <t>SEQUENCE( ROWS(_arr))</t>
  </si>
  <si>
    <t>// Calculates an index list which relates to each item of the input array that is to be randomly sorted</t>
  </si>
  <si>
    <t>// Where the user has chosen to sort the full array, the array is converted to a single 1D vertical list of values</t>
  </si>
  <si>
    <t>=LAMBDA(array,[by_row],LET(_inp,array,_rows,ROWS(_inp),_cols,COLUMNS(_inp),_byRw,IF(ISOMITTED(by_row),-1,INT(by_row)),_inpChk,IF(AND(ROWS(_inp)&lt;=1,COLUMNS(_inp)&lt;=1),2,IF(OR(NOT(ISNUMBER(_byRw)),_byRw&lt;-1,_byRw&gt;1),3,1)),_arr,IF(_byRw&lt;0,TOCOL(_inp),_inp),_idx,IF(_byRw=0,SEQUENCE(COLUMNS(_arr)),SEQUENCE(ROWS(_arr))),_rnd,DROP(REDUCE(0,_idx,LAMBDA(_acc,_val,LET(_fltr,FILTER(_idx,ISNA(XMATCH(_idx,_acc))),_rr,ROWS(_fltr),VSTACK(_acc,INDEX(_fltr,RANDBETWEEN(1,_rr)))))),1),_rtn,IF(_byRw&lt;0,MAKEARRAY(_rows,_cols,LAMBDA(_r,_c,INDEX(_arr,INDEX(_rnd,(_r-1)*_cols+_c)))),IF(_byRw,MAKEARRAY(_rows,_cols,LAMBDA(_r,_c,INDEX(_arr,INDEX(_rnd,_r),_c))),MAKEARRAY(_rows,_cols,LAMBDA(_r,_c,INDEX(_arr,_r,INDEX(_rnd,_c)))))),CHOOSE(_inpChk,_rtn,LAMBDA(0),#VALUE!)))</t>
  </si>
  <si>
    <t>_idx, IF(_byRw = 0,</t>
  </si>
  <si>
    <t>//  - where the user has chosen to sort by column (_byRw = 0), the index list relates to the number of columns in the array</t>
  </si>
  <si>
    <t>//  - where the user has chosen to sort by row (_byRw = 1), the index relates to the number of rows in the array</t>
  </si>
  <si>
    <t>//  - where the full array is to be sorted (_byRw = -1), the number of rows in the converted array is used</t>
  </si>
  <si>
    <r>
      <t>Required input parameters (</t>
    </r>
    <r>
      <rPr>
        <sz val="10"/>
        <color rgb="FF0065A8"/>
        <rFont val="Consolas"/>
        <family val="3"/>
      </rPr>
      <t>array</t>
    </r>
    <r>
      <rPr>
        <sz val="10"/>
        <color rgb="FF002138"/>
        <rFont val="Calibri"/>
        <family val="2"/>
        <scheme val="minor"/>
      </rPr>
      <t>) have not been provided</t>
    </r>
  </si>
  <si>
    <r>
      <t xml:space="preserve">The optional parameter </t>
    </r>
    <r>
      <rPr>
        <sz val="10"/>
        <color rgb="FF0065A8"/>
        <rFont val="Consolas"/>
        <family val="3"/>
      </rPr>
      <t>by_row</t>
    </r>
    <r>
      <rPr>
        <sz val="10"/>
        <color rgb="FF002138"/>
        <rFont val="Calibri"/>
        <family val="2"/>
        <scheme val="minor"/>
      </rPr>
      <t xml:space="preserve"> input value provided is invalid</t>
    </r>
  </si>
  <si>
    <r>
      <t xml:space="preserve"> - must be either a number (</t>
    </r>
    <r>
      <rPr>
        <sz val="10"/>
        <color rgb="FF0000FF"/>
        <rFont val="Consolas"/>
        <family val="3"/>
      </rPr>
      <t>0</t>
    </r>
    <r>
      <rPr>
        <sz val="10"/>
        <color rgb="FF002138"/>
        <rFont val="Calibri"/>
        <family val="2"/>
        <scheme val="minor"/>
      </rPr>
      <t xml:space="preserve"> or </t>
    </r>
    <r>
      <rPr>
        <sz val="10"/>
        <color rgb="FF0000FF"/>
        <rFont val="Consolas"/>
        <family val="3"/>
      </rPr>
      <t>1</t>
    </r>
    <r>
      <rPr>
        <sz val="10"/>
        <color rgb="FF002138"/>
        <rFont val="Calibri"/>
        <family val="2"/>
        <scheme val="minor"/>
      </rPr>
      <t>) or a logical/Boolean value (</t>
    </r>
    <r>
      <rPr>
        <sz val="10"/>
        <color rgb="FF0000FF"/>
        <rFont val="Consolas"/>
        <family val="3"/>
      </rPr>
      <t>TRUE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FALSE</t>
    </r>
    <r>
      <rPr>
        <sz val="10"/>
        <color rgb="FF002138"/>
        <rFont val="Calibri"/>
        <family val="2"/>
        <scheme val="minor"/>
      </rPr>
      <t>)</t>
    </r>
  </si>
  <si>
    <r>
      <t xml:space="preserve">The input provided for the </t>
    </r>
    <r>
      <rPr>
        <sz val="10"/>
        <color rgb="FF0065A8"/>
        <rFont val="Consolas"/>
        <family val="3"/>
      </rPr>
      <t>array</t>
    </r>
    <r>
      <rPr>
        <sz val="10"/>
        <color rgb="FF002138"/>
        <rFont val="Calibri"/>
        <family val="2"/>
        <scheme val="minor"/>
      </rPr>
      <t xml:space="preserve"> parameter is invalid (i.e. not an array of more than one value)</t>
    </r>
  </si>
  <si>
    <t>array of values which is to be sorted into a random order</t>
  </si>
  <si>
    <r>
      <t>determines whether to sort on a by-row basis (</t>
    </r>
    <r>
      <rPr>
        <sz val="10"/>
        <color rgb="FF0000FF"/>
        <rFont val="Consolas"/>
        <family val="3"/>
      </rPr>
      <t>1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TRUE</t>
    </r>
    <r>
      <rPr>
        <sz val="10"/>
        <color rgb="FF002138"/>
        <rFont val="Calibri"/>
        <family val="2"/>
        <scheme val="minor"/>
      </rPr>
      <t>) or a by-column basis (</t>
    </r>
    <r>
      <rPr>
        <sz val="10"/>
        <color rgb="FF0000FF"/>
        <rFont val="Consolas"/>
        <family val="3"/>
      </rPr>
      <t>0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FALSE</t>
    </r>
    <r>
      <rPr>
        <sz val="10"/>
        <color rgb="FF002138"/>
        <rFont val="Calibri"/>
        <family val="2"/>
        <scheme val="minor"/>
      </rPr>
      <t>)</t>
    </r>
  </si>
  <si>
    <t xml:space="preserve"> - As the function uses random number generation to re-order the input array, it is a volatile function and will re-calculate everytime there is a calculation trigger.</t>
  </si>
  <si>
    <t>By default, all values in the input array will be re-ordered; if the by-row parameter is used then full rows or full columns  are randomly sorted rather than individual values.</t>
  </si>
  <si>
    <t xml:space="preserve">Name: </t>
  </si>
  <si>
    <t xml:space="preserve">Description: </t>
  </si>
  <si>
    <t xml:space="preserve">Gist URL: </t>
  </si>
  <si>
    <t>RXL_RandomSort</t>
  </si>
  <si>
    <t>Demonstrating Function Usage</t>
  </si>
  <si>
    <t>RandomSort()</t>
  </si>
  <si>
    <t>Sorts the values in an input array into a random order, preserving the size and dimensions of the original array.</t>
  </si>
  <si>
    <t>Custom Lambda function desigend to sort the values in an input array into a random order, preserving the size and dimensions of the original array.</t>
  </si>
  <si>
    <t>Can be used to randomly re-order all items in the array, or re-order full rows or full columns, maintaining the original order of the items in each row or column respectively.</t>
  </si>
  <si>
    <t>https://gist.github.com/r-silk/23480f2929317b45544b4953e1ddb7a6</t>
  </si>
  <si>
    <t>Demonstrating simple usage on a 1D array</t>
  </si>
  <si>
    <t>Demonstrating simple usage on a 2D array</t>
  </si>
  <si>
    <t>Inputs</t>
  </si>
  <si>
    <t>Demonstrating sorting full rows and columns</t>
  </si>
  <si>
    <t>Output - sorting rows</t>
  </si>
  <si>
    <t>AAA</t>
  </si>
  <si>
    <t>BBB</t>
  </si>
  <si>
    <t>CCC</t>
  </si>
  <si>
    <t>DDD</t>
  </si>
  <si>
    <t>EEE</t>
  </si>
  <si>
    <t>FFF</t>
  </si>
  <si>
    <t>GGG</t>
  </si>
  <si>
    <t>HHH</t>
  </si>
  <si>
    <t>III</t>
  </si>
  <si>
    <t>JJJ</t>
  </si>
  <si>
    <t>XYZ-001</t>
  </si>
  <si>
    <t>XYZ-002</t>
  </si>
  <si>
    <t>XYZ-003</t>
  </si>
  <si>
    <t>XYZ-004</t>
  </si>
  <si>
    <t>XYZ-005</t>
  </si>
  <si>
    <t>XYZ-006</t>
  </si>
  <si>
    <t>XYZ-007</t>
  </si>
  <si>
    <t>XYZ-008</t>
  </si>
  <si>
    <t>XYZ-009</t>
  </si>
  <si>
    <t>XYZ-010</t>
  </si>
  <si>
    <t>Alpha</t>
  </si>
  <si>
    <t>Bravo</t>
  </si>
  <si>
    <t>Charlie</t>
  </si>
  <si>
    <t>Delta</t>
  </si>
  <si>
    <t>Echo</t>
  </si>
  <si>
    <t>Foxtrot</t>
  </si>
  <si>
    <t>Golf</t>
  </si>
  <si>
    <t>Hotel</t>
  </si>
  <si>
    <t>India</t>
  </si>
  <si>
    <t>Juliett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</si>
</sst>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_);\(#,##0\);\-_)"/>
    <numFmt numFmtId="165" formatCode="0.00%;\(0.00\)%;&quot;--&quot;_)"/>
    <numFmt numFmtId="166" formatCode="d\-mmm\-yyyy"/>
    <numFmt numFmtId="167" formatCode="_(* #,##0.00_);_(* \(#,##0.00\);_(* &quot;-&quot;??_);_(@_)"/>
    <numFmt numFmtId="168" formatCode="#,##0_);\(#,##0\);\ \-_)"/>
    <numFmt numFmtId="169" formatCode="0_);\(0\);\-_)"/>
    <numFmt numFmtId="170" formatCode="_(&quot;£&quot;* #,##0.00_);_(&quot;£&quot;* \(#,##0.00\);_(&quot;£&quot;* &quot;-&quot;??_);_(@_)"/>
    <numFmt numFmtId="171" formatCode="&quot;£&quot;#,##0.0,\ \K_);&quot;£&quot;\(#,##0.0,\ \K\);&quot;£&quot;0_)"/>
    <numFmt numFmtId="172" formatCode="[Red]&quot;CHECK&quot;;[Red]&quot;ERROR&quot;;&quot;OK&quot;"/>
    <numFmt numFmtId="173" formatCode="#,##0_);[Red]\(#,##0\);\ \-_)"/>
    <numFmt numFmtId="174" formatCode="0.00%;[Red]\(0.00\)%;&quot;--&quot;_)"/>
    <numFmt numFmtId="175" formatCode="mmm\-yyyy_)"/>
    <numFmt numFmtId="176" formatCode="0_);[Red]\(0\);\-_)"/>
    <numFmt numFmtId="177" formatCode="00\."/>
    <numFmt numFmtId="178" formatCode="&quot;Yes (1)&quot;;[Red]&quot;Err&quot;;&quot;No (0)&quot;"/>
    <numFmt numFmtId="179" formatCode="&quot;On (1)&quot;;[Red]&quot;Err&quot;;&quot;Off (0)&quot;"/>
  </numFmts>
  <fonts count="50" x14ac:knownFonts="1">
    <font>
      <sz val="10"/>
      <color rgb="FF002138"/>
      <name val="Calibri"/>
      <family val="2"/>
      <scheme val="minor"/>
    </font>
    <font>
      <sz val="10"/>
      <color theme="1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sz val="10"/>
      <color rgb="FF9C000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F9C35"/>
      <name val="Consolas"/>
      <family val="3"/>
    </font>
    <font>
      <sz val="10"/>
      <color rgb="FF002138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10"/>
      <color rgb="FF808080"/>
      <name val="Calibri"/>
      <family val="2"/>
      <scheme val="minor"/>
    </font>
    <font>
      <b/>
      <i/>
      <sz val="10"/>
      <color rgb="FF195C89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2"/>
      <color rgb="FFFFFFFF"/>
      <name val="Arial"/>
      <family val="2"/>
      <scheme val="major"/>
    </font>
    <font>
      <b/>
      <sz val="11"/>
      <color rgb="FFFFFFFF"/>
      <name val="Arial"/>
      <family val="2"/>
      <scheme val="major"/>
    </font>
    <font>
      <b/>
      <sz val="10"/>
      <color rgb="FF595959"/>
      <name val="Arial"/>
      <family val="2"/>
      <scheme val="major"/>
    </font>
    <font>
      <sz val="10"/>
      <color theme="0" tint="-0.249977111117893"/>
      <name val="Calibri"/>
      <family val="2"/>
      <scheme val="minor"/>
    </font>
    <font>
      <sz val="10"/>
      <color rgb="FF195C89"/>
      <name val="Calibri"/>
      <family val="2"/>
      <scheme val="minor"/>
    </font>
    <font>
      <sz val="12"/>
      <color rgb="FF195C89"/>
      <name val="Arial"/>
      <family val="2"/>
      <scheme val="major"/>
    </font>
    <font>
      <sz val="10"/>
      <color theme="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i/>
      <sz val="10"/>
      <color rgb="FF33B9F2"/>
      <name val="Calibri"/>
      <family val="2"/>
      <scheme val="minor"/>
    </font>
    <font>
      <sz val="10"/>
      <color rgb="FF9C5700"/>
      <name val="Calibri"/>
      <family val="2"/>
      <scheme val="minor"/>
    </font>
    <font>
      <i/>
      <sz val="10"/>
      <color rgb="FFFF8225"/>
      <name val="Calibri"/>
      <family val="2"/>
      <scheme val="minor"/>
    </font>
    <font>
      <sz val="10"/>
      <color rgb="FFB400B4"/>
      <name val="Calibri"/>
      <family val="2"/>
      <scheme val="minor"/>
    </font>
    <font>
      <sz val="10"/>
      <color rgb="FF8C0000"/>
      <name val="Calibri"/>
      <family val="2"/>
      <scheme val="minor"/>
    </font>
    <font>
      <b/>
      <sz val="12"/>
      <color rgb="FF195C89"/>
      <name val="Arial"/>
      <family val="2"/>
      <scheme val="major"/>
    </font>
    <font>
      <b/>
      <sz val="16"/>
      <color rgb="FF0E2550"/>
      <name val="Arial"/>
      <family val="2"/>
      <scheme val="major"/>
    </font>
    <font>
      <sz val="10"/>
      <color rgb="FFB4B4B4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FFFFFF"/>
      <name val="Arial"/>
      <family val="2"/>
      <scheme val="major"/>
    </font>
    <font>
      <b/>
      <sz val="10"/>
      <color rgb="FF002138"/>
      <name val="Calibri"/>
      <family val="2"/>
      <scheme val="minor"/>
    </font>
    <font>
      <b/>
      <i/>
      <sz val="10"/>
      <color rgb="FF002138"/>
      <name val="Calibri"/>
      <family val="2"/>
      <scheme val="minor"/>
    </font>
    <font>
      <u/>
      <sz val="10"/>
      <color rgb="FF002138"/>
      <name val="Calibri"/>
      <family val="2"/>
      <scheme val="minor"/>
    </font>
    <font>
      <sz val="10"/>
      <color rgb="FF0065A8"/>
      <name val="Consolas"/>
      <family val="3"/>
    </font>
    <font>
      <sz val="10"/>
      <color rgb="FFC00000"/>
      <name val="Consolas"/>
      <family val="3"/>
    </font>
    <font>
      <b/>
      <sz val="10"/>
      <color rgb="FFB75EE1"/>
      <name val="Calibri"/>
      <family val="2"/>
      <scheme val="minor"/>
    </font>
    <font>
      <b/>
      <sz val="10"/>
      <color rgb="FFFC6017"/>
      <name val="Calibri"/>
      <family val="2"/>
      <scheme val="minor"/>
    </font>
    <font>
      <sz val="10"/>
      <color rgb="FF002138"/>
      <name val="Consolas"/>
      <family val="3"/>
    </font>
    <font>
      <sz val="10"/>
      <color rgb="FF1E4FA8"/>
      <name val="Consolas"/>
      <family val="3"/>
    </font>
    <font>
      <b/>
      <i/>
      <sz val="10"/>
      <color rgb="FFFF8225"/>
      <name val="Calibri"/>
      <family val="2"/>
      <scheme val="minor"/>
    </font>
    <font>
      <b/>
      <i/>
      <u/>
      <sz val="10"/>
      <color rgb="FFFF8225"/>
      <name val="Calibri"/>
      <family val="2"/>
      <scheme val="minor"/>
    </font>
    <font>
      <b/>
      <sz val="10"/>
      <color theme="3" tint="0.249977111117893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FF"/>
      <name val="Consolas"/>
      <family val="3"/>
    </font>
  </fonts>
  <fills count="2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rgb="FFFEE6CE"/>
        <bgColor indexed="64"/>
      </patternFill>
    </fill>
    <fill>
      <patternFill patternType="solid">
        <fgColor rgb="FF198B83"/>
        <bgColor indexed="64"/>
      </patternFill>
    </fill>
    <fill>
      <patternFill patternType="solid">
        <fgColor rgb="FF56BAB8"/>
        <bgColor indexed="64"/>
      </patternFill>
    </fill>
    <fill>
      <patternFill patternType="solid">
        <fgColor rgb="FFE6D3B8"/>
        <bgColor indexed="64"/>
      </patternFill>
    </fill>
    <fill>
      <patternFill patternType="solid">
        <fgColor rgb="FFF7ECDD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9E7FF"/>
        <bgColor indexed="64"/>
      </patternFill>
    </fill>
    <fill>
      <patternFill patternType="solid">
        <fgColor rgb="FFEBFAFA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200"/>
        <bgColor indexed="64"/>
      </patternFill>
    </fill>
    <fill>
      <patternFill patternType="solid">
        <fgColor rgb="FFBEE4E3"/>
        <bgColor indexed="64"/>
      </patternFill>
    </fill>
    <fill>
      <patternFill patternType="lightUp">
        <fgColor theme="0" tint="-0.34998626667073579"/>
        <bgColor auto="1"/>
      </patternFill>
    </fill>
    <fill>
      <patternFill patternType="solid">
        <fgColor rgb="FFE4E6E8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/>
      <right/>
      <top style="medium">
        <color theme="5"/>
      </top>
      <bottom/>
      <diagonal/>
    </border>
    <border>
      <left style="thin">
        <color rgb="FF198B83"/>
      </left>
      <right style="thin">
        <color rgb="FF198B83"/>
      </right>
      <top style="thin">
        <color rgb="FF198B83"/>
      </top>
      <bottom style="thin">
        <color rgb="FF198B83"/>
      </bottom>
      <diagonal/>
    </border>
    <border>
      <left style="thin">
        <color rgb="FF56BAB8"/>
      </left>
      <right style="thin">
        <color rgb="FF56BAB8"/>
      </right>
      <top style="thin">
        <color rgb="FF56BAB8"/>
      </top>
      <bottom style="thin">
        <color rgb="FF56BAB8"/>
      </bottom>
      <diagonal/>
    </border>
    <border>
      <left style="thin">
        <color rgb="FFE6D3B8"/>
      </left>
      <right style="thin">
        <color rgb="FFE6D3B8"/>
      </right>
      <top style="thin">
        <color rgb="FFE6D3B8"/>
      </top>
      <bottom style="thin">
        <color rgb="FFE6D3B8"/>
      </bottom>
      <diagonal/>
    </border>
    <border>
      <left style="thin">
        <color rgb="FFF7ECDD"/>
      </left>
      <right style="thin">
        <color rgb="FFF7ECDD"/>
      </right>
      <top style="thin">
        <color rgb="FFF7ECDD"/>
      </top>
      <bottom style="thin">
        <color rgb="FFF7ECDD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medium">
        <color theme="5"/>
      </bottom>
      <diagonal/>
    </border>
    <border>
      <left style="hair">
        <color rgb="FF0082B3"/>
      </left>
      <right style="hair">
        <color rgb="FF0082B3"/>
      </right>
      <top style="hair">
        <color rgb="FF0082B3"/>
      </top>
      <bottom style="hair">
        <color rgb="FF0082B3"/>
      </bottom>
      <diagonal/>
    </border>
    <border>
      <left/>
      <right/>
      <top/>
      <bottom style="medium">
        <color theme="4" tint="-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/>
      <right style="medium">
        <color theme="4" tint="-0.24994659260841701"/>
      </right>
      <top/>
      <bottom/>
      <diagonal/>
    </border>
    <border>
      <left style="hair">
        <color theme="1" tint="0.24994659260841701"/>
      </left>
      <right/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/>
      <top/>
      <bottom style="thin">
        <color theme="4" tint="-0.24994659260841701"/>
      </bottom>
      <diagonal/>
    </border>
  </borders>
  <cellStyleXfs count="73">
    <xf numFmtId="0" fontId="0" fillId="0" borderId="0"/>
    <xf numFmtId="167" fontId="13" fillId="0" borderId="0" applyNumberFormat="0" applyAlignment="0" applyProtection="0"/>
    <xf numFmtId="170" fontId="13" fillId="0" borderId="0" applyNumberFormat="0" applyAlignment="0" applyProtection="0"/>
    <xf numFmtId="171" fontId="1" fillId="0" borderId="0" applyFont="0" applyFill="0" applyBorder="0" applyAlignment="0" applyProtection="0"/>
    <xf numFmtId="9" fontId="13" fillId="0" borderId="0" applyNumberFormat="0" applyAlignment="0" applyProtection="0"/>
    <xf numFmtId="0" fontId="32" fillId="0" borderId="0" applyAlignment="0" applyProtection="0"/>
    <xf numFmtId="0" fontId="18" fillId="11" borderId="11" applyNumberFormat="0" applyAlignment="0" applyProtection="0"/>
    <xf numFmtId="0" fontId="19" fillId="12" borderId="12" applyNumberFormat="0" applyAlignment="0" applyProtection="0"/>
    <xf numFmtId="0" fontId="20" fillId="13" borderId="13" applyNumberFormat="0" applyAlignment="0" applyProtection="0"/>
    <xf numFmtId="0" fontId="20" fillId="14" borderId="14" applyNumberFormat="0" applyAlignment="0" applyProtection="0"/>
    <xf numFmtId="0" fontId="17" fillId="2" borderId="0" applyNumberFormat="0" applyBorder="0" applyAlignment="0" applyProtection="0"/>
    <xf numFmtId="0" fontId="9" fillId="3" borderId="0" applyNumberFormat="0" applyBorder="0" applyAlignment="0" applyProtection="0"/>
    <xf numFmtId="0" fontId="27" fillId="4" borderId="0" applyNumberFormat="0" applyBorder="0" applyAlignment="0" applyProtection="0"/>
    <xf numFmtId="0" fontId="2" fillId="5" borderId="1" applyNumberFormat="0" applyAlignment="0" applyProtection="0"/>
    <xf numFmtId="0" fontId="3" fillId="6" borderId="2" applyNumberFormat="0" applyAlignment="0" applyProtection="0"/>
    <xf numFmtId="0" fontId="4" fillId="6" borderId="1" applyNumberFormat="0" applyAlignment="0" applyProtection="0"/>
    <xf numFmtId="0" fontId="5" fillId="0" borderId="3" applyNumberFormat="0" applyFill="0" applyAlignment="0" applyProtection="0"/>
    <xf numFmtId="0" fontId="6" fillId="7" borderId="4" applyNumberFormat="0" applyAlignment="0" applyProtection="0"/>
    <xf numFmtId="164" fontId="34" fillId="0" borderId="0" applyNumberFormat="0" applyFill="0" applyBorder="0" applyAlignment="0" applyProtection="0"/>
    <xf numFmtId="0" fontId="1" fillId="8" borderId="5" applyNumberFormat="0" applyFont="0" applyAlignment="0" applyProtection="0"/>
    <xf numFmtId="164" fontId="15" fillId="0" borderId="0" applyNumberFormat="0" applyFill="0" applyBorder="0" applyAlignment="0" applyProtection="0"/>
    <xf numFmtId="0" fontId="7" fillId="0" borderId="6" applyNumberFormat="0" applyFill="0" applyAlignment="0" applyProtection="0"/>
    <xf numFmtId="0" fontId="8" fillId="9" borderId="0" applyNumberFormat="0" applyBorder="0" applyAlignment="0" applyProtection="0"/>
    <xf numFmtId="164" fontId="10" fillId="0" borderId="7" applyAlignment="0"/>
    <xf numFmtId="165" fontId="10" fillId="0" borderId="7" applyAlignment="0"/>
    <xf numFmtId="166" fontId="10" fillId="0" borderId="7" applyAlignment="0"/>
    <xf numFmtId="164" fontId="10" fillId="0" borderId="8" applyNumberFormat="0" applyAlignment="0"/>
    <xf numFmtId="164" fontId="11" fillId="0" borderId="9" applyNumberFormat="0" applyAlignment="0"/>
    <xf numFmtId="0" fontId="12" fillId="0" borderId="0" applyFill="0" applyBorder="0" applyAlignment="0"/>
    <xf numFmtId="168" fontId="14" fillId="10" borderId="7" applyAlignment="0">
      <protection locked="0"/>
    </xf>
    <xf numFmtId="165" fontId="14" fillId="10" borderId="7" applyAlignment="0">
      <protection locked="0"/>
    </xf>
    <xf numFmtId="166" fontId="14" fillId="10" borderId="7" applyAlignment="0">
      <protection locked="0"/>
    </xf>
    <xf numFmtId="169" fontId="14" fillId="10" borderId="7" applyAlignment="0">
      <protection locked="0"/>
    </xf>
    <xf numFmtId="0" fontId="16" fillId="0" borderId="10" applyFill="0">
      <alignment vertical="center"/>
    </xf>
    <xf numFmtId="172" fontId="21" fillId="0" borderId="0" applyFill="0">
      <alignment horizontal="center"/>
    </xf>
    <xf numFmtId="168" fontId="14" fillId="15" borderId="7" applyAlignment="0">
      <protection locked="0"/>
    </xf>
    <xf numFmtId="165" fontId="14" fillId="15" borderId="7" applyAlignment="0">
      <protection locked="0"/>
    </xf>
    <xf numFmtId="166" fontId="14" fillId="15" borderId="7" applyAlignment="0">
      <protection locked="0"/>
    </xf>
    <xf numFmtId="169" fontId="14" fillId="15" borderId="7" applyAlignment="0">
      <protection locked="0"/>
    </xf>
    <xf numFmtId="164" fontId="22" fillId="16" borderId="7" applyAlignment="0">
      <protection locked="0"/>
    </xf>
    <xf numFmtId="0" fontId="23" fillId="0" borderId="0">
      <alignment vertical="center"/>
    </xf>
    <xf numFmtId="168" fontId="14" fillId="17" borderId="7" applyAlignment="0"/>
    <xf numFmtId="164" fontId="24" fillId="18" borderId="0">
      <alignment horizontal="center"/>
    </xf>
    <xf numFmtId="164" fontId="24" fillId="19" borderId="0">
      <alignment horizontal="center"/>
    </xf>
    <xf numFmtId="164" fontId="25" fillId="20" borderId="0">
      <alignment horizontal="center"/>
    </xf>
    <xf numFmtId="0" fontId="26" fillId="0" borderId="0"/>
    <xf numFmtId="0" fontId="28" fillId="0" borderId="0" applyNumberFormat="0" applyFill="0" applyBorder="0" applyAlignment="0"/>
    <xf numFmtId="0" fontId="22" fillId="0" borderId="0" applyNumberFormat="0" applyFill="0" applyBorder="0" applyAlignment="0"/>
    <xf numFmtId="173" fontId="10" fillId="0" borderId="0" applyFill="0" applyAlignment="0"/>
    <xf numFmtId="174" fontId="10" fillId="0" borderId="0" applyFill="0" applyAlignment="0"/>
    <xf numFmtId="175" fontId="10" fillId="0" borderId="0" applyFill="0" applyAlignment="0"/>
    <xf numFmtId="164" fontId="11" fillId="0" borderId="15" applyNumberFormat="0" applyFill="0" applyAlignment="0"/>
    <xf numFmtId="176" fontId="10" fillId="0" borderId="0" applyFill="0" applyAlignment="0"/>
    <xf numFmtId="164" fontId="11" fillId="0" borderId="6" applyNumberFormat="0" applyFill="0" applyAlignment="0"/>
    <xf numFmtId="168" fontId="29" fillId="0" borderId="7" applyAlignment="0"/>
    <xf numFmtId="165" fontId="29" fillId="0" borderId="7" applyAlignment="0"/>
    <xf numFmtId="166" fontId="29" fillId="0" borderId="7" applyAlignment="0"/>
    <xf numFmtId="168" fontId="29" fillId="0" borderId="8" applyNumberFormat="0" applyAlignment="0"/>
    <xf numFmtId="169" fontId="29" fillId="0" borderId="7" applyAlignment="0"/>
    <xf numFmtId="168" fontId="30" fillId="0" borderId="7" applyAlignment="0"/>
    <xf numFmtId="165" fontId="30" fillId="0" borderId="7" applyAlignment="0"/>
    <xf numFmtId="166" fontId="30" fillId="0" borderId="7" applyAlignment="0"/>
    <xf numFmtId="168" fontId="30" fillId="0" borderId="8" applyNumberFormat="0" applyAlignment="0"/>
    <xf numFmtId="169" fontId="30" fillId="0" borderId="7" applyAlignment="0"/>
    <xf numFmtId="0" fontId="31" fillId="0" borderId="16"/>
    <xf numFmtId="169" fontId="10" fillId="21" borderId="0" applyAlignment="0" applyProtection="0"/>
    <xf numFmtId="0" fontId="33" fillId="0" borderId="0" applyNumberFormat="0" applyFill="0" applyBorder="0">
      <alignment horizontal="center"/>
    </xf>
    <xf numFmtId="0" fontId="25" fillId="22" borderId="17" applyNumberFormat="0" applyBorder="0" applyAlignment="0" applyProtection="0"/>
    <xf numFmtId="164" fontId="10" fillId="23" borderId="7"/>
    <xf numFmtId="165" fontId="10" fillId="23" borderId="7"/>
    <xf numFmtId="164" fontId="10" fillId="23" borderId="8" applyNumberFormat="0"/>
    <xf numFmtId="164" fontId="10" fillId="23" borderId="9" applyNumberFormat="0"/>
    <xf numFmtId="0" fontId="48" fillId="0" borderId="0" applyNumberFormat="0" applyFill="0" applyBorder="0" applyAlignment="0" applyProtection="0"/>
  </cellStyleXfs>
  <cellXfs count="73">
    <xf numFmtId="0" fontId="0" fillId="0" borderId="0" xfId="0"/>
    <xf numFmtId="0" fontId="18" fillId="11" borderId="11" xfId="6"/>
    <xf numFmtId="0" fontId="35" fillId="11" borderId="11" xfId="6" applyFont="1" applyAlignment="1">
      <alignment horizontal="left" vertical="center" indent="1"/>
    </xf>
    <xf numFmtId="0" fontId="36" fillId="0" borderId="0" xfId="0" applyFont="1"/>
    <xf numFmtId="0" fontId="37" fillId="0" borderId="0" xfId="0" applyFont="1"/>
    <xf numFmtId="0" fontId="31" fillId="0" borderId="16" xfId="64"/>
    <xf numFmtId="177" fontId="31" fillId="0" borderId="16" xfId="64" applyNumberFormat="1"/>
    <xf numFmtId="0" fontId="20" fillId="14" borderId="14" xfId="9"/>
    <xf numFmtId="0" fontId="20" fillId="14" borderId="14" xfId="9" applyAlignment="1">
      <alignment horizontal="left" indent="1"/>
    </xf>
    <xf numFmtId="0" fontId="38" fillId="0" borderId="0" xfId="0" applyFont="1"/>
    <xf numFmtId="0" fontId="36" fillId="0" borderId="0" xfId="0" applyFont="1" applyAlignment="1">
      <alignment horizontal="center"/>
    </xf>
    <xf numFmtId="0" fontId="16" fillId="0" borderId="10" xfId="33">
      <alignment vertical="center"/>
    </xf>
    <xf numFmtId="0" fontId="39" fillId="0" borderId="0" xfId="28" applyFont="1"/>
    <xf numFmtId="0" fontId="40" fillId="0" borderId="0" xfId="28" applyFont="1"/>
    <xf numFmtId="0" fontId="41" fillId="0" borderId="0" xfId="0" applyFont="1"/>
    <xf numFmtId="0" fontId="42" fillId="0" borderId="0" xfId="0" applyFont="1"/>
    <xf numFmtId="0" fontId="6" fillId="9" borderId="18" xfId="22" applyFont="1" applyBorder="1" applyAlignment="1">
      <alignment horizontal="center"/>
    </xf>
    <xf numFmtId="0" fontId="6" fillId="9" borderId="18" xfId="22" applyFont="1" applyBorder="1" applyAlignment="1"/>
    <xf numFmtId="0" fontId="6" fillId="9" borderId="18" xfId="22" applyFont="1" applyBorder="1" applyAlignment="1">
      <alignment horizontal="centerContinuous"/>
    </xf>
    <xf numFmtId="168" fontId="14" fillId="15" borderId="19" xfId="35" applyBorder="1" applyAlignment="1">
      <alignment horizontal="center"/>
      <protection locked="0"/>
    </xf>
    <xf numFmtId="168" fontId="14" fillId="15" borderId="7" xfId="35" applyAlignment="1">
      <alignment horizontal="center"/>
      <protection locked="0"/>
    </xf>
    <xf numFmtId="169" fontId="14" fillId="15" borderId="7" xfId="38" applyAlignment="1">
      <alignment horizontal="center"/>
      <protection locked="0"/>
    </xf>
    <xf numFmtId="0" fontId="6" fillId="9" borderId="18" xfId="22" applyFont="1" applyBorder="1"/>
    <xf numFmtId="0" fontId="6" fillId="9" borderId="18" xfId="22" applyFont="1" applyBorder="1" applyAlignment="1">
      <alignment horizontal="left" indent="1"/>
    </xf>
    <xf numFmtId="0" fontId="0" fillId="0" borderId="0" xfId="0" applyAlignment="1">
      <alignment horizontal="right"/>
    </xf>
    <xf numFmtId="0" fontId="43" fillId="0" borderId="0" xfId="0" applyFont="1"/>
    <xf numFmtId="0" fontId="12" fillId="0" borderId="0" xfId="0" applyFont="1"/>
    <xf numFmtId="0" fontId="44" fillId="0" borderId="0" xfId="0" applyFont="1"/>
    <xf numFmtId="0" fontId="33" fillId="0" borderId="0" xfId="0" applyFont="1"/>
    <xf numFmtId="0" fontId="26" fillId="0" borderId="0" xfId="45"/>
    <xf numFmtId="178" fontId="14" fillId="17" borderId="7" xfId="41" applyNumberFormat="1"/>
    <xf numFmtId="179" fontId="14" fillId="17" borderId="7" xfId="41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3"/>
    </xf>
    <xf numFmtId="164" fontId="10" fillId="0" borderId="7" xfId="23"/>
    <xf numFmtId="168" fontId="29" fillId="0" borderId="7" xfId="54" applyAlignment="1">
      <alignment horizontal="center"/>
    </xf>
    <xf numFmtId="164" fontId="10" fillId="0" borderId="7" xfId="23" applyAlignment="1">
      <alignment horizontal="center"/>
    </xf>
    <xf numFmtId="168" fontId="14" fillId="15" borderId="7" xfId="35">
      <protection locked="0"/>
    </xf>
    <xf numFmtId="168" fontId="25" fillId="22" borderId="7" xfId="67" applyNumberFormat="1" applyBorder="1" applyProtection="1">
      <protection locked="0"/>
    </xf>
    <xf numFmtId="0" fontId="12" fillId="0" borderId="0" xfId="28"/>
    <xf numFmtId="0" fontId="28" fillId="0" borderId="0" xfId="46" applyAlignment="1">
      <alignment horizontal="left" indent="1"/>
    </xf>
    <xf numFmtId="0" fontId="45" fillId="0" borderId="0" xfId="46" applyFont="1" applyAlignment="1">
      <alignment horizontal="left" indent="1"/>
    </xf>
    <xf numFmtId="0" fontId="47" fillId="0" borderId="0" xfId="0" applyFont="1"/>
    <xf numFmtId="0" fontId="6" fillId="9" borderId="20" xfId="22" applyFont="1" applyBorder="1" applyAlignment="1">
      <alignment horizontal="center"/>
    </xf>
    <xf numFmtId="169" fontId="14" fillId="10" borderId="21" xfId="32" applyBorder="1">
      <protection locked="0"/>
    </xf>
    <xf numFmtId="169" fontId="14" fillId="10" borderId="22" xfId="32" applyBorder="1">
      <protection locked="0"/>
    </xf>
    <xf numFmtId="168" fontId="14" fillId="15" borderId="7" xfId="35" applyAlignment="1">
      <protection locked="0"/>
    </xf>
    <xf numFmtId="172" fontId="21" fillId="0" borderId="0" xfId="34">
      <alignment horizontal="center"/>
    </xf>
    <xf numFmtId="164" fontId="10" fillId="0" borderId="7" xfId="23" quotePrefix="1" applyAlignment="1">
      <alignment horizontal="center" wrapText="1"/>
    </xf>
    <xf numFmtId="164" fontId="10" fillId="0" borderId="22" xfId="23" quotePrefix="1" applyBorder="1" applyAlignment="1">
      <alignment horizontal="center"/>
    </xf>
    <xf numFmtId="179" fontId="14" fillId="15" borderId="7" xfId="35" applyNumberFormat="1" applyAlignment="1">
      <alignment horizontal="center"/>
      <protection locked="0"/>
    </xf>
    <xf numFmtId="169" fontId="29" fillId="0" borderId="7" xfId="58" applyAlignment="1">
      <alignment horizontal="center"/>
    </xf>
    <xf numFmtId="178" fontId="14" fillId="15" borderId="7" xfId="35" applyNumberFormat="1" applyAlignment="1">
      <alignment horizontal="center"/>
      <protection locked="0"/>
    </xf>
    <xf numFmtId="169" fontId="29" fillId="0" borderId="22" xfId="58" applyBorder="1" applyAlignment="1">
      <alignment horizontal="center"/>
    </xf>
    <xf numFmtId="169" fontId="29" fillId="0" borderId="7" xfId="58"/>
    <xf numFmtId="169" fontId="29" fillId="0" borderId="19" xfId="58" applyBorder="1"/>
    <xf numFmtId="0" fontId="6" fillId="9" borderId="23" xfId="22" applyFont="1" applyBorder="1" applyAlignment="1">
      <alignment horizontal="center"/>
    </xf>
    <xf numFmtId="168" fontId="0" fillId="0" borderId="0" xfId="0" applyNumberFormat="1"/>
    <xf numFmtId="0" fontId="39" fillId="0" borderId="0" xfId="28" applyFont="1" applyAlignment="1">
      <alignment horizontal="left" indent="2"/>
    </xf>
    <xf numFmtId="0" fontId="39" fillId="0" borderId="0" xfId="28" applyFont="1" applyAlignment="1">
      <alignment horizontal="left" indent="4"/>
    </xf>
    <xf numFmtId="0" fontId="39" fillId="0" borderId="0" xfId="28" applyFont="1" applyAlignment="1">
      <alignment horizontal="left" indent="6"/>
    </xf>
    <xf numFmtId="0" fontId="39" fillId="0" borderId="0" xfId="28" applyFont="1" applyAlignment="1">
      <alignment horizontal="left" indent="8"/>
    </xf>
    <xf numFmtId="0" fontId="39" fillId="0" borderId="0" xfId="28" quotePrefix="1" applyFont="1"/>
    <xf numFmtId="0" fontId="39" fillId="0" borderId="0" xfId="28" applyFont="1" applyAlignment="1">
      <alignment horizontal="left" indent="10"/>
    </xf>
    <xf numFmtId="0" fontId="12" fillId="0" borderId="0" xfId="28" quotePrefix="1" applyAlignment="1">
      <alignment horizontal="left" indent="2"/>
    </xf>
    <xf numFmtId="0" fontId="12" fillId="0" borderId="0" xfId="28" applyAlignment="1">
      <alignment horizontal="left" indent="2"/>
    </xf>
    <xf numFmtId="0" fontId="12" fillId="0" borderId="0" xfId="28" applyAlignment="1">
      <alignment horizontal="left" indent="4"/>
    </xf>
    <xf numFmtId="0" fontId="12" fillId="0" borderId="0" xfId="28" quotePrefix="1" applyAlignment="1">
      <alignment horizontal="left" indent="4"/>
    </xf>
    <xf numFmtId="0" fontId="46" fillId="0" borderId="0" xfId="46" applyFont="1" applyAlignment="1">
      <alignment horizontal="left" indent="1"/>
    </xf>
    <xf numFmtId="0" fontId="28" fillId="0" borderId="0" xfId="46" applyAlignment="1">
      <alignment horizontal="left" indent="3"/>
    </xf>
    <xf numFmtId="0" fontId="48" fillId="0" borderId="0" xfId="72"/>
    <xf numFmtId="0" fontId="36" fillId="0" borderId="0" xfId="0" applyFont="1" applyAlignment="1">
      <alignment horizontal="right"/>
    </xf>
    <xf numFmtId="0" fontId="12" fillId="0" borderId="0" xfId="28" applyAlignment="1">
      <alignment horizontal="left" indent="1"/>
    </xf>
  </cellXfs>
  <cellStyles count="73">
    <cellStyle name="Accent1" xfId="22" builtinId="29"/>
    <cellStyle name="Bad" xfId="11" builtinId="27" customBuiltin="1"/>
    <cellStyle name="Calc - #" xfId="23" xr:uid="{F527EAFB-9F21-4BF1-AB18-B9A0BD4A7DCE}"/>
    <cellStyle name="Calc - %" xfId="24" xr:uid="{B73BDC4B-EC5F-495F-B8DD-9CC9AFA094CD}"/>
    <cellStyle name="Calc - Date" xfId="25" xr:uid="{7FC39344-F211-4BFD-800E-6EDBD190C715}"/>
    <cellStyle name="Calc - SubTotal" xfId="26" xr:uid="{B747823A-4DDD-4DE0-8CFC-14512AD7E0EC}"/>
    <cellStyle name="Calc - Total" xfId="27" xr:uid="{AAC59D60-FCEA-4BC1-8825-5BF7455A753C}"/>
    <cellStyle name="Calculation" xfId="15" builtinId="22" hidden="1"/>
    <cellStyle name="Check Cell" xfId="17" builtinId="23" hidden="1"/>
    <cellStyle name="Code" xfId="28" xr:uid="{CC17487D-1AEE-4EC7-95C2-6FF3200998CE}"/>
    <cellStyle name="Comma" xfId="1" builtinId="3" customBuiltin="1"/>
    <cellStyle name="Const - #" xfId="29" xr:uid="{16DDC202-7BE8-49F5-BB4C-EE2E04B76A7F}"/>
    <cellStyle name="Const - %" xfId="30" xr:uid="{01FF21C3-3B2C-4872-A64A-2DA3A9CC2CC7}"/>
    <cellStyle name="Const - Date" xfId="31" xr:uid="{DF3B3F73-88CF-4712-8230-73E32434CCD2}"/>
    <cellStyle name="Const - Text" xfId="32" xr:uid="{5ACFC0C8-67F1-4096-8A9A-F661A0E2B434}"/>
    <cellStyle name="Currency" xfId="2" builtinId="4" customBuiltin="1"/>
    <cellStyle name="Currency [0]" xfId="3" builtinId="7" customBuiltin="1"/>
    <cellStyle name="Explanatory Text" xfId="20" builtinId="53" customBuiltin="1"/>
    <cellStyle name="Footer" xfId="33" xr:uid="{1F9EB5B0-555B-40BD-876F-473041F25D9B}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Hyperlink" xfId="72" builtinId="8"/>
    <cellStyle name="Inline Check" xfId="34" xr:uid="{101F02E8-2838-41A7-8214-0374CC7B518D}"/>
    <cellStyle name="Input" xfId="13" builtinId="20" hidden="1"/>
    <cellStyle name="Input - #" xfId="35" xr:uid="{7B84B54C-D703-46E5-A833-103D69CE7DFA}"/>
    <cellStyle name="Input - %" xfId="36" xr:uid="{44A14ABD-7FFF-4BF3-AED0-80584C5E846D}"/>
    <cellStyle name="Input - Date" xfId="37" xr:uid="{3C2CCE4F-178E-41A3-8F73-93CBCAEA609E}"/>
    <cellStyle name="Input - Text" xfId="38" xr:uid="{CDF2651F-12F5-47E9-8BA0-4DABC80B02F2}"/>
    <cellStyle name="Linked Cell" xfId="16" builtinId="24" hidden="1"/>
    <cellStyle name="Macro Paste" xfId="39" xr:uid="{F1812E6D-12D4-49DB-B2D2-E551232C423E}"/>
    <cellStyle name="Message Bar" xfId="40" xr:uid="{A02976FC-7976-42D2-82C5-EA274F32FABA}"/>
    <cellStyle name="Model Author Input" xfId="41" xr:uid="{C583F0F1-45A6-4586-96E8-75EC31CF0666}"/>
    <cellStyle name="Model Error" xfId="42" xr:uid="{644AECB1-54C0-48FF-82A0-E08709610E24}"/>
    <cellStyle name="Model Input Error" xfId="43" xr:uid="{B3A7F809-DFBD-41F6-9CF0-B40624C75F27}"/>
    <cellStyle name="Model Warning" xfId="44" xr:uid="{A03939A6-C7BA-4E9A-B549-967583859A6A}"/>
    <cellStyle name="Named Range" xfId="45" xr:uid="{275844C8-9B52-409F-AE9B-84FF95DA1E68}"/>
    <cellStyle name="Neutral" xfId="12" builtinId="28" customBuiltin="1"/>
    <cellStyle name="Normal" xfId="0" builtinId="0" customBuiltin="1"/>
    <cellStyle name="Note" xfId="19" builtinId="10" hidden="1"/>
    <cellStyle name="Notes" xfId="46" xr:uid="{20FE8002-5D33-459F-98D1-E4338740A446}"/>
    <cellStyle name="Notes - Alt Text" xfId="47" xr:uid="{C09C7139-A902-4225-9E3F-63561174F775}"/>
    <cellStyle name="Output" xfId="14" builtinId="21" hidden="1"/>
    <cellStyle name="Output - #" xfId="48" xr:uid="{E631C746-0265-491F-8B40-ED707907FAAE}"/>
    <cellStyle name="Output - %" xfId="49" xr:uid="{D5D89274-E7F3-41FD-8BE0-9595E54AAFF2}"/>
    <cellStyle name="Output - Date" xfId="50" xr:uid="{64D62534-B1AA-4F78-A3DB-2CC792E6288A}"/>
    <cellStyle name="Output - SubTotal" xfId="51" xr:uid="{A4E183F7-93B2-4EB8-82EC-694F7AB1B5B7}"/>
    <cellStyle name="Output - Text" xfId="52" xr:uid="{D1B0CAC4-52BC-4A57-BB70-DDEA4F26E6DF}"/>
    <cellStyle name="Output - Total" xfId="53" xr:uid="{F98D9ABB-35B4-4033-B70D-CC0B41C2DBCA}"/>
    <cellStyle name="Per cent" xfId="4" builtinId="5" customBuiltin="1"/>
    <cellStyle name="Ref.In - #" xfId="54" xr:uid="{41310CFB-2DF5-4CA0-92AF-BE6CB4385395}"/>
    <cellStyle name="Ref.In - %" xfId="55" xr:uid="{958DF7C1-B4A8-46BF-924D-810B84053D05}"/>
    <cellStyle name="Ref.In - Date" xfId="56" xr:uid="{C87005B1-84FB-4B52-8185-D8D785D9052C}"/>
    <cellStyle name="Ref.In - SubTotal" xfId="57" xr:uid="{F89760D9-25EC-4993-885C-E98BCF99273B}"/>
    <cellStyle name="Ref.In - Text" xfId="58" xr:uid="{AC350664-1E77-4BCE-90C4-CFE384C1A2E5}"/>
    <cellStyle name="Ref.Out - #" xfId="59" xr:uid="{434685C1-1F86-4041-B1C9-885D53C5482F}"/>
    <cellStyle name="Ref.Out - %" xfId="60" xr:uid="{EE04B78B-3C5A-41C8-AED7-611620098EF0}"/>
    <cellStyle name="Ref.Out - Date" xfId="61" xr:uid="{06B45D01-090D-4C0C-8112-4B418F857554}"/>
    <cellStyle name="Ref.Out - SubTotal" xfId="62" xr:uid="{62F08507-ECFC-4F0F-9EAB-4B323DBE7583}"/>
    <cellStyle name="Ref.Out - Text" xfId="63" xr:uid="{021B4016-0690-4161-8F6E-35C55FC37C79}"/>
    <cellStyle name="SubTitle" xfId="64" xr:uid="{142B9831-CAD2-46E9-9016-267120C83808}"/>
    <cellStyle name="Time Line" xfId="65" xr:uid="{2EBAD60B-CF70-4D6C-A510-578356F6A31F}"/>
    <cellStyle name="Title" xfId="5" builtinId="15" customBuiltin="1"/>
    <cellStyle name="Total" xfId="21" builtinId="25" hidden="1"/>
    <cellStyle name="Units Label" xfId="66" xr:uid="{11E93F07-8FCD-453E-A771-47821A05E7F2}"/>
    <cellStyle name="Unused" xfId="67" xr:uid="{471A4086-F6A4-4469-A395-49FE623CA01A}"/>
    <cellStyle name="Variance - #" xfId="68" xr:uid="{8AB82A9F-321D-4E37-AD6E-F6BEBE18CCBC}"/>
    <cellStyle name="Variance - %" xfId="69" xr:uid="{00300491-D755-4C48-BD67-2DD65D84CA95}"/>
    <cellStyle name="Variance - SubTotal" xfId="70" xr:uid="{67CB1D2E-ED93-49F0-8940-8BB9FA2CBF62}"/>
    <cellStyle name="Variance - Total" xfId="71" xr:uid="{90E21E44-5177-4D55-8CF1-3C1B8979A605}"/>
    <cellStyle name="Warning Text" xfId="18" builtinId="11" customBuiltin="1"/>
  </cellStyles>
  <dxfs count="4">
    <dxf>
      <font>
        <b/>
        <i val="0"/>
        <color rgb="FF3F9C35"/>
      </font>
    </dxf>
    <dxf>
      <font>
        <color rgb="FFC00000"/>
      </font>
    </dxf>
    <dxf>
      <font>
        <b/>
        <i val="0"/>
        <color rgb="FF3F9C35"/>
      </font>
    </dxf>
    <dxf>
      <font>
        <color rgb="FFC00000"/>
      </font>
    </dxf>
  </dxfs>
  <tableStyles count="0" defaultTableStyle="TableStyleMedium2" defaultPivotStyle="PivotStyleLight16"/>
  <colors>
    <mruColors>
      <color rgb="FF0000FF"/>
      <color rgb="FF0065A8"/>
      <color rgb="FF3F9C35"/>
      <color rgb="FFB4B4B4"/>
      <color rgb="FF1E4FA8"/>
      <color rgb="FFFC6017"/>
      <color rgb="FFB75E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40005</xdr:rowOff>
    </xdr:from>
    <xdr:to>
      <xdr:col>2</xdr:col>
      <xdr:colOff>45720</xdr:colOff>
      <xdr:row>0</xdr:row>
      <xdr:rowOff>357447</xdr:rowOff>
    </xdr:to>
    <xdr:pic>
      <xdr:nvPicPr>
        <xdr:cNvPr id="2" name="Logo_Small" descr="A black and white logo&#10;&#10;AI-generated content may be incorrect.">
          <a:extLst>
            <a:ext uri="{FF2B5EF4-FFF2-40B4-BE49-F238E27FC236}">
              <a16:creationId xmlns:a16="http://schemas.microsoft.com/office/drawing/2014/main" id="{D7B8D236-8F0F-4A21-AAB5-1437009F3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40005"/>
          <a:ext cx="609600" cy="3174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40005</xdr:rowOff>
    </xdr:from>
    <xdr:to>
      <xdr:col>2</xdr:col>
      <xdr:colOff>45720</xdr:colOff>
      <xdr:row>0</xdr:row>
      <xdr:rowOff>357447</xdr:rowOff>
    </xdr:to>
    <xdr:pic>
      <xdr:nvPicPr>
        <xdr:cNvPr id="2" name="Logo_Small" descr="A black and white logo&#10;&#10;AI-generated content may be incorrect.">
          <a:extLst>
            <a:ext uri="{FF2B5EF4-FFF2-40B4-BE49-F238E27FC236}">
              <a16:creationId xmlns:a16="http://schemas.microsoft.com/office/drawing/2014/main" id="{EF595F1A-1B28-4FE6-A15A-EB28991B1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40005"/>
          <a:ext cx="609600" cy="3174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40005</xdr:rowOff>
    </xdr:from>
    <xdr:to>
      <xdr:col>2</xdr:col>
      <xdr:colOff>45720</xdr:colOff>
      <xdr:row>0</xdr:row>
      <xdr:rowOff>357447</xdr:rowOff>
    </xdr:to>
    <xdr:pic>
      <xdr:nvPicPr>
        <xdr:cNvPr id="2" name="Logo_Small" descr="A black and white logo&#10;&#10;AI-generated content may be incorrect.">
          <a:extLst>
            <a:ext uri="{FF2B5EF4-FFF2-40B4-BE49-F238E27FC236}">
              <a16:creationId xmlns:a16="http://schemas.microsoft.com/office/drawing/2014/main" id="{80EF98B5-2B2B-422C-AE28-0A1B13703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40005"/>
          <a:ext cx="609600" cy="3174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38100</xdr:rowOff>
    </xdr:from>
    <xdr:to>
      <xdr:col>10</xdr:col>
      <xdr:colOff>549110</xdr:colOff>
      <xdr:row>15</xdr:row>
      <xdr:rowOff>50414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140C54-A85C-7D95-D0B0-1B98BB972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360" y="1501140"/>
          <a:ext cx="5425910" cy="14143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53340</xdr:rowOff>
    </xdr:from>
    <xdr:to>
      <xdr:col>8</xdr:col>
      <xdr:colOff>533985</xdr:colOff>
      <xdr:row>36</xdr:row>
      <xdr:rowOff>30942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58163A-CFD3-03F4-12AF-02216EE53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360" y="3268980"/>
          <a:ext cx="4191585" cy="33075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60960</xdr:rowOff>
    </xdr:from>
    <xdr:to>
      <xdr:col>17</xdr:col>
      <xdr:colOff>428056</xdr:colOff>
      <xdr:row>62</xdr:row>
      <xdr:rowOff>46256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08F242-20DB-06F6-0E18-925CB323A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4360" y="7307580"/>
          <a:ext cx="9572056" cy="384101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45720</xdr:rowOff>
    </xdr:from>
    <xdr:to>
      <xdr:col>8</xdr:col>
      <xdr:colOff>388971</xdr:colOff>
      <xdr:row>68</xdr:row>
      <xdr:rowOff>68643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7D7F40-5765-FBEA-CC70-EE1E861E3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4360" y="11498580"/>
          <a:ext cx="4046571" cy="7239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40005</xdr:rowOff>
    </xdr:from>
    <xdr:to>
      <xdr:col>2</xdr:col>
      <xdr:colOff>45720</xdr:colOff>
      <xdr:row>0</xdr:row>
      <xdr:rowOff>357447</xdr:rowOff>
    </xdr:to>
    <xdr:pic>
      <xdr:nvPicPr>
        <xdr:cNvPr id="2" name="Logo_Small" descr="A black and white logo&#10;&#10;AI-generated content may be incorrect.">
          <a:extLst>
            <a:ext uri="{FF2B5EF4-FFF2-40B4-BE49-F238E27FC236}">
              <a16:creationId xmlns:a16="http://schemas.microsoft.com/office/drawing/2014/main" id="{D9D81A61-76F2-4DB1-8E70-310D7B4E7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40005"/>
          <a:ext cx="609600" cy="317442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RXL Custom Theme">
  <a:themeElements>
    <a:clrScheme name="RXL Custom Theme">
      <a:dk1>
        <a:srgbClr val="002138"/>
      </a:dk1>
      <a:lt1>
        <a:sysClr val="window" lastClr="FFFFFF"/>
      </a:lt1>
      <a:dk2>
        <a:srgbClr val="002138"/>
      </a:dk2>
      <a:lt2>
        <a:srgbClr val="F8F8F8"/>
      </a:lt2>
      <a:accent1>
        <a:srgbClr val="198B83"/>
      </a:accent1>
      <a:accent2>
        <a:srgbClr val="56BAB8"/>
      </a:accent2>
      <a:accent3>
        <a:srgbClr val="FC6017"/>
      </a:accent3>
      <a:accent4>
        <a:srgbClr val="F88D24"/>
      </a:accent4>
      <a:accent5>
        <a:srgbClr val="E6D3B8"/>
      </a:accent5>
      <a:accent6>
        <a:srgbClr val="B75EE1"/>
      </a:accent6>
      <a:hlink>
        <a:srgbClr val="467886"/>
      </a:hlink>
      <a:folHlink>
        <a:srgbClr val="96607D"/>
      </a:folHlink>
    </a:clrScheme>
    <a:fontScheme name="RXL Custom Them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3"/>
        </a:solidFill>
        <a:ln w="28575">
          <a:solidFill>
            <a:schemeClr val="accent3">
              <a:lumMod val="7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a:spPr>
      <a:bodyPr vertOverflow="clip" horzOverflow="clip" rtlCol="0" anchor="ctr"/>
      <a:lstStyle>
        <a:defPPr algn="ctr">
          <a:defRPr sz="1200" kern="1200">
            <a:solidFill>
              <a:schemeClr val="bg1"/>
            </a:solidFill>
            <a:latin typeface="+mj-lt"/>
            <a:cs typeface="Arial" panose="020B0604020202020204" pitchFamily="34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2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36887-46F9-465C-B704-C46299D12C85}">
  <we:reference id="wa200003696" version="1.3.0.0" store="en-GB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4B0F4647-0577-40E7-865D-28E0BE3676F9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gist.github.com/r-silk/23480f2929317b45544b4953e1ddb7a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52DF-5E7E-48A8-8173-924613C01CE9}">
  <sheetPr codeName="Sheet1"/>
  <dimension ref="B1:T375"/>
  <sheetViews>
    <sheetView showGridLines="0" tabSelected="1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  <col min="3" max="3" width="9.109375" customWidth="1"/>
  </cols>
  <sheetData>
    <row r="1" spans="2:16" s="1" customFormat="1" ht="30" customHeight="1" x14ac:dyDescent="0.3">
      <c r="C1" s="2" t="s">
        <v>0</v>
      </c>
    </row>
    <row r="3" spans="2:16" x14ac:dyDescent="0.3">
      <c r="B3" s="4" t="s">
        <v>1</v>
      </c>
    </row>
    <row r="4" spans="2:16" x14ac:dyDescent="0.3">
      <c r="C4" t="s">
        <v>15</v>
      </c>
    </row>
    <row r="5" spans="2:16" x14ac:dyDescent="0.3">
      <c r="C5" t="s">
        <v>16</v>
      </c>
    </row>
    <row r="6" spans="2:16" x14ac:dyDescent="0.3">
      <c r="C6" t="s">
        <v>17</v>
      </c>
    </row>
    <row r="7" spans="2:16" x14ac:dyDescent="0.3">
      <c r="C7" t="s">
        <v>104</v>
      </c>
    </row>
    <row r="10" spans="2:16" x14ac:dyDescent="0.3">
      <c r="B10" s="4" t="s">
        <v>2</v>
      </c>
    </row>
    <row r="12" spans="2:16" ht="14.4" thickBot="1" x14ac:dyDescent="0.35">
      <c r="C12" s="16" t="s">
        <v>18</v>
      </c>
      <c r="N12" s="18" t="s">
        <v>40</v>
      </c>
      <c r="O12" s="18"/>
      <c r="P12" s="18"/>
    </row>
    <row r="13" spans="2:16" x14ac:dyDescent="0.3">
      <c r="C13" s="19">
        <v>100</v>
      </c>
      <c r="D13" s="20">
        <v>200</v>
      </c>
      <c r="E13" s="20">
        <v>300</v>
      </c>
      <c r="F13" s="20">
        <v>400</v>
      </c>
      <c r="G13" s="20">
        <v>500</v>
      </c>
      <c r="H13" s="20">
        <v>600</v>
      </c>
      <c r="I13" s="20">
        <v>700</v>
      </c>
      <c r="J13" s="20">
        <v>800</v>
      </c>
      <c r="K13" s="20">
        <v>900</v>
      </c>
      <c r="L13" s="20">
        <v>1000</v>
      </c>
      <c r="N13" s="19">
        <v>1</v>
      </c>
      <c r="O13" s="21" t="s">
        <v>19</v>
      </c>
      <c r="P13" s="21" t="s">
        <v>30</v>
      </c>
    </row>
    <row r="14" spans="2:16" x14ac:dyDescent="0.3">
      <c r="C14" s="20">
        <v>200</v>
      </c>
      <c r="N14" s="20">
        <v>2</v>
      </c>
      <c r="O14" s="21" t="s">
        <v>20</v>
      </c>
      <c r="P14" s="21" t="s">
        <v>31</v>
      </c>
    </row>
    <row r="15" spans="2:16" x14ac:dyDescent="0.3">
      <c r="C15" s="20">
        <v>300</v>
      </c>
      <c r="N15" s="20">
        <v>3</v>
      </c>
      <c r="O15" s="21" t="s">
        <v>21</v>
      </c>
      <c r="P15" s="21" t="s">
        <v>32</v>
      </c>
    </row>
    <row r="16" spans="2:16" x14ac:dyDescent="0.3">
      <c r="C16" s="20">
        <v>400</v>
      </c>
      <c r="N16" s="20">
        <v>4</v>
      </c>
      <c r="O16" s="21" t="s">
        <v>22</v>
      </c>
      <c r="P16" s="21" t="s">
        <v>33</v>
      </c>
    </row>
    <row r="17" spans="3:18" x14ac:dyDescent="0.3">
      <c r="C17" s="20">
        <v>500</v>
      </c>
      <c r="N17" s="20">
        <v>5</v>
      </c>
      <c r="O17" s="21" t="s">
        <v>23</v>
      </c>
      <c r="P17" s="21" t="s">
        <v>34</v>
      </c>
    </row>
    <row r="18" spans="3:18" x14ac:dyDescent="0.3">
      <c r="C18" s="20">
        <v>600</v>
      </c>
      <c r="N18" s="20">
        <v>6</v>
      </c>
      <c r="O18" s="21" t="s">
        <v>25</v>
      </c>
      <c r="P18" s="21" t="s">
        <v>35</v>
      </c>
    </row>
    <row r="19" spans="3:18" x14ac:dyDescent="0.3">
      <c r="C19" s="20">
        <v>700</v>
      </c>
      <c r="N19" s="20">
        <v>7</v>
      </c>
      <c r="O19" s="21" t="s">
        <v>26</v>
      </c>
      <c r="P19" s="21" t="s">
        <v>36</v>
      </c>
    </row>
    <row r="20" spans="3:18" x14ac:dyDescent="0.3">
      <c r="C20" s="20">
        <v>800</v>
      </c>
      <c r="N20" s="20">
        <v>8</v>
      </c>
      <c r="O20" s="21" t="s">
        <v>27</v>
      </c>
      <c r="P20" s="21" t="s">
        <v>37</v>
      </c>
    </row>
    <row r="21" spans="3:18" x14ac:dyDescent="0.3">
      <c r="C21" s="20">
        <v>900</v>
      </c>
      <c r="N21" s="20">
        <v>9</v>
      </c>
      <c r="O21" s="21" t="s">
        <v>28</v>
      </c>
      <c r="P21" s="21" t="s">
        <v>38</v>
      </c>
    </row>
    <row r="22" spans="3:18" x14ac:dyDescent="0.3">
      <c r="C22" s="20">
        <v>1000</v>
      </c>
      <c r="N22" s="20">
        <v>10</v>
      </c>
      <c r="O22" s="21" t="s">
        <v>29</v>
      </c>
      <c r="P22" s="21" t="s">
        <v>39</v>
      </c>
    </row>
    <row r="24" spans="3:18" ht="14.4" thickBot="1" x14ac:dyDescent="0.35">
      <c r="C24" s="23" t="s">
        <v>24</v>
      </c>
      <c r="D24" s="17"/>
      <c r="E24" s="17"/>
      <c r="F24" s="17"/>
      <c r="G24" s="17"/>
      <c r="I24" s="23" t="s">
        <v>41</v>
      </c>
      <c r="J24" s="22"/>
      <c r="K24" s="22"/>
      <c r="L24" s="22"/>
      <c r="M24" s="22"/>
      <c r="N24" s="22"/>
      <c r="O24" s="22"/>
      <c r="P24" s="22"/>
      <c r="Q24" s="22"/>
      <c r="R24" s="22"/>
    </row>
    <row r="25" spans="3:18" x14ac:dyDescent="0.3">
      <c r="C25" s="20">
        <v>1</v>
      </c>
      <c r="D25" s="20">
        <v>2</v>
      </c>
      <c r="E25" s="20">
        <v>3</v>
      </c>
      <c r="F25" s="20">
        <v>4</v>
      </c>
      <c r="G25" s="20">
        <v>5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</row>
    <row r="26" spans="3:18" x14ac:dyDescent="0.3">
      <c r="C26" s="20">
        <v>6</v>
      </c>
      <c r="D26" s="20">
        <v>7</v>
      </c>
      <c r="E26" s="20">
        <v>8</v>
      </c>
      <c r="F26" s="20">
        <v>9</v>
      </c>
      <c r="G26" s="20">
        <v>10</v>
      </c>
      <c r="I26" s="20" t="s">
        <v>19</v>
      </c>
      <c r="J26" s="20" t="s">
        <v>20</v>
      </c>
      <c r="K26" s="20" t="s">
        <v>21</v>
      </c>
      <c r="L26" s="20" t="s">
        <v>22</v>
      </c>
      <c r="M26" s="20" t="s">
        <v>23</v>
      </c>
      <c r="N26" s="20" t="s">
        <v>25</v>
      </c>
      <c r="O26" s="20" t="s">
        <v>26</v>
      </c>
      <c r="P26" s="20" t="s">
        <v>27</v>
      </c>
      <c r="Q26" s="20" t="s">
        <v>28</v>
      </c>
      <c r="R26" s="20" t="s">
        <v>29</v>
      </c>
    </row>
    <row r="27" spans="3:18" x14ac:dyDescent="0.3">
      <c r="C27" s="20">
        <v>11</v>
      </c>
      <c r="D27" s="20">
        <v>12</v>
      </c>
      <c r="E27" s="20">
        <v>13</v>
      </c>
      <c r="F27" s="20">
        <v>14</v>
      </c>
      <c r="G27" s="20">
        <v>15</v>
      </c>
      <c r="I27" s="20" t="s">
        <v>30</v>
      </c>
      <c r="J27" s="20" t="s">
        <v>31</v>
      </c>
      <c r="K27" s="20" t="s">
        <v>32</v>
      </c>
      <c r="L27" s="20" t="s">
        <v>33</v>
      </c>
      <c r="M27" s="20" t="s">
        <v>34</v>
      </c>
      <c r="N27" s="20" t="s">
        <v>35</v>
      </c>
      <c r="O27" s="20" t="s">
        <v>36</v>
      </c>
      <c r="P27" s="20" t="s">
        <v>37</v>
      </c>
      <c r="Q27" s="20" t="s">
        <v>38</v>
      </c>
      <c r="R27" s="20" t="s">
        <v>39</v>
      </c>
    </row>
    <row r="28" spans="3:18" x14ac:dyDescent="0.3">
      <c r="C28" s="20">
        <v>16</v>
      </c>
      <c r="D28" s="20">
        <v>17</v>
      </c>
      <c r="E28" s="20">
        <v>18</v>
      </c>
      <c r="F28" s="20">
        <v>19</v>
      </c>
      <c r="G28" s="20">
        <v>20</v>
      </c>
    </row>
    <row r="29" spans="3:18" x14ac:dyDescent="0.3">
      <c r="C29" s="20">
        <v>21</v>
      </c>
      <c r="D29" s="20">
        <v>22</v>
      </c>
      <c r="E29" s="20">
        <v>23</v>
      </c>
      <c r="F29" s="20">
        <v>24</v>
      </c>
      <c r="G29" s="20">
        <v>25</v>
      </c>
    </row>
    <row r="30" spans="3:18" x14ac:dyDescent="0.3">
      <c r="C30" s="20">
        <v>26</v>
      </c>
      <c r="D30" s="20">
        <v>27</v>
      </c>
      <c r="E30" s="20">
        <v>28</v>
      </c>
      <c r="F30" s="20">
        <v>29</v>
      </c>
      <c r="G30" s="20">
        <v>30</v>
      </c>
    </row>
    <row r="31" spans="3:18" x14ac:dyDescent="0.3">
      <c r="C31" s="20">
        <v>31</v>
      </c>
      <c r="D31" s="20">
        <v>32</v>
      </c>
      <c r="E31" s="20">
        <v>33</v>
      </c>
      <c r="F31" s="20">
        <v>34</v>
      </c>
      <c r="G31" s="20">
        <v>35</v>
      </c>
    </row>
    <row r="32" spans="3:18" x14ac:dyDescent="0.3">
      <c r="C32" s="20">
        <v>36</v>
      </c>
      <c r="D32" s="20">
        <v>37</v>
      </c>
      <c r="E32" s="20">
        <v>38</v>
      </c>
      <c r="F32" s="20">
        <v>39</v>
      </c>
      <c r="G32" s="20">
        <v>40</v>
      </c>
    </row>
    <row r="33" spans="2:20" x14ac:dyDescent="0.3">
      <c r="C33" s="20">
        <v>41</v>
      </c>
      <c r="D33" s="20">
        <v>42</v>
      </c>
      <c r="E33" s="20">
        <v>43</v>
      </c>
      <c r="F33" s="20">
        <v>44</v>
      </c>
      <c r="G33" s="20">
        <v>45</v>
      </c>
    </row>
    <row r="34" spans="2:20" x14ac:dyDescent="0.3">
      <c r="C34" s="20">
        <v>46</v>
      </c>
      <c r="D34" s="20">
        <v>47</v>
      </c>
      <c r="E34" s="20">
        <v>48</v>
      </c>
      <c r="F34" s="20">
        <v>49</v>
      </c>
      <c r="G34" s="20">
        <v>50</v>
      </c>
    </row>
    <row r="38" spans="2:20" s="5" customFormat="1" ht="16.2" thickBot="1" x14ac:dyDescent="0.35">
      <c r="B38" s="6">
        <f xml:space="preserve"> MAX(B$1:B37) + 1</f>
        <v>1</v>
      </c>
      <c r="C38" s="5" t="s">
        <v>3</v>
      </c>
    </row>
    <row r="40" spans="2:20" x14ac:dyDescent="0.3">
      <c r="B40" s="8" t="s">
        <v>150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2" spans="2:20" x14ac:dyDescent="0.3">
      <c r="C42" s="9" t="s">
        <v>4</v>
      </c>
    </row>
    <row r="43" spans="2:20" x14ac:dyDescent="0.3">
      <c r="C43" t="s">
        <v>91</v>
      </c>
    </row>
    <row r="44" spans="2:20" x14ac:dyDescent="0.3">
      <c r="C44" s="32" t="s">
        <v>94</v>
      </c>
    </row>
    <row r="45" spans="2:20" x14ac:dyDescent="0.3">
      <c r="C45" s="32" t="s">
        <v>95</v>
      </c>
    </row>
    <row r="46" spans="2:20" x14ac:dyDescent="0.3">
      <c r="C46" t="s">
        <v>92</v>
      </c>
    </row>
    <row r="47" spans="2:20" x14ac:dyDescent="0.3">
      <c r="C47" s="32" t="s">
        <v>96</v>
      </c>
    </row>
    <row r="48" spans="2:20" x14ac:dyDescent="0.3">
      <c r="C48" s="32" t="s">
        <v>97</v>
      </c>
    </row>
    <row r="49" spans="2:8" x14ac:dyDescent="0.3">
      <c r="C49" s="32" t="s">
        <v>98</v>
      </c>
    </row>
    <row r="50" spans="2:8" x14ac:dyDescent="0.3">
      <c r="C50" t="s">
        <v>93</v>
      </c>
    </row>
    <row r="51" spans="2:8" x14ac:dyDescent="0.3">
      <c r="C51" s="32" t="s">
        <v>99</v>
      </c>
    </row>
    <row r="52" spans="2:8" x14ac:dyDescent="0.3">
      <c r="C52" s="33" t="s">
        <v>100</v>
      </c>
    </row>
    <row r="53" spans="2:8" x14ac:dyDescent="0.3">
      <c r="C53" s="32" t="s">
        <v>101</v>
      </c>
    </row>
    <row r="56" spans="2:8" x14ac:dyDescent="0.3">
      <c r="B56" s="10" t="str" cm="1">
        <f t="array" ref="B56" xml:space="preserve"> "(" &amp; _xlfn.UNICHAR( 65 + SUMPRODUCT(--(_xlfn.REGEXTEST(B$1:B55, "^\([A-Z]\)$")))) &amp; ")"</f>
        <v>(A)</v>
      </c>
      <c r="C56" s="3" t="s">
        <v>105</v>
      </c>
    </row>
    <row r="57" spans="2:8" x14ac:dyDescent="0.3">
      <c r="C57" s="3" t="s">
        <v>42</v>
      </c>
    </row>
    <row r="58" spans="2:8" x14ac:dyDescent="0.3">
      <c r="G58" s="42" t="s">
        <v>108</v>
      </c>
    </row>
    <row r="59" spans="2:8" ht="14.4" thickBot="1" x14ac:dyDescent="0.35">
      <c r="C59" s="16" t="s">
        <v>102</v>
      </c>
      <c r="D59" s="16" t="s">
        <v>103</v>
      </c>
      <c r="E59" s="16" t="s">
        <v>109</v>
      </c>
      <c r="G59" s="16" t="s">
        <v>107</v>
      </c>
    </row>
    <row r="60" spans="2:8" x14ac:dyDescent="0.3">
      <c r="C60" s="35" cm="1">
        <f t="array" ref="C60:C69" xml:space="preserve"> $C$13:$C$22</f>
        <v>100</v>
      </c>
      <c r="D60" s="36" cm="1">
        <f t="array" ref="D60:D69" xml:space="preserve"> _xlfn.SEQUENCE( ROWS(_xlfn.ANCHORARRAY(C60)))</f>
        <v>1</v>
      </c>
      <c r="E60" s="37" cm="1">
        <f t="array" ref="E60:E63" xml:space="preserve"> {2;4;6;8}</f>
        <v>2</v>
      </c>
      <c r="G60" s="34" t="e" cm="1">
        <f t="array" ref="G60" xml:space="preserve"> _xlfn._xlws.FILTER(_xlfn.ANCHORARRAY(C60),_xlfn.ANCHORARRAY( D60) =_xlfn.ANCHORARRAY( E60))</f>
        <v>#N/A</v>
      </c>
      <c r="H60" s="39" t="e">
        <f ca="1" xml:space="preserve"> _xlfn.FORMULATEXT(G60)</f>
        <v>#NUM!</v>
      </c>
    </row>
    <row r="61" spans="2:8" x14ac:dyDescent="0.3">
      <c r="C61" s="35">
        <v>200</v>
      </c>
      <c r="D61" s="36">
        <v>2</v>
      </c>
      <c r="E61" s="37">
        <v>4</v>
      </c>
      <c r="G61" s="34"/>
      <c r="H61" s="68" t="s">
        <v>110</v>
      </c>
    </row>
    <row r="62" spans="2:8" x14ac:dyDescent="0.3">
      <c r="C62" s="35">
        <v>300</v>
      </c>
      <c r="D62" s="36">
        <v>3</v>
      </c>
      <c r="E62" s="37">
        <v>6</v>
      </c>
      <c r="G62" s="34"/>
      <c r="H62" s="40" t="s">
        <v>111</v>
      </c>
    </row>
    <row r="63" spans="2:8" x14ac:dyDescent="0.3">
      <c r="C63" s="35">
        <v>400</v>
      </c>
      <c r="D63" s="36">
        <v>4</v>
      </c>
      <c r="E63" s="37">
        <v>8</v>
      </c>
      <c r="G63" s="34"/>
      <c r="H63" s="69" t="s">
        <v>112</v>
      </c>
    </row>
    <row r="64" spans="2:8" x14ac:dyDescent="0.3">
      <c r="C64" s="35">
        <v>500</v>
      </c>
      <c r="D64" s="36">
        <v>5</v>
      </c>
      <c r="E64" s="38"/>
      <c r="G64" s="34"/>
      <c r="H64" s="69" t="s">
        <v>113</v>
      </c>
    </row>
    <row r="65" spans="3:8" x14ac:dyDescent="0.3">
      <c r="C65" s="35">
        <v>600</v>
      </c>
      <c r="D65" s="36">
        <v>6</v>
      </c>
      <c r="E65" s="38"/>
      <c r="G65" s="34"/>
      <c r="H65" s="40" t="s">
        <v>115</v>
      </c>
    </row>
    <row r="66" spans="3:8" x14ac:dyDescent="0.3">
      <c r="C66" s="35">
        <v>700</v>
      </c>
      <c r="D66" s="36">
        <v>7</v>
      </c>
      <c r="E66" s="38"/>
      <c r="G66" s="34"/>
      <c r="H66" s="40" t="s">
        <v>114</v>
      </c>
    </row>
    <row r="67" spans="3:8" x14ac:dyDescent="0.3">
      <c r="C67" s="35">
        <v>800</v>
      </c>
      <c r="D67" s="36">
        <v>8</v>
      </c>
      <c r="E67" s="38"/>
      <c r="G67" s="34"/>
    </row>
    <row r="68" spans="3:8" x14ac:dyDescent="0.3">
      <c r="C68" s="35">
        <v>900</v>
      </c>
      <c r="D68" s="36">
        <v>9</v>
      </c>
      <c r="E68" s="38"/>
      <c r="G68" s="34"/>
    </row>
    <row r="69" spans="3:8" x14ac:dyDescent="0.3">
      <c r="C69" s="35">
        <v>1000</v>
      </c>
      <c r="D69" s="36">
        <v>10</v>
      </c>
      <c r="E69" s="38"/>
      <c r="G69" s="34"/>
    </row>
    <row r="71" spans="3:8" x14ac:dyDescent="0.3">
      <c r="G71" s="42" t="s">
        <v>117</v>
      </c>
    </row>
    <row r="72" spans="3:8" ht="14.4" thickBot="1" x14ac:dyDescent="0.35">
      <c r="C72" s="16" t="s">
        <v>102</v>
      </c>
      <c r="D72" s="16" t="s">
        <v>103</v>
      </c>
      <c r="E72" s="16" t="s">
        <v>109</v>
      </c>
      <c r="G72" s="16" t="s">
        <v>116</v>
      </c>
    </row>
    <row r="73" spans="3:8" x14ac:dyDescent="0.3">
      <c r="C73" s="35" cm="1">
        <f t="array" ref="C73:C82" xml:space="preserve"> $C$13:$C$22</f>
        <v>100</v>
      </c>
      <c r="D73" s="36" cm="1">
        <f t="array" ref="D73:D82" xml:space="preserve"> _xlfn.SEQUENCE( ROWS(_xlfn.ANCHORARRAY(C73)))</f>
        <v>1</v>
      </c>
      <c r="E73" s="37" cm="1">
        <f t="array" ref="E73:E76" xml:space="preserve"> {2;4;6;8}</f>
        <v>2</v>
      </c>
      <c r="G73" s="34" t="e" cm="1">
        <f t="array" ref="G73" xml:space="preserve"> _xlfn._xlws.FILTER(_xlfn.ANCHORARRAY(C73), ISNUMBER(_xlfn.XMATCH(_xlfn.ANCHORARRAY(E73),_xlfn.ANCHORARRAY( D73))))</f>
        <v>#VALUE!</v>
      </c>
      <c r="H73" s="39" t="e">
        <f ca="1" xml:space="preserve"> _xlfn.FORMULATEXT(G73)</f>
        <v>#NUM!</v>
      </c>
    </row>
    <row r="74" spans="3:8" x14ac:dyDescent="0.3">
      <c r="C74" s="35">
        <v>200</v>
      </c>
      <c r="D74" s="36">
        <v>2</v>
      </c>
      <c r="E74" s="37">
        <v>4</v>
      </c>
      <c r="G74" s="34"/>
      <c r="H74" s="68" t="s">
        <v>110</v>
      </c>
    </row>
    <row r="75" spans="3:8" x14ac:dyDescent="0.3">
      <c r="C75" s="35">
        <v>300</v>
      </c>
      <c r="D75" s="36">
        <v>3</v>
      </c>
      <c r="E75" s="37">
        <v>6</v>
      </c>
      <c r="G75" s="34"/>
      <c r="H75" s="40" t="s">
        <v>118</v>
      </c>
    </row>
    <row r="76" spans="3:8" x14ac:dyDescent="0.3">
      <c r="C76" s="35">
        <v>400</v>
      </c>
      <c r="D76" s="36">
        <v>4</v>
      </c>
      <c r="E76" s="37">
        <v>8</v>
      </c>
      <c r="G76" s="34"/>
      <c r="H76" s="40" t="s">
        <v>119</v>
      </c>
    </row>
    <row r="77" spans="3:8" x14ac:dyDescent="0.3">
      <c r="C77" s="35">
        <v>500</v>
      </c>
      <c r="D77" s="36">
        <v>5</v>
      </c>
      <c r="E77" s="38"/>
      <c r="G77" s="34"/>
      <c r="H77" s="40" t="s">
        <v>120</v>
      </c>
    </row>
    <row r="78" spans="3:8" x14ac:dyDescent="0.3">
      <c r="C78" s="35">
        <v>600</v>
      </c>
      <c r="D78" s="36">
        <v>6</v>
      </c>
      <c r="E78" s="38"/>
      <c r="G78" s="34"/>
      <c r="H78" s="40" t="s">
        <v>121</v>
      </c>
    </row>
    <row r="79" spans="3:8" x14ac:dyDescent="0.3">
      <c r="C79" s="35">
        <v>700</v>
      </c>
      <c r="D79" s="36">
        <v>7</v>
      </c>
      <c r="E79" s="38"/>
      <c r="G79" s="34"/>
    </row>
    <row r="80" spans="3:8" x14ac:dyDescent="0.3">
      <c r="C80" s="35">
        <v>800</v>
      </c>
      <c r="D80" s="36">
        <v>8</v>
      </c>
      <c r="E80" s="38"/>
      <c r="G80" s="34"/>
      <c r="H80" s="41" t="s">
        <v>122</v>
      </c>
    </row>
    <row r="81" spans="3:8" x14ac:dyDescent="0.3">
      <c r="C81" s="35">
        <v>900</v>
      </c>
      <c r="D81" s="36">
        <v>9</v>
      </c>
      <c r="E81" s="38"/>
      <c r="G81" s="34"/>
      <c r="H81" s="41" t="s">
        <v>123</v>
      </c>
    </row>
    <row r="82" spans="3:8" x14ac:dyDescent="0.3">
      <c r="C82" s="35">
        <v>1000</v>
      </c>
      <c r="D82" s="36">
        <v>10</v>
      </c>
      <c r="E82" s="38"/>
      <c r="G82" s="34"/>
    </row>
    <row r="84" spans="3:8" x14ac:dyDescent="0.3">
      <c r="G84" s="42" t="s">
        <v>126</v>
      </c>
    </row>
    <row r="85" spans="3:8" ht="14.4" thickBot="1" x14ac:dyDescent="0.35">
      <c r="C85" s="16" t="s">
        <v>102</v>
      </c>
      <c r="D85" s="16" t="s">
        <v>103</v>
      </c>
      <c r="E85" s="16" t="s">
        <v>109</v>
      </c>
      <c r="F85" s="16" t="s">
        <v>124</v>
      </c>
      <c r="G85" s="16" t="s">
        <v>125</v>
      </c>
    </row>
    <row r="86" spans="3:8" x14ac:dyDescent="0.3">
      <c r="C86" s="35" cm="1">
        <f t="array" ref="C86:C95" xml:space="preserve"> $C$13:$C$22</f>
        <v>100</v>
      </c>
      <c r="D86" s="36" cm="1">
        <f t="array" ref="D86:D95" xml:space="preserve"> _xlfn.SEQUENCE( ROWS(_xlfn.ANCHORARRAY(C86)))</f>
        <v>1</v>
      </c>
      <c r="E86" s="37" cm="1">
        <f t="array" ref="E86:E89" xml:space="preserve"> {2;4;6;8}</f>
        <v>2</v>
      </c>
      <c r="F86" s="34" t="b" cm="1">
        <f t="array" ref="F86:F95" xml:space="preserve"> ISNUMBER(_xlfn.XMATCH(_xlfn.ANCHORARRAY(D86),_xlfn.ANCHORARRAY( E86)))</f>
        <v>0</v>
      </c>
      <c r="G86" s="34" cm="1">
        <f t="array" ref="G86:G89" xml:space="preserve"> _xlfn._xlws.FILTER(_xlfn.ANCHORARRAY(C86), ISNUMBER(_xlfn.XMATCH(_xlfn.ANCHORARRAY(D86),_xlfn.ANCHORARRAY( E86))))</f>
        <v>200</v>
      </c>
      <c r="H86" s="39" t="e">
        <f ca="1" xml:space="preserve"> _xlfn.FORMULATEXT(G86)</f>
        <v>#NUM!</v>
      </c>
    </row>
    <row r="87" spans="3:8" x14ac:dyDescent="0.3">
      <c r="C87" s="35">
        <v>200</v>
      </c>
      <c r="D87" s="36">
        <v>2</v>
      </c>
      <c r="E87" s="37">
        <v>4</v>
      </c>
      <c r="F87" s="34" t="b">
        <v>1</v>
      </c>
      <c r="G87" s="34">
        <v>400</v>
      </c>
    </row>
    <row r="88" spans="3:8" x14ac:dyDescent="0.3">
      <c r="C88" s="35">
        <v>300</v>
      </c>
      <c r="D88" s="36">
        <v>3</v>
      </c>
      <c r="E88" s="37">
        <v>6</v>
      </c>
      <c r="F88" s="34" t="b">
        <v>0</v>
      </c>
      <c r="G88" s="34">
        <v>600</v>
      </c>
      <c r="H88" s="68" t="s">
        <v>110</v>
      </c>
    </row>
    <row r="89" spans="3:8" x14ac:dyDescent="0.3">
      <c r="C89" s="35">
        <v>400</v>
      </c>
      <c r="D89" s="36">
        <v>4</v>
      </c>
      <c r="E89" s="37">
        <v>8</v>
      </c>
      <c r="F89" s="34" t="b">
        <v>1</v>
      </c>
      <c r="G89" s="34">
        <v>800</v>
      </c>
      <c r="H89" s="40" t="s">
        <v>144</v>
      </c>
    </row>
    <row r="90" spans="3:8" x14ac:dyDescent="0.3">
      <c r="C90" s="35">
        <v>500</v>
      </c>
      <c r="D90" s="36">
        <v>5</v>
      </c>
      <c r="E90" s="38"/>
      <c r="F90" s="34" t="b">
        <v>0</v>
      </c>
      <c r="G90" s="34"/>
      <c r="H90" s="40" t="s">
        <v>140</v>
      </c>
    </row>
    <row r="91" spans="3:8" x14ac:dyDescent="0.3">
      <c r="C91" s="35">
        <v>600</v>
      </c>
      <c r="D91" s="36">
        <v>6</v>
      </c>
      <c r="E91" s="38"/>
      <c r="F91" s="34" t="b">
        <v>1</v>
      </c>
      <c r="G91" s="34"/>
      <c r="H91" s="40" t="s">
        <v>141</v>
      </c>
    </row>
    <row r="92" spans="3:8" x14ac:dyDescent="0.3">
      <c r="C92" s="35">
        <v>700</v>
      </c>
      <c r="D92" s="36">
        <v>7</v>
      </c>
      <c r="E92" s="38"/>
      <c r="F92" s="34" t="b">
        <v>0</v>
      </c>
      <c r="G92" s="34"/>
      <c r="H92" s="40" t="s">
        <v>142</v>
      </c>
    </row>
    <row r="93" spans="3:8" x14ac:dyDescent="0.3">
      <c r="C93" s="35">
        <v>800</v>
      </c>
      <c r="D93" s="36">
        <v>8</v>
      </c>
      <c r="E93" s="38"/>
      <c r="F93" s="34" t="b">
        <v>1</v>
      </c>
      <c r="G93" s="34"/>
      <c r="H93" s="40" t="s">
        <v>143</v>
      </c>
    </row>
    <row r="94" spans="3:8" x14ac:dyDescent="0.3">
      <c r="C94" s="35">
        <v>900</v>
      </c>
      <c r="D94" s="36">
        <v>9</v>
      </c>
      <c r="E94" s="38"/>
      <c r="F94" s="34" t="b">
        <v>0</v>
      </c>
      <c r="G94" s="34"/>
    </row>
    <row r="95" spans="3:8" x14ac:dyDescent="0.3">
      <c r="C95" s="35">
        <v>1000</v>
      </c>
      <c r="D95" s="36">
        <v>10</v>
      </c>
      <c r="E95" s="38"/>
      <c r="F95" s="34" t="b">
        <v>0</v>
      </c>
      <c r="G95" s="34"/>
    </row>
    <row r="97" spans="2:8" x14ac:dyDescent="0.3">
      <c r="G97" s="42" t="s">
        <v>127</v>
      </c>
    </row>
    <row r="98" spans="2:8" ht="14.4" thickBot="1" x14ac:dyDescent="0.35">
      <c r="C98" s="16" t="s">
        <v>102</v>
      </c>
      <c r="D98" s="16" t="s">
        <v>103</v>
      </c>
      <c r="E98" s="16" t="s">
        <v>109</v>
      </c>
      <c r="F98" s="16" t="s">
        <v>124</v>
      </c>
      <c r="G98" s="16" t="s">
        <v>128</v>
      </c>
    </row>
    <row r="99" spans="2:8" x14ac:dyDescent="0.3">
      <c r="C99" s="35" cm="1">
        <f t="array" ref="C99:C108" xml:space="preserve"> $C$13:$C$22</f>
        <v>100</v>
      </c>
      <c r="D99" s="36" cm="1">
        <f t="array" ref="D99:D108" xml:space="preserve"> _xlfn.SEQUENCE( ROWS(_xlfn.ANCHORARRAY(C99)))</f>
        <v>1</v>
      </c>
      <c r="E99" s="37" cm="1">
        <f t="array" ref="E99:E102" xml:space="preserve"> {2;4;6;8}</f>
        <v>2</v>
      </c>
      <c r="F99" s="34" t="b" cm="1">
        <f t="array" ref="F99:F108" xml:space="preserve"> ISNA(_xlfn.XMATCH(_xlfn.ANCHORARRAY(D99),_xlfn.ANCHORARRAY( E99)))</f>
        <v>1</v>
      </c>
      <c r="G99" s="34" cm="1">
        <f t="array" ref="G99:G104" xml:space="preserve"> _xlfn._xlws.FILTER(_xlfn.ANCHORARRAY(C99), ISNA(_xlfn.XMATCH(_xlfn.ANCHORARRAY(D99),_xlfn.ANCHORARRAY( E99))))</f>
        <v>100</v>
      </c>
      <c r="H99" s="39" t="str">
        <f ca="1" xml:space="preserve"> _xlfn.FORMULATEXT(G99)</f>
        <v>= FILTER(C99#, ISNA(XMATCH(D99#, E99#)))</v>
      </c>
    </row>
    <row r="100" spans="2:8" x14ac:dyDescent="0.3">
      <c r="C100" s="35">
        <v>200</v>
      </c>
      <c r="D100" s="36">
        <v>2</v>
      </c>
      <c r="E100" s="37">
        <v>4</v>
      </c>
      <c r="F100" s="34" t="b">
        <v>0</v>
      </c>
      <c r="G100" s="34">
        <v>300</v>
      </c>
    </row>
    <row r="101" spans="2:8" x14ac:dyDescent="0.3">
      <c r="C101" s="35">
        <v>300</v>
      </c>
      <c r="D101" s="36">
        <v>3</v>
      </c>
      <c r="E101" s="37">
        <v>6</v>
      </c>
      <c r="F101" s="34" t="b">
        <v>1</v>
      </c>
      <c r="G101" s="34">
        <v>500</v>
      </c>
      <c r="H101" s="68" t="s">
        <v>110</v>
      </c>
    </row>
    <row r="102" spans="2:8" x14ac:dyDescent="0.3">
      <c r="C102" s="35">
        <v>400</v>
      </c>
      <c r="D102" s="36">
        <v>4</v>
      </c>
      <c r="E102" s="37">
        <v>8</v>
      </c>
      <c r="F102" s="34" t="b">
        <v>0</v>
      </c>
      <c r="G102" s="34">
        <v>700</v>
      </c>
      <c r="H102" s="40" t="s">
        <v>145</v>
      </c>
    </row>
    <row r="103" spans="2:8" x14ac:dyDescent="0.3">
      <c r="C103" s="35">
        <v>500</v>
      </c>
      <c r="D103" s="36">
        <v>5</v>
      </c>
      <c r="E103" s="38"/>
      <c r="F103" s="34" t="b">
        <v>1</v>
      </c>
      <c r="G103" s="34">
        <v>900</v>
      </c>
      <c r="H103" s="40" t="s">
        <v>146</v>
      </c>
    </row>
    <row r="104" spans="2:8" x14ac:dyDescent="0.3">
      <c r="C104" s="35">
        <v>600</v>
      </c>
      <c r="D104" s="36">
        <v>6</v>
      </c>
      <c r="E104" s="38"/>
      <c r="F104" s="34" t="b">
        <v>0</v>
      </c>
      <c r="G104" s="34">
        <v>1000</v>
      </c>
    </row>
    <row r="105" spans="2:8" x14ac:dyDescent="0.3">
      <c r="C105" s="35">
        <v>700</v>
      </c>
      <c r="D105" s="36">
        <v>7</v>
      </c>
      <c r="E105" s="38"/>
      <c r="F105" s="34" t="b">
        <v>1</v>
      </c>
      <c r="G105" s="34"/>
    </row>
    <row r="106" spans="2:8" x14ac:dyDescent="0.3">
      <c r="C106" s="35">
        <v>800</v>
      </c>
      <c r="D106" s="36">
        <v>8</v>
      </c>
      <c r="E106" s="38"/>
      <c r="F106" s="34" t="b">
        <v>0</v>
      </c>
      <c r="G106" s="34"/>
    </row>
    <row r="107" spans="2:8" x14ac:dyDescent="0.3">
      <c r="C107" s="35">
        <v>900</v>
      </c>
      <c r="D107" s="36">
        <v>9</v>
      </c>
      <c r="E107" s="38"/>
      <c r="F107" s="34" t="b">
        <v>1</v>
      </c>
      <c r="G107" s="34"/>
    </row>
    <row r="108" spans="2:8" x14ac:dyDescent="0.3">
      <c r="C108" s="35">
        <v>1000</v>
      </c>
      <c r="D108" s="36">
        <v>10</v>
      </c>
      <c r="E108" s="38"/>
      <c r="F108" s="34" t="b">
        <v>1</v>
      </c>
      <c r="G108" s="34"/>
    </row>
    <row r="112" spans="2:8" x14ac:dyDescent="0.3">
      <c r="B112" s="10" t="str" cm="1">
        <f t="array" ref="B112" xml:space="preserve"> "(" &amp; _xlfn.UNICHAR( 65 + SUMPRODUCT(--(_xlfn.REGEXTEST(B$1:B111, "^\([A-Z]\)$")))) &amp; ")"</f>
        <v>(B)</v>
      </c>
      <c r="C112" s="3" t="s">
        <v>129</v>
      </c>
    </row>
    <row r="113" spans="3:20" x14ac:dyDescent="0.3">
      <c r="C113" s="3" t="s">
        <v>42</v>
      </c>
    </row>
    <row r="114" spans="3:20" x14ac:dyDescent="0.3">
      <c r="M114" s="42" t="s">
        <v>139</v>
      </c>
    </row>
    <row r="115" spans="3:20" ht="14.4" thickBot="1" x14ac:dyDescent="0.35">
      <c r="C115" s="16" t="s">
        <v>102</v>
      </c>
      <c r="D115" s="16" t="s">
        <v>103</v>
      </c>
      <c r="F115" s="16" t="s">
        <v>106</v>
      </c>
      <c r="M115" s="16" t="s">
        <v>106</v>
      </c>
      <c r="N115" s="16" t="s">
        <v>130</v>
      </c>
      <c r="O115" s="16" t="s">
        <v>103</v>
      </c>
      <c r="Q115" s="16" t="s">
        <v>131</v>
      </c>
      <c r="R115" s="16" t="s">
        <v>130</v>
      </c>
      <c r="S115" s="16" t="s">
        <v>102</v>
      </c>
    </row>
    <row r="116" spans="3:20" ht="13.5" customHeight="1" x14ac:dyDescent="0.3">
      <c r="C116" s="35" cm="1">
        <f t="array" ref="C116:C125" xml:space="preserve"> $C$13:$C$22</f>
        <v>100</v>
      </c>
      <c r="D116" s="36" cm="1">
        <f t="array" ref="D116:D125" xml:space="preserve"> _xlfn.SEQUENCE( ROWS(_xlfn.ANCHORARRAY(C116)))</f>
        <v>1</v>
      </c>
      <c r="F116" s="48" cm="1">
        <f t="array" aca="1" ref="F116:F125" ca="1" xml:space="preserve"> _xlfn.LET(
  _xlpm._arr,_xlfn.ANCHORARRAY( C116),
  _xlpm._idx,_xlfn.ANCHORARRAY( D116),
  _xlpm._rnd, _xlfn.DROP(
    _xlfn.REDUCE(0, _xlpm._idx, _xlfn.LAMBDA(_xlpm._acc,_xlpm._val, _xlfn.LET(
      _xlpm._fltr, _xlfn._xlws.FILTER(_xlpm._idx, ISNA(_xlfn.XMATCH(_xlpm._idx, _xlpm._acc))),
      _xlpm._rr, ROWS(_xlpm._fltr),
      _xlfn.VSTACK(_xlpm._acc, INDEX(_xlpm._fltr, RANDBETWEEN(1, _xlpm._rr)))
    ))),
  1),
  _xlpm._rnd
)</f>
        <v>9</v>
      </c>
      <c r="G116" s="39" t="str" cm="1">
        <f t="array" aca="1" ref="G116:G127" ca="1" xml:space="preserve"> _xlfn.TEXTSPLIT( _xlfn.FORMULATEXT(F116), , CHAR(10))</f>
        <v>= LET(</v>
      </c>
      <c r="M116" s="36" cm="1">
        <f t="array" aca="1" ref="M116:M125" ca="1">_xlfn.ANCHORARRAY( F116)</f>
        <v>9</v>
      </c>
      <c r="N116" s="36" cm="1">
        <f t="array" aca="1" ref="N116:N125" ca="1" xml:space="preserve"> _xlfn._xlws.SORT(_xlfn.ANCHORARRAY(M116))</f>
        <v>1</v>
      </c>
      <c r="O116" s="35" cm="1">
        <f t="array" ref="O116:O125">_xlfn.ANCHORARRAY( D116)</f>
        <v>1</v>
      </c>
      <c r="P116" s="47" cm="1">
        <f t="array" aca="1" ref="P116:P125" ca="1" xml:space="preserve"> IF(_xlfn.ANCHORARRAY(N116) =_xlfn.ANCHORARRAY( O116), 0, 1)</f>
        <v>0</v>
      </c>
      <c r="Q116" s="36" cm="1">
        <f t="array" aca="1" ref="Q116:Q125" ca="1" xml:space="preserve"> INDEX(_xlfn.ANCHORARRAY(C116),_xlfn.ANCHORARRAY( M116))</f>
        <v>900</v>
      </c>
      <c r="R116" s="36" cm="1">
        <f t="array" aca="1" ref="R116:R125" ca="1" xml:space="preserve"> _xlfn._xlws.SORT(_xlfn.ANCHORARRAY(Q116))</f>
        <v>100</v>
      </c>
      <c r="S116" s="35" cm="1">
        <f t="array" ref="S116:S125">_xlfn.ANCHORARRAY( C116)</f>
        <v>100</v>
      </c>
      <c r="T116" s="47" cm="1">
        <f t="array" aca="1" ref="T116:T125" ca="1" xml:space="preserve"> IF(_xlfn.ANCHORARRAY(R116) =_xlfn.ANCHORARRAY( S116), 0, 1)</f>
        <v>0</v>
      </c>
    </row>
    <row r="117" spans="3:20" x14ac:dyDescent="0.3">
      <c r="C117" s="35">
        <v>200</v>
      </c>
      <c r="D117" s="36">
        <v>2</v>
      </c>
      <c r="F117" s="36">
        <f ca="1"/>
        <v>4</v>
      </c>
      <c r="G117" s="39" t="str">
        <f ca="1"/>
        <v xml:space="preserve">  _arr, C116#,</v>
      </c>
      <c r="M117" s="36">
        <f ca="1"/>
        <v>4</v>
      </c>
      <c r="N117" s="36">
        <f ca="1"/>
        <v>2</v>
      </c>
      <c r="O117" s="35">
        <v>2</v>
      </c>
      <c r="P117" s="47">
        <f ca="1"/>
        <v>0</v>
      </c>
      <c r="Q117" s="36">
        <f ca="1"/>
        <v>400</v>
      </c>
      <c r="R117" s="36">
        <f ca="1"/>
        <v>200</v>
      </c>
      <c r="S117" s="35">
        <v>200</v>
      </c>
      <c r="T117" s="47">
        <f ca="1"/>
        <v>0</v>
      </c>
    </row>
    <row r="118" spans="3:20" x14ac:dyDescent="0.3">
      <c r="C118" s="35">
        <v>300</v>
      </c>
      <c r="D118" s="36">
        <v>3</v>
      </c>
      <c r="F118" s="36">
        <f ca="1"/>
        <v>2</v>
      </c>
      <c r="G118" s="39" t="str">
        <f ca="1"/>
        <v xml:space="preserve">  _idx, D116#,</v>
      </c>
      <c r="M118" s="36">
        <f ca="1"/>
        <v>2</v>
      </c>
      <c r="N118" s="36">
        <f ca="1"/>
        <v>3</v>
      </c>
      <c r="O118" s="35">
        <v>3</v>
      </c>
      <c r="P118" s="47">
        <f ca="1"/>
        <v>0</v>
      </c>
      <c r="Q118" s="36">
        <f ca="1"/>
        <v>200</v>
      </c>
      <c r="R118" s="36">
        <f ca="1"/>
        <v>300</v>
      </c>
      <c r="S118" s="35">
        <v>300</v>
      </c>
      <c r="T118" s="47">
        <f ca="1"/>
        <v>0</v>
      </c>
    </row>
    <row r="119" spans="3:20" x14ac:dyDescent="0.3">
      <c r="C119" s="35">
        <v>400</v>
      </c>
      <c r="D119" s="36">
        <v>4</v>
      </c>
      <c r="F119" s="36">
        <f ca="1"/>
        <v>8</v>
      </c>
      <c r="G119" s="39" t="str">
        <f ca="1"/>
        <v xml:space="preserve">  _rnd, DROP(</v>
      </c>
      <c r="M119" s="36">
        <f ca="1"/>
        <v>8</v>
      </c>
      <c r="N119" s="36">
        <f ca="1"/>
        <v>4</v>
      </c>
      <c r="O119" s="35">
        <v>4</v>
      </c>
      <c r="P119" s="47">
        <f ca="1"/>
        <v>0</v>
      </c>
      <c r="Q119" s="36">
        <f ca="1"/>
        <v>800</v>
      </c>
      <c r="R119" s="36">
        <f ca="1"/>
        <v>400</v>
      </c>
      <c r="S119" s="35">
        <v>400</v>
      </c>
      <c r="T119" s="47">
        <f ca="1"/>
        <v>0</v>
      </c>
    </row>
    <row r="120" spans="3:20" x14ac:dyDescent="0.3">
      <c r="C120" s="35">
        <v>500</v>
      </c>
      <c r="D120" s="36">
        <v>5</v>
      </c>
      <c r="F120" s="36">
        <f ca="1"/>
        <v>6</v>
      </c>
      <c r="G120" s="39" t="str">
        <f ca="1"/>
        <v xml:space="preserve">    REDUCE(0, _idx, LAMBDA(_acc,_val, LET(</v>
      </c>
      <c r="M120" s="36">
        <f ca="1"/>
        <v>6</v>
      </c>
      <c r="N120" s="36">
        <f ca="1"/>
        <v>5</v>
      </c>
      <c r="O120" s="35">
        <v>5</v>
      </c>
      <c r="P120" s="47">
        <f ca="1"/>
        <v>0</v>
      </c>
      <c r="Q120" s="36">
        <f ca="1"/>
        <v>600</v>
      </c>
      <c r="R120" s="36">
        <f ca="1"/>
        <v>500</v>
      </c>
      <c r="S120" s="35">
        <v>500</v>
      </c>
      <c r="T120" s="47">
        <f ca="1"/>
        <v>0</v>
      </c>
    </row>
    <row r="121" spans="3:20" x14ac:dyDescent="0.3">
      <c r="C121" s="35">
        <v>600</v>
      </c>
      <c r="D121" s="36">
        <v>6</v>
      </c>
      <c r="F121" s="36">
        <f ca="1"/>
        <v>1</v>
      </c>
      <c r="G121" s="39" t="str">
        <f ca="1"/>
        <v xml:space="preserve">      _fltr, FILTER(_idx, ISNA(XMATCH(_idx, _acc))),</v>
      </c>
      <c r="M121" s="36">
        <f ca="1"/>
        <v>1</v>
      </c>
      <c r="N121" s="36">
        <f ca="1"/>
        <v>6</v>
      </c>
      <c r="O121" s="35">
        <v>6</v>
      </c>
      <c r="P121" s="47">
        <f ca="1"/>
        <v>0</v>
      </c>
      <c r="Q121" s="36">
        <f ca="1"/>
        <v>100</v>
      </c>
      <c r="R121" s="36">
        <f ca="1"/>
        <v>600</v>
      </c>
      <c r="S121" s="35">
        <v>600</v>
      </c>
      <c r="T121" s="47">
        <f ca="1"/>
        <v>0</v>
      </c>
    </row>
    <row r="122" spans="3:20" x14ac:dyDescent="0.3">
      <c r="C122" s="35">
        <v>700</v>
      </c>
      <c r="D122" s="36">
        <v>7</v>
      </c>
      <c r="F122" s="36">
        <f ca="1"/>
        <v>10</v>
      </c>
      <c r="G122" s="39" t="str">
        <f ca="1"/>
        <v xml:space="preserve">      _rr, ROWS(_fltr),</v>
      </c>
      <c r="M122" s="36">
        <f ca="1"/>
        <v>10</v>
      </c>
      <c r="N122" s="36">
        <f ca="1"/>
        <v>7</v>
      </c>
      <c r="O122" s="35">
        <v>7</v>
      </c>
      <c r="P122" s="47">
        <f ca="1"/>
        <v>0</v>
      </c>
      <c r="Q122" s="36">
        <f ca="1"/>
        <v>1000</v>
      </c>
      <c r="R122" s="36">
        <f ca="1"/>
        <v>700</v>
      </c>
      <c r="S122" s="35">
        <v>700</v>
      </c>
      <c r="T122" s="47">
        <f ca="1"/>
        <v>0</v>
      </c>
    </row>
    <row r="123" spans="3:20" x14ac:dyDescent="0.3">
      <c r="C123" s="35">
        <v>800</v>
      </c>
      <c r="D123" s="36">
        <v>8</v>
      </c>
      <c r="F123" s="36">
        <f ca="1"/>
        <v>5</v>
      </c>
      <c r="G123" s="39" t="str">
        <f ca="1"/>
        <v xml:space="preserve">      VSTACK(_acc, INDEX(_fltr, RANDBETWEEN(1, _rr)))</v>
      </c>
      <c r="M123" s="36">
        <f ca="1"/>
        <v>5</v>
      </c>
      <c r="N123" s="36">
        <f ca="1"/>
        <v>8</v>
      </c>
      <c r="O123" s="35">
        <v>8</v>
      </c>
      <c r="P123" s="47">
        <f ca="1"/>
        <v>0</v>
      </c>
      <c r="Q123" s="36">
        <f ca="1"/>
        <v>500</v>
      </c>
      <c r="R123" s="36">
        <f ca="1"/>
        <v>800</v>
      </c>
      <c r="S123" s="35">
        <v>800</v>
      </c>
      <c r="T123" s="47">
        <f ca="1"/>
        <v>0</v>
      </c>
    </row>
    <row r="124" spans="3:20" x14ac:dyDescent="0.3">
      <c r="C124" s="35">
        <v>900</v>
      </c>
      <c r="D124" s="36">
        <v>9</v>
      </c>
      <c r="F124" s="36">
        <f ca="1"/>
        <v>3</v>
      </c>
      <c r="G124" s="39" t="str">
        <f ca="1"/>
        <v xml:space="preserve">    ))),</v>
      </c>
      <c r="M124" s="36">
        <f ca="1"/>
        <v>3</v>
      </c>
      <c r="N124" s="36">
        <f ca="1"/>
        <v>9</v>
      </c>
      <c r="O124" s="35">
        <v>9</v>
      </c>
      <c r="P124" s="47">
        <f ca="1"/>
        <v>0</v>
      </c>
      <c r="Q124" s="36">
        <f ca="1"/>
        <v>300</v>
      </c>
      <c r="R124" s="36">
        <f ca="1"/>
        <v>900</v>
      </c>
      <c r="S124" s="35">
        <v>900</v>
      </c>
      <c r="T124" s="47">
        <f ca="1"/>
        <v>0</v>
      </c>
    </row>
    <row r="125" spans="3:20" x14ac:dyDescent="0.3">
      <c r="C125" s="35">
        <v>1000</v>
      </c>
      <c r="D125" s="36">
        <v>10</v>
      </c>
      <c r="F125" s="36">
        <f ca="1"/>
        <v>7</v>
      </c>
      <c r="G125" s="39" t="str">
        <f ca="1"/>
        <v xml:space="preserve">  1),</v>
      </c>
      <c r="M125" s="36">
        <f ca="1"/>
        <v>7</v>
      </c>
      <c r="N125" s="36">
        <f ca="1"/>
        <v>10</v>
      </c>
      <c r="O125" s="35">
        <v>10</v>
      </c>
      <c r="P125" s="47">
        <f ca="1"/>
        <v>0</v>
      </c>
      <c r="Q125" s="36">
        <f ca="1"/>
        <v>700</v>
      </c>
      <c r="R125" s="36">
        <f ca="1"/>
        <v>1000</v>
      </c>
      <c r="S125" s="35">
        <v>1000</v>
      </c>
      <c r="T125" s="47">
        <f ca="1"/>
        <v>0</v>
      </c>
    </row>
    <row r="126" spans="3:20" x14ac:dyDescent="0.3">
      <c r="G126" s="39" t="str">
        <f ca="1"/>
        <v xml:space="preserve">  _rnd</v>
      </c>
    </row>
    <row r="127" spans="3:20" x14ac:dyDescent="0.3">
      <c r="G127" s="39" t="str">
        <f ca="1"/>
        <v>)</v>
      </c>
    </row>
    <row r="129" spans="2:9" x14ac:dyDescent="0.3">
      <c r="B129" s="10" t="str" cm="1">
        <f t="array" ref="B129" xml:space="preserve"> "(" &amp; _xlfn.UNICHAR( 65 + SUMPRODUCT(--(_xlfn.REGEXTEST(B$1:B128, "^\([A-Z]\)$")))) &amp; ")"</f>
        <v>(C)</v>
      </c>
      <c r="C129" s="3" t="s">
        <v>132</v>
      </c>
    </row>
    <row r="131" spans="2:9" x14ac:dyDescent="0.3">
      <c r="C131" s="42" t="s">
        <v>133</v>
      </c>
    </row>
    <row r="132" spans="2:9" x14ac:dyDescent="0.3">
      <c r="C132" s="44" t="s">
        <v>134</v>
      </c>
      <c r="D132" s="45"/>
      <c r="F132" s="24" t="s">
        <v>137</v>
      </c>
      <c r="G132" s="46" t="s">
        <v>136</v>
      </c>
    </row>
    <row r="133" spans="2:9" x14ac:dyDescent="0.3">
      <c r="C133" s="44" t="s">
        <v>135</v>
      </c>
      <c r="D133" s="45"/>
    </row>
    <row r="134" spans="2:9" x14ac:dyDescent="0.3">
      <c r="C134" s="44" t="s">
        <v>136</v>
      </c>
      <c r="D134" s="45"/>
      <c r="F134" s="24" t="s">
        <v>138</v>
      </c>
      <c r="G134" s="34" t="str" cm="1">
        <f t="array" ref="G134:H137" xml:space="preserve"> _xlfn.LET(
  _xlpm._arr, CHOOSE( _xlfn.XMATCH(G132, C132:C134), $C$13:$C$22, $C$13:$L$13, $C$25:$G$34),
  _xlpm._rr, ROWS(_xlpm._arr),
  _xlpm._cc, COLUMNS(_xlpm._arr),
  _xlpm._cl, _xlpm._rr * _xlpm._cc,
  _xlpm._dir, _xlfn.IFS(
    AND(_xlpm._cc = 1, _xlpm._rr &gt; 1), 1,
    AND(_xlpm._rr = 1, _xlpm._cc &gt; 1), 2,
    TRUE, 3
  ),
  _xlpm._rtn, _xlfn.VSTACK(
    _xlfn.HSTACK("Orientation", CHOOSE(_xlpm._dir, "Vrt.", "Hrz.", "2D")),
    _xlfn.HSTACK("Rows", _xlpm._rr),
    _xlfn.HSTACK("Cols", _xlpm._cc),
    _xlfn.HSTACK("Cells", _xlpm._cl)
  ),
  _xlpm._rtn
)</f>
        <v>Orientation</v>
      </c>
      <c r="H134" s="36" t="str">
        <v>2D</v>
      </c>
      <c r="I134" s="39" t="str" cm="1">
        <f t="array" aca="1" ref="I134:I151" ca="1" xml:space="preserve"> _xlfn.TEXTSPLIT( _xlfn.FORMULATEXT(G134), , CHAR(10))</f>
        <v>= LET(</v>
      </c>
    </row>
    <row r="135" spans="2:9" x14ac:dyDescent="0.3">
      <c r="G135" s="34" t="str">
        <v>Rows</v>
      </c>
      <c r="H135" s="36">
        <v>10</v>
      </c>
      <c r="I135" s="39" t="str">
        <f ca="1"/>
        <v xml:space="preserve">  _arr, CHOOSE( XMATCH(G132, C132:C134), $C$13:$C$22, $C$13:$L$13, $C$25:$G$34),</v>
      </c>
    </row>
    <row r="136" spans="2:9" x14ac:dyDescent="0.3">
      <c r="G136" s="34" t="str">
        <v>Cols</v>
      </c>
      <c r="H136" s="36">
        <v>5</v>
      </c>
      <c r="I136" s="39" t="str">
        <f ca="1"/>
        <v xml:space="preserve">  _rr, ROWS(_arr),</v>
      </c>
    </row>
    <row r="137" spans="2:9" x14ac:dyDescent="0.3">
      <c r="G137" s="34" t="str">
        <v>Cells</v>
      </c>
      <c r="H137" s="36">
        <v>50</v>
      </c>
      <c r="I137" s="39" t="str">
        <f ca="1"/>
        <v xml:space="preserve">  _cc, COLUMNS(_arr),</v>
      </c>
    </row>
    <row r="138" spans="2:9" x14ac:dyDescent="0.3">
      <c r="I138" s="39" t="str">
        <f ca="1"/>
        <v xml:space="preserve">  _cl, _rr * _cc,</v>
      </c>
    </row>
    <row r="139" spans="2:9" x14ac:dyDescent="0.3">
      <c r="I139" s="39" t="str">
        <f ca="1"/>
        <v xml:space="preserve">  _dir, IFS(</v>
      </c>
    </row>
    <row r="140" spans="2:9" x14ac:dyDescent="0.3">
      <c r="I140" s="39" t="str">
        <f ca="1"/>
        <v xml:space="preserve">    AND(_cc = 1, _rr &gt; 1), 1,</v>
      </c>
    </row>
    <row r="141" spans="2:9" x14ac:dyDescent="0.3">
      <c r="I141" s="39" t="str">
        <f ca="1"/>
        <v xml:space="preserve">    AND(_rr = 1, _cc &gt; 1), 2,</v>
      </c>
    </row>
    <row r="142" spans="2:9" x14ac:dyDescent="0.3">
      <c r="I142" s="39" t="str">
        <f ca="1"/>
        <v xml:space="preserve">    TRUE, 3</v>
      </c>
    </row>
    <row r="143" spans="2:9" x14ac:dyDescent="0.3">
      <c r="I143" s="39" t="str">
        <f ca="1"/>
        <v xml:space="preserve">  ),</v>
      </c>
    </row>
    <row r="144" spans="2:9" x14ac:dyDescent="0.3">
      <c r="I144" s="39" t="str">
        <f ca="1"/>
        <v xml:space="preserve">  _rtn, VSTACK(</v>
      </c>
    </row>
    <row r="145" spans="2:16" x14ac:dyDescent="0.3">
      <c r="I145" s="39" t="str">
        <f ca="1"/>
        <v xml:space="preserve">    HSTACK("Orientation", CHOOSE(_dir, "Vrt.", "Hrz.", "2D")),</v>
      </c>
    </row>
    <row r="146" spans="2:16" x14ac:dyDescent="0.3">
      <c r="I146" s="39" t="str">
        <f ca="1"/>
        <v xml:space="preserve">    HSTACK("Rows", _rr),</v>
      </c>
    </row>
    <row r="147" spans="2:16" x14ac:dyDescent="0.3">
      <c r="I147" s="39" t="str">
        <f ca="1"/>
        <v xml:space="preserve">    HSTACK("Cols", _cc),</v>
      </c>
    </row>
    <row r="148" spans="2:16" x14ac:dyDescent="0.3">
      <c r="I148" s="39" t="str">
        <f ca="1"/>
        <v xml:space="preserve">    HSTACK("Cells", _cl)</v>
      </c>
    </row>
    <row r="149" spans="2:16" x14ac:dyDescent="0.3">
      <c r="I149" s="39" t="str">
        <f ca="1"/>
        <v xml:space="preserve">  ),</v>
      </c>
    </row>
    <row r="150" spans="2:16" x14ac:dyDescent="0.3">
      <c r="I150" s="39" t="str">
        <f ca="1"/>
        <v xml:space="preserve">  _rtn</v>
      </c>
    </row>
    <row r="151" spans="2:16" x14ac:dyDescent="0.3">
      <c r="I151" s="39" t="str">
        <f ca="1"/>
        <v>)</v>
      </c>
    </row>
    <row r="153" spans="2:16" x14ac:dyDescent="0.3">
      <c r="B153" s="10" t="str" cm="1">
        <f t="array" ref="B153" xml:space="preserve"> "(" &amp; _xlfn.UNICHAR( 65 + SUMPRODUCT(--(_xlfn.REGEXTEST(B$1:B152, "^\([A-Z]\)$")))) &amp; ")"</f>
        <v>(D)</v>
      </c>
      <c r="C153" s="3" t="s">
        <v>149</v>
      </c>
    </row>
    <row r="155" spans="2:16" x14ac:dyDescent="0.3">
      <c r="C155" s="42" t="s">
        <v>133</v>
      </c>
      <c r="F155" s="24" t="s">
        <v>148</v>
      </c>
      <c r="G155" s="50">
        <v>1</v>
      </c>
    </row>
    <row r="156" spans="2:16" x14ac:dyDescent="0.3">
      <c r="C156" s="44" t="s">
        <v>134</v>
      </c>
      <c r="D156" s="45"/>
      <c r="F156" s="43" t="s">
        <v>106</v>
      </c>
      <c r="G156" s="49" cm="1">
        <f t="array" aca="1" ref="G156:K165" ca="1" xml:space="preserve"> _xlfn.LET(
  _xlpm._inp, CHOOSE( _xlfn.XMATCH(D160, C156:C158), $C$13:$C$22, $C$13:$L$13, $C$25:$G$34),
  _xlpm._rows, ROWS(_xlpm._inp),
  _xlpm._cols, COLUMNS(_xlpm._inp),
  _xlpm._arr, _xlfn.TOCOL(_xlpm._inp),
  _xlpm._idx, _xlfn.SEQUENCE( ROWS(_xlpm._arr)),
  _xlpm._rnd, IF(G155 = 0, _xlpm._idx, _xlfn.DROP(
    _xlfn.REDUCE(0, _xlpm._idx, _xlfn.LAMBDA(_xlpm._acc,_xlpm._val,
      _xlfn.LET(
        _xlpm._fltr, _xlfn._xlws.FILTER(_xlpm._idx, ISNA(_xlfn.XMATCH(_xlpm._idx, _xlpm._acc))),
        _xlpm._rr, ROWS(_xlpm._fltr),
        _xlfn.VSTACK(_xlpm._acc, INDEX(_xlpm._fltr, RANDBETWEEN(1, _xlpm._rr)))
      )
    )),
  1)),
  _xlpm._rtn, _xlfn.MAKEARRAY(_xlpm._rows, _xlpm._cols, _xlfn.LAMBDA(_xlpm._r,_xlpm._c, INDEX(_xlpm._arr, INDEX(_xlpm._rnd, (_xlpm._r - 1) * _xlpm._cols + _xlpm._c)))),
  _xlpm._rtn
)</f>
        <v>29</v>
      </c>
      <c r="H156" s="36">
        <f ca="1"/>
        <v>39</v>
      </c>
      <c r="I156" s="36">
        <f ca="1"/>
        <v>30</v>
      </c>
      <c r="J156" s="36">
        <f ca="1"/>
        <v>44</v>
      </c>
      <c r="K156" s="36">
        <f ca="1"/>
        <v>38</v>
      </c>
      <c r="L156" s="36"/>
      <c r="M156" s="36"/>
      <c r="N156" s="36"/>
      <c r="O156" s="36"/>
      <c r="P156" s="36"/>
    </row>
    <row r="157" spans="2:16" x14ac:dyDescent="0.3">
      <c r="C157" s="44" t="s">
        <v>135</v>
      </c>
      <c r="D157" s="45"/>
      <c r="G157" s="36">
        <f ca="1"/>
        <v>37</v>
      </c>
      <c r="H157" s="36">
        <f ca="1"/>
        <v>21</v>
      </c>
      <c r="I157" s="36">
        <f ca="1"/>
        <v>47</v>
      </c>
      <c r="J157" s="36">
        <f ca="1"/>
        <v>41</v>
      </c>
      <c r="K157" s="36">
        <f ca="1"/>
        <v>3</v>
      </c>
      <c r="L157" s="36"/>
      <c r="M157" s="36"/>
      <c r="N157" s="36"/>
      <c r="O157" s="36"/>
      <c r="P157" s="36"/>
    </row>
    <row r="158" spans="2:16" x14ac:dyDescent="0.3">
      <c r="C158" s="44" t="s">
        <v>136</v>
      </c>
      <c r="D158" s="45"/>
      <c r="G158" s="36">
        <f ca="1"/>
        <v>49</v>
      </c>
      <c r="H158" s="36">
        <f ca="1"/>
        <v>48</v>
      </c>
      <c r="I158" s="36">
        <f ca="1"/>
        <v>2</v>
      </c>
      <c r="J158" s="36">
        <f ca="1"/>
        <v>26</v>
      </c>
      <c r="K158" s="36">
        <f ca="1"/>
        <v>32</v>
      </c>
      <c r="L158" s="36"/>
      <c r="M158" s="36"/>
      <c r="N158" s="36"/>
      <c r="O158" s="36"/>
      <c r="P158" s="36"/>
    </row>
    <row r="159" spans="2:16" x14ac:dyDescent="0.3">
      <c r="G159" s="36">
        <f ca="1"/>
        <v>27</v>
      </c>
      <c r="H159" s="36">
        <f ca="1"/>
        <v>6</v>
      </c>
      <c r="I159" s="36">
        <f ca="1"/>
        <v>31</v>
      </c>
      <c r="J159" s="36">
        <f ca="1"/>
        <v>43</v>
      </c>
      <c r="K159" s="36">
        <f ca="1"/>
        <v>7</v>
      </c>
      <c r="L159" s="36"/>
      <c r="M159" s="36"/>
      <c r="N159" s="36"/>
      <c r="O159" s="36"/>
      <c r="P159" s="36"/>
    </row>
    <row r="160" spans="2:16" x14ac:dyDescent="0.3">
      <c r="C160" s="24" t="s">
        <v>137</v>
      </c>
      <c r="D160" s="46" t="s">
        <v>136</v>
      </c>
      <c r="G160" s="36">
        <f ca="1"/>
        <v>25</v>
      </c>
      <c r="H160" s="36">
        <f ca="1"/>
        <v>45</v>
      </c>
      <c r="I160" s="36">
        <f ca="1"/>
        <v>46</v>
      </c>
      <c r="J160" s="36">
        <f ca="1"/>
        <v>8</v>
      </c>
      <c r="K160" s="36">
        <f ca="1"/>
        <v>24</v>
      </c>
      <c r="L160" s="36"/>
      <c r="M160" s="36"/>
      <c r="N160" s="36"/>
      <c r="O160" s="36"/>
      <c r="P160" s="36"/>
    </row>
    <row r="161" spans="3:16" x14ac:dyDescent="0.3">
      <c r="G161" s="36">
        <f ca="1"/>
        <v>12</v>
      </c>
      <c r="H161" s="36">
        <f ca="1"/>
        <v>20</v>
      </c>
      <c r="I161" s="36">
        <f ca="1"/>
        <v>5</v>
      </c>
      <c r="J161" s="36">
        <f ca="1"/>
        <v>33</v>
      </c>
      <c r="K161" s="36">
        <f ca="1"/>
        <v>40</v>
      </c>
      <c r="L161" s="36"/>
      <c r="M161" s="36"/>
      <c r="N161" s="36"/>
      <c r="O161" s="36"/>
      <c r="P161" s="36"/>
    </row>
    <row r="162" spans="3:16" x14ac:dyDescent="0.3">
      <c r="C162" s="24" t="s">
        <v>147</v>
      </c>
      <c r="D162" s="34" t="str" cm="1">
        <f t="array" ref="D162:E165" xml:space="preserve"> _xlfn.LET(
  _xlpm._arr, CHOOSE( _xlfn.XMATCH(D160, C156:C158), $C$13:$C$22, $C$13:$L$13, $C$25:$G$34),
  _xlpm._rr, ROWS(_xlpm._arr),
  _xlpm._cc, COLUMNS(_xlpm._arr),
  _xlpm._cl, _xlpm._rr * _xlpm._cc,
  _xlpm._dir, _xlfn.IFS(
    AND(_xlpm._cc = 1, _xlpm._rr &gt; 1), 1,
    AND(_xlpm._rr = 1, _xlpm._cc &gt; 1), 2,
    TRUE, 3
  ),
  _xlpm._rtn, _xlfn.VSTACK(
    _xlfn.HSTACK("Orientation", CHOOSE(_xlpm._dir, "Vrt.", "Hrz.", "2D")),
    _xlfn.HSTACK("Rows", _xlpm._rr),
    _xlfn.HSTACK("Cols", _xlpm._cc),
    _xlfn.HSTACK("Cells", _xlpm._cl)
  ),
  _xlpm._rtn
)</f>
        <v>Orientation</v>
      </c>
      <c r="E162" s="36" t="str">
        <v>2D</v>
      </c>
      <c r="G162" s="36">
        <f ca="1"/>
        <v>16</v>
      </c>
      <c r="H162" s="36">
        <f ca="1"/>
        <v>28</v>
      </c>
      <c r="I162" s="36">
        <f ca="1"/>
        <v>19</v>
      </c>
      <c r="J162" s="36">
        <f ca="1"/>
        <v>50</v>
      </c>
      <c r="K162" s="36">
        <f ca="1"/>
        <v>14</v>
      </c>
      <c r="L162" s="36"/>
      <c r="M162" s="36"/>
      <c r="N162" s="36"/>
      <c r="O162" s="36"/>
      <c r="P162" s="36"/>
    </row>
    <row r="163" spans="3:16" x14ac:dyDescent="0.3">
      <c r="D163" s="34" t="str">
        <v>Rows</v>
      </c>
      <c r="E163" s="36">
        <v>10</v>
      </c>
      <c r="G163" s="36">
        <f ca="1"/>
        <v>36</v>
      </c>
      <c r="H163" s="36">
        <f ca="1"/>
        <v>4</v>
      </c>
      <c r="I163" s="36">
        <f ca="1"/>
        <v>1</v>
      </c>
      <c r="J163" s="36">
        <f ca="1"/>
        <v>42</v>
      </c>
      <c r="K163" s="36">
        <f ca="1"/>
        <v>18</v>
      </c>
      <c r="L163" s="36"/>
      <c r="M163" s="36"/>
      <c r="N163" s="36"/>
      <c r="O163" s="36"/>
      <c r="P163" s="36"/>
    </row>
    <row r="164" spans="3:16" x14ac:dyDescent="0.3">
      <c r="D164" s="34" t="str">
        <v>Cols</v>
      </c>
      <c r="E164" s="36">
        <v>5</v>
      </c>
      <c r="G164" s="36">
        <f ca="1"/>
        <v>22</v>
      </c>
      <c r="H164" s="36">
        <f ca="1"/>
        <v>13</v>
      </c>
      <c r="I164" s="36">
        <f ca="1"/>
        <v>17</v>
      </c>
      <c r="J164" s="36">
        <f ca="1"/>
        <v>23</v>
      </c>
      <c r="K164" s="36">
        <f ca="1"/>
        <v>10</v>
      </c>
      <c r="L164" s="36"/>
      <c r="M164" s="36"/>
      <c r="N164" s="36"/>
      <c r="O164" s="36"/>
      <c r="P164" s="36"/>
    </row>
    <row r="165" spans="3:16" x14ac:dyDescent="0.3">
      <c r="D165" s="34" t="str">
        <v>Cells</v>
      </c>
      <c r="E165" s="36">
        <v>50</v>
      </c>
      <c r="G165" s="36">
        <f ca="1"/>
        <v>34</v>
      </c>
      <c r="H165" s="36">
        <f ca="1"/>
        <v>11</v>
      </c>
      <c r="I165" s="36">
        <f ca="1"/>
        <v>15</v>
      </c>
      <c r="J165" s="36">
        <f ca="1"/>
        <v>35</v>
      </c>
      <c r="K165" s="36">
        <f ca="1"/>
        <v>9</v>
      </c>
      <c r="L165" s="36"/>
      <c r="M165" s="36"/>
      <c r="N165" s="36"/>
      <c r="O165" s="36"/>
      <c r="P165" s="36"/>
    </row>
    <row r="166" spans="3:16" x14ac:dyDescent="0.3">
      <c r="G166" s="39" t="str" cm="1">
        <f t="array" aca="1" ref="G166:G183" ca="1" xml:space="preserve"> _xlfn.TEXTSPLIT( _xlfn.FORMULATEXT(G156), , CHAR(10))</f>
        <v>= LET(</v>
      </c>
    </row>
    <row r="167" spans="3:16" x14ac:dyDescent="0.3">
      <c r="G167" s="39" t="str">
        <f ca="1"/>
        <v xml:space="preserve">  _inp, CHOOSE( XMATCH(D160, C156:C158), $C$13:$C$22, $C$13:$L$13, $C$25:$G$34),</v>
      </c>
    </row>
    <row r="168" spans="3:16" x14ac:dyDescent="0.3">
      <c r="G168" s="39" t="str">
        <f ca="1"/>
        <v xml:space="preserve">  _rows, ROWS(_inp),</v>
      </c>
    </row>
    <row r="169" spans="3:16" x14ac:dyDescent="0.3">
      <c r="G169" s="39" t="str">
        <f ca="1"/>
        <v xml:space="preserve">  _cols, COLUMNS(_inp),</v>
      </c>
    </row>
    <row r="170" spans="3:16" x14ac:dyDescent="0.3">
      <c r="G170" s="39" t="str">
        <f ca="1"/>
        <v xml:space="preserve">  _arr, TOCOL(_inp),</v>
      </c>
    </row>
    <row r="171" spans="3:16" x14ac:dyDescent="0.3">
      <c r="G171" s="39" t="str">
        <f ca="1"/>
        <v xml:space="preserve">  _idx, SEQUENCE( ROWS(_arr)),</v>
      </c>
    </row>
    <row r="172" spans="3:16" x14ac:dyDescent="0.3">
      <c r="G172" s="39" t="str">
        <f ca="1"/>
        <v xml:space="preserve">  _rnd, IF(G155 = 0, _idx, DROP(</v>
      </c>
    </row>
    <row r="173" spans="3:16" x14ac:dyDescent="0.3">
      <c r="G173" s="39" t="str">
        <f ca="1"/>
        <v xml:space="preserve">    REDUCE(0, _idx, LAMBDA(_acc,_val,</v>
      </c>
    </row>
    <row r="174" spans="3:16" x14ac:dyDescent="0.3">
      <c r="G174" s="39" t="str">
        <f ca="1"/>
        <v xml:space="preserve">      LET(</v>
      </c>
    </row>
    <row r="175" spans="3:16" x14ac:dyDescent="0.3">
      <c r="G175" s="39" t="str">
        <f ca="1"/>
        <v xml:space="preserve">        _fltr, FILTER(_idx, ISNA(XMATCH(_idx, _acc))),</v>
      </c>
    </row>
    <row r="176" spans="3:16" x14ac:dyDescent="0.3">
      <c r="G176" s="39" t="str">
        <f ca="1"/>
        <v xml:space="preserve">        _rr, ROWS(_fltr),</v>
      </c>
    </row>
    <row r="177" spans="2:13" x14ac:dyDescent="0.3">
      <c r="G177" s="39" t="str">
        <f ca="1"/>
        <v xml:space="preserve">        VSTACK(_acc, INDEX(_fltr, RANDBETWEEN(1, _rr)))</v>
      </c>
    </row>
    <row r="178" spans="2:13" x14ac:dyDescent="0.3">
      <c r="G178" s="39" t="str">
        <f ca="1"/>
        <v xml:space="preserve">      )</v>
      </c>
    </row>
    <row r="179" spans="2:13" x14ac:dyDescent="0.3">
      <c r="G179" s="39" t="str">
        <f ca="1"/>
        <v xml:space="preserve">    )),</v>
      </c>
    </row>
    <row r="180" spans="2:13" x14ac:dyDescent="0.3">
      <c r="G180" s="39" t="str">
        <f ca="1"/>
        <v xml:space="preserve">  1)),</v>
      </c>
    </row>
    <row r="181" spans="2:13" x14ac:dyDescent="0.3">
      <c r="G181" s="39" t="str">
        <f ca="1"/>
        <v xml:space="preserve">  _rtn, MAKEARRAY(_rows, _cols, LAMBDA(_r,_c, INDEX(_arr, INDEX(_rnd, (_r - 1) * _cols + _c)))),</v>
      </c>
    </row>
    <row r="182" spans="2:13" x14ac:dyDescent="0.3">
      <c r="G182" s="39" t="str">
        <f ca="1"/>
        <v xml:space="preserve">  _rtn</v>
      </c>
    </row>
    <row r="183" spans="2:13" x14ac:dyDescent="0.3">
      <c r="G183" s="39" t="str">
        <f ca="1"/>
        <v>)</v>
      </c>
    </row>
    <row r="185" spans="2:13" x14ac:dyDescent="0.3">
      <c r="B185" s="10" t="str" cm="1">
        <f t="array" ref="B185" xml:space="preserve"> "(" &amp; _xlfn.UNICHAR( 65 + SUMPRODUCT(--(_xlfn.REGEXTEST(B$1:B184, "^\([A-Z]\)$")))) &amp; ")"</f>
        <v>(E)</v>
      </c>
      <c r="C185" s="3" t="s">
        <v>152</v>
      </c>
    </row>
    <row r="187" spans="2:13" ht="14.4" thickBot="1" x14ac:dyDescent="0.35">
      <c r="C187" s="18" t="s">
        <v>102</v>
      </c>
      <c r="D187" s="18"/>
      <c r="E187" s="18"/>
      <c r="G187" s="24" t="s">
        <v>148</v>
      </c>
      <c r="H187" s="50">
        <v>1</v>
      </c>
      <c r="J187" s="18" t="s">
        <v>106</v>
      </c>
      <c r="K187" s="18"/>
      <c r="L187" s="18"/>
    </row>
    <row r="188" spans="2:13" x14ac:dyDescent="0.3">
      <c r="C188" s="51" cm="1">
        <f t="array" ref="C188:E197" xml:space="preserve"> $N$13:$P$22</f>
        <v>1</v>
      </c>
      <c r="D188" s="51" t="str">
        <v>One</v>
      </c>
      <c r="E188" s="51" t="str">
        <v>!!!</v>
      </c>
      <c r="G188" s="24" t="s">
        <v>151</v>
      </c>
      <c r="H188" s="52">
        <v>1</v>
      </c>
      <c r="J188" s="36" cm="1">
        <f t="array" aca="1" ref="J188:L197" ca="1" xml:space="preserve"> _xlfn.LET(
  _xlpm._inp,_xlfn.ANCHORARRAY( C188),
  _xlpm._byRw, IF( ISBLANK(H188), -1, INT(H188)),
  _xlpm._rows, ROWS(_xlpm._inp),
  _xlpm._cols, COLUMNS(_xlpm._inp),
  _xlpm._arr, IF(_xlpm._byRw &lt; 0, _xlfn.TOCOL(_xlpm._inp), _xlpm._inp),
  _xlpm._idx, IF( _xlpm._byRw &lt;&gt; 0,
    _xlfn.SEQUENCE( ROWS(_xlpm._arr)),
    _xlfn.SEQUENCE( COLUMNS(_xlpm._arr))
  ),
  _xlpm._rnd, IF(H187 = 0, _xlpm._idx, _xlfn.DROP(
    _xlfn.REDUCE(0, _xlpm._idx, _xlfn.LAMBDA(_xlpm._acc,_xlpm._val,
      _xlfn.LET(
        _xlpm._fltr, _xlfn._xlws.FILTER(_xlpm._idx, ISNA(_xlfn.XMATCH(_xlpm._idx, _xlpm._acc))),
        _xlpm._rr, ROWS(_xlpm._fltr),
        _xlfn.VSTACK(_xlpm._acc, INDEX(_xlpm._fltr, RANDBETWEEN(1, _xlpm._rr)))
      )
    )),
  1)),
  _xlpm._rtn, IF(_xlpm._byRw &lt; 0,
    _xlfn.MAKEARRAY(_xlpm._rows, _xlpm._cols, _xlfn.LAMBDA(_xlpm._r,_xlpm._c, INDEX(_xlpm._arr, INDEX(_xlpm._rnd, (_xlpm._r - 1) * _xlpm._cols + _xlpm._c)))),
    IF(_xlpm._byRw,
      _xlfn.MAKEARRAY(_xlpm._rows, _xlpm._cols, _xlfn.LAMBDA(_xlpm._r,_xlpm._c, INDEX(_xlpm._arr, INDEX(_xlpm._rnd, _xlpm._r), _xlpm._c))),
      _xlfn.MAKEARRAY(_xlpm._rows, _xlpm._cols, _xlfn.LAMBDA(_xlpm._r,_xlpm._c, INDEX(_xlpm._arr, _xlpm._r, INDEX(_xlpm._rnd, _xlpm._c))))
    )
  ),
  _xlpm._rtn
)</f>
        <v>3</v>
      </c>
      <c r="K188" s="36" t="str">
        <f ca="1"/>
        <v>Three</v>
      </c>
      <c r="L188" s="36" t="str">
        <f ca="1"/>
        <v>£££</v>
      </c>
      <c r="M188" s="39" t="str" cm="1">
        <f t="array" aca="1" ref="M188:M215" ca="1" xml:space="preserve"> _xlfn.TEXTSPLIT( _xlfn.FORMULATEXT(J188), , CHAR(10))</f>
        <v>= LET(</v>
      </c>
    </row>
    <row r="189" spans="2:13" x14ac:dyDescent="0.3">
      <c r="C189" s="51">
        <v>2</v>
      </c>
      <c r="D189" s="51" t="str">
        <v>Two</v>
      </c>
      <c r="E189" s="51" t="str">
        <v>"""</v>
      </c>
      <c r="J189" s="36">
        <f ca="1"/>
        <v>2</v>
      </c>
      <c r="K189" s="36" t="str">
        <f ca="1"/>
        <v>Two</v>
      </c>
      <c r="L189" s="36" t="str">
        <f ca="1"/>
        <v>"""</v>
      </c>
      <c r="M189" s="39" t="str">
        <f ca="1"/>
        <v xml:space="preserve">  _inp, C188#,</v>
      </c>
    </row>
    <row r="190" spans="2:13" x14ac:dyDescent="0.3">
      <c r="C190" s="51">
        <v>3</v>
      </c>
      <c r="D190" s="51" t="str">
        <v>Three</v>
      </c>
      <c r="E190" s="51" t="str">
        <v>£££</v>
      </c>
      <c r="J190" s="36">
        <f ca="1"/>
        <v>4</v>
      </c>
      <c r="K190" s="36" t="str">
        <f ca="1"/>
        <v>Four</v>
      </c>
      <c r="L190" s="36" t="str">
        <f ca="1"/>
        <v>$$$</v>
      </c>
      <c r="M190" s="39" t="str">
        <f ca="1"/>
        <v xml:space="preserve">  _byRw, IF( ISBLANK(H188), -1, INT(H188)),</v>
      </c>
    </row>
    <row r="191" spans="2:13" x14ac:dyDescent="0.3">
      <c r="C191" s="51">
        <v>4</v>
      </c>
      <c r="D191" s="51" t="str">
        <v>Four</v>
      </c>
      <c r="E191" s="51" t="str">
        <v>$$$</v>
      </c>
      <c r="J191" s="36">
        <f ca="1"/>
        <v>7</v>
      </c>
      <c r="K191" s="36" t="str">
        <f ca="1"/>
        <v>Seven</v>
      </c>
      <c r="L191" s="36" t="str">
        <f ca="1"/>
        <v>&amp;&amp;&amp;</v>
      </c>
      <c r="M191" s="39" t="str">
        <f ca="1"/>
        <v xml:space="preserve">  _rows, ROWS(_inp),</v>
      </c>
    </row>
    <row r="192" spans="2:13" x14ac:dyDescent="0.3">
      <c r="C192" s="51">
        <v>5</v>
      </c>
      <c r="D192" s="51" t="str">
        <v>Five</v>
      </c>
      <c r="E192" s="51" t="str">
        <v>%%%</v>
      </c>
      <c r="J192" s="36">
        <f ca="1"/>
        <v>5</v>
      </c>
      <c r="K192" s="36" t="str">
        <f ca="1"/>
        <v>Five</v>
      </c>
      <c r="L192" s="36" t="str">
        <f ca="1"/>
        <v>%%%</v>
      </c>
      <c r="M192" s="39" t="str">
        <f ca="1"/>
        <v xml:space="preserve">  _cols, COLUMNS(_inp),</v>
      </c>
    </row>
    <row r="193" spans="3:13" x14ac:dyDescent="0.3">
      <c r="C193" s="51">
        <v>6</v>
      </c>
      <c r="D193" s="51" t="str">
        <v>Six</v>
      </c>
      <c r="E193" s="51" t="str">
        <v>^^^</v>
      </c>
      <c r="J193" s="36">
        <f ca="1"/>
        <v>8</v>
      </c>
      <c r="K193" s="36" t="str">
        <f ca="1"/>
        <v>Eight</v>
      </c>
      <c r="L193" s="36" t="str">
        <f ca="1"/>
        <v>***</v>
      </c>
      <c r="M193" s="39" t="str">
        <f ca="1"/>
        <v xml:space="preserve">  _arr, IF(_byRw &lt; 0, TOCOL(_inp), _inp),</v>
      </c>
    </row>
    <row r="194" spans="3:13" x14ac:dyDescent="0.3">
      <c r="C194" s="51">
        <v>7</v>
      </c>
      <c r="D194" s="51" t="str">
        <v>Seven</v>
      </c>
      <c r="E194" s="51" t="str">
        <v>&amp;&amp;&amp;</v>
      </c>
      <c r="J194" s="36">
        <f ca="1"/>
        <v>9</v>
      </c>
      <c r="K194" s="36" t="str">
        <f ca="1"/>
        <v>Nine</v>
      </c>
      <c r="L194" s="36" t="str">
        <f ca="1"/>
        <v>(((</v>
      </c>
      <c r="M194" s="39" t="str">
        <f ca="1"/>
        <v xml:space="preserve">  _idx, IF( _byRw &lt;&gt; 0,</v>
      </c>
    </row>
    <row r="195" spans="3:13" x14ac:dyDescent="0.3">
      <c r="C195" s="51">
        <v>8</v>
      </c>
      <c r="D195" s="51" t="str">
        <v>Eight</v>
      </c>
      <c r="E195" s="51" t="str">
        <v>***</v>
      </c>
      <c r="J195" s="36">
        <f ca="1"/>
        <v>1</v>
      </c>
      <c r="K195" s="36" t="str">
        <f ca="1"/>
        <v>One</v>
      </c>
      <c r="L195" s="36" t="str">
        <f ca="1"/>
        <v>!!!</v>
      </c>
      <c r="M195" s="39" t="str">
        <f ca="1"/>
        <v xml:space="preserve">    SEQUENCE( ROWS(_arr)),</v>
      </c>
    </row>
    <row r="196" spans="3:13" x14ac:dyDescent="0.3">
      <c r="C196" s="51">
        <v>9</v>
      </c>
      <c r="D196" s="51" t="str">
        <v>Nine</v>
      </c>
      <c r="E196" s="51" t="str">
        <v>(((</v>
      </c>
      <c r="J196" s="36">
        <f ca="1"/>
        <v>10</v>
      </c>
      <c r="K196" s="36" t="str">
        <f ca="1"/>
        <v>Ten</v>
      </c>
      <c r="L196" s="36" t="str">
        <f ca="1"/>
        <v>)))</v>
      </c>
      <c r="M196" s="39" t="str">
        <f ca="1"/>
        <v xml:space="preserve">    SEQUENCE( COLUMNS(_arr))</v>
      </c>
    </row>
    <row r="197" spans="3:13" x14ac:dyDescent="0.3">
      <c r="C197" s="51">
        <v>10</v>
      </c>
      <c r="D197" s="51" t="str">
        <v>Ten</v>
      </c>
      <c r="E197" s="51" t="str">
        <v>)))</v>
      </c>
      <c r="J197" s="36">
        <f ca="1"/>
        <v>6</v>
      </c>
      <c r="K197" s="36" t="str">
        <f ca="1"/>
        <v>Six</v>
      </c>
      <c r="L197" s="36" t="str">
        <f ca="1"/>
        <v>^^^</v>
      </c>
      <c r="M197" s="39" t="str">
        <f ca="1"/>
        <v xml:space="preserve">  ),</v>
      </c>
    </row>
    <row r="198" spans="3:13" x14ac:dyDescent="0.3">
      <c r="M198" s="39" t="str">
        <f ca="1"/>
        <v xml:space="preserve">  _rnd, IF(H187 = 0, _idx, DROP(</v>
      </c>
    </row>
    <row r="199" spans="3:13" x14ac:dyDescent="0.3">
      <c r="M199" s="39" t="str">
        <f ca="1"/>
        <v xml:space="preserve">    REDUCE(0, _idx, LAMBDA(_acc,_val,</v>
      </c>
    </row>
    <row r="200" spans="3:13" x14ac:dyDescent="0.3">
      <c r="M200" s="39" t="str">
        <f ca="1"/>
        <v xml:space="preserve">      LET(</v>
      </c>
    </row>
    <row r="201" spans="3:13" x14ac:dyDescent="0.3">
      <c r="M201" s="39" t="str">
        <f ca="1"/>
        <v xml:space="preserve">        _fltr, FILTER(_idx, ISNA(XMATCH(_idx, _acc))),</v>
      </c>
    </row>
    <row r="202" spans="3:13" x14ac:dyDescent="0.3">
      <c r="M202" s="39" t="str">
        <f ca="1"/>
        <v xml:space="preserve">        _rr, ROWS(_fltr),</v>
      </c>
    </row>
    <row r="203" spans="3:13" x14ac:dyDescent="0.3">
      <c r="M203" s="39" t="str">
        <f ca="1"/>
        <v xml:space="preserve">        VSTACK(_acc, INDEX(_fltr, RANDBETWEEN(1, _rr)))</v>
      </c>
    </row>
    <row r="204" spans="3:13" x14ac:dyDescent="0.3">
      <c r="M204" s="39" t="str">
        <f ca="1"/>
        <v xml:space="preserve">      )</v>
      </c>
    </row>
    <row r="205" spans="3:13" x14ac:dyDescent="0.3">
      <c r="M205" s="39" t="str">
        <f ca="1"/>
        <v xml:space="preserve">    )),</v>
      </c>
    </row>
    <row r="206" spans="3:13" x14ac:dyDescent="0.3">
      <c r="M206" s="39" t="str">
        <f ca="1"/>
        <v xml:space="preserve">  1)),</v>
      </c>
    </row>
    <row r="207" spans="3:13" x14ac:dyDescent="0.3">
      <c r="M207" s="39" t="str">
        <f ca="1"/>
        <v xml:space="preserve">  _rtn, IF(_byRw &lt; 0,</v>
      </c>
    </row>
    <row r="208" spans="3:13" x14ac:dyDescent="0.3">
      <c r="M208" s="39" t="str">
        <f ca="1"/>
        <v xml:space="preserve">    MAKEARRAY(_rows, _cols, LAMBDA(_r,_c, INDEX(_arr, INDEX(_rnd, (_r - 1) * _cols + _c)))),</v>
      </c>
    </row>
    <row r="209" spans="2:13" x14ac:dyDescent="0.3">
      <c r="M209" s="39" t="str">
        <f ca="1"/>
        <v xml:space="preserve">    IF(_byRw,</v>
      </c>
    </row>
    <row r="210" spans="2:13" x14ac:dyDescent="0.3">
      <c r="M210" s="39" t="str">
        <f ca="1"/>
        <v xml:space="preserve">      MAKEARRAY(_rows, _cols, LAMBDA(_r,_c, INDEX(_arr, INDEX(_rnd, _r), _c))),</v>
      </c>
    </row>
    <row r="211" spans="2:13" x14ac:dyDescent="0.3">
      <c r="M211" s="39" t="str">
        <f ca="1"/>
        <v xml:space="preserve">      MAKEARRAY(_rows, _cols, LAMBDA(_r,_c, INDEX(_arr, _r, INDEX(_rnd, _c))))</v>
      </c>
    </row>
    <row r="212" spans="2:13" x14ac:dyDescent="0.3">
      <c r="M212" s="39" t="str">
        <f ca="1"/>
        <v xml:space="preserve">    )</v>
      </c>
    </row>
    <row r="213" spans="2:13" x14ac:dyDescent="0.3">
      <c r="M213" s="39" t="str">
        <f ca="1"/>
        <v xml:space="preserve">  ),</v>
      </c>
    </row>
    <row r="214" spans="2:13" x14ac:dyDescent="0.3">
      <c r="M214" s="39" t="str">
        <f ca="1"/>
        <v xml:space="preserve">  _rtn</v>
      </c>
    </row>
    <row r="215" spans="2:13" x14ac:dyDescent="0.3">
      <c r="M215" s="39" t="str">
        <f ca="1"/>
        <v>)</v>
      </c>
    </row>
    <row r="217" spans="2:13" x14ac:dyDescent="0.3">
      <c r="B217" s="10" t="str" cm="1">
        <f t="array" ref="B217" xml:space="preserve"> "(" &amp; _xlfn.UNICHAR( 65 + SUMPRODUCT(--(_xlfn.REGEXTEST(B$1:B216, "^\([A-Z]\)$")))) &amp; ")"</f>
        <v>(F)</v>
      </c>
      <c r="C217" s="3" t="s">
        <v>153</v>
      </c>
    </row>
    <row r="219" spans="2:13" x14ac:dyDescent="0.3">
      <c r="C219" s="43" t="s">
        <v>102</v>
      </c>
      <c r="D219" s="53" cm="1">
        <f t="array" ref="D219:M221" xml:space="preserve"> $I$25:$R$27</f>
        <v>1</v>
      </c>
      <c r="E219" s="51">
        <v>2</v>
      </c>
      <c r="F219" s="51">
        <v>3</v>
      </c>
      <c r="G219" s="51">
        <v>4</v>
      </c>
      <c r="H219" s="51">
        <v>5</v>
      </c>
      <c r="I219" s="51">
        <v>6</v>
      </c>
      <c r="J219" s="51">
        <v>7</v>
      </c>
      <c r="K219" s="51">
        <v>8</v>
      </c>
      <c r="L219" s="51">
        <v>9</v>
      </c>
      <c r="M219" s="51">
        <v>10</v>
      </c>
    </row>
    <row r="220" spans="2:13" x14ac:dyDescent="0.3">
      <c r="C220" s="43"/>
      <c r="D220" s="53" t="str">
        <v>One</v>
      </c>
      <c r="E220" s="51" t="str">
        <v>Two</v>
      </c>
      <c r="F220" s="51" t="str">
        <v>Three</v>
      </c>
      <c r="G220" s="51" t="str">
        <v>Four</v>
      </c>
      <c r="H220" s="51" t="str">
        <v>Five</v>
      </c>
      <c r="I220" s="51" t="str">
        <v>Six</v>
      </c>
      <c r="J220" s="51" t="str">
        <v>Seven</v>
      </c>
      <c r="K220" s="51" t="str">
        <v>Eight</v>
      </c>
      <c r="L220" s="51" t="str">
        <v>Nine</v>
      </c>
      <c r="M220" s="51" t="str">
        <v>Ten</v>
      </c>
    </row>
    <row r="221" spans="2:13" x14ac:dyDescent="0.3">
      <c r="C221" s="43"/>
      <c r="D221" s="53" t="str">
        <v>!!!</v>
      </c>
      <c r="E221" s="51" t="str">
        <v>"""</v>
      </c>
      <c r="F221" s="51" t="str">
        <v>£££</v>
      </c>
      <c r="G221" s="51" t="str">
        <v>$$$</v>
      </c>
      <c r="H221" s="51" t="str">
        <v>%%%</v>
      </c>
      <c r="I221" s="51" t="str">
        <v>^^^</v>
      </c>
      <c r="J221" s="51" t="str">
        <v>&amp;&amp;&amp;</v>
      </c>
      <c r="K221" s="51" t="str">
        <v>***</v>
      </c>
      <c r="L221" s="51" t="str">
        <v>(((</v>
      </c>
      <c r="M221" s="51" t="str">
        <v>)))</v>
      </c>
    </row>
    <row r="223" spans="2:13" x14ac:dyDescent="0.3">
      <c r="C223" s="24" t="s">
        <v>148</v>
      </c>
      <c r="D223" s="50">
        <v>1</v>
      </c>
    </row>
    <row r="224" spans="2:13" x14ac:dyDescent="0.3">
      <c r="C224" s="24" t="s">
        <v>151</v>
      </c>
      <c r="D224" s="52">
        <v>0</v>
      </c>
    </row>
    <row r="226" spans="2:20" x14ac:dyDescent="0.3">
      <c r="C226" s="43" t="s">
        <v>106</v>
      </c>
      <c r="D226" s="36" cm="1">
        <f t="array" aca="1" ref="D226:M228" ca="1" xml:space="preserve"> _xlfn.LET(
  _xlpm._inp,_xlfn.ANCHORARRAY( D219),
  _xlpm._byRw, IF( ISBLANK(D224), -1, INT(D224)),
  _xlpm._rows, ROWS(_xlpm._inp),
  _xlpm._cols, COLUMNS(_xlpm._inp),
  _xlpm._arr, IF(_xlpm._byRw &lt; 0, _xlfn.TOCOL(_xlpm._inp), _xlpm._inp),
  _xlpm._idx, IF( _xlpm._byRw &lt;&gt; 0,
    _xlfn.SEQUENCE( ROWS(_xlpm._arr)),
    _xlfn.SEQUENCE( COLUMNS(_xlpm._arr))
  ),
  _xlpm._rnd, IF(D223 = 0, _xlpm._idx, _xlfn.DROP(
    _xlfn.REDUCE(0, _xlpm._idx, _xlfn.LAMBDA(_xlpm._acc,_xlpm._val,
      _xlfn.LET(
        _xlpm._fltr, _xlfn._xlws.FILTER(_xlpm._idx, ISNA(_xlfn.XMATCH(_xlpm._idx, _xlpm._acc))),
        _xlpm._rr, ROWS(_xlpm._fltr),
        _xlfn.VSTACK(_xlpm._acc, INDEX(_xlpm._fltr, RANDBETWEEN(1, _xlpm._rr)))
      )
    )),
  1)),
  _xlpm._rtn, IF(_xlpm._byRw &lt; 0,
    _xlfn.MAKEARRAY(_xlpm._rows, _xlpm._cols, _xlfn.LAMBDA(_xlpm._r,_xlpm._c, INDEX(_xlpm._arr, INDEX(_xlpm._rnd, (_xlpm._r - 1) * _xlpm._cols + _xlpm._c)))),
    IF(_xlpm._byRw,
      _xlfn.MAKEARRAY(_xlpm._rows, _xlpm._cols, _xlfn.LAMBDA(_xlpm._r,_xlpm._c, INDEX(_xlpm._arr, INDEX(_xlpm._rnd, _xlpm._r), _xlpm._c))),
      _xlfn.MAKEARRAY(_xlpm._rows, _xlpm._cols, _xlfn.LAMBDA(_xlpm._r,_xlpm._c, INDEX(_xlpm._arr, _xlpm._r, INDEX(_xlpm._rnd, _xlpm._c))))
    )
  ),
  _xlpm._rtn
)</f>
        <v>4</v>
      </c>
      <c r="E226" s="36">
        <f ca="1"/>
        <v>10</v>
      </c>
      <c r="F226" s="36">
        <f ca="1"/>
        <v>8</v>
      </c>
      <c r="G226" s="36">
        <f ca="1"/>
        <v>2</v>
      </c>
      <c r="H226" s="36">
        <f ca="1"/>
        <v>7</v>
      </c>
      <c r="I226" s="36">
        <f ca="1"/>
        <v>9</v>
      </c>
      <c r="J226" s="36">
        <f ca="1"/>
        <v>6</v>
      </c>
      <c r="K226" s="36">
        <f ca="1"/>
        <v>3</v>
      </c>
      <c r="L226" s="36">
        <f ca="1"/>
        <v>5</v>
      </c>
      <c r="M226" s="36">
        <f ca="1"/>
        <v>1</v>
      </c>
    </row>
    <row r="227" spans="2:20" x14ac:dyDescent="0.3">
      <c r="C227" s="43"/>
      <c r="D227" s="36" t="str">
        <f ca="1"/>
        <v>Four</v>
      </c>
      <c r="E227" s="36" t="str">
        <f ca="1"/>
        <v>Ten</v>
      </c>
      <c r="F227" s="36" t="str">
        <f ca="1"/>
        <v>Eight</v>
      </c>
      <c r="G227" s="36" t="str">
        <f ca="1"/>
        <v>Two</v>
      </c>
      <c r="H227" s="36" t="str">
        <f ca="1"/>
        <v>Seven</v>
      </c>
      <c r="I227" s="36" t="str">
        <f ca="1"/>
        <v>Nine</v>
      </c>
      <c r="J227" s="36" t="str">
        <f ca="1"/>
        <v>Six</v>
      </c>
      <c r="K227" s="36" t="str">
        <f ca="1"/>
        <v>Three</v>
      </c>
      <c r="L227" s="36" t="str">
        <f ca="1"/>
        <v>Five</v>
      </c>
      <c r="M227" s="36" t="str">
        <f ca="1"/>
        <v>One</v>
      </c>
    </row>
    <row r="228" spans="2:20" x14ac:dyDescent="0.3">
      <c r="C228" s="43"/>
      <c r="D228" s="36" t="str">
        <f ca="1"/>
        <v>$$$</v>
      </c>
      <c r="E228" s="36" t="str">
        <f ca="1"/>
        <v>)))</v>
      </c>
      <c r="F228" s="36" t="str">
        <f ca="1"/>
        <v>***</v>
      </c>
      <c r="G228" s="36" t="str">
        <f ca="1"/>
        <v>"""</v>
      </c>
      <c r="H228" s="36" t="str">
        <f ca="1"/>
        <v>&amp;&amp;&amp;</v>
      </c>
      <c r="I228" s="36" t="str">
        <f ca="1"/>
        <v>(((</v>
      </c>
      <c r="J228" s="36" t="str">
        <f ca="1"/>
        <v>^^^</v>
      </c>
      <c r="K228" s="36" t="str">
        <f ca="1"/>
        <v>£££</v>
      </c>
      <c r="L228" s="36" t="str">
        <f ca="1"/>
        <v>%%%</v>
      </c>
      <c r="M228" s="36" t="str">
        <f ca="1"/>
        <v>!!!</v>
      </c>
    </row>
    <row r="231" spans="2:20" x14ac:dyDescent="0.3">
      <c r="B231" s="8" t="s">
        <v>156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3" spans="2:20" x14ac:dyDescent="0.3">
      <c r="B233" s="10" t="str" cm="1">
        <f t="array" ref="B233" xml:space="preserve"> "(" &amp; _xlfn.UNICHAR( 65 + SUMPRODUCT(--(_xlfn.REGEXTEST(B$1:B232, "^\([A-Z]\)$")))) &amp; ")"</f>
        <v>(G)</v>
      </c>
      <c r="C233" s="3" t="s">
        <v>157</v>
      </c>
    </row>
    <row r="234" spans="2:20" x14ac:dyDescent="0.3">
      <c r="F234" s="56" t="s">
        <v>106</v>
      </c>
    </row>
    <row r="235" spans="2:20" x14ac:dyDescent="0.3">
      <c r="C235" s="24" t="s">
        <v>151</v>
      </c>
      <c r="D235" s="37" t="b">
        <v>1</v>
      </c>
      <c r="F235" s="36" t="str">
        <f xml:space="preserve"> _xlfn.LET(
  _xlpm.array, D236:D237,
  _xlpm.by_row, D235,
  _xlpm._byRw, IF( ISBLANK(_xlpm.by_row), -1, INT(_xlpm.by_row)),
  _xlpm._inpChk, IF(
    AND(
      ROWS(_xlpm.array) &lt;= 1, COLUMNS(_xlpm.array) &lt;= 1
    ), 2, IF(
    OR(
      NOT(ISNUMBER(_xlpm._byRw)),
      _xlpm._byRw &lt; -1, _xlpm._byRw &gt; 1
    ), 3, 1)
  ),
  CHOOSE(_xlpm._inpChk, "OK", _xlfn.LAMBDA(0), #VALUE!)
)</f>
        <v>OK</v>
      </c>
      <c r="G235" s="39" t="str" cm="1">
        <f t="array" aca="1" ref="G235:G249" ca="1" xml:space="preserve"> _xlfn.TEXTSPLIT( _xlfn.FORMULATEXT(F235), , CHAR(10))</f>
        <v>= LET(</v>
      </c>
    </row>
    <row r="236" spans="2:20" x14ac:dyDescent="0.3">
      <c r="F236" s="57"/>
      <c r="G236" s="39" t="str">
        <f ca="1"/>
        <v xml:space="preserve">  array, D236:D237,</v>
      </c>
    </row>
    <row r="237" spans="2:20" x14ac:dyDescent="0.3">
      <c r="G237" s="39" t="str">
        <f ca="1"/>
        <v xml:space="preserve">  by_row, D235,</v>
      </c>
    </row>
    <row r="238" spans="2:20" x14ac:dyDescent="0.3">
      <c r="G238" s="39" t="str">
        <f ca="1"/>
        <v xml:space="preserve">  _byRw, IF( ISBLANK(by_row), -1, INT(by_row)),</v>
      </c>
    </row>
    <row r="239" spans="2:20" x14ac:dyDescent="0.3">
      <c r="G239" s="39" t="str">
        <f ca="1"/>
        <v xml:space="preserve">  _inpChk, IF(</v>
      </c>
    </row>
    <row r="240" spans="2:20" x14ac:dyDescent="0.3">
      <c r="G240" s="39" t="str">
        <f ca="1"/>
        <v xml:space="preserve">    AND(</v>
      </c>
    </row>
    <row r="241" spans="2:13" x14ac:dyDescent="0.3">
      <c r="G241" s="39" t="str">
        <f ca="1"/>
        <v xml:space="preserve">      ROWS(array) &lt;= 1, COLUMNS(array) &lt;= 1</v>
      </c>
    </row>
    <row r="242" spans="2:13" x14ac:dyDescent="0.3">
      <c r="G242" s="39" t="str">
        <f ca="1"/>
        <v xml:space="preserve">    ), 2, IF(</v>
      </c>
    </row>
    <row r="243" spans="2:13" x14ac:dyDescent="0.3">
      <c r="G243" s="39" t="str">
        <f ca="1"/>
        <v xml:space="preserve">    OR(</v>
      </c>
    </row>
    <row r="244" spans="2:13" x14ac:dyDescent="0.3">
      <c r="G244" s="39" t="str">
        <f ca="1"/>
        <v xml:space="preserve">      NOT(ISNUMBER(_byRw)),</v>
      </c>
    </row>
    <row r="245" spans="2:13" x14ac:dyDescent="0.3">
      <c r="G245" s="39" t="str">
        <f ca="1"/>
        <v xml:space="preserve">      _byRw &lt; -1, _byRw &gt; 1</v>
      </c>
    </row>
    <row r="246" spans="2:13" x14ac:dyDescent="0.3">
      <c r="G246" s="39" t="str">
        <f ca="1"/>
        <v xml:space="preserve">    ), 3, 1)</v>
      </c>
    </row>
    <row r="247" spans="2:13" x14ac:dyDescent="0.3">
      <c r="G247" s="39" t="str">
        <f ca="1"/>
        <v xml:space="preserve">  ),</v>
      </c>
    </row>
    <row r="248" spans="2:13" x14ac:dyDescent="0.3">
      <c r="G248" s="39" t="str">
        <f ca="1"/>
        <v xml:space="preserve">  CHOOSE(_inpChk, "OK", LAMBDA(0), #VALUE!)</v>
      </c>
    </row>
    <row r="249" spans="2:13" x14ac:dyDescent="0.3">
      <c r="G249" s="39" t="str">
        <f ca="1"/>
        <v>)</v>
      </c>
    </row>
    <row r="251" spans="2:13" x14ac:dyDescent="0.3">
      <c r="B251" s="10" t="str" cm="1">
        <f t="array" ref="B251" xml:space="preserve"> "(" &amp; _xlfn.UNICHAR( 65 + SUMPRODUCT(--(_xlfn.REGEXTEST(B$1:B250, "^\([A-Z]\)$")))) &amp; ")"</f>
        <v>(H)</v>
      </c>
      <c r="C251" s="3" t="s">
        <v>158</v>
      </c>
    </row>
    <row r="253" spans="2:13" ht="14.4" thickBot="1" x14ac:dyDescent="0.35">
      <c r="C253" s="18" t="s">
        <v>102</v>
      </c>
      <c r="D253" s="18"/>
      <c r="E253" s="18"/>
      <c r="J253" s="18" t="s">
        <v>106</v>
      </c>
      <c r="K253" s="18"/>
      <c r="L253" s="18"/>
    </row>
    <row r="254" spans="2:13" x14ac:dyDescent="0.3">
      <c r="C254" s="55" cm="1">
        <f t="array" ref="C254:E263" xml:space="preserve"> $N$13:$P$22</f>
        <v>1</v>
      </c>
      <c r="D254" s="55" t="str">
        <v>One</v>
      </c>
      <c r="E254" s="55" t="str">
        <v>!!!</v>
      </c>
      <c r="G254" s="24" t="s">
        <v>151</v>
      </c>
      <c r="H254" s="52">
        <v>1</v>
      </c>
      <c r="J254" s="34" cm="1">
        <f t="array" aca="1" ref="J254:L263" ca="1" xml:space="preserve"> _xlfn.LAMBDA(_xlpm.array,_xlop.by_row,
  _xlfn.LET(
    _xlpm._inp, _xlpm.array,
    _xlpm._rows, ROWS(_xlpm._inp),
    _xlpm._cols, COLUMNS(_xlpm._inp),
    _xlpm._byRw, IF( _xlfn.ISOMITTED(_xlpm.by_row), -1, INT(_xlpm.by_row)),
    _xlpm._inpChk, IF(
      AND(
        ROWS(_xlpm._inp) &lt;= 1, COLUMNS(_xlpm._inp) &lt;= 1
      ), 2, IF(
      OR(
        NOT(ISNUMBER(_xlpm._byRw)),
        _xlpm._byRw &lt; -1, _xlpm._byRw &gt; 1
      ), 3, 1)
    ),
    _xlpm._arr, IF(_xlpm._byRw &lt; 0, _xlfn.TOCOL(_xlpm._inp), _xlpm._inp),
    _xlpm._idx, IF(_xlpm._byRw = 0,
      _xlfn.SEQUENCE( COLUMNS(_xlpm._arr)),
      _xlfn.SEQUENCE( ROWS(_xlpm._arr))
    ),
    _xlpm._rnd, _xlfn.DROP(
      _xlfn.REDUCE(0, _xlpm._idx, _xlfn.LAMBDA(_xlpm._acc,_xlpm._val,
        _xlfn.LET(
          _xlpm._fltr, _xlfn._xlws.FILTER(_xlpm._idx, ISNA(_xlfn.XMATCH(_xlpm._idx, _xlpm._acc))),
          _xlpm._rr, ROWS(_xlpm._fltr),
          _xlfn.VSTACK(_xlpm._acc, INDEX(_xlpm._fltr, RANDBETWEEN(1, _xlpm._rr)))
        )
      )),
    1),
    _xlpm._rtn, IF(_xlpm._byRw &lt; 0,
      _xlfn.MAKEARRAY(_xlpm._rows, _xlpm._cols, _xlfn.LAMBDA(_xlpm._r,_xlpm._c, INDEX(_xlpm._arr, INDEX(_xlpm._rnd, (_xlpm._r - 1) * _xlpm._cols + _xlpm._c)))),
      IF(_xlpm._byRw,
        _xlfn.MAKEARRAY(_xlpm._rows, _xlpm._cols, _xlfn.LAMBDA(_xlpm._r,_xlpm._c, INDEX(_xlpm._arr, INDEX(_xlpm._rnd, _xlpm._r), _xlpm._c))),
        _xlfn.MAKEARRAY(_xlpm._rows, _xlpm._cols, _xlfn.LAMBDA(_xlpm._r,_xlpm._c, INDEX(_xlpm._arr, _xlpm._r, INDEX(_xlpm._rnd, _xlpm._c))))
      )
    ),
    CHOOSE(_xlpm._inpChk, _xlpm._rtn, _xlfn.LAMBDA(0), #VALUE!)
  )
)(_xlfn.ANCHORARRAY(C254), H254)</f>
        <v>3</v>
      </c>
      <c r="K254" s="34" t="str">
        <f ca="1"/>
        <v>Three</v>
      </c>
      <c r="L254" s="34" t="str">
        <f ca="1"/>
        <v>£££</v>
      </c>
      <c r="M254" s="39" t="str" cm="1">
        <f t="array" aca="1" ref="M254:M292" ca="1" xml:space="preserve"> _xlfn.TEXTSPLIT( _xlfn.FORMULATEXT(J254), , CHAR(10))</f>
        <v>= LAMBDA(array,[by_row],</v>
      </c>
    </row>
    <row r="255" spans="2:13" x14ac:dyDescent="0.3">
      <c r="C255" s="54">
        <v>2</v>
      </c>
      <c r="D255" s="54" t="str">
        <v>Two</v>
      </c>
      <c r="E255" s="54" t="str">
        <v>"""</v>
      </c>
      <c r="J255" s="34">
        <f ca="1"/>
        <v>7</v>
      </c>
      <c r="K255" s="34" t="str">
        <f ca="1"/>
        <v>Seven</v>
      </c>
      <c r="L255" s="34" t="str">
        <f ca="1"/>
        <v>&amp;&amp;&amp;</v>
      </c>
      <c r="M255" s="39" t="str">
        <f ca="1"/>
        <v xml:space="preserve">  LET(</v>
      </c>
    </row>
    <row r="256" spans="2:13" x14ac:dyDescent="0.3">
      <c r="C256" s="54">
        <v>3</v>
      </c>
      <c r="D256" s="54" t="str">
        <v>Three</v>
      </c>
      <c r="E256" s="54" t="str">
        <v>£££</v>
      </c>
      <c r="J256" s="34">
        <f ca="1"/>
        <v>8</v>
      </c>
      <c r="K256" s="34" t="str">
        <f ca="1"/>
        <v>Eight</v>
      </c>
      <c r="L256" s="34" t="str">
        <f ca="1"/>
        <v>***</v>
      </c>
      <c r="M256" s="39" t="str">
        <f ca="1"/>
        <v xml:space="preserve">    _inp, array,</v>
      </c>
    </row>
    <row r="257" spans="3:13" x14ac:dyDescent="0.3">
      <c r="C257" s="54">
        <v>4</v>
      </c>
      <c r="D257" s="54" t="str">
        <v>Four</v>
      </c>
      <c r="E257" s="54" t="str">
        <v>$$$</v>
      </c>
      <c r="J257" s="34">
        <f ca="1"/>
        <v>5</v>
      </c>
      <c r="K257" s="34" t="str">
        <f ca="1"/>
        <v>Five</v>
      </c>
      <c r="L257" s="34" t="str">
        <f ca="1"/>
        <v>%%%</v>
      </c>
      <c r="M257" s="39" t="str">
        <f ca="1"/>
        <v xml:space="preserve">    _rows, ROWS(_inp),</v>
      </c>
    </row>
    <row r="258" spans="3:13" x14ac:dyDescent="0.3">
      <c r="C258" s="54">
        <v>5</v>
      </c>
      <c r="D258" s="54" t="str">
        <v>Five</v>
      </c>
      <c r="E258" s="54" t="str">
        <v>%%%</v>
      </c>
      <c r="J258" s="34">
        <f ca="1"/>
        <v>10</v>
      </c>
      <c r="K258" s="34" t="str">
        <f ca="1"/>
        <v>Ten</v>
      </c>
      <c r="L258" s="34" t="str">
        <f ca="1"/>
        <v>)))</v>
      </c>
      <c r="M258" s="39" t="str">
        <f ca="1"/>
        <v xml:space="preserve">    _cols, COLUMNS(_inp),</v>
      </c>
    </row>
    <row r="259" spans="3:13" x14ac:dyDescent="0.3">
      <c r="C259" s="54">
        <v>6</v>
      </c>
      <c r="D259" s="54" t="str">
        <v>Six</v>
      </c>
      <c r="E259" s="54" t="str">
        <v>^^^</v>
      </c>
      <c r="J259" s="34">
        <f ca="1"/>
        <v>9</v>
      </c>
      <c r="K259" s="34" t="str">
        <f ca="1"/>
        <v>Nine</v>
      </c>
      <c r="L259" s="34" t="str">
        <f ca="1"/>
        <v>(((</v>
      </c>
      <c r="M259" s="39" t="str">
        <f ca="1"/>
        <v xml:space="preserve">    _byRw, IF( ISOMITTED(by_row), -1, INT(by_row)),</v>
      </c>
    </row>
    <row r="260" spans="3:13" x14ac:dyDescent="0.3">
      <c r="C260" s="54">
        <v>7</v>
      </c>
      <c r="D260" s="54" t="str">
        <v>Seven</v>
      </c>
      <c r="E260" s="54" t="str">
        <v>&amp;&amp;&amp;</v>
      </c>
      <c r="J260" s="34">
        <f ca="1"/>
        <v>6</v>
      </c>
      <c r="K260" s="34" t="str">
        <f ca="1"/>
        <v>Six</v>
      </c>
      <c r="L260" s="34" t="str">
        <f ca="1"/>
        <v>^^^</v>
      </c>
      <c r="M260" s="39" t="str">
        <f ca="1"/>
        <v xml:space="preserve">    _inpChk, IF(</v>
      </c>
    </row>
    <row r="261" spans="3:13" x14ac:dyDescent="0.3">
      <c r="C261" s="54">
        <v>8</v>
      </c>
      <c r="D261" s="54" t="str">
        <v>Eight</v>
      </c>
      <c r="E261" s="54" t="str">
        <v>***</v>
      </c>
      <c r="J261" s="34">
        <f ca="1"/>
        <v>4</v>
      </c>
      <c r="K261" s="34" t="str">
        <f ca="1"/>
        <v>Four</v>
      </c>
      <c r="L261" s="34" t="str">
        <f ca="1"/>
        <v>$$$</v>
      </c>
      <c r="M261" s="39" t="str">
        <f ca="1"/>
        <v xml:space="preserve">      AND(</v>
      </c>
    </row>
    <row r="262" spans="3:13" x14ac:dyDescent="0.3">
      <c r="C262" s="54">
        <v>9</v>
      </c>
      <c r="D262" s="54" t="str">
        <v>Nine</v>
      </c>
      <c r="E262" s="54" t="str">
        <v>(((</v>
      </c>
      <c r="J262" s="34">
        <f ca="1"/>
        <v>1</v>
      </c>
      <c r="K262" s="34" t="str">
        <f ca="1"/>
        <v>One</v>
      </c>
      <c r="L262" s="34" t="str">
        <f ca="1"/>
        <v>!!!</v>
      </c>
      <c r="M262" s="39" t="str">
        <f ca="1"/>
        <v xml:space="preserve">        ROWS(_inp) &lt;= 1, COLUMNS(_inp) &lt;= 1</v>
      </c>
    </row>
    <row r="263" spans="3:13" x14ac:dyDescent="0.3">
      <c r="C263" s="54">
        <v>10</v>
      </c>
      <c r="D263" s="54" t="str">
        <v>Ten</v>
      </c>
      <c r="E263" s="54" t="str">
        <v>)))</v>
      </c>
      <c r="J263" s="34">
        <f ca="1"/>
        <v>2</v>
      </c>
      <c r="K263" s="34" t="str">
        <f ca="1"/>
        <v>Two</v>
      </c>
      <c r="L263" s="34" t="str">
        <f ca="1"/>
        <v>"""</v>
      </c>
      <c r="M263" s="39" t="str">
        <f ca="1"/>
        <v xml:space="preserve">      ), 2, IF(</v>
      </c>
    </row>
    <row r="264" spans="3:13" x14ac:dyDescent="0.3">
      <c r="M264" s="39" t="str">
        <f ca="1"/>
        <v xml:space="preserve">      OR(</v>
      </c>
    </row>
    <row r="265" spans="3:13" x14ac:dyDescent="0.3">
      <c r="M265" s="39" t="str">
        <f ca="1"/>
        <v xml:space="preserve">        NOT(ISNUMBER(_byRw)),</v>
      </c>
    </row>
    <row r="266" spans="3:13" x14ac:dyDescent="0.3">
      <c r="M266" s="39" t="str">
        <f ca="1"/>
        <v xml:space="preserve">        _byRw &lt; -1, _byRw &gt; 1</v>
      </c>
    </row>
    <row r="267" spans="3:13" x14ac:dyDescent="0.3">
      <c r="M267" s="39" t="str">
        <f ca="1"/>
        <v xml:space="preserve">      ), 3, 1)</v>
      </c>
    </row>
    <row r="268" spans="3:13" x14ac:dyDescent="0.3">
      <c r="M268" s="39" t="str">
        <f ca="1"/>
        <v xml:space="preserve">    ),</v>
      </c>
    </row>
    <row r="269" spans="3:13" x14ac:dyDescent="0.3">
      <c r="M269" s="39" t="str">
        <f ca="1"/>
        <v xml:space="preserve">    _arr, IF(_byRw &lt; 0, TOCOL(_inp), _inp),</v>
      </c>
    </row>
    <row r="270" spans="3:13" x14ac:dyDescent="0.3">
      <c r="M270" s="39" t="str">
        <f ca="1"/>
        <v xml:space="preserve">    _idx, IF(_byRw = 0,</v>
      </c>
    </row>
    <row r="271" spans="3:13" x14ac:dyDescent="0.3">
      <c r="M271" s="39" t="str">
        <f ca="1"/>
        <v xml:space="preserve">      SEQUENCE( COLUMNS(_arr)),</v>
      </c>
    </row>
    <row r="272" spans="3:13" x14ac:dyDescent="0.3">
      <c r="M272" s="39" t="str">
        <f ca="1"/>
        <v xml:space="preserve">      SEQUENCE( ROWS(_arr))</v>
      </c>
    </row>
    <row r="273" spans="13:13" x14ac:dyDescent="0.3">
      <c r="M273" s="39" t="str">
        <f ca="1"/>
        <v xml:space="preserve">    ),</v>
      </c>
    </row>
    <row r="274" spans="13:13" x14ac:dyDescent="0.3">
      <c r="M274" s="39" t="str">
        <f ca="1"/>
        <v xml:space="preserve">    _rnd, DROP(</v>
      </c>
    </row>
    <row r="275" spans="13:13" x14ac:dyDescent="0.3">
      <c r="M275" s="39" t="str">
        <f ca="1"/>
        <v xml:space="preserve">      REDUCE(0, _idx, LAMBDA(_acc,_val,</v>
      </c>
    </row>
    <row r="276" spans="13:13" x14ac:dyDescent="0.3">
      <c r="M276" s="39" t="str">
        <f ca="1"/>
        <v xml:space="preserve">        LET(</v>
      </c>
    </row>
    <row r="277" spans="13:13" x14ac:dyDescent="0.3">
      <c r="M277" s="39" t="str">
        <f ca="1"/>
        <v xml:space="preserve">          _fltr, FILTER(_idx, ISNA(XMATCH(_idx, _acc))),</v>
      </c>
    </row>
    <row r="278" spans="13:13" x14ac:dyDescent="0.3">
      <c r="M278" s="39" t="str">
        <f ca="1"/>
        <v xml:space="preserve">          _rr, ROWS(_fltr),</v>
      </c>
    </row>
    <row r="279" spans="13:13" x14ac:dyDescent="0.3">
      <c r="M279" s="39" t="str">
        <f ca="1"/>
        <v xml:space="preserve">          VSTACK(_acc, INDEX(_fltr, RANDBETWEEN(1, _rr)))</v>
      </c>
    </row>
    <row r="280" spans="13:13" x14ac:dyDescent="0.3">
      <c r="M280" s="39" t="str">
        <f ca="1"/>
        <v xml:space="preserve">        )</v>
      </c>
    </row>
    <row r="281" spans="13:13" x14ac:dyDescent="0.3">
      <c r="M281" s="39" t="str">
        <f ca="1"/>
        <v xml:space="preserve">      )),</v>
      </c>
    </row>
    <row r="282" spans="13:13" x14ac:dyDescent="0.3">
      <c r="M282" s="39" t="str">
        <f ca="1"/>
        <v xml:space="preserve">    1),</v>
      </c>
    </row>
    <row r="283" spans="13:13" x14ac:dyDescent="0.3">
      <c r="M283" s="39" t="str">
        <f ca="1"/>
        <v xml:space="preserve">    _rtn, IF(_byRw &lt; 0,</v>
      </c>
    </row>
    <row r="284" spans="13:13" x14ac:dyDescent="0.3">
      <c r="M284" s="39" t="str">
        <f ca="1"/>
        <v xml:space="preserve">      MAKEARRAY(_rows, _cols, LAMBDA(_r,_c, INDEX(_arr, INDEX(_rnd, (_r - 1) * _cols + _c)))),</v>
      </c>
    </row>
    <row r="285" spans="13:13" x14ac:dyDescent="0.3">
      <c r="M285" s="39" t="str">
        <f ca="1"/>
        <v xml:space="preserve">      IF(_byRw,</v>
      </c>
    </row>
    <row r="286" spans="13:13" x14ac:dyDescent="0.3">
      <c r="M286" s="39" t="str">
        <f ca="1"/>
        <v xml:space="preserve">        MAKEARRAY(_rows, _cols, LAMBDA(_r,_c, INDEX(_arr, INDEX(_rnd, _r), _c))),</v>
      </c>
    </row>
    <row r="287" spans="13:13" x14ac:dyDescent="0.3">
      <c r="M287" s="39" t="str">
        <f ca="1"/>
        <v xml:space="preserve">        MAKEARRAY(_rows, _cols, LAMBDA(_r,_c, INDEX(_arr, _r, INDEX(_rnd, _c))))</v>
      </c>
    </row>
    <row r="288" spans="13:13" x14ac:dyDescent="0.3">
      <c r="M288" s="39" t="str">
        <f ca="1"/>
        <v xml:space="preserve">      )</v>
      </c>
    </row>
    <row r="289" spans="2:13" x14ac:dyDescent="0.3">
      <c r="M289" s="39" t="str">
        <f ca="1"/>
        <v xml:space="preserve">    ),</v>
      </c>
    </row>
    <row r="290" spans="2:13" x14ac:dyDescent="0.3">
      <c r="M290" s="39" t="str">
        <f ca="1"/>
        <v xml:space="preserve">    CHOOSE(_inpChk, _rtn, LAMBDA(0), #VALUE!)</v>
      </c>
    </row>
    <row r="291" spans="2:13" x14ac:dyDescent="0.3">
      <c r="M291" s="39" t="str">
        <f ca="1"/>
        <v xml:space="preserve">  )</v>
      </c>
    </row>
    <row r="292" spans="2:13" x14ac:dyDescent="0.3">
      <c r="M292" s="39" t="str">
        <f ca="1"/>
        <v>)(C254#, H254)</v>
      </c>
    </row>
    <row r="295" spans="2:13" s="5" customFormat="1" ht="16.2" thickBot="1" x14ac:dyDescent="0.35">
      <c r="B295" s="6">
        <f xml:space="preserve"> MAX(B$1:B294) + 1</f>
        <v>2</v>
      </c>
      <c r="C295" s="5" t="s">
        <v>5</v>
      </c>
    </row>
    <row r="297" spans="2:13" x14ac:dyDescent="0.3">
      <c r="B297" s="3" t="s">
        <v>7</v>
      </c>
    </row>
    <row r="298" spans="2:13" x14ac:dyDescent="0.3">
      <c r="C298" t="s">
        <v>224</v>
      </c>
    </row>
    <row r="299" spans="2:13" x14ac:dyDescent="0.3">
      <c r="C299" t="s">
        <v>216</v>
      </c>
    </row>
    <row r="301" spans="2:13" x14ac:dyDescent="0.3">
      <c r="B301" s="3" t="s">
        <v>8</v>
      </c>
    </row>
    <row r="302" spans="2:13" x14ac:dyDescent="0.3">
      <c r="C302" s="12" t="s">
        <v>154</v>
      </c>
      <c r="E302" s="14" t="s">
        <v>13</v>
      </c>
      <c r="F302" t="s">
        <v>213</v>
      </c>
    </row>
    <row r="303" spans="2:13" x14ac:dyDescent="0.3">
      <c r="C303" s="12" t="s">
        <v>155</v>
      </c>
      <c r="E303" s="15" t="s">
        <v>14</v>
      </c>
      <c r="F303" t="s">
        <v>214</v>
      </c>
    </row>
    <row r="305" spans="2:5" x14ac:dyDescent="0.3">
      <c r="B305" s="3" t="s">
        <v>9</v>
      </c>
    </row>
    <row r="306" spans="2:5" x14ac:dyDescent="0.3">
      <c r="C306" s="13" t="e">
        <v>#VALUE!</v>
      </c>
      <c r="E306" t="s">
        <v>209</v>
      </c>
    </row>
    <row r="307" spans="2:5" x14ac:dyDescent="0.3">
      <c r="C307" s="13" t="e" vm="1">
        <v>#VALUE!</v>
      </c>
      <c r="E307" t="s">
        <v>212</v>
      </c>
    </row>
    <row r="308" spans="2:5" x14ac:dyDescent="0.3">
      <c r="C308" s="13" t="e">
        <v>#VALUE!</v>
      </c>
      <c r="E308" t="s">
        <v>210</v>
      </c>
    </row>
    <row r="309" spans="2:5" x14ac:dyDescent="0.3">
      <c r="E309" s="32" t="s">
        <v>211</v>
      </c>
    </row>
    <row r="311" spans="2:5" x14ac:dyDescent="0.3">
      <c r="B311" s="3" t="s">
        <v>10</v>
      </c>
    </row>
    <row r="312" spans="2:5" x14ac:dyDescent="0.3">
      <c r="C312" t="s">
        <v>215</v>
      </c>
    </row>
    <row r="314" spans="2:5" x14ac:dyDescent="0.3">
      <c r="B314" s="3" t="s">
        <v>11</v>
      </c>
    </row>
    <row r="315" spans="2:5" x14ac:dyDescent="0.3">
      <c r="C315" s="62" t="s">
        <v>190</v>
      </c>
    </row>
    <row r="316" spans="2:5" x14ac:dyDescent="0.3">
      <c r="C316" s="64" t="s">
        <v>191</v>
      </c>
    </row>
    <row r="317" spans="2:5" x14ac:dyDescent="0.3">
      <c r="C317" s="58" t="s">
        <v>188</v>
      </c>
    </row>
    <row r="318" spans="2:5" x14ac:dyDescent="0.3">
      <c r="C318" s="58" t="s">
        <v>189</v>
      </c>
    </row>
    <row r="319" spans="2:5" x14ac:dyDescent="0.3">
      <c r="C319" s="65" t="s">
        <v>192</v>
      </c>
    </row>
    <row r="320" spans="2:5" x14ac:dyDescent="0.3">
      <c r="C320" s="58" t="s">
        <v>159</v>
      </c>
    </row>
    <row r="321" spans="3:3" x14ac:dyDescent="0.3">
      <c r="C321" s="66" t="s">
        <v>193</v>
      </c>
    </row>
    <row r="322" spans="3:3" x14ac:dyDescent="0.3">
      <c r="C322" s="59" t="s">
        <v>160</v>
      </c>
    </row>
    <row r="323" spans="3:3" x14ac:dyDescent="0.3">
      <c r="C323" s="59" t="s">
        <v>171</v>
      </c>
    </row>
    <row r="324" spans="3:3" x14ac:dyDescent="0.3">
      <c r="C324" s="59" t="s">
        <v>172</v>
      </c>
    </row>
    <row r="325" spans="3:3" x14ac:dyDescent="0.3">
      <c r="C325" s="66" t="s">
        <v>194</v>
      </c>
    </row>
    <row r="326" spans="3:3" x14ac:dyDescent="0.3">
      <c r="C326" s="59" t="s">
        <v>161</v>
      </c>
    </row>
    <row r="327" spans="3:3" x14ac:dyDescent="0.3">
      <c r="C327" s="66" t="s">
        <v>195</v>
      </c>
    </row>
    <row r="328" spans="3:3" x14ac:dyDescent="0.3">
      <c r="C328" s="59" t="s">
        <v>162</v>
      </c>
    </row>
    <row r="329" spans="3:3" x14ac:dyDescent="0.3">
      <c r="C329" s="60" t="s">
        <v>163</v>
      </c>
    </row>
    <row r="330" spans="3:3" x14ac:dyDescent="0.3">
      <c r="C330" s="61" t="s">
        <v>164</v>
      </c>
    </row>
    <row r="331" spans="3:3" x14ac:dyDescent="0.3">
      <c r="C331" s="60" t="s">
        <v>165</v>
      </c>
    </row>
    <row r="332" spans="3:3" x14ac:dyDescent="0.3">
      <c r="C332" s="60" t="s">
        <v>166</v>
      </c>
    </row>
    <row r="333" spans="3:3" x14ac:dyDescent="0.3">
      <c r="C333" s="61" t="s">
        <v>167</v>
      </c>
    </row>
    <row r="334" spans="3:3" x14ac:dyDescent="0.3">
      <c r="C334" s="61" t="s">
        <v>168</v>
      </c>
    </row>
    <row r="335" spans="3:3" x14ac:dyDescent="0.3">
      <c r="C335" s="60" t="s">
        <v>169</v>
      </c>
    </row>
    <row r="336" spans="3:3" x14ac:dyDescent="0.3">
      <c r="C336" s="59" t="s">
        <v>170</v>
      </c>
    </row>
    <row r="337" spans="3:3" x14ac:dyDescent="0.3">
      <c r="C337" s="67" t="s">
        <v>203</v>
      </c>
    </row>
    <row r="338" spans="3:3" x14ac:dyDescent="0.3">
      <c r="C338" s="59" t="s">
        <v>173</v>
      </c>
    </row>
    <row r="339" spans="3:3" x14ac:dyDescent="0.3">
      <c r="C339" s="67" t="s">
        <v>202</v>
      </c>
    </row>
    <row r="340" spans="3:3" x14ac:dyDescent="0.3">
      <c r="C340" s="67" t="s">
        <v>206</v>
      </c>
    </row>
    <row r="341" spans="3:3" x14ac:dyDescent="0.3">
      <c r="C341" s="67" t="s">
        <v>207</v>
      </c>
    </row>
    <row r="342" spans="3:3" x14ac:dyDescent="0.3">
      <c r="C342" s="67" t="s">
        <v>208</v>
      </c>
    </row>
    <row r="343" spans="3:3" x14ac:dyDescent="0.3">
      <c r="C343" s="59" t="s">
        <v>205</v>
      </c>
    </row>
    <row r="344" spans="3:3" x14ac:dyDescent="0.3">
      <c r="C344" s="60" t="s">
        <v>200</v>
      </c>
    </row>
    <row r="345" spans="3:3" x14ac:dyDescent="0.3">
      <c r="C345" s="60" t="s">
        <v>201</v>
      </c>
    </row>
    <row r="346" spans="3:3" x14ac:dyDescent="0.3">
      <c r="C346" s="59" t="s">
        <v>170</v>
      </c>
    </row>
    <row r="347" spans="3:3" x14ac:dyDescent="0.3">
      <c r="C347" s="67" t="s">
        <v>199</v>
      </c>
    </row>
    <row r="348" spans="3:3" x14ac:dyDescent="0.3">
      <c r="C348" s="59" t="s">
        <v>174</v>
      </c>
    </row>
    <row r="349" spans="3:3" x14ac:dyDescent="0.3">
      <c r="C349" s="60" t="s">
        <v>175</v>
      </c>
    </row>
    <row r="350" spans="3:3" x14ac:dyDescent="0.3">
      <c r="C350" s="61" t="s">
        <v>159</v>
      </c>
    </row>
    <row r="351" spans="3:3" x14ac:dyDescent="0.3">
      <c r="C351" s="63" t="s">
        <v>176</v>
      </c>
    </row>
    <row r="352" spans="3:3" x14ac:dyDescent="0.3">
      <c r="C352" s="63" t="s">
        <v>177</v>
      </c>
    </row>
    <row r="353" spans="3:3" x14ac:dyDescent="0.3">
      <c r="C353" s="63" t="s">
        <v>178</v>
      </c>
    </row>
    <row r="354" spans="3:3" x14ac:dyDescent="0.3">
      <c r="C354" s="61" t="s">
        <v>179</v>
      </c>
    </row>
    <row r="355" spans="3:3" x14ac:dyDescent="0.3">
      <c r="C355" s="60" t="s">
        <v>180</v>
      </c>
    </row>
    <row r="356" spans="3:3" x14ac:dyDescent="0.3">
      <c r="C356" s="59" t="s">
        <v>181</v>
      </c>
    </row>
    <row r="357" spans="3:3" x14ac:dyDescent="0.3">
      <c r="C357" s="67" t="s">
        <v>198</v>
      </c>
    </row>
    <row r="358" spans="3:3" x14ac:dyDescent="0.3">
      <c r="C358" s="59" t="s">
        <v>182</v>
      </c>
    </row>
    <row r="359" spans="3:3" x14ac:dyDescent="0.3">
      <c r="C359" s="60" t="s">
        <v>183</v>
      </c>
    </row>
    <row r="360" spans="3:3" x14ac:dyDescent="0.3">
      <c r="C360" s="60" t="s">
        <v>184</v>
      </c>
    </row>
    <row r="361" spans="3:3" x14ac:dyDescent="0.3">
      <c r="C361" s="61" t="s">
        <v>185</v>
      </c>
    </row>
    <row r="362" spans="3:3" x14ac:dyDescent="0.3">
      <c r="C362" s="61" t="s">
        <v>186</v>
      </c>
    </row>
    <row r="363" spans="3:3" x14ac:dyDescent="0.3">
      <c r="C363" s="60" t="s">
        <v>179</v>
      </c>
    </row>
    <row r="364" spans="3:3" x14ac:dyDescent="0.3">
      <c r="C364" s="59" t="s">
        <v>170</v>
      </c>
    </row>
    <row r="365" spans="3:3" x14ac:dyDescent="0.3">
      <c r="C365" s="67" t="s">
        <v>196</v>
      </c>
    </row>
    <row r="366" spans="3:3" x14ac:dyDescent="0.3">
      <c r="C366" s="67" t="s">
        <v>197</v>
      </c>
    </row>
    <row r="367" spans="3:3" x14ac:dyDescent="0.3">
      <c r="C367" s="59" t="s">
        <v>187</v>
      </c>
    </row>
    <row r="368" spans="3:3" x14ac:dyDescent="0.3">
      <c r="C368" s="58" t="s">
        <v>179</v>
      </c>
    </row>
    <row r="369" spans="2:3" x14ac:dyDescent="0.3">
      <c r="C369" s="12" t="s">
        <v>179</v>
      </c>
    </row>
    <row r="371" spans="2:3" x14ac:dyDescent="0.3">
      <c r="C371" s="3" t="s">
        <v>12</v>
      </c>
    </row>
    <row r="372" spans="2:3" x14ac:dyDescent="0.3">
      <c r="C372" s="62" t="s">
        <v>204</v>
      </c>
    </row>
    <row r="374" spans="2:3" ht="14.4" thickBot="1" x14ac:dyDescent="0.35"/>
    <row r="375" spans="2:3" s="11" customFormat="1" x14ac:dyDescent="0.3">
      <c r="B375" s="11" t="s">
        <v>6</v>
      </c>
    </row>
  </sheetData>
  <conditionalFormatting sqref="F86:F95">
    <cfRule type="cellIs" dxfId="3" priority="3" operator="notEqual">
      <formula>TRUE</formula>
    </cfRule>
    <cfRule type="cellIs" dxfId="2" priority="4" operator="equal">
      <formula>TRUE</formula>
    </cfRule>
  </conditionalFormatting>
  <conditionalFormatting sqref="F99:F108">
    <cfRule type="cellIs" dxfId="1" priority="1" operator="notEqual">
      <formula>TRUE</formula>
    </cfRule>
    <cfRule type="cellIs" dxfId="0" priority="2" operator="equal">
      <formula>TRUE</formula>
    </cfRule>
  </conditionalFormatting>
  <dataValidations disablePrompts="1" count="4">
    <dataValidation type="list" allowBlank="1" showInputMessage="1" showErrorMessage="1" sqref="G132" xr:uid="{9E5B2049-BE43-495A-AB11-2553748EC031}">
      <formula1>$C$132:$C$134</formula1>
    </dataValidation>
    <dataValidation type="list" allowBlank="1" showInputMessage="1" showErrorMessage="1" sqref="G155 H187 D223" xr:uid="{3D0099F6-7D49-43B7-BA8D-CBAFAD252B39}">
      <formula1>_OnOff</formula1>
    </dataValidation>
    <dataValidation type="list" allowBlank="1" showInputMessage="1" showErrorMessage="1" sqref="D160" xr:uid="{077E2302-C44E-4F13-9B2A-9F93B81698B1}">
      <formula1>$C$156:$C$158</formula1>
    </dataValidation>
    <dataValidation type="list" allowBlank="1" showInputMessage="1" showErrorMessage="1" sqref="H188 D224 H254" xr:uid="{A8778CBF-0C71-41C8-913F-4085D6810BED}">
      <formula1>_YesNo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0E627-DCE2-49CE-85EF-5C2806AE3971}">
  <sheetPr codeName="Sheet2"/>
  <dimension ref="B1:T63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  <col min="3" max="3" width="4.6640625" customWidth="1"/>
  </cols>
  <sheetData>
    <row r="1" spans="2:20" s="1" customFormat="1" ht="30" customHeight="1" x14ac:dyDescent="0.3">
      <c r="C1" s="2" t="s">
        <v>0</v>
      </c>
    </row>
    <row r="2" spans="2:20" s="5" customFormat="1" ht="16.2" thickBot="1" x14ac:dyDescent="0.35">
      <c r="B2" s="6">
        <f xml:space="preserve"> MAX(B$1:B1) + 1</f>
        <v>1</v>
      </c>
      <c r="C2" s="5" t="s">
        <v>221</v>
      </c>
    </row>
    <row r="4" spans="2:20" x14ac:dyDescent="0.3">
      <c r="D4" s="71" t="s">
        <v>217</v>
      </c>
      <c r="E4" t="s">
        <v>220</v>
      </c>
    </row>
    <row r="5" spans="2:20" x14ac:dyDescent="0.3">
      <c r="D5" s="71" t="s">
        <v>218</v>
      </c>
      <c r="E5" t="s">
        <v>223</v>
      </c>
    </row>
    <row r="6" spans="2:20" x14ac:dyDescent="0.3">
      <c r="E6" t="s">
        <v>225</v>
      </c>
    </row>
    <row r="7" spans="2:20" x14ac:dyDescent="0.3">
      <c r="D7" s="71" t="s">
        <v>219</v>
      </c>
      <c r="E7" s="70" t="s">
        <v>226</v>
      </c>
    </row>
    <row r="10" spans="2:20" x14ac:dyDescent="0.3">
      <c r="B10" s="8" t="s">
        <v>222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2" spans="2:20" x14ac:dyDescent="0.3">
      <c r="C12" s="4" t="s">
        <v>227</v>
      </c>
    </row>
    <row r="13" spans="2:20" x14ac:dyDescent="0.3">
      <c r="D13" t="s">
        <v>229</v>
      </c>
      <c r="F13" t="s">
        <v>106</v>
      </c>
    </row>
    <row r="14" spans="2:20" x14ac:dyDescent="0.3">
      <c r="D14" s="20">
        <v>1</v>
      </c>
      <c r="F14" s="36" cm="1">
        <f t="array" aca="1" ref="F14:F23" ca="1" xml:space="preserve"> RXL_RandomSort(D14:D23)</f>
        <v>3</v>
      </c>
      <c r="G14" s="72" t="str">
        <f ca="1" xml:space="preserve"> _xlfn.FORMULATEXT(F14)</f>
        <v>= RXL_RandomSort(D14:D23)</v>
      </c>
    </row>
    <row r="15" spans="2:20" x14ac:dyDescent="0.3">
      <c r="D15" s="20">
        <v>2</v>
      </c>
      <c r="F15" s="36">
        <f ca="1"/>
        <v>4</v>
      </c>
    </row>
    <row r="16" spans="2:20" x14ac:dyDescent="0.3">
      <c r="D16" s="20">
        <v>3</v>
      </c>
      <c r="F16" s="36">
        <f ca="1"/>
        <v>1</v>
      </c>
    </row>
    <row r="17" spans="3:14" x14ac:dyDescent="0.3">
      <c r="D17" s="20">
        <v>4</v>
      </c>
      <c r="F17" s="36">
        <f ca="1"/>
        <v>7</v>
      </c>
    </row>
    <row r="18" spans="3:14" x14ac:dyDescent="0.3">
      <c r="D18" s="20">
        <v>5</v>
      </c>
      <c r="F18" s="36">
        <f ca="1"/>
        <v>5</v>
      </c>
    </row>
    <row r="19" spans="3:14" x14ac:dyDescent="0.3">
      <c r="D19" s="20">
        <v>6</v>
      </c>
      <c r="F19" s="36">
        <f ca="1"/>
        <v>6</v>
      </c>
    </row>
    <row r="20" spans="3:14" x14ac:dyDescent="0.3">
      <c r="D20" s="20">
        <v>7</v>
      </c>
      <c r="F20" s="36">
        <f ca="1"/>
        <v>8</v>
      </c>
    </row>
    <row r="21" spans="3:14" x14ac:dyDescent="0.3">
      <c r="D21" s="20">
        <v>8</v>
      </c>
      <c r="F21" s="36">
        <f ca="1"/>
        <v>9</v>
      </c>
    </row>
    <row r="22" spans="3:14" x14ac:dyDescent="0.3">
      <c r="D22" s="20">
        <v>9</v>
      </c>
      <c r="F22" s="36">
        <f ca="1"/>
        <v>2</v>
      </c>
    </row>
    <row r="23" spans="3:14" x14ac:dyDescent="0.3">
      <c r="D23" s="20">
        <v>10</v>
      </c>
      <c r="F23" s="36">
        <f ca="1"/>
        <v>10</v>
      </c>
    </row>
    <row r="26" spans="3:14" x14ac:dyDescent="0.3">
      <c r="C26" s="4" t="s">
        <v>228</v>
      </c>
    </row>
    <row r="27" spans="3:14" x14ac:dyDescent="0.3">
      <c r="D27" t="s">
        <v>229</v>
      </c>
      <c r="J27" t="s">
        <v>106</v>
      </c>
    </row>
    <row r="28" spans="3:14" x14ac:dyDescent="0.3">
      <c r="D28" s="20">
        <v>1</v>
      </c>
      <c r="E28" s="20">
        <v>2</v>
      </c>
      <c r="F28" s="20">
        <v>3</v>
      </c>
      <c r="G28" s="20">
        <v>4</v>
      </c>
      <c r="H28" s="20">
        <v>5</v>
      </c>
      <c r="J28" s="36" cm="1">
        <f t="array" aca="1" ref="J28:N32" ca="1" xml:space="preserve"> RXL_RandomSort(D28:H32)</f>
        <v>8</v>
      </c>
      <c r="K28" s="36">
        <f ca="1"/>
        <v>13</v>
      </c>
      <c r="L28" s="36">
        <f ca="1"/>
        <v>4</v>
      </c>
      <c r="M28" s="36">
        <f ca="1"/>
        <v>21</v>
      </c>
      <c r="N28" s="36">
        <f ca="1"/>
        <v>5</v>
      </c>
    </row>
    <row r="29" spans="3:14" x14ac:dyDescent="0.3">
      <c r="D29" s="20">
        <v>6</v>
      </c>
      <c r="E29" s="20">
        <v>7</v>
      </c>
      <c r="F29" s="20">
        <v>8</v>
      </c>
      <c r="G29" s="20">
        <v>9</v>
      </c>
      <c r="H29" s="20">
        <v>10</v>
      </c>
      <c r="J29" s="36">
        <f ca="1"/>
        <v>2</v>
      </c>
      <c r="K29" s="36">
        <f ca="1"/>
        <v>9</v>
      </c>
      <c r="L29" s="36">
        <f ca="1"/>
        <v>7</v>
      </c>
      <c r="M29" s="36">
        <f ca="1"/>
        <v>20</v>
      </c>
      <c r="N29" s="36">
        <f ca="1"/>
        <v>25</v>
      </c>
    </row>
    <row r="30" spans="3:14" x14ac:dyDescent="0.3">
      <c r="D30" s="20">
        <v>11</v>
      </c>
      <c r="E30" s="20">
        <v>12</v>
      </c>
      <c r="F30" s="20">
        <v>13</v>
      </c>
      <c r="G30" s="20">
        <v>14</v>
      </c>
      <c r="H30" s="20">
        <v>15</v>
      </c>
      <c r="J30" s="36">
        <f ca="1"/>
        <v>11</v>
      </c>
      <c r="K30" s="36">
        <f ca="1"/>
        <v>10</v>
      </c>
      <c r="L30" s="36">
        <f ca="1"/>
        <v>3</v>
      </c>
      <c r="M30" s="36">
        <f ca="1"/>
        <v>15</v>
      </c>
      <c r="N30" s="36">
        <f ca="1"/>
        <v>23</v>
      </c>
    </row>
    <row r="31" spans="3:14" x14ac:dyDescent="0.3">
      <c r="D31" s="20">
        <v>16</v>
      </c>
      <c r="E31" s="20">
        <v>17</v>
      </c>
      <c r="F31" s="20">
        <v>18</v>
      </c>
      <c r="G31" s="20">
        <v>19</v>
      </c>
      <c r="H31" s="20">
        <v>20</v>
      </c>
      <c r="J31" s="36">
        <f ca="1"/>
        <v>12</v>
      </c>
      <c r="K31" s="36">
        <f ca="1"/>
        <v>17</v>
      </c>
      <c r="L31" s="36">
        <f ca="1"/>
        <v>6</v>
      </c>
      <c r="M31" s="36">
        <f ca="1"/>
        <v>19</v>
      </c>
      <c r="N31" s="36">
        <f ca="1"/>
        <v>22</v>
      </c>
    </row>
    <row r="32" spans="3:14" x14ac:dyDescent="0.3">
      <c r="D32" s="20">
        <v>21</v>
      </c>
      <c r="E32" s="20">
        <v>22</v>
      </c>
      <c r="F32" s="20">
        <v>23</v>
      </c>
      <c r="G32" s="20">
        <v>24</v>
      </c>
      <c r="H32" s="20">
        <v>25</v>
      </c>
      <c r="J32" s="36">
        <f ca="1"/>
        <v>1</v>
      </c>
      <c r="K32" s="36">
        <f ca="1"/>
        <v>14</v>
      </c>
      <c r="L32" s="36">
        <f ca="1"/>
        <v>24</v>
      </c>
      <c r="M32" s="36">
        <f ca="1"/>
        <v>18</v>
      </c>
      <c r="N32" s="36">
        <f ca="1"/>
        <v>16</v>
      </c>
    </row>
    <row r="33" spans="3:14" x14ac:dyDescent="0.3">
      <c r="J33" s="39" t="str">
        <f ca="1" xml:space="preserve"> _xlfn.FORMULATEXT(J28)</f>
        <v>= RXL_RandomSort(D28:H32)</v>
      </c>
    </row>
    <row r="35" spans="3:14" x14ac:dyDescent="0.3">
      <c r="C35" s="4" t="s">
        <v>230</v>
      </c>
    </row>
    <row r="36" spans="3:14" x14ac:dyDescent="0.3">
      <c r="D36" t="s">
        <v>229</v>
      </c>
      <c r="J36" t="s">
        <v>231</v>
      </c>
    </row>
    <row r="37" spans="3:14" x14ac:dyDescent="0.3">
      <c r="D37" s="20">
        <v>1</v>
      </c>
      <c r="E37" s="20" t="s">
        <v>19</v>
      </c>
      <c r="F37" s="20" t="s">
        <v>232</v>
      </c>
      <c r="G37" s="20" t="s">
        <v>252</v>
      </c>
      <c r="H37" s="20" t="s">
        <v>242</v>
      </c>
      <c r="J37" s="36" cm="1">
        <f t="array" aca="1" ref="J37:N46" ca="1" xml:space="preserve"> RXL_RandomSort(D37:H46, TRUE)</f>
        <v>9</v>
      </c>
      <c r="K37" s="36" t="str">
        <f ca="1"/>
        <v>Nine</v>
      </c>
      <c r="L37" s="36" t="str">
        <f ca="1"/>
        <v>III</v>
      </c>
      <c r="M37" s="36" t="str">
        <f ca="1"/>
        <v>India</v>
      </c>
      <c r="N37" s="36" t="str">
        <f ca="1"/>
        <v>XYZ-009</v>
      </c>
    </row>
    <row r="38" spans="3:14" x14ac:dyDescent="0.3">
      <c r="D38" s="20">
        <v>2</v>
      </c>
      <c r="E38" s="20" t="s">
        <v>20</v>
      </c>
      <c r="F38" s="20" t="s">
        <v>233</v>
      </c>
      <c r="G38" s="20" t="s">
        <v>253</v>
      </c>
      <c r="H38" s="20" t="s">
        <v>243</v>
      </c>
      <c r="J38" s="36">
        <f ca="1"/>
        <v>4</v>
      </c>
      <c r="K38" s="36" t="str">
        <f ca="1"/>
        <v>Four</v>
      </c>
      <c r="L38" s="36" t="str">
        <f ca="1"/>
        <v>DDD</v>
      </c>
      <c r="M38" s="36" t="str">
        <f ca="1"/>
        <v>Delta</v>
      </c>
      <c r="N38" s="36" t="str">
        <f ca="1"/>
        <v>XYZ-004</v>
      </c>
    </row>
    <row r="39" spans="3:14" x14ac:dyDescent="0.3">
      <c r="D39" s="20">
        <v>3</v>
      </c>
      <c r="E39" s="20" t="s">
        <v>21</v>
      </c>
      <c r="F39" s="20" t="s">
        <v>234</v>
      </c>
      <c r="G39" s="20" t="s">
        <v>254</v>
      </c>
      <c r="H39" s="20" t="s">
        <v>244</v>
      </c>
      <c r="J39" s="36">
        <f ca="1"/>
        <v>1</v>
      </c>
      <c r="K39" s="36" t="str">
        <f ca="1"/>
        <v>One</v>
      </c>
      <c r="L39" s="36" t="str">
        <f ca="1"/>
        <v>AAA</v>
      </c>
      <c r="M39" s="36" t="str">
        <f ca="1"/>
        <v>Alpha</v>
      </c>
      <c r="N39" s="36" t="str">
        <f ca="1"/>
        <v>XYZ-001</v>
      </c>
    </row>
    <row r="40" spans="3:14" x14ac:dyDescent="0.3">
      <c r="D40" s="20">
        <v>4</v>
      </c>
      <c r="E40" s="20" t="s">
        <v>22</v>
      </c>
      <c r="F40" s="20" t="s">
        <v>235</v>
      </c>
      <c r="G40" s="20" t="s">
        <v>255</v>
      </c>
      <c r="H40" s="20" t="s">
        <v>245</v>
      </c>
      <c r="J40" s="36">
        <f ca="1"/>
        <v>8</v>
      </c>
      <c r="K40" s="36" t="str">
        <f ca="1"/>
        <v>Eight</v>
      </c>
      <c r="L40" s="36" t="str">
        <f ca="1"/>
        <v>HHH</v>
      </c>
      <c r="M40" s="36" t="str">
        <f ca="1"/>
        <v>Hotel</v>
      </c>
      <c r="N40" s="36" t="str">
        <f ca="1"/>
        <v>XYZ-008</v>
      </c>
    </row>
    <row r="41" spans="3:14" x14ac:dyDescent="0.3">
      <c r="D41" s="20">
        <v>5</v>
      </c>
      <c r="E41" s="20" t="s">
        <v>23</v>
      </c>
      <c r="F41" s="20" t="s">
        <v>236</v>
      </c>
      <c r="G41" s="20" t="s">
        <v>256</v>
      </c>
      <c r="H41" s="20" t="s">
        <v>246</v>
      </c>
      <c r="J41" s="36">
        <f ca="1"/>
        <v>5</v>
      </c>
      <c r="K41" s="36" t="str">
        <f ca="1"/>
        <v>Five</v>
      </c>
      <c r="L41" s="36" t="str">
        <f ca="1"/>
        <v>EEE</v>
      </c>
      <c r="M41" s="36" t="str">
        <f ca="1"/>
        <v>Echo</v>
      </c>
      <c r="N41" s="36" t="str">
        <f ca="1"/>
        <v>XYZ-005</v>
      </c>
    </row>
    <row r="42" spans="3:14" x14ac:dyDescent="0.3">
      <c r="D42" s="20">
        <v>6</v>
      </c>
      <c r="E42" s="20" t="s">
        <v>25</v>
      </c>
      <c r="F42" s="20" t="s">
        <v>237</v>
      </c>
      <c r="G42" s="20" t="s">
        <v>257</v>
      </c>
      <c r="H42" s="20" t="s">
        <v>247</v>
      </c>
      <c r="J42" s="36">
        <f ca="1"/>
        <v>10</v>
      </c>
      <c r="K42" s="36" t="str">
        <f ca="1"/>
        <v>Ten</v>
      </c>
      <c r="L42" s="36" t="str">
        <f ca="1"/>
        <v>JJJ</v>
      </c>
      <c r="M42" s="36" t="str">
        <f ca="1"/>
        <v>Juliett</v>
      </c>
      <c r="N42" s="36" t="str">
        <f ca="1"/>
        <v>XYZ-010</v>
      </c>
    </row>
    <row r="43" spans="3:14" x14ac:dyDescent="0.3">
      <c r="D43" s="20">
        <v>7</v>
      </c>
      <c r="E43" s="20" t="s">
        <v>26</v>
      </c>
      <c r="F43" s="20" t="s">
        <v>238</v>
      </c>
      <c r="G43" s="20" t="s">
        <v>258</v>
      </c>
      <c r="H43" s="20" t="s">
        <v>248</v>
      </c>
      <c r="J43" s="36">
        <f ca="1"/>
        <v>2</v>
      </c>
      <c r="K43" s="36" t="str">
        <f ca="1"/>
        <v>Two</v>
      </c>
      <c r="L43" s="36" t="str">
        <f ca="1"/>
        <v>BBB</v>
      </c>
      <c r="M43" s="36" t="str">
        <f ca="1"/>
        <v>Bravo</v>
      </c>
      <c r="N43" s="36" t="str">
        <f ca="1"/>
        <v>XYZ-002</v>
      </c>
    </row>
    <row r="44" spans="3:14" x14ac:dyDescent="0.3">
      <c r="D44" s="20">
        <v>8</v>
      </c>
      <c r="E44" s="20" t="s">
        <v>27</v>
      </c>
      <c r="F44" s="20" t="s">
        <v>239</v>
      </c>
      <c r="G44" s="20" t="s">
        <v>259</v>
      </c>
      <c r="H44" s="20" t="s">
        <v>249</v>
      </c>
      <c r="J44" s="36">
        <f ca="1"/>
        <v>6</v>
      </c>
      <c r="K44" s="36" t="str">
        <f ca="1"/>
        <v>Six</v>
      </c>
      <c r="L44" s="36" t="str">
        <f ca="1"/>
        <v>FFF</v>
      </c>
      <c r="M44" s="36" t="str">
        <f ca="1"/>
        <v>Foxtrot</v>
      </c>
      <c r="N44" s="36" t="str">
        <f ca="1"/>
        <v>XYZ-006</v>
      </c>
    </row>
    <row r="45" spans="3:14" x14ac:dyDescent="0.3">
      <c r="D45" s="20">
        <v>9</v>
      </c>
      <c r="E45" s="20" t="s">
        <v>28</v>
      </c>
      <c r="F45" s="20" t="s">
        <v>240</v>
      </c>
      <c r="G45" s="20" t="s">
        <v>260</v>
      </c>
      <c r="H45" s="20" t="s">
        <v>250</v>
      </c>
      <c r="J45" s="36">
        <f ca="1"/>
        <v>3</v>
      </c>
      <c r="K45" s="36" t="str">
        <f ca="1"/>
        <v>Three</v>
      </c>
      <c r="L45" s="36" t="str">
        <f ca="1"/>
        <v>CCC</v>
      </c>
      <c r="M45" s="36" t="str">
        <f ca="1"/>
        <v>Charlie</v>
      </c>
      <c r="N45" s="36" t="str">
        <f ca="1"/>
        <v>XYZ-003</v>
      </c>
    </row>
    <row r="46" spans="3:14" x14ac:dyDescent="0.3">
      <c r="D46" s="20">
        <v>10</v>
      </c>
      <c r="E46" s="20" t="s">
        <v>29</v>
      </c>
      <c r="F46" s="20" t="s">
        <v>241</v>
      </c>
      <c r="G46" s="20" t="s">
        <v>261</v>
      </c>
      <c r="H46" s="20" t="s">
        <v>251</v>
      </c>
      <c r="J46" s="36">
        <f ca="1"/>
        <v>7</v>
      </c>
      <c r="K46" s="36" t="str">
        <f ca="1"/>
        <v>Seven</v>
      </c>
      <c r="L46" s="36" t="str">
        <f ca="1"/>
        <v>GGG</v>
      </c>
      <c r="M46" s="36" t="str">
        <f ca="1"/>
        <v>Golf</v>
      </c>
      <c r="N46" s="36" t="str">
        <f ca="1"/>
        <v>XYZ-007</v>
      </c>
    </row>
    <row r="47" spans="3:14" x14ac:dyDescent="0.3">
      <c r="J47" s="39" t="str">
        <f ca="1" xml:space="preserve"> _xlfn.FORMULATEXT(J37)</f>
        <v>= RXL_RandomSort(D37:H46, TRUE)</v>
      </c>
    </row>
    <row r="49" spans="2:14" x14ac:dyDescent="0.3">
      <c r="J49" t="s">
        <v>231</v>
      </c>
    </row>
    <row r="50" spans="2:14" x14ac:dyDescent="0.3">
      <c r="J50" s="36" t="str" cm="1">
        <f t="array" aca="1" ref="J50:N59" ca="1" xml:space="preserve"> RXL_RandomSort(D37:H46, FALSE)</f>
        <v>AAA</v>
      </c>
      <c r="K50" s="36" t="str">
        <f ca="1"/>
        <v>One</v>
      </c>
      <c r="L50" s="36" t="str">
        <f ca="1"/>
        <v>Alpha</v>
      </c>
      <c r="M50" s="36">
        <f ca="1"/>
        <v>1</v>
      </c>
      <c r="N50" s="36" t="str">
        <f ca="1"/>
        <v>XYZ-001</v>
      </c>
    </row>
    <row r="51" spans="2:14" x14ac:dyDescent="0.3">
      <c r="J51" s="36" t="str">
        <f ca="1"/>
        <v>BBB</v>
      </c>
      <c r="K51" s="36" t="str">
        <f ca="1"/>
        <v>Two</v>
      </c>
      <c r="L51" s="36" t="str">
        <f ca="1"/>
        <v>Bravo</v>
      </c>
      <c r="M51" s="36">
        <f ca="1"/>
        <v>2</v>
      </c>
      <c r="N51" s="36" t="str">
        <f ca="1"/>
        <v>XYZ-002</v>
      </c>
    </row>
    <row r="52" spans="2:14" x14ac:dyDescent="0.3">
      <c r="J52" s="36" t="str">
        <f ca="1"/>
        <v>CCC</v>
      </c>
      <c r="K52" s="36" t="str">
        <f ca="1"/>
        <v>Three</v>
      </c>
      <c r="L52" s="36" t="str">
        <f ca="1"/>
        <v>Charlie</v>
      </c>
      <c r="M52" s="36">
        <f ca="1"/>
        <v>3</v>
      </c>
      <c r="N52" s="36" t="str">
        <f ca="1"/>
        <v>XYZ-003</v>
      </c>
    </row>
    <row r="53" spans="2:14" x14ac:dyDescent="0.3">
      <c r="J53" s="36" t="str">
        <f ca="1"/>
        <v>DDD</v>
      </c>
      <c r="K53" s="36" t="str">
        <f ca="1"/>
        <v>Four</v>
      </c>
      <c r="L53" s="36" t="str">
        <f ca="1"/>
        <v>Delta</v>
      </c>
      <c r="M53" s="36">
        <f ca="1"/>
        <v>4</v>
      </c>
      <c r="N53" s="36" t="str">
        <f ca="1"/>
        <v>XYZ-004</v>
      </c>
    </row>
    <row r="54" spans="2:14" x14ac:dyDescent="0.3">
      <c r="J54" s="36" t="str">
        <f ca="1"/>
        <v>EEE</v>
      </c>
      <c r="K54" s="36" t="str">
        <f ca="1"/>
        <v>Five</v>
      </c>
      <c r="L54" s="36" t="str">
        <f ca="1"/>
        <v>Echo</v>
      </c>
      <c r="M54" s="36">
        <f ca="1"/>
        <v>5</v>
      </c>
      <c r="N54" s="36" t="str">
        <f ca="1"/>
        <v>XYZ-005</v>
      </c>
    </row>
    <row r="55" spans="2:14" x14ac:dyDescent="0.3">
      <c r="J55" s="36" t="str">
        <f ca="1"/>
        <v>FFF</v>
      </c>
      <c r="K55" s="36" t="str">
        <f ca="1"/>
        <v>Six</v>
      </c>
      <c r="L55" s="36" t="str">
        <f ca="1"/>
        <v>Foxtrot</v>
      </c>
      <c r="M55" s="36">
        <f ca="1"/>
        <v>6</v>
      </c>
      <c r="N55" s="36" t="str">
        <f ca="1"/>
        <v>XYZ-006</v>
      </c>
    </row>
    <row r="56" spans="2:14" x14ac:dyDescent="0.3">
      <c r="J56" s="36" t="str">
        <f ca="1"/>
        <v>GGG</v>
      </c>
      <c r="K56" s="36" t="str">
        <f ca="1"/>
        <v>Seven</v>
      </c>
      <c r="L56" s="36" t="str">
        <f ca="1"/>
        <v>Golf</v>
      </c>
      <c r="M56" s="36">
        <f ca="1"/>
        <v>7</v>
      </c>
      <c r="N56" s="36" t="str">
        <f ca="1"/>
        <v>XYZ-007</v>
      </c>
    </row>
    <row r="57" spans="2:14" x14ac:dyDescent="0.3">
      <c r="J57" s="36" t="str">
        <f ca="1"/>
        <v>HHH</v>
      </c>
      <c r="K57" s="36" t="str">
        <f ca="1"/>
        <v>Eight</v>
      </c>
      <c r="L57" s="36" t="str">
        <f ca="1"/>
        <v>Hotel</v>
      </c>
      <c r="M57" s="36">
        <f ca="1"/>
        <v>8</v>
      </c>
      <c r="N57" s="36" t="str">
        <f ca="1"/>
        <v>XYZ-008</v>
      </c>
    </row>
    <row r="58" spans="2:14" x14ac:dyDescent="0.3">
      <c r="J58" s="36" t="str">
        <f ca="1"/>
        <v>III</v>
      </c>
      <c r="K58" s="36" t="str">
        <f ca="1"/>
        <v>Nine</v>
      </c>
      <c r="L58" s="36" t="str">
        <f ca="1"/>
        <v>India</v>
      </c>
      <c r="M58" s="36">
        <f ca="1"/>
        <v>9</v>
      </c>
      <c r="N58" s="36" t="str">
        <f ca="1"/>
        <v>XYZ-009</v>
      </c>
    </row>
    <row r="59" spans="2:14" x14ac:dyDescent="0.3">
      <c r="J59" s="36" t="str">
        <f ca="1"/>
        <v>JJJ</v>
      </c>
      <c r="K59" s="36" t="str">
        <f ca="1"/>
        <v>Ten</v>
      </c>
      <c r="L59" s="36" t="str">
        <f ca="1"/>
        <v>Juliett</v>
      </c>
      <c r="M59" s="36">
        <f ca="1"/>
        <v>10</v>
      </c>
      <c r="N59" s="36" t="str">
        <f ca="1"/>
        <v>XYZ-010</v>
      </c>
    </row>
    <row r="60" spans="2:14" x14ac:dyDescent="0.3">
      <c r="J60" s="39" t="str">
        <f ca="1" xml:space="preserve"> _xlfn.FORMULATEXT(J50)</f>
        <v>= RXL_RandomSort(D37:H46, FALSE)</v>
      </c>
    </row>
    <row r="62" spans="2:14" ht="14.4" thickBot="1" x14ac:dyDescent="0.35"/>
    <row r="63" spans="2:14" s="11" customFormat="1" x14ac:dyDescent="0.3">
      <c r="B63" s="11" t="s">
        <v>6</v>
      </c>
    </row>
  </sheetData>
  <hyperlinks>
    <hyperlink ref="E7" r:id="rId1" xr:uid="{4E9399EB-8093-4947-851D-833704CAD3EF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5CF2-7727-44E3-A9EA-0F2F4463DEDC}">
  <sheetPr codeName="Sheet3"/>
  <dimension ref="B1:C110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2:3" s="1" customFormat="1" ht="30" customHeight="1" x14ac:dyDescent="0.3">
      <c r="C1" s="2" t="s">
        <v>0</v>
      </c>
    </row>
    <row r="2" spans="2:3" s="5" customFormat="1" ht="16.2" thickBot="1" x14ac:dyDescent="0.35">
      <c r="B2" s="6">
        <f xml:space="preserve"> MAX(B$1:B1) + 1</f>
        <v>1</v>
      </c>
      <c r="C2" s="5" t="s">
        <v>43</v>
      </c>
    </row>
    <row r="4" spans="2:3" x14ac:dyDescent="0.3">
      <c r="C4" t="s">
        <v>85</v>
      </c>
    </row>
    <row r="6" spans="2:3" x14ac:dyDescent="0.3">
      <c r="B6" s="24" t="s">
        <v>45</v>
      </c>
      <c r="C6" t="s">
        <v>46</v>
      </c>
    </row>
    <row r="7" spans="2:3" x14ac:dyDescent="0.3">
      <c r="B7" s="24" t="s">
        <v>47</v>
      </c>
      <c r="C7" t="s">
        <v>48</v>
      </c>
    </row>
    <row r="17" spans="2:3" x14ac:dyDescent="0.3">
      <c r="B17" s="24" t="s">
        <v>49</v>
      </c>
      <c r="C17" t="s">
        <v>86</v>
      </c>
    </row>
    <row r="38" spans="2:3" x14ac:dyDescent="0.3">
      <c r="B38" s="24" t="s">
        <v>50</v>
      </c>
      <c r="C38" t="s">
        <v>51</v>
      </c>
    </row>
    <row r="39" spans="2:3" x14ac:dyDescent="0.3">
      <c r="B39" s="24" t="s">
        <v>52</v>
      </c>
      <c r="C39" t="s">
        <v>53</v>
      </c>
    </row>
    <row r="40" spans="2:3" x14ac:dyDescent="0.3">
      <c r="C40" t="s">
        <v>87</v>
      </c>
    </row>
    <row r="64" spans="2:3" x14ac:dyDescent="0.3">
      <c r="B64" s="24" t="s">
        <v>54</v>
      </c>
      <c r="C64" t="s">
        <v>55</v>
      </c>
    </row>
    <row r="71" spans="2:3" s="5" customFormat="1" ht="16.2" thickBot="1" x14ac:dyDescent="0.35">
      <c r="B71" s="6">
        <f xml:space="preserve"> MAX(B$1:B70) + 1</f>
        <v>2</v>
      </c>
      <c r="C71" s="5" t="s">
        <v>44</v>
      </c>
    </row>
    <row r="73" spans="2:3" x14ac:dyDescent="0.3">
      <c r="C73" s="25" t="s">
        <v>71</v>
      </c>
    </row>
    <row r="74" spans="2:3" x14ac:dyDescent="0.3">
      <c r="C74" s="25"/>
    </row>
    <row r="75" spans="2:3" x14ac:dyDescent="0.3">
      <c r="C75" s="25" t="s">
        <v>72</v>
      </c>
    </row>
    <row r="76" spans="2:3" x14ac:dyDescent="0.3">
      <c r="C76" s="25" t="s">
        <v>73</v>
      </c>
    </row>
    <row r="77" spans="2:3" x14ac:dyDescent="0.3">
      <c r="C77" s="25" t="s">
        <v>56</v>
      </c>
    </row>
    <row r="78" spans="2:3" x14ac:dyDescent="0.3">
      <c r="C78" s="26" t="s">
        <v>57</v>
      </c>
    </row>
    <row r="79" spans="2:3" x14ac:dyDescent="0.3">
      <c r="C79" s="25" t="s">
        <v>84</v>
      </c>
    </row>
    <row r="80" spans="2:3" x14ac:dyDescent="0.3">
      <c r="C80" s="25" t="s">
        <v>56</v>
      </c>
    </row>
    <row r="81" spans="3:3" x14ac:dyDescent="0.3">
      <c r="C81" s="27" t="s">
        <v>58</v>
      </c>
    </row>
    <row r="82" spans="3:3" x14ac:dyDescent="0.3">
      <c r="C82" s="26" t="s">
        <v>59</v>
      </c>
    </row>
    <row r="83" spans="3:3" x14ac:dyDescent="0.3">
      <c r="C83" s="25" t="s">
        <v>74</v>
      </c>
    </row>
    <row r="84" spans="3:3" x14ac:dyDescent="0.3">
      <c r="C84" s="27" t="s">
        <v>60</v>
      </c>
    </row>
    <row r="85" spans="3:3" x14ac:dyDescent="0.3">
      <c r="C85" s="25" t="s">
        <v>75</v>
      </c>
    </row>
    <row r="86" spans="3:3" x14ac:dyDescent="0.3">
      <c r="C86" s="25" t="s">
        <v>76</v>
      </c>
    </row>
    <row r="87" spans="3:3" x14ac:dyDescent="0.3">
      <c r="C87" s="27" t="s">
        <v>61</v>
      </c>
    </row>
    <row r="88" spans="3:3" x14ac:dyDescent="0.3">
      <c r="C88" s="27" t="s">
        <v>62</v>
      </c>
    </row>
    <row r="89" spans="3:3" x14ac:dyDescent="0.3">
      <c r="C89" s="25" t="s">
        <v>56</v>
      </c>
    </row>
    <row r="90" spans="3:3" x14ac:dyDescent="0.3">
      <c r="C90" s="27" t="s">
        <v>58</v>
      </c>
    </row>
    <row r="91" spans="3:3" x14ac:dyDescent="0.3">
      <c r="C91" s="25" t="s">
        <v>77</v>
      </c>
    </row>
    <row r="92" spans="3:3" x14ac:dyDescent="0.3">
      <c r="C92" s="25" t="s">
        <v>78</v>
      </c>
    </row>
    <row r="93" spans="3:3" x14ac:dyDescent="0.3">
      <c r="C93" s="25" t="s">
        <v>63</v>
      </c>
    </row>
    <row r="94" spans="3:3" x14ac:dyDescent="0.3">
      <c r="C94" s="25" t="s">
        <v>79</v>
      </c>
    </row>
    <row r="95" spans="3:3" x14ac:dyDescent="0.3">
      <c r="C95" s="25" t="s">
        <v>64</v>
      </c>
    </row>
    <row r="96" spans="3:3" x14ac:dyDescent="0.3">
      <c r="C96" s="25" t="s">
        <v>65</v>
      </c>
    </row>
    <row r="97" spans="2:3" x14ac:dyDescent="0.3">
      <c r="C97" s="25" t="s">
        <v>80</v>
      </c>
    </row>
    <row r="98" spans="2:3" x14ac:dyDescent="0.3">
      <c r="C98" s="25" t="s">
        <v>66</v>
      </c>
    </row>
    <row r="99" spans="2:3" x14ac:dyDescent="0.3">
      <c r="C99" s="25" t="s">
        <v>81</v>
      </c>
    </row>
    <row r="100" spans="2:3" x14ac:dyDescent="0.3">
      <c r="C100" s="27" t="s">
        <v>67</v>
      </c>
    </row>
    <row r="101" spans="2:3" x14ac:dyDescent="0.3">
      <c r="C101" s="25" t="s">
        <v>82</v>
      </c>
    </row>
    <row r="102" spans="2:3" x14ac:dyDescent="0.3">
      <c r="C102" s="27" t="s">
        <v>68</v>
      </c>
    </row>
    <row r="103" spans="2:3" x14ac:dyDescent="0.3">
      <c r="C103" s="27" t="s">
        <v>69</v>
      </c>
    </row>
    <row r="104" spans="2:3" x14ac:dyDescent="0.3">
      <c r="C104" s="25" t="s">
        <v>83</v>
      </c>
    </row>
    <row r="105" spans="2:3" x14ac:dyDescent="0.3">
      <c r="C105" s="27" t="s">
        <v>62</v>
      </c>
    </row>
    <row r="106" spans="2:3" x14ac:dyDescent="0.3">
      <c r="C106" s="25" t="s">
        <v>56</v>
      </c>
    </row>
    <row r="107" spans="2:3" x14ac:dyDescent="0.3">
      <c r="C107" s="27" t="s">
        <v>70</v>
      </c>
    </row>
    <row r="109" spans="2:3" ht="14.4" thickBot="1" x14ac:dyDescent="0.35"/>
    <row r="110" spans="2:3" s="11" customFormat="1" x14ac:dyDescent="0.3">
      <c r="B110" s="11" t="s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F9B9-9900-4270-ACEB-9B96B98B9BAC}">
  <sheetPr codeName="Sheet4"/>
  <dimension ref="B1:D10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2:4" s="1" customFormat="1" ht="30" customHeight="1" x14ac:dyDescent="0.3">
      <c r="C1" s="2" t="s">
        <v>88</v>
      </c>
    </row>
    <row r="3" spans="2:4" x14ac:dyDescent="0.3">
      <c r="B3" s="28">
        <v>1</v>
      </c>
      <c r="C3" s="30">
        <v>1</v>
      </c>
    </row>
    <row r="4" spans="2:4" x14ac:dyDescent="0.3">
      <c r="B4" s="28">
        <v>0</v>
      </c>
      <c r="C4" s="30">
        <v>0</v>
      </c>
      <c r="D4" s="29" t="s">
        <v>89</v>
      </c>
    </row>
    <row r="6" spans="2:4" x14ac:dyDescent="0.3">
      <c r="B6" s="28">
        <v>1</v>
      </c>
      <c r="C6" s="31">
        <v>1</v>
      </c>
    </row>
    <row r="7" spans="2:4" x14ac:dyDescent="0.3">
      <c r="B7" s="28">
        <v>0</v>
      </c>
      <c r="C7" s="31">
        <v>0</v>
      </c>
      <c r="D7" s="29" t="s">
        <v>90</v>
      </c>
    </row>
    <row r="9" spans="2:4" ht="14.4" thickBot="1" x14ac:dyDescent="0.35"/>
    <row r="10" spans="2:4" s="11" customFormat="1" x14ac:dyDescent="0.3">
      <c r="B10" s="11" t="s">
        <v>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8AKgAgACAAUgBYAEwAXwBSAGEAbgBkAG8AbQBTAG8AcgB0ACAARgB1AG4AYwB0AGkAbwBuAFwAbgAgACAAIAAgACAAIAAgACAAdgBlAHIAcwBpAG8AbgAgADEALgAwADEAIAAgACgAMwAxAC8AMAA3AC8AMgAwADIANQApAFwAbgAgACAAIAAgACAAIAAgACAAUgAgAFMAaQBsAGsALAAgAFIAWABMACAARABlAHYAZQBsAG8AcABtAGUAbgB0AFwAbgAgACAAIAAgACAAIAAgACAAaAB0AHQAcABzADoALwAvAGcAaQBzAHQALgBnAGkAdABoAHUAYgAuAGMAbwBtAC8AcgAtAHMAaQBsAGsALwAyADMANAA4ADAAZgAyADkAMgA5ADMAMQA3AGIANAA1ADUANAA0AGIANAA5ADUAMwBlADEAZABkAGIANwBhADYAXABuACoALwBcAG4ALwAqAFwAbgAgACAAIAAgAE4AYQBtAGUAOgAgACAAIAAgACAAIAAgACAAUgBhAG4AZABvAG0AUwBvAHIAdAAoACkAXABuACAAIAAgACAARABlAHMAYwByAGkAcAB0AGkAbwBuADoAIAAqAC8ALwAqACoAUwBvAHIAdABzACAAdABoAGUAIAB2AGEAbAB1AGUAcwAgAGkAbgAgAGEAbgAgAGkAbgBwAHUAdAAgAGEAcgByAGEAeQAgAGkAbgB0AG8AIABhACAAcgBhAG4AZABvAG0AIABvAHIAZABlAHIAKgAvAC8AKgBcAG4AIAAgACAAIABQAGEAcgBhAG0AZQB0AGUAcgBzADoAXABuACAAIAAgACAAIAAgACAAIAArACAAYQByAHIAYQB5ACAAIAAgACAAIAA9ACAAKAByAGUAcQB1AGkAcgBlAGQAKQAgAGEAcgByAGEAeQAgAG8AZgAgAHYAYQBsAHUAZQBzACAAdwBoAGkAYwBoACAAaQBzACAAdABvACAAYgBlACAAcwBvAHIAdABlAGQAIABpAG4AdABvACAAYQAgAHIAYQBuAGQAbwBtACAAbwByAGQAZQByAFwAbgAgACAAIAAgACAAIAAgACAAKwAgAGIAeQBfAHIAbwB3ACAAIAAgACAAPQAgACgAbwBwAHQAaQBvAG4AYQBsACkAIABkAGUAdABlAHIAbQBpAG4AZQBzACAAdwBoAGUAdABoAGUAcgAgAHQAbwAgAHMAbwByAHQAIABvAG4AIABhACAAYgB5AC0AcgBvAHcAIABiAGEAcwBpAHMAIABvAHIAIABhACAAYgB5AC0AYwBvAGwAdQBtAG4AIABiAGEAcwBpAHMAXABuACAAIAAgACAARQByAHIAbwByACAAYwBvAGQAZQBzADoAXABuACAAIAAgACAAIAAgACAAIAAjAFYAQQBMAFUARQAhACAAIAAgACAAIAA9ACAAUgBlAHEAdQBpAHIAZQBkACAAaQBuAHAAdQB0ACAAcABhAHIAYQBtAGUAdABlAHIAcwAgACgAYQByAHIAYQB5ACkAIABoAGEAdgBlACAAbgBvAHQAIABiAGUAZQBuACAAcAByAG8AdgBpAGQAZQBkAFwAbgAgACAAIAAgACAAIAAgACAAIwBDAEEATABDACEAIAAgACAAIAAgACAAPQAgAFQAaABlACAAaQBuAHAAdQB0ACAAcAByAG8AdgBpAGQAZQBkACAAZgBvAHIAIAB0AGgAZQAgAGEAcgByAGEAeQAgAHAAYQByAGEAbQBlAHQAZQByACAAaQBzACAAaQBuAHYAYQBsAGkAZAAgACgAaQAuAGUALgAgAG4AbwB0ACAAYQBuACAAYQByAHIAYQB5ACAAbwBmACAAbQBvAHIAZQAgAHQAaABhAG4AIABvAG4AZQAgAHYAYQBsAHUAZQApAFwAbgAgACAAIAAgACAAIAAgACAAIwBWAEEATABVAEUAIQAgACAAIAAgACAAPQAgAFQAaABlACAAbwBwAHQAaQBvAG4AYQBsACAAcABhAHIAYQBtAGUAdABlAHIAIABiAHkAXwByAG8AdwAgAGkAbgBwAHUAdAAgAHYAYQBsAHUAZQAgAHAAcgBvAHYAaQBkAGUAZAAgAGkAcwAgAGkAbgB2AGEAbABpAGQAXABuACAAIAAgACAAIAAgACAAIAAgACAAIAAgACAAIAAgACAAIAAgACAAIAAgACAAIAAgAC0AIABtAHUAcwB0ACAAYgBlACAAZQBpAHQAaABlAHIAIABhACAAbgB1AG0AYgBlAHIAIAAoADAAIABvAHIAIAAxACkAIABvAHIAIABhACAAbABvAGcAaQBjAGEAbAAvAEIAbwBvAGwAZQBhAG4AIAB2AGEAbAB1AGUAIAAoAFQAUgBVAEUALwBGAEEATABTAEUAKQBcAG4AIAAgACAAIABOAG8AdABlAHMAOgBcAG4AIAAgACAAIAAgACAAIAAgAC0AIABCAHkAIABkAGUAZgBhAHUAbAB0ACwAIABhAGwAbAAgAHYAYQBsAHUAZQBzACAAaQBuACAAdABoAGUAIABpAG4AcAB1AHQAIABhAHIAcgBhAHkAIAB3AGkAbABsACAAYgBlACAAcgBlAC0AbwByAGQAZQByAGUAZAA7ACAAaQBmACAAdABoAGUAIABiAHkALQByAG8AdwAgAHAAYQByAGEAbQBlAHQAZQByACAAaQBzACAAdQBzAGUAZAAgAHQAaABlAG4AIABmAHUAbABsACAAcgBvAHcAcwAgACgAMQAvAFQAUgBVAEUAKQBcAG4AIAAgACAAIAAgACAAIAAgACAAIABvAHIAIABmAHUAbABsACAAYwBvAGwAdQBtAG4AcwAgACgAMAAvAEYAQQBMAFMARQApACAAYQByAGUAIAByAGEAbgBkAG8AbQBsAHkAIABzAG8AcgB0AGUAZAAgAHIAYQB0AGgAZQByACAAdABoAGEAbgAgAGkAbgBkAGkAdgBpAGQAdQBhAGwAIAB2AGEAbAB1AGUAcwAuAFwAbgAgACAAIAAgACAAIAAgACAALQAgAEEAcwAgAHQAaABlACAAZgB1AG4AYwB0AGkAbwBuACAAdQBzAGUAcwAgAHIAYQBuAGQAbwBtACAAbgB1AG0AYgBlAHIAIABnAGUAbgBlAHIAYQB0AGkAbwBuACAAdABvACAAcgBlAC0AbwByAGQAZQByACAAdABoAGUAIABpAG4AcAB1AHQAIABhAHIAcgBhAHkALAAgAGkAdAAgAGkAcwAgAGEAIAB2AG8AbABhAHQAaQBsAGUAIABmAHUAbgBjAHQAaQBvAG4AIABhAG4AZAAgAHcAaQBsAGwAXABuACAAIAAgACAAIAAgACAAIAAgACAAcgBlAC0AYwBhAGwAYwB1AGwAYQB0AGUAIABlAHYAZQByAHkAdABpAG0AZQAgAHQAaABlAHIAZQAgAGkAcwAgAGEAIABjAGEAbABjAHUAbABhAHQAaQBvAG4AIAB0AHIAaQBnAGcAZQByAC4AIABcAG4AKgAvAFwAbgBSAFgATABfAFIAYQBuAGQAbwBtAFMAbwByAHQAIAA9ACAATABBAE0AQgBEAEEAKABcAG4AIAAgACAAIAAvAC8AIABQAGEAcgBhAG0AZQB0AGUAcgAgAGQAZQBmAGkAbgBpAHQAaQBvAG4AcwBcAG4AIAAgACAAIABhAHIAcgBhAHkALABcAG4AIAAgACAAIABbAGIAeQBfAHIAbwB3AF0ALABcAG4AIAAgACAAIAAvAC8AIABNAGEAaQBuACAAZgB1AG4AYwB0AGkAbwBuACAAYgBvAGQAeQAvAGMAYQBsAGMAdQBsAGEAdABpAG8AbgBzAFwAbgAgACAAIAAgAEwARQBUACgAXABuACAAIAAgACAAIAAgACAAIAAvAC8AIABEAGUAYQBsAGkAbgBnACAAdwBpAHQAaAAgAHQAaABlACAAcgBlAHEAdQBpAHIAZQBkACAAcABhAHIAYQBtAGUAdABlAHIAcwAgAGEAbgBkACAAYwBhAGwAYwB1AGwAYQB0AGkAbgBnACAAdABoAGUAIABkAGUAcgBpAHYAZQBkACAAdgBhAHIAaQBhAGIAbABlAHMAIABuAGUAZQBkAGUAZAAgAGYAbwByACAAdABoAGUAIABtAGEAaQBuACAAYwBhAGwAYwB1AGwAYQB0AGkAbwBuAFwAbgAgACAAIAAgACAAIAAgACAAXwBpAG4AcAAsACAAYQByAHIAYQB5ACwAXABuACAAIAAgACAAIAAgACAAIABfAHIAbwB3AHMALAAgAFIATwBXAFMAKABfAGkAbgBwACkALABcAG4AIAAgACAAIAAgACAAIAAgAF8AYwBvAGwAcwAsACAAQwBPAEwAVQBNAE4AUwAoAF8AaQBuAHAAKQAsAFwAbgAgACAAIAAgACAAIAAgACAALwAvACAARABlAGEAbABpAG4AZwAgAHcAaQB0AGgAIABvAHAAdABpAG8AbgBhAGwAIABwAGEAcgBhAG0AZQB0AGUAcgBzACAAJgAgAHMAZQB0AHQAaQBuAGcAIABkAGUAZgBhAHUAbAB0ACAAdgBhAGwAdQBlAHMAXABuACAAIAAgACAAIAAgACAAIABfAGIAeQBSAHcALAAgAEkARgAoACAASQBTAE8ATQBJAFQAVABFAEQAKABiAHkAXwByAG8AdwApACwAIAAtADEALAAgAEkATgBUACgAYgB5AF8AcgBvAHcAKQApACwAXABuACAAIAAgACAAIAAgACAAIAAvAC8AIABJAG4AcAB1AHQAIABjAGgAZQBjAGsAcwAgAGYAbwByACAAdABoAGUAIABvAHAAdABpAG8AbgBhAGwAIABwAGEAcgBhAG0AZQB0AGUAcgBzACAAYQBuAGQAIAByAGUAcQB1AGkAcgBlAGQAIABwAGEAcgBhAG0AZQB0AGUAcgBzACwAIAByAGUAdAB1AHIAbgBpAG4AZwAgAHQAaABlACAAXwBpAG4AcABDAGgAawAgAHYAYQBsAHUAZQAgAGEAcwAgADEALQB0AG8ALQAzAFwAbgAgACAAIAAgACAAIAAgACAAXwBpAG4AcABDAGgAawAsACAASQBGACgAXABuACAAIAAgACAAIAAgACAAIAAgACAAIAAgAEEATgBEACgAXABuACAAIAAgACAAIAAgACAAIAAgACAAIAAgACAAIAAgACAAUgBPAFcAUwAoAF8AaQBuAHAAKQAgADwAPQAgADEALAAgAEMATwBMAFUATQBOAFMAKABfAGkAbgBwACkAIAA8AD0AIAAxAFwAbgAgACAAIAAgACAAIAAgACAAIAAgACAAIAApACwAIAAyACwAIABJAEYAKABcAG4AIAAgACAAIAAgACAAIAAgACAAIAAgACAATwBSACgAXABuACAAIAAgACAAIAAgACAAIAAgACAAIAAgACAAIAAgACAATgBPAFQAKABJAFMATgBVAE0AQgBFAFIAKABfAGIAeQBSAHcAKQApACwAXABuACAAIAAgACAAIAAgACAAIAAgACAAIAAgACAAIAAgACAAXwBiAHkAUgB3ACAAPAAgAC0AMQAsACAAXwBiAHkAUgB3ACAAPgAgADEAXABuACAAIAAgACAAIAAgACAAIAAgACAAIAAgACkALAAgADMALAAgADEAKQBcAG4AIAAgACAAIAAgACAAIAAgACkALABcAG4AIAAgACAAIAAgACAAIAAgAC8ALwAgAFcAaABlAHIAZQAgAHQAaABlACAAdQBzAGUAcgAgAGgAYQBzACAAYwBoAG8AcwBlAG4AIAB0AG8AIABzAG8AcgB0ACAAdABoAGUAIABmAHUAbABsACAAYQByAHIAYQB5ACwAIAB0AGgAZQAgAGEAcgByAGEAeQAgAGkAcwAgAGMAbwBuAHYAZQByAHQAZQBkACAAdABvACAAYQAgAHMAaQBuAGcAbABlACAAMQBEACAAdgBlAHIAdABpAGMAYQBsACAAbABpAHMAdAAgAG8AZgAgAHYAYQBsAHUAZQBzAFwAbgAgACAAIAAgACAAIAAgACAAXwBhAHIAcgAsACAASQBGACgAXwBiAHkAUgB3ACAAPAAgADAALAAgAFQATwBDAE8ATAAoAF8AaQBuAHAAKQAsACAAXwBpAG4AcAApACwAXABuACAAIAAgACAAIAAgACAAIAAvAC8AIABDAGEAbABjAHUAbABhAHQAZQBzACAAYQBuACAAaQBuAGQAZQB4ACAAbABpAHMAdAAgAHcAaABpAGMAaAAgAHIAZQBsAGEAdABlAHMAIAB0AG8AIABlAGEAYwBoACAAaQB0AGUAbQAgAG8AZgAgAHQAaABlACAAaQBuAHAAdQB0ACAAYQByAHIAYQB5ACAAdABoAGEAdAAgAGkAcwAgAHQAbwAgAGIAZQAgAHIAYQBuAGQAbwBtAGwAeQAgAHMAbwByAHQAZQBkAFwAbgAgACAAIAAgACAAIAAgACAALwAvACAAIAAtACAAdwBoAGUAcgBlACAAdABoAGUAIAB1AHMAZQByACAAaABhAHMAIABjAGgAbwBzAGUAbgAgAHQAbwAgAHMAbwByAHQAIABiAHkAIABjAG8AbAB1AG0AbgAgACgAXwBiAHkAUgB3ACAAPQAgADAAKQAsACAAdABoAGUAIABpAG4AZABlAHgAIABsAGkAcwB0ACAAcgBlAGwAYQB0AGUAcwAgAHQAbwAgAHQAaABlACAAbgB1AG0AYgBlAHIAIABvAGYAIABjAG8AbAB1AG0AbgBzACAAaQBuACAAdABoAGUAIABhAHIAcgBhAHkAXABuACAAIAAgACAAIAAgACAAIAAvAC8AIAAgAC0AIAB3AGgAZQByAGUAIAB0AGgAZQAgAHUAcwBlAHIAIABoAGEAcwAgAGMAaABvAHMAZQBuACAAdABvACAAcwBvAHIAdAAgAGIAeQAgAHIAbwB3ACAAKABfAGIAeQBSAHcAIAA9ACAAMQApACwAIAB0AGgAZQAgAGkAbgBkAGUAeAAgAHIAZQBsAGEAdABlAHMAIAB0AG8AIAB0AGgAZQAgAG4AdQBtAGIAZQByACAAbwBmACAAcgBvAHcAcwAgAGkAbgAgAHQAaABlACAAYQByAHIAYQB5AFwAbgAgACAAIAAgACAAIAAgACAALwAvACAAIAAtACAAdwBoAGUAcgBlACAAdABoAGUAIABmAHUAbABsACAAYQByAHIAYQB5ACAAaQBzACAAdABvACAAYgBlACAAcwBvAHIAdABlAGQAIAAoAF8AYgB5AFIAdwAgAD0AIAAtADEAKQAsACAAdABoAGUAIABuAHUAbQBiAGUAcgAgAG8AZgAgAHIAbwB3AHMAIABpAG4AIAB0AGgAZQAgAGMAbwBuAHYAZQByAHQAZQBkACAAYQByAHIAYQB5ACAAaQBzACAAdQBzAGUAZABcAG4AIAAgACAAIAAgACAAIAAgAF8AaQBkAHgALAAgAEkARgAoAF8AYgB5AFIAdwAgAD0AIAAwACwAXABuACAAIAAgACAAIAAgACAAIAAgACAAIAAgAFMARQBRAFUARQBOAEMARQAoACAAQwBPAEwAVQBNAE4AUwAoAF8AYQByAHIAKQApACwAXABuACAAIAAgACAAIAAgACAAIAAgACAAIAAgAFMARQBRAFUARQBOAEMARQAoACAAUgBPAFcAUwAoAF8AYQByAHIAKQApAFwAbgAgACAAIAAgACAAIAAgACAAKQAsAFwAbgAgACAAIAAgACAAIAAgACAALwAvACAAQwBhAGwAYwB1AGwAYQB0AGUAcwAgAGEAIAByAGEAbgBkAG8AbQBsAHkAIABzAG8AcgB0AGUAZAAgAGMAbwBwAHkAIABvAGYAIAB0AGgAZQAgAGkAbgBkAGUAeAAgAGwAaQBzAHQAIAB1AHMAaQBuAGcAIABhACAAYwBvAG0AYgBpAG4AYQB0AGkAbwBuACAAbwBmACAAUgBFAEQAVQBDAEUAKAApACAAKwAgAEYASQBMAFQARQBSACgAKQBcAG4AIAAgACAAIAAgACAAIAAgAF8AcgBuAGQALAAgAEQAUgBPAFAAKABcAG4AIAAgACAAIAAgACAAIAAgACAAIAAgACAAUgBFAEQAVQBDAEUAKAAwACwAIABfAGkAZAB4ACwAIABMAEEATQBCAEQAQQAoAF8AYQBjAGMALABfAHYAYQBsACwAXABuACAAIAAgACAAIAAgACAAIAAgACAAIAAgACAAIAAgACAATABFAFQAKABcAG4AIAAgACAAIAAgACAAIAAgACAAIAAgACAAIAAgACAAIAAgACAAIAAgAF8AZgBsAHQAcgAsACAARgBJAEwAVABFAFIAKABfAGkAZAB4ACwAIABJAFMATgBBACgAWABNAEEAVABDAEgAKABfAGkAZAB4ACwAIABfAGEAYwBjACkAKQApACwAXABuACAAIAAgACAAIAAgACAAIAAgACAAIAAgACAAIAAgACAAIAAgACAAIABfAHIAcgAsACAAUgBPAFcAUwAoAF8AZgBsAHQAcgApACwAXABuACAAIAAgACAAIAAgACAAIAAgACAAIAAgACAAIAAgACAAIAAgACAAIABWAFMAVABBAEMASwAoAF8AYQBjAGMALAAgAEkATgBEAEUAWAAoAF8AZgBsAHQAcgAsACAAUgBBAE4ARABCAEUAVABXAEUARQBOACgAMQAsACAAXwByAHIAKQApACkAXABuACAAIAAgACAAIAAgACAAIAAgACAAIAAgACAAIAAgACAAKQBcAG4AIAAgACAAIAAgACAAIAAgACAAIAAgACAAKQApACwAXABuACAAIAAgACAAIAAgACAAIAAxACkALABcAG4AIAAgACAAIAAgACAAIAAgAC8ALwAgAFIAZQAtAGMAcgBlAGEAdABlAHMAIAB0AGgAZQAgAG8AcgBpAGcAaQBuAGEAbAAgAGkAbgBwAHUAdAAgAGEAcgByAGEAeQAgAHUAcwBpAG4AZwAgAHQAaABlACAAcgBhAG4AZABvAG0AbAB5ACAAcwBvAHIAdABlAGQAIABpAG4AZABlAHgAIABsAGkAcwB0ACAAdABvACAAcgBlAC0AbwByAGQAZQByACAAdABoAGUAIABhAHIAcgBhAHkAXABuACAAIAAgACAAIAAgACAAIABfAHIAdABuACwAIABJAEYAKABfAGIAeQBSAHcAIAA8ACAAMAAsAFwAbgAgACAAIAAgACAAIAAgACAAIAAgACAAIABNAEEASwBFAEEAUgBSAEEAWQAoAF8AcgBvAHcAcwAsACAAXwBjAG8AbABzACwAIABMAEEATQBCAEQAQQAoAF8AcgAsAF8AYwAsACAASQBOAEQARQBYACgAXwBhAHIAcgAsACAASQBOAEQARQBYACgAXwByAG4AZAAsACAAKABfAHIAIAAtACAAMQApACAAKgAgAF8AYwBvAGwAcwAgACsAIABfAGMAKQApACkAKQAsAFwAbgAgACAAIAAgACAAIAAgACAAIAAgACAAIABJAEYAKABfAGIAeQBSAHcALABcAG4AIAAgACAAIAAgACAAIAAgACAAIAAgACAAIAAgACAAIABNAEEASwBFAEEAUgBSAEEAWQAoAF8AcgBvAHcAcwAsACAAXwBjAG8AbABzACwAIABMAEEATQBCAEQAQQAoAF8AcgAsAF8AYwAsACAASQBOAEQARQBYACgAXwBhAHIAcgAsACAASQBOAEQARQBYACgAXwByAG4AZAAsACAAXwByACkALAAgAF8AYwApACkAKQAsAFwAbgAgACAAIAAgACAAIAAgACAAIAAgACAAIAAgACAAIAAgAE0AQQBLAEUAQQBSAFIAQQBZACgAXwByAG8AdwBzACwAIABfAGMAbwBsAHMALAAgAEwAQQBNAEIARABBACgAXwByACwAXwBjACwAIABJAE4ARABFAFgAKABfAGEAcgByACwAIABfAHIALAAgAEkATgBEAEUAWAAoAF8AcgBuAGQALAAgAF8AYwApACkAKQApAFwAbgAgACAAIAAgACAAIAAgACAAIAAgACAAIAApAFwAbgAgACAAIAAgACAAIAAgACAAKQAsAFwAbgAgACAAIAAgACAAIAAgACAALwAvACAASQBmACAAdABoAGUAIABpAG4AcAB1AHQAIABjAGgAZQBjAGsAcwAgACgAXwBpAG4AcABDAGgAawApACAAaABhAHYAZQAgAGYAbABhAGcAZwBlAGQAIAB0AGgAZQBuACAAdABoAGUAIAByAGUAcQB1AGkAcgBlAGQAIABFAHgAYwBlAGwAIABlAHIAcgBvAHIAIABjAG8AZABlACAAaQBzACAAcgBlAHQAdQByAG4AZQBkACwAXABuACAAIAAgACAAIAAgACAAIAAvAC8AIABvAHQAaABlAHIAdwBpAHMAZQAgAHQAaABlACAAYwBhAGwAYwB1AGwAYQB0AGUAZAAgAHIAZQBzAHUAbAB0ACAAKABfAHIAdABuACkAIABpAHMAIAByAGUAdAB1AHIAbgBlAGQAXABuACAAIAAgACAAIAAgACAAIABDAEgATwBPAFMARQAoAF8AaQBuAHAAQwBoAGsALAAgAF8AcgB0AG4ALAAgAEwAQQBNAEIARABBACgAMAApACwAIAAjAFYAQQBMAFUARQAhACkAXABuACAAIAAgACAAKQBcAG4AKQA7ACIAfQBdACwAIgBwAHIAbwBqAGUAYwB0AE4AYQBtAGUAcwAiADoAWwAiAFIAWABMAF8AUgBhAG4AZABvAG0AUwBvAHIAdA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Cj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4B0F4647-0577-40E7-865D-28E0BE3676F9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RandomSort</vt:lpstr>
      <vt:lpstr>Demo</vt:lpstr>
      <vt:lpstr>VBA</vt:lpstr>
      <vt:lpstr>Lookups</vt:lpstr>
      <vt:lpstr>_OnOff</vt:lpstr>
      <vt:lpstr>_YesNo</vt:lpstr>
    </vt:vector>
  </TitlesOfParts>
  <Company>RXL 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RXL RandomSort Lambda Function</dc:title>
  <dc:subject>Excel LAMBDA function development</dc:subject>
  <dc:creator>Robert Silk</dc:creator>
  <cp:keywords>https://excel-bits.net</cp:keywords>
  <cp:lastModifiedBy>Robert Silk</cp:lastModifiedBy>
  <dcterms:created xsi:type="dcterms:W3CDTF">2025-07-23T10:04:11Z</dcterms:created>
  <dcterms:modified xsi:type="dcterms:W3CDTF">2026-05-06T17:47:28Z</dcterms:modified>
  <cp:category>LAMBDA functions</cp:category>
</cp:coreProperties>
</file>