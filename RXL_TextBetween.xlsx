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_RXL\Development\LAMBDA\"/>
    </mc:Choice>
  </mc:AlternateContent>
  <xr:revisionPtr revIDLastSave="0" documentId="13_ncr:1_{82FBA08B-2CCD-4D1D-BB98-C1EFC14B31E9}" xr6:coauthVersionLast="47" xr6:coauthVersionMax="47" xr10:uidLastSave="{00000000-0000-0000-0000-000000000000}"/>
  <bookViews>
    <workbookView xWindow="-108" yWindow="-108" windowWidth="23256" windowHeight="12456" xr2:uid="{C29E0D24-0EA8-4D41-8E06-9F040E158B6C}"/>
  </bookViews>
  <sheets>
    <sheet name="TextBetween" sheetId="13" r:id="rId1"/>
    <sheet name="Demo" sheetId="14" r:id="rId2"/>
    <sheet name="VBA" sheetId="15" r:id="rId3"/>
    <sheet name="Lookups" sheetId="12" r:id="rId4"/>
  </sheets>
  <definedNames>
    <definedName name="_OnOff">Lookups!$C$6:$C$7</definedName>
    <definedName name="_YesNo">Lookups!$C$3:$C$4</definedName>
    <definedName name="RXL_TextBetween" comment="Returns the characters from a text string between a starting delimiter character(s) and ending delimiter character(s)">_xlfn.LAMBDA(_xlpm.text,_xlop.start_delimiter,_xlop.end_delimiter,_xlop.start_instance,_xlop.end_instance,_xlop.case_sensitive,_xlop.if_not_found, _xlfn.LET(_xlpm._delimA, IF(OR(_xlfn.ISOMITTED(_xlpm.start_delimiter), ISBLANK(_xlpm.start_delimiter)), "", _xlpm.start_delimiter), _xlpm._delimB, IF(OR(_xlfn.ISOMITTED(_xlpm.end_delimiter), ISBLANK(_xlpm.end_delimiter)), "", _xlpm.end_delimiter), _xlpm._instA, IF(OR(_xlfn.ISOMITTED(_xlpm.start_instance), ISBLANK(_xlpm.start_instance)), 1, INT(_xlpm.start_instance)), _xlpm._instB, IF(OR(_xlfn.ISOMITTED(_xlpm.end_instance), ISBLANK(_xlpm.end_instance)), -1, INT(_xlpm.end_instance)), _xlpm._case, IF(_xlfn.ISOMITTED(_xlpm.case_sensitive), 0, IF(_xlpm.case_sensitive, 0, 1)), _xlpm._inf, IF(OR(_xlfn.ISOMITTED(_xlpm.if_not_found), ISBLANK(_xlpm.if_not_found), _xlpm.if_not_found = "", AND(ISLOGICAL(_xlpm.if_not_found), _xlpm.if_not_found = FALSE)), NA(), IF(ISLOGICAL(_xlpm.if_not_found), _xlpm.text, _xlpm.if_not_found)), _xlpm._end, IF(ISLOGICAL(_xlpm.if_not_found), _xlpm.if_not_found * 1, 0), _xlpm._inpChk, IF(OR(NOT(ISNUMBER(_xlpm._instA)), _xlpm._instA = 0, NOT(ISNUMBER(_xlpm._instB)), _xlpm._instB = 0, AND(NOT(ISLOGICAL(_xlpm._case)), NOT(ISNUMBER(_xlpm._case)))), 2, 1), _xlpm._calc, IF(OR(AND(_xlpm._delimA = "", _xlpm._delimB = "")), _xlpm.text, _xlfn.TEXTBEFORE(_xlfn.TEXTAFTER(_xlpm.text, _xlpm._delimA, _xlpm._instA, _xlpm._case, _xlpm._end, _xlpm._inf), _xlpm._delimB, _xlpm._instB, _xlpm._case, , _xlpm._inf)), _xlpm._rtn, IF(AND(ISERROR(_xlpm._calc), _xlpm._end = 1), _xlpm.text, _xlpm._calc), CHOOSE(_xlpm._inpChk, _xlpm._rtn, #VALUE!)))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15" l="1"/>
  <c r="B2" i="15"/>
  <c r="I33" i="14" a="1"/>
  <c r="I33" i="14" s="1"/>
  <c r="I32" i="14" a="1"/>
  <c r="I32" i="14" s="1"/>
  <c r="I31" i="14" a="1"/>
  <c r="I31" i="14" s="1"/>
  <c r="I28" i="14" a="1"/>
  <c r="I28" i="14" s="1"/>
  <c r="I27" i="14" a="1"/>
  <c r="I27" i="14" s="1"/>
  <c r="I25" i="14" a="1"/>
  <c r="I25" i="14" s="1"/>
  <c r="I26" i="14" a="1"/>
  <c r="I26" i="14" s="1"/>
  <c r="I22" i="14" a="1"/>
  <c r="I22" i="14" s="1"/>
  <c r="I21" i="14" a="1"/>
  <c r="I21" i="14" s="1"/>
  <c r="I20" i="14" a="1"/>
  <c r="I20" i="14" s="1"/>
  <c r="I19" i="14" a="1"/>
  <c r="I19" i="14" s="1"/>
  <c r="I16" i="14" a="1"/>
  <c r="I16" i="14" s="1"/>
  <c r="I15" i="14" a="1"/>
  <c r="I15" i="14" s="1"/>
  <c r="I14" i="14" a="1"/>
  <c r="I14" i="14" s="1"/>
  <c r="I13" i="14" a="1"/>
  <c r="I13" i="14" s="1"/>
  <c r="B2" i="14"/>
  <c r="E117" i="13" a="1"/>
  <c r="E117" i="13" s="1"/>
  <c r="E108" i="13" a="1"/>
  <c r="E108" i="13" s="1"/>
  <c r="E99" i="13" a="1"/>
  <c r="E99" i="13" s="1"/>
  <c r="E91" i="13" a="1"/>
  <c r="E91" i="13" s="1"/>
  <c r="E84" i="13" a="1"/>
  <c r="E84" i="13" s="1"/>
  <c r="E78" i="13" a="1"/>
  <c r="E78" i="13" s="1"/>
  <c r="B65" i="13"/>
  <c r="B121" i="13" s="1"/>
  <c r="L26" i="14"/>
  <c r="L14" i="14"/>
  <c r="L25" i="14"/>
  <c r="L13" i="14"/>
  <c r="E92" i="13"/>
  <c r="L22" i="14"/>
  <c r="L33" i="14"/>
  <c r="L21" i="14"/>
  <c r="E85" i="13"/>
  <c r="L32" i="14"/>
  <c r="L20" i="14"/>
  <c r="E118" i="13"/>
  <c r="L31" i="14"/>
  <c r="L19" i="14"/>
  <c r="E109" i="13"/>
  <c r="E79" i="13"/>
  <c r="L28" i="14"/>
  <c r="L16" i="14"/>
  <c r="L27" i="14"/>
  <c r="L15" i="14"/>
  <c r="E100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<sst xmlns="http://schemas.openxmlformats.org/spreadsheetml/2006/main" count="335" uniqueCount="229">
  <si>
    <t>)</t>
  </si>
  <si>
    <t>= LAMBDA(</t>
  </si>
  <si>
    <t>LET(</t>
  </si>
  <si>
    <t>End of Sheet</t>
  </si>
  <si>
    <t>Purpose:</t>
  </si>
  <si>
    <t>Initial experiments:</t>
  </si>
  <si>
    <t>Lookup Tables</t>
  </si>
  <si>
    <t>_YesNo</t>
  </si>
  <si>
    <t>// Parameter definitions</t>
  </si>
  <si>
    <t>_OnOff</t>
  </si>
  <si>
    <t>Minimised version:</t>
  </si>
  <si>
    <t>Final Version</t>
  </si>
  <si>
    <t>TEXTBEFORE()</t>
  </si>
  <si>
    <t>Returns text that occurs before a given character or string</t>
  </si>
  <si>
    <r>
      <t>When searching with an empty</t>
    </r>
    <r>
      <rPr>
        <sz val="10"/>
        <color rgb="FF1E4FA8"/>
        <rFont val="Consolas"/>
        <family val="3"/>
      </rPr>
      <t xml:space="preserve"> delimiter</t>
    </r>
    <r>
      <rPr>
        <sz val="10"/>
        <color rgb="FF002138"/>
        <rFont val="Calibri"/>
        <family val="2"/>
        <scheme val="minor"/>
      </rPr>
      <t xml:space="preserve"> value, TEXTBEFORE() matches immediately</t>
    </r>
  </si>
  <si>
    <r>
      <t xml:space="preserve"> --&gt; returns an empty text string when searching from the start/front ( +ve </t>
    </r>
    <r>
      <rPr>
        <sz val="10"/>
        <color rgb="FF1E4FA8"/>
        <rFont val="Consolas"/>
        <family val="3"/>
      </rPr>
      <t>instance_num</t>
    </r>
    <r>
      <rPr>
        <sz val="10"/>
        <color rgb="FF002138"/>
        <rFont val="Calibri"/>
        <family val="2"/>
        <scheme val="minor"/>
      </rPr>
      <t xml:space="preserve"> )</t>
    </r>
  </si>
  <si>
    <r>
      <t xml:space="preserve"> --&gt; returns the entire text string when searching from the end ( -ve </t>
    </r>
    <r>
      <rPr>
        <sz val="10"/>
        <color rgb="FF1E4FA8"/>
        <rFont val="Consolas"/>
        <family val="3"/>
      </rPr>
      <t>instance_num</t>
    </r>
    <r>
      <rPr>
        <sz val="10"/>
        <color rgb="FF002138"/>
        <rFont val="Calibri"/>
        <family val="2"/>
        <scheme val="minor"/>
      </rPr>
      <t xml:space="preserve"> )</t>
    </r>
  </si>
  <si>
    <t>Syntax:</t>
  </si>
  <si>
    <t>= TEXTBEFORE( text, delimiter, [instance_num], [match_mode], [match_end], [if_not_found] )</t>
  </si>
  <si>
    <t>text</t>
  </si>
  <si>
    <t xml:space="preserve"> --&gt; wildcard characters are not allowed</t>
  </si>
  <si>
    <r>
      <t xml:space="preserve"> --&gt; if </t>
    </r>
    <r>
      <rPr>
        <sz val="10"/>
        <color rgb="FF1E4FA8"/>
        <rFont val="Consolas"/>
        <family val="3"/>
      </rPr>
      <t>text</t>
    </r>
    <r>
      <rPr>
        <sz val="10"/>
        <color rgb="FF002138"/>
        <rFont val="Calibri"/>
        <family val="2"/>
        <scheme val="minor"/>
      </rPr>
      <t xml:space="preserve"> is empty, an empty string is returned</t>
    </r>
  </si>
  <si>
    <t>delimiter</t>
  </si>
  <si>
    <t>instance_num</t>
  </si>
  <si>
    <r>
      <t xml:space="preserve"> --&gt; by </t>
    </r>
    <r>
      <rPr>
        <b/>
        <sz val="10"/>
        <color rgb="FF0000FF"/>
        <rFont val="Calibri"/>
        <family val="2"/>
      </rPr>
      <t>default</t>
    </r>
    <r>
      <rPr>
        <sz val="10"/>
        <color rgb="FF002138"/>
        <rFont val="Calibri"/>
        <family val="2"/>
        <scheme val="minor"/>
      </rPr>
      <t xml:space="preserve"> </t>
    </r>
    <r>
      <rPr>
        <sz val="10"/>
        <color rgb="FF1E4FA8"/>
        <rFont val="Consolas"/>
        <family val="3"/>
      </rPr>
      <t>instance_num</t>
    </r>
    <r>
      <rPr>
        <sz val="10"/>
        <color rgb="FF002138"/>
        <rFont val="Calibri"/>
        <family val="2"/>
        <scheme val="minor"/>
      </rPr>
      <t xml:space="preserve"> = </t>
    </r>
    <r>
      <rPr>
        <sz val="10"/>
        <color rgb="FF0000FF"/>
        <rFont val="Calibri"/>
        <family val="2"/>
      </rPr>
      <t>1</t>
    </r>
  </si>
  <si>
    <r>
      <t xml:space="preserve"> --&gt; a negative number starts searching </t>
    </r>
    <r>
      <rPr>
        <sz val="10"/>
        <color rgb="FF1E4FA8"/>
        <rFont val="Consolas"/>
        <family val="3"/>
      </rPr>
      <t>text</t>
    </r>
    <r>
      <rPr>
        <sz val="10"/>
        <color rgb="FF002138"/>
        <rFont val="Calibri"/>
        <family val="2"/>
        <scheme val="minor"/>
      </rPr>
      <t xml:space="preserve"> from the end rather than the start</t>
    </r>
  </si>
  <si>
    <t>match_mode</t>
  </si>
  <si>
    <r>
      <t xml:space="preserve"> = case sensitive (</t>
    </r>
    <r>
      <rPr>
        <b/>
        <sz val="10"/>
        <color rgb="FF0000FF"/>
        <rFont val="Calibri"/>
        <family val="2"/>
      </rPr>
      <t>default</t>
    </r>
    <r>
      <rPr>
        <sz val="10"/>
        <color rgb="FF002138"/>
        <rFont val="Calibri"/>
        <family val="2"/>
        <scheme val="minor"/>
      </rPr>
      <t>)</t>
    </r>
  </si>
  <si>
    <t xml:space="preserve"> = case insensitive</t>
  </si>
  <si>
    <t>match_end</t>
  </si>
  <si>
    <r>
      <t xml:space="preserve"> = match the delimiter exactly as specified in the parameter (</t>
    </r>
    <r>
      <rPr>
        <b/>
        <sz val="10"/>
        <color rgb="FF0000FF"/>
        <rFont val="Calibri"/>
        <family val="2"/>
      </rPr>
      <t>default</t>
    </r>
    <r>
      <rPr>
        <sz val="10"/>
        <color rgb="FF002138"/>
        <rFont val="Calibri"/>
        <family val="2"/>
        <scheme val="minor"/>
      </rPr>
      <t>)</t>
    </r>
  </si>
  <si>
    <r>
      <t xml:space="preserve"> = match the </t>
    </r>
    <r>
      <rPr>
        <sz val="10"/>
        <color rgb="FF1E4FA8"/>
        <rFont val="Consolas"/>
        <family val="3"/>
      </rPr>
      <t>delimiter</t>
    </r>
    <r>
      <rPr>
        <sz val="10"/>
        <color rgb="FF002138"/>
        <rFont val="Calibri"/>
        <family val="2"/>
        <scheme val="minor"/>
      </rPr>
      <t xml:space="preserve"> against the end of </t>
    </r>
    <r>
      <rPr>
        <sz val="10"/>
        <color rgb="FF1E4FA8"/>
        <rFont val="Consolas"/>
        <family val="3"/>
      </rPr>
      <t>text</t>
    </r>
    <r>
      <rPr>
        <sz val="10"/>
        <color rgb="FF002138"/>
        <rFont val="Calibri"/>
        <family val="2"/>
        <scheme val="minor"/>
      </rPr>
      <t xml:space="preserve">; if the </t>
    </r>
    <r>
      <rPr>
        <sz val="10"/>
        <color rgb="FF1E4FA8"/>
        <rFont val="Consolas"/>
        <family val="3"/>
      </rPr>
      <t>delimiter</t>
    </r>
    <r>
      <rPr>
        <sz val="10"/>
        <color rgb="FF002138"/>
        <rFont val="Calibri"/>
        <family val="2"/>
        <scheme val="minor"/>
      </rPr>
      <t xml:space="preserve"> is not found the original </t>
    </r>
    <r>
      <rPr>
        <sz val="10"/>
        <color rgb="FF1E4FA8"/>
        <rFont val="Consolas"/>
        <family val="3"/>
      </rPr>
      <t>text</t>
    </r>
    <r>
      <rPr>
        <sz val="10"/>
        <color rgb="FF002138"/>
        <rFont val="Calibri"/>
        <family val="2"/>
        <scheme val="minor"/>
      </rPr>
      <t xml:space="preserve"> is returned</t>
    </r>
  </si>
  <si>
    <t>if_not_found</t>
  </si>
  <si>
    <t>Errors:</t>
  </si>
  <si>
    <r>
      <t xml:space="preserve">returned if </t>
    </r>
    <r>
      <rPr>
        <sz val="10"/>
        <color rgb="FF1E4FA8"/>
        <rFont val="Consolas"/>
        <family val="3"/>
      </rPr>
      <t>instance_num</t>
    </r>
    <r>
      <rPr>
        <sz val="10"/>
        <color rgb="FF002138"/>
        <rFont val="Calibri"/>
        <family val="2"/>
        <scheme val="minor"/>
      </rPr>
      <t xml:space="preserve"> is 0 (zero), or if the </t>
    </r>
    <r>
      <rPr>
        <sz val="10"/>
        <color rgb="FF1E4FA8"/>
        <rFont val="Consolas"/>
        <family val="3"/>
      </rPr>
      <t>instance_num</t>
    </r>
    <r>
      <rPr>
        <sz val="10"/>
        <color rgb="FF002138"/>
        <rFont val="Calibri"/>
        <family val="2"/>
        <scheme val="minor"/>
      </rPr>
      <t xml:space="preserve"> is greater than the length of </t>
    </r>
    <r>
      <rPr>
        <sz val="10"/>
        <color rgb="FF1E4FA8"/>
        <rFont val="Consolas"/>
        <family val="3"/>
      </rPr>
      <t>text</t>
    </r>
  </si>
  <si>
    <r>
      <t xml:space="preserve">returned if the </t>
    </r>
    <r>
      <rPr>
        <sz val="10"/>
        <color rgb="FF1E4FA8"/>
        <rFont val="Consolas"/>
        <family val="3"/>
      </rPr>
      <t>delimiter</t>
    </r>
    <r>
      <rPr>
        <sz val="10"/>
        <color rgb="FF002138"/>
        <rFont val="Calibri"/>
        <family val="2"/>
        <scheme val="minor"/>
      </rPr>
      <t xml:space="preserve"> is not contained in </t>
    </r>
    <r>
      <rPr>
        <sz val="10"/>
        <color rgb="FF1E4FA8"/>
        <rFont val="Consolas"/>
        <family val="3"/>
      </rPr>
      <t>text</t>
    </r>
  </si>
  <si>
    <r>
      <t xml:space="preserve">returned if </t>
    </r>
    <r>
      <rPr>
        <sz val="10"/>
        <color rgb="FF1E4FA8"/>
        <rFont val="Consolas"/>
        <family val="3"/>
      </rPr>
      <t>instance_num</t>
    </r>
    <r>
      <rPr>
        <sz val="10"/>
        <color rgb="FF002138"/>
        <rFont val="Calibri"/>
        <family val="2"/>
        <scheme val="minor"/>
      </rPr>
      <t xml:space="preserve"> is greater than the number of occurrences of </t>
    </r>
    <r>
      <rPr>
        <sz val="10"/>
        <color rgb="FF1E4FA8"/>
        <rFont val="Consolas"/>
        <family val="3"/>
      </rPr>
      <t>delimiter</t>
    </r>
  </si>
  <si>
    <r>
      <rPr>
        <b/>
        <sz val="10"/>
        <color rgb="FFB75EE1"/>
        <rFont val="Calibri"/>
        <family val="2"/>
      </rPr>
      <t>[required]</t>
    </r>
    <r>
      <rPr>
        <sz val="10"/>
        <color rgb="FF002138"/>
        <rFont val="Calibri"/>
        <family val="2"/>
        <scheme val="minor"/>
      </rPr>
      <t xml:space="preserve">  The text string you are searching within</t>
    </r>
  </si>
  <si>
    <r>
      <rPr>
        <b/>
        <sz val="10"/>
        <color rgb="FFB75EE1"/>
        <rFont val="Calibri"/>
        <family val="2"/>
      </rPr>
      <t>[required]</t>
    </r>
    <r>
      <rPr>
        <sz val="10"/>
        <color rgb="FF002138"/>
        <rFont val="Calibri"/>
        <family val="2"/>
        <scheme val="minor"/>
      </rPr>
      <t xml:space="preserve">  The text string/character that marks the point before which you want to extract</t>
    </r>
  </si>
  <si>
    <r>
      <rPr>
        <b/>
        <sz val="10"/>
        <color rgb="FFFC6017"/>
        <rFont val="Calibri"/>
        <family val="2"/>
      </rPr>
      <t>[optional]</t>
    </r>
    <r>
      <rPr>
        <sz val="10"/>
        <color rgb="FF002138"/>
        <rFont val="Calibri"/>
        <family val="2"/>
        <scheme val="minor"/>
      </rPr>
      <t xml:space="preserve">  The instance of the </t>
    </r>
    <r>
      <rPr>
        <sz val="10"/>
        <color rgb="FF1E4FA8"/>
        <rFont val="Consolas"/>
        <family val="3"/>
      </rPr>
      <t>delimiter</t>
    </r>
    <r>
      <rPr>
        <sz val="10"/>
        <color rgb="FF002138"/>
        <rFont val="Calibri"/>
        <family val="2"/>
        <scheme val="minor"/>
      </rPr>
      <t xml:space="preserve"> before which you want to extract the </t>
    </r>
    <r>
      <rPr>
        <sz val="10"/>
        <color rgb="FF1E4FA8"/>
        <rFont val="Consolas"/>
        <family val="3"/>
      </rPr>
      <t>text</t>
    </r>
  </si>
  <si>
    <r>
      <rPr>
        <b/>
        <sz val="10"/>
        <color rgb="FFFC6017"/>
        <rFont val="Calibri"/>
        <family val="2"/>
      </rPr>
      <t>[optional]</t>
    </r>
    <r>
      <rPr>
        <sz val="10"/>
        <color rgb="FF002138"/>
        <rFont val="Calibri"/>
        <family val="2"/>
        <scheme val="minor"/>
      </rPr>
      <t xml:space="preserve">  Determines whether the </t>
    </r>
    <r>
      <rPr>
        <sz val="10"/>
        <color rgb="FF1E4FA8"/>
        <rFont val="Consolas"/>
        <family val="3"/>
      </rPr>
      <t>text</t>
    </r>
    <r>
      <rPr>
        <sz val="10"/>
        <color rgb="FF002138"/>
        <rFont val="Calibri"/>
        <family val="2"/>
        <scheme val="minor"/>
      </rPr>
      <t xml:space="preserve"> search is case-sensitive</t>
    </r>
  </si>
  <si>
    <r>
      <rPr>
        <b/>
        <sz val="10"/>
        <color rgb="FFFC6017"/>
        <rFont val="Calibri"/>
        <family val="2"/>
      </rPr>
      <t>[optional]</t>
    </r>
    <r>
      <rPr>
        <sz val="10"/>
        <color rgb="FF002138"/>
        <rFont val="Calibri"/>
        <family val="2"/>
        <scheme val="minor"/>
      </rPr>
      <t xml:space="preserve">  Treats the end of </t>
    </r>
    <r>
      <rPr>
        <sz val="10"/>
        <color rgb="FF1E4FA8"/>
        <rFont val="Consolas"/>
        <family val="3"/>
      </rPr>
      <t>text</t>
    </r>
    <r>
      <rPr>
        <sz val="10"/>
        <color rgb="FF002138"/>
        <rFont val="Calibri"/>
        <family val="2"/>
        <scheme val="minor"/>
      </rPr>
      <t xml:space="preserve"> as a delimiter</t>
    </r>
  </si>
  <si>
    <r>
      <rPr>
        <b/>
        <sz val="10"/>
        <color rgb="FFFC6017"/>
        <rFont val="Calibri"/>
        <family val="2"/>
      </rPr>
      <t>[optional]</t>
    </r>
    <r>
      <rPr>
        <sz val="10"/>
        <color rgb="FF002138"/>
        <rFont val="Calibri"/>
        <family val="2"/>
        <scheme val="minor"/>
      </rPr>
      <t xml:space="preserve">  A value/string which is returned if not match is found</t>
    </r>
  </si>
  <si>
    <r>
      <t xml:space="preserve"> --&gt; </t>
    </r>
    <r>
      <rPr>
        <b/>
        <sz val="10"/>
        <color rgb="FF0000FF"/>
        <rFont val="Calibri"/>
        <family val="2"/>
      </rPr>
      <t>default</t>
    </r>
    <r>
      <rPr>
        <sz val="10"/>
        <color rgb="FF002138"/>
        <rFont val="Calibri"/>
        <family val="2"/>
        <scheme val="minor"/>
      </rPr>
      <t xml:space="preserve"> =</t>
    </r>
    <r>
      <rPr>
        <sz val="10"/>
        <color rgb="FFC00000"/>
        <rFont val="Calibri"/>
        <family val="2"/>
        <scheme val="minor"/>
      </rPr>
      <t xml:space="preserve"> </t>
    </r>
    <r>
      <rPr>
        <sz val="10"/>
        <color rgb="FFC00000"/>
        <rFont val="Consolas"/>
        <family val="3"/>
      </rPr>
      <t>#N/A</t>
    </r>
  </si>
  <si>
    <t>TEXTAFTER()</t>
  </si>
  <si>
    <t>Returns text that occurs after a given character or string</t>
  </si>
  <si>
    <r>
      <t>When searching with an empty</t>
    </r>
    <r>
      <rPr>
        <sz val="10"/>
        <color rgb="FF1E4FA8"/>
        <rFont val="Consolas"/>
        <family val="3"/>
      </rPr>
      <t xml:space="preserve"> delimiter</t>
    </r>
    <r>
      <rPr>
        <sz val="10"/>
        <color rgb="FF002138"/>
        <rFont val="Calibri"/>
        <family val="2"/>
        <scheme val="minor"/>
      </rPr>
      <t xml:space="preserve"> value, TEXTAFTER() matches immediately</t>
    </r>
  </si>
  <si>
    <r>
      <t xml:space="preserve"> --&gt; returns the entire text when searching from the start/front ( +ve </t>
    </r>
    <r>
      <rPr>
        <sz val="10"/>
        <color rgb="FF1E4FA8"/>
        <rFont val="Consolas"/>
        <family val="3"/>
      </rPr>
      <t>instance_num</t>
    </r>
    <r>
      <rPr>
        <sz val="10"/>
        <color rgb="FF002138"/>
        <rFont val="Calibri"/>
        <family val="2"/>
        <scheme val="minor"/>
      </rPr>
      <t xml:space="preserve"> )</t>
    </r>
  </si>
  <si>
    <r>
      <t xml:space="preserve"> --&gt; returns an empty text string when searching from the end ( -ve </t>
    </r>
    <r>
      <rPr>
        <sz val="10"/>
        <color rgb="FF1E4FA8"/>
        <rFont val="Consolas"/>
        <family val="3"/>
      </rPr>
      <t>instance_num</t>
    </r>
    <r>
      <rPr>
        <sz val="10"/>
        <color rgb="FF002138"/>
        <rFont val="Calibri"/>
        <family val="2"/>
        <scheme val="minor"/>
      </rPr>
      <t xml:space="preserve"> )</t>
    </r>
  </si>
  <si>
    <t>= TEXTAFTER( text, delimiter, [instance_num], [match_mode], [match_end], [if_not_found] )</t>
  </si>
  <si>
    <r>
      <rPr>
        <b/>
        <sz val="10"/>
        <color rgb="FFB75EE1"/>
        <rFont val="Calibri"/>
        <family val="2"/>
      </rPr>
      <t>[required]</t>
    </r>
    <r>
      <rPr>
        <sz val="10"/>
        <color rgb="FF002138"/>
        <rFont val="Calibri"/>
        <family val="2"/>
        <scheme val="minor"/>
      </rPr>
      <t xml:space="preserve">  The text string/character that marks the point after which you want to extract</t>
    </r>
  </si>
  <si>
    <r>
      <rPr>
        <b/>
        <sz val="10"/>
        <color rgb="FFFC6017"/>
        <rFont val="Calibri"/>
        <family val="2"/>
      </rPr>
      <t>[optional]</t>
    </r>
    <r>
      <rPr>
        <sz val="10"/>
        <color rgb="FF002138"/>
        <rFont val="Calibri"/>
        <family val="2"/>
        <scheme val="minor"/>
      </rPr>
      <t xml:space="preserve">  The instance of the </t>
    </r>
    <r>
      <rPr>
        <sz val="10"/>
        <color rgb="FF1E4FA8"/>
        <rFont val="Consolas"/>
        <family val="3"/>
      </rPr>
      <t>delimiter</t>
    </r>
    <r>
      <rPr>
        <sz val="10"/>
        <color rgb="FF002138"/>
        <rFont val="Calibri"/>
        <family val="2"/>
        <scheme val="minor"/>
      </rPr>
      <t xml:space="preserve"> after which you want to extract the </t>
    </r>
    <r>
      <rPr>
        <sz val="10"/>
        <color rgb="FF1E4FA8"/>
        <rFont val="Consolas"/>
        <family val="3"/>
      </rPr>
      <t>text</t>
    </r>
  </si>
  <si>
    <r>
      <t xml:space="preserve"> --&gt; </t>
    </r>
    <r>
      <rPr>
        <b/>
        <sz val="10"/>
        <color rgb="FF0000FF"/>
        <rFont val="Calibri"/>
        <family val="2"/>
      </rPr>
      <t>default</t>
    </r>
    <r>
      <rPr>
        <sz val="10"/>
        <color rgb="FF002138"/>
        <rFont val="Calibri"/>
        <family val="2"/>
        <scheme val="minor"/>
      </rPr>
      <t xml:space="preserve"> = </t>
    </r>
    <r>
      <rPr>
        <sz val="10"/>
        <color rgb="FFC00000"/>
        <rFont val="Consolas"/>
        <family val="3"/>
      </rPr>
      <t>#N/A</t>
    </r>
  </si>
  <si>
    <t>Development -- using TEXTAFTER() &amp; TEXTBEFORE()</t>
  </si>
  <si>
    <t>Simple example</t>
  </si>
  <si>
    <t xml:space="preserve">Input string:  </t>
  </si>
  <si>
    <t>Hello World!</t>
  </si>
  <si>
    <t xml:space="preserve">Delimiters:  </t>
  </si>
  <si>
    <t xml:space="preserve">Output string:  </t>
  </si>
  <si>
    <t>Making the delimiter parameters optional</t>
  </si>
  <si>
    <t>Adding optional instance number inputs</t>
  </si>
  <si>
    <t>Hello</t>
  </si>
  <si>
    <t>!</t>
  </si>
  <si>
    <t xml:space="preserve">Instance number:  </t>
  </si>
  <si>
    <t xml:space="preserve">Adding optional input for case sensitivity </t>
  </si>
  <si>
    <t>hello</t>
  </si>
  <si>
    <t xml:space="preserve">Case sensitive:  </t>
  </si>
  <si>
    <t>Adding optional input for "not found" ( #N/A ) result</t>
  </si>
  <si>
    <t xml:space="preserve">If not found:  </t>
  </si>
  <si>
    <t>(not found)</t>
  </si>
  <si>
    <t>Adding option to return original text if delimiter search results in "not found"</t>
  </si>
  <si>
    <t>Description:</t>
  </si>
  <si>
    <t>Parameters:</t>
  </si>
  <si>
    <t>Error checks:</t>
  </si>
  <si>
    <t>Function:</t>
  </si>
  <si>
    <t>case_sensitive</t>
  </si>
  <si>
    <t>end_instance</t>
  </si>
  <si>
    <t>start_instance</t>
  </si>
  <si>
    <t>end_delimiter</t>
  </si>
  <si>
    <t>start_delimiter</t>
  </si>
  <si>
    <t>text,</t>
  </si>
  <si>
    <t>// Main function body/calculations</t>
  </si>
  <si>
    <t>// Deal with [optional] parameters and set default values</t>
  </si>
  <si>
    <t>_case, IF( ISOMITTED(case_sensitive), 0, IF(case_sensitive, 0, 1)),</t>
  </si>
  <si>
    <t>// Additional input checking for the if_not_found parameter in order to provide #N/A result when no return string is calculated</t>
  </si>
  <si>
    <t>// rather than a #VALUE! Result</t>
  </si>
  <si>
    <t>_inf, IF(</t>
  </si>
  <si>
    <t>NA(),</t>
  </si>
  <si>
    <t>),</t>
  </si>
  <si>
    <t>// Check for invalid input values -- returns value of: 0 = no input errors; &gt;0 = input error(s) identified</t>
  </si>
  <si>
    <t>// this is placed after dealing with optional parameter default values so that an omitted input does not register an input error</t>
  </si>
  <si>
    <t>_inpChk, IF(</t>
  </si>
  <si>
    <t>OR(</t>
  </si>
  <si>
    <t>AND( NOT(ISLOGICAL(_case)), NOT(ISNUMBER(_case)))</t>
  </si>
  <si>
    <t>// Calculate the output string using TEXTAFTER() and TEXTBEFORE() functions</t>
  </si>
  <si>
    <t>// For the final calculation output, if the an input error check message/code is present return that, otherwise return the output string</t>
  </si>
  <si>
    <t>[start_delimiter],</t>
  </si>
  <si>
    <t>[end_delimiter],</t>
  </si>
  <si>
    <t>[start_instance],</t>
  </si>
  <si>
    <t>[end_instance],</t>
  </si>
  <si>
    <t>[case_sensitive],</t>
  </si>
  <si>
    <t>[if_not_found],</t>
  </si>
  <si>
    <t>2,</t>
  </si>
  <si>
    <t>CHOOSE(_inpChk, _rtn, #VALUE!)</t>
  </si>
  <si>
    <t>_delimA, IF( OR( ISOMITTED(start_delimiter), ISBLANK(start_delimiter)), "", start_delimiter),</t>
  </si>
  <si>
    <t>_delimB, IF( OR( ISOMITTED(end_delimiter), ISBLANK(end_delimiter)), "", end_delimiter),</t>
  </si>
  <si>
    <t>_instA, IF( OR( ISOMITTED(start_instance), ISBLANK(start_instance)), 1, INT(start_instance)),</t>
  </si>
  <si>
    <t>_instB, IF( OR( ISOMITTED(end_instance), ISBLANK(end_instance)), -1, INT(end_instance)),</t>
  </si>
  <si>
    <t>OR( ISOMITTED(if_not_found), ISBLANK(if_not_found), if_not_found = "", AND( ISLOGICAL(if_not_found), if_not_found = FALSE)),</t>
  </si>
  <si>
    <t>IF( ISLOGICAL(if_not_found), text, if_not_found)</t>
  </si>
  <si>
    <t>_end, IF( ISLOGICAL(if_not_found), if_not_found * 1, 0),</t>
  </si>
  <si>
    <t>_calc, IF( OR( AND(_delimA = "", _delimB = "")),</t>
  </si>
  <si>
    <t>TEXTBEFORE( TEXTAFTER(text, _delimA, _instA, _case, _end, _inf), _delimB, _instB, _case, , _inf)</t>
  </si>
  <si>
    <t>_rtn, IF( AND( ISERROR(_calc), _end = 1), text, _calc),</t>
  </si>
  <si>
    <t>=LAMBDA(text,[start_delimiter],[end_delimiter],[start_instance],[end_instance],[case_sensitive],[if_not_found],LET(_delimA,IF(OR(ISOMITTED(start_delimiter),ISBLANK(start_delimiter)),"",start_delimiter),_delimB,IF(OR(ISOMITTED(end_delimiter),ISBLANK(end_delimiter)),"",end_delimiter),_instA,IF(OR(ISOMITTED(start_instance),ISBLANK(start_instance)),1,INT(start_instance)),_instB,IF(OR(ISOMITTED(end_instance),ISBLANK(end_instance)),-1,INT(end_instance)),_case,IF(ISOMITTED(case_sensitive),0,IF(case_sensitive,0,1)),_inf,IF(OR(ISOMITTED(if_not_found),ISBLANK(if_not_found),if_not_found="",AND(ISLOGICAL(if_not_found),if_not_found=FALSE)),NA(),IF(ISLOGICAL(if_not_found),text,if_not_found)),_end,IF(ISLOGICAL(if_not_found),if_not_found*1,0),_inpChk,IF(OR(NOT(ISNUMBER(_instA)),NOT(ISNUMBER(_instB)),AND(NOT(ISLOGICAL(_case)),NOT(ISNUMBER(_case)))),2,1),_calc,IF(OR(AND(_delimA="",_delimB="")),text,TEXTBEFORE(TEXTAFTER(text,_delimA,_instA,_case,_end,_inf),_delimB,_instB,_case,,_inf)),_rtn,IF(AND(ISERROR(_calc),_end=1),text,_calc),CHOOSE(_inpChk,_rtn,#VALUE!)))</t>
  </si>
  <si>
    <t>TextBetween Function</t>
  </si>
  <si>
    <r>
      <rPr>
        <b/>
        <sz val="10"/>
        <color rgb="FFFC6017"/>
        <rFont val="Calibri"/>
        <family val="2"/>
        <scheme val="minor"/>
      </rPr>
      <t>[optional]</t>
    </r>
    <r>
      <rPr>
        <sz val="10"/>
        <color rgb="FF002138"/>
        <rFont val="Calibri"/>
        <family val="2"/>
        <scheme val="minor"/>
      </rPr>
      <t xml:space="preserve">   A text string or value which is searched for as the start of the return string/text</t>
    </r>
  </si>
  <si>
    <r>
      <rPr>
        <b/>
        <sz val="10"/>
        <color rgb="FFFC6017"/>
        <rFont val="Calibri"/>
        <family val="2"/>
        <scheme val="minor"/>
      </rPr>
      <t>[optional]</t>
    </r>
    <r>
      <rPr>
        <sz val="10"/>
        <color rgb="FF002138"/>
        <rFont val="Calibri"/>
        <family val="2"/>
        <scheme val="minor"/>
      </rPr>
      <t xml:space="preserve">   A text string or value which is searched for as the end of the return string/text</t>
    </r>
  </si>
  <si>
    <t>(A.)</t>
  </si>
  <si>
    <t>(B.)</t>
  </si>
  <si>
    <t>(C.)</t>
  </si>
  <si>
    <t>(D.)</t>
  </si>
  <si>
    <t>(E.)</t>
  </si>
  <si>
    <t>(F.)</t>
  </si>
  <si>
    <r>
      <rPr>
        <b/>
        <sz val="10"/>
        <color rgb="FFFC6017"/>
        <rFont val="Calibri"/>
        <family val="2"/>
        <scheme val="minor"/>
      </rPr>
      <t>[optional]</t>
    </r>
    <r>
      <rPr>
        <sz val="10"/>
        <color rgb="FF002138"/>
        <rFont val="Calibri"/>
        <family val="2"/>
        <scheme val="minor"/>
      </rPr>
      <t xml:space="preserve">   A single value which is returned by the function if no match is found</t>
    </r>
  </si>
  <si>
    <r>
      <rPr>
        <b/>
        <sz val="10"/>
        <color rgb="FFB75EE1"/>
        <rFont val="Calibri"/>
        <family val="2"/>
        <scheme val="minor"/>
      </rPr>
      <t>[required]</t>
    </r>
    <r>
      <rPr>
        <sz val="10"/>
        <color rgb="FF002138"/>
        <rFont val="Calibri"/>
        <family val="2"/>
        <scheme val="minor"/>
      </rPr>
      <t xml:space="preserve">  The text string to be searched -- can be text string or a reference to a text string</t>
    </r>
  </si>
  <si>
    <t>This can be a single character or multiple characters</t>
  </si>
  <si>
    <r>
      <rPr>
        <b/>
        <sz val="10"/>
        <color rgb="FFFC6017"/>
        <rFont val="Calibri"/>
        <family val="2"/>
        <scheme val="minor"/>
      </rPr>
      <t>[optional]</t>
    </r>
    <r>
      <rPr>
        <sz val="10"/>
        <color rgb="FF002138"/>
        <rFont val="Calibri"/>
        <family val="2"/>
        <scheme val="minor"/>
      </rPr>
      <t xml:space="preserve">   A non-zero number indicating which instance of the </t>
    </r>
    <r>
      <rPr>
        <sz val="10"/>
        <color theme="1" tint="0.249977111117893"/>
        <rFont val="Consolas"/>
        <family val="3"/>
      </rPr>
      <t>start_delimiter</t>
    </r>
    <r>
      <rPr>
        <sz val="10"/>
        <color rgb="FF002138"/>
        <rFont val="Calibri"/>
        <family val="2"/>
        <scheme val="minor"/>
      </rPr>
      <t xml:space="preserve"> to use as the start of the return string</t>
    </r>
  </si>
  <si>
    <r>
      <rPr>
        <b/>
        <sz val="10"/>
        <color rgb="FFFC6017"/>
        <rFont val="Calibri"/>
        <family val="2"/>
        <scheme val="minor"/>
      </rPr>
      <t>[optional]</t>
    </r>
    <r>
      <rPr>
        <sz val="10"/>
        <color rgb="FF002138"/>
        <rFont val="Calibri"/>
        <family val="2"/>
        <scheme val="minor"/>
      </rPr>
      <t xml:space="preserve">   A whole number value indicating which instance of the </t>
    </r>
    <r>
      <rPr>
        <sz val="10"/>
        <color theme="1" tint="0.249977111117893"/>
        <rFont val="Consolas"/>
        <family val="3"/>
      </rPr>
      <t>end_delimiter</t>
    </r>
    <r>
      <rPr>
        <sz val="10"/>
        <color rgb="FF002138"/>
        <rFont val="Calibri"/>
        <family val="2"/>
        <scheme val="minor"/>
      </rPr>
      <t xml:space="preserve"> to use as the end of the return string</t>
    </r>
  </si>
  <si>
    <r>
      <t xml:space="preserve">The number can be positive or negative; if the input parameter is omitted, it will </t>
    </r>
    <r>
      <rPr>
        <sz val="10"/>
        <color rgb="FF0000FF"/>
        <rFont val="Calibri"/>
        <family val="2"/>
        <scheme val="minor"/>
      </rPr>
      <t>default</t>
    </r>
    <r>
      <rPr>
        <sz val="10"/>
        <color rgb="FF002138"/>
        <rFont val="Calibri"/>
        <family val="2"/>
        <scheme val="minor"/>
      </rPr>
      <t xml:space="preserve"> to </t>
    </r>
    <r>
      <rPr>
        <sz val="10"/>
        <color rgb="FF0000FF"/>
        <rFont val="Consolas"/>
        <family val="3"/>
      </rPr>
      <t>1</t>
    </r>
  </si>
  <si>
    <r>
      <t xml:space="preserve">If the </t>
    </r>
    <r>
      <rPr>
        <sz val="10"/>
        <color theme="1" tint="0.249977111117893"/>
        <rFont val="Consolas"/>
        <family val="3"/>
      </rPr>
      <t>start_delimiter</t>
    </r>
    <r>
      <rPr>
        <sz val="10"/>
        <color rgb="FF002138"/>
        <rFont val="Calibri"/>
        <family val="2"/>
        <scheme val="minor"/>
      </rPr>
      <t xml:space="preserve"> input is omitted, then the </t>
    </r>
    <r>
      <rPr>
        <sz val="10"/>
        <color rgb="FF0000FF"/>
        <rFont val="Calibri"/>
        <family val="2"/>
        <scheme val="minor"/>
      </rPr>
      <t>default</t>
    </r>
    <r>
      <rPr>
        <sz val="10"/>
        <color rgb="FF002138"/>
        <rFont val="Calibri"/>
        <family val="2"/>
        <scheme val="minor"/>
      </rPr>
      <t xml:space="preserve"> value is a blank string ( </t>
    </r>
    <r>
      <rPr>
        <sz val="10"/>
        <color rgb="FF0000FF"/>
        <rFont val="Consolas"/>
        <family val="3"/>
      </rPr>
      <t>""</t>
    </r>
    <r>
      <rPr>
        <sz val="10"/>
        <color rgb="FF002138"/>
        <rFont val="Calibri"/>
        <family val="2"/>
        <scheme val="minor"/>
      </rPr>
      <t xml:space="preserve"> ) --&gt; this will cause the function to act like the TEXTBEFORE() function</t>
    </r>
  </si>
  <si>
    <r>
      <t xml:space="preserve">If the </t>
    </r>
    <r>
      <rPr>
        <sz val="10"/>
        <color theme="1" tint="0.249977111117893"/>
        <rFont val="Consolas"/>
        <family val="3"/>
      </rPr>
      <t>end_delimiter</t>
    </r>
    <r>
      <rPr>
        <sz val="10"/>
        <color rgb="FF002138"/>
        <rFont val="Calibri"/>
        <family val="2"/>
        <scheme val="minor"/>
      </rPr>
      <t xml:space="preserve"> input is omitted, then the </t>
    </r>
    <r>
      <rPr>
        <sz val="10"/>
        <color rgb="FF0000FF"/>
        <rFont val="Calibri"/>
        <family val="2"/>
        <scheme val="minor"/>
      </rPr>
      <t>default</t>
    </r>
    <r>
      <rPr>
        <sz val="10"/>
        <color rgb="FF002138"/>
        <rFont val="Calibri"/>
        <family val="2"/>
        <scheme val="minor"/>
      </rPr>
      <t xml:space="preserve"> value is a blank string ( </t>
    </r>
    <r>
      <rPr>
        <sz val="10"/>
        <color rgb="FF0000FF"/>
        <rFont val="Consolas"/>
        <family val="3"/>
      </rPr>
      <t>""</t>
    </r>
    <r>
      <rPr>
        <sz val="10"/>
        <color rgb="FF002138"/>
        <rFont val="Calibri"/>
        <family val="2"/>
        <scheme val="minor"/>
      </rPr>
      <t xml:space="preserve"> ) --&gt; this will cause the function to act like the TEXTAFTER() function</t>
    </r>
  </si>
  <si>
    <r>
      <t xml:space="preserve">The number can be positive or negative; if the input parameter is omitted, it will </t>
    </r>
    <r>
      <rPr>
        <sz val="10"/>
        <color rgb="FF0000FF"/>
        <rFont val="Calibri"/>
        <family val="2"/>
        <scheme val="minor"/>
      </rPr>
      <t>default</t>
    </r>
    <r>
      <rPr>
        <sz val="10"/>
        <color rgb="FF002138"/>
        <rFont val="Calibri"/>
        <family val="2"/>
        <scheme val="minor"/>
      </rPr>
      <t xml:space="preserve"> to </t>
    </r>
    <r>
      <rPr>
        <sz val="10"/>
        <color rgb="FF0000FF"/>
        <rFont val="Consolas"/>
        <family val="3"/>
      </rPr>
      <t>-1</t>
    </r>
  </si>
  <si>
    <t>+1</t>
  </si>
  <si>
    <t>-1</t>
  </si>
  <si>
    <r>
      <t xml:space="preserve">= will use the first instance of the </t>
    </r>
    <r>
      <rPr>
        <sz val="10"/>
        <color theme="1" tint="0.249977111117893"/>
        <rFont val="Consolas"/>
        <family val="3"/>
      </rPr>
      <t>start_delimiter</t>
    </r>
    <r>
      <rPr>
        <sz val="10"/>
        <color rgb="FF002138"/>
        <rFont val="Calibri"/>
        <family val="2"/>
        <scheme val="minor"/>
      </rPr>
      <t xml:space="preserve"> searching forwards from the start of the </t>
    </r>
    <r>
      <rPr>
        <sz val="10"/>
        <color theme="1" tint="0.249977111117893"/>
        <rFont val="Consolas"/>
        <family val="3"/>
      </rPr>
      <t>text</t>
    </r>
    <r>
      <rPr>
        <sz val="10"/>
        <color rgb="FF002138"/>
        <rFont val="Calibri"/>
        <family val="2"/>
        <scheme val="minor"/>
      </rPr>
      <t xml:space="preserve"> string</t>
    </r>
  </si>
  <si>
    <r>
      <t xml:space="preserve">= will use the first instance of the </t>
    </r>
    <r>
      <rPr>
        <sz val="10"/>
        <color theme="1" tint="0.249977111117893"/>
        <rFont val="Consolas"/>
        <family val="3"/>
      </rPr>
      <t>start_delimiter</t>
    </r>
    <r>
      <rPr>
        <sz val="10"/>
        <color rgb="FF002138"/>
        <rFont val="Calibri"/>
        <family val="2"/>
        <scheme val="minor"/>
      </rPr>
      <t xml:space="preserve"> searching backwards from the end of the </t>
    </r>
    <r>
      <rPr>
        <sz val="10"/>
        <color theme="1" tint="0.249977111117893"/>
        <rFont val="Consolas"/>
        <family val="3"/>
      </rPr>
      <t>text</t>
    </r>
    <r>
      <rPr>
        <sz val="10"/>
        <color rgb="FF002138"/>
        <rFont val="Calibri"/>
        <family val="2"/>
        <scheme val="minor"/>
      </rPr>
      <t xml:space="preserve"> string</t>
    </r>
  </si>
  <si>
    <r>
      <t xml:space="preserve">= will use the first instance of the </t>
    </r>
    <r>
      <rPr>
        <sz val="10"/>
        <color theme="1" tint="0.249977111117893"/>
        <rFont val="Consolas"/>
        <family val="3"/>
      </rPr>
      <t>end_delimiter</t>
    </r>
    <r>
      <rPr>
        <sz val="10"/>
        <color rgb="FF002138"/>
        <rFont val="Calibri"/>
        <family val="2"/>
        <scheme val="minor"/>
      </rPr>
      <t xml:space="preserve"> searching forwards from the start of the </t>
    </r>
    <r>
      <rPr>
        <sz val="10"/>
        <color theme="1" tint="0.249977111117893"/>
        <rFont val="Consolas"/>
        <family val="3"/>
      </rPr>
      <t>text</t>
    </r>
    <r>
      <rPr>
        <sz val="10"/>
        <color rgb="FF002138"/>
        <rFont val="Calibri"/>
        <family val="2"/>
        <scheme val="minor"/>
      </rPr>
      <t xml:space="preserve"> string</t>
    </r>
  </si>
  <si>
    <r>
      <t>= will use the first instance of the end</t>
    </r>
    <r>
      <rPr>
        <sz val="10"/>
        <color theme="1" tint="0.249977111117893"/>
        <rFont val="Consolas"/>
        <family val="3"/>
      </rPr>
      <t>_delimiter</t>
    </r>
    <r>
      <rPr>
        <sz val="10"/>
        <color rgb="FF002138"/>
        <rFont val="Calibri"/>
        <family val="2"/>
        <scheme val="minor"/>
      </rPr>
      <t xml:space="preserve"> searching backwards from the end of the </t>
    </r>
    <r>
      <rPr>
        <sz val="10"/>
        <color theme="1" tint="0.249977111117893"/>
        <rFont val="Consolas"/>
        <family val="3"/>
      </rPr>
      <t>text</t>
    </r>
    <r>
      <rPr>
        <sz val="10"/>
        <color rgb="FF002138"/>
        <rFont val="Calibri"/>
        <family val="2"/>
        <scheme val="minor"/>
      </rPr>
      <t xml:space="preserve"> string</t>
    </r>
  </si>
  <si>
    <r>
      <rPr>
        <b/>
        <sz val="10"/>
        <color rgb="FFFC6017"/>
        <rFont val="Calibri"/>
        <family val="2"/>
        <scheme val="minor"/>
      </rPr>
      <t>[optional]</t>
    </r>
    <r>
      <rPr>
        <sz val="10"/>
        <color rgb="FF002138"/>
        <rFont val="Calibri"/>
        <family val="2"/>
        <scheme val="minor"/>
      </rPr>
      <t xml:space="preserve">   A True/False value to determine whether or not use a case-sensitive search for the</t>
    </r>
    <r>
      <rPr>
        <sz val="10"/>
        <color theme="1" tint="0.249977111117893"/>
        <rFont val="Consolas"/>
        <family val="3"/>
      </rPr>
      <t xml:space="preserve"> start_delimiter</t>
    </r>
    <r>
      <rPr>
        <sz val="10"/>
        <color rgb="FF002138"/>
        <rFont val="Calibri"/>
        <family val="2"/>
        <scheme val="minor"/>
      </rPr>
      <t xml:space="preserve"> and </t>
    </r>
    <r>
      <rPr>
        <sz val="10"/>
        <color theme="1" tint="0.249977111117893"/>
        <rFont val="Consolas"/>
        <family val="3"/>
      </rPr>
      <t>end_delimiter</t>
    </r>
  </si>
  <si>
    <r>
      <t xml:space="preserve">If not supplied, will </t>
    </r>
    <r>
      <rPr>
        <sz val="10"/>
        <color rgb="FF0000FF"/>
        <rFont val="Calibri"/>
        <family val="2"/>
        <scheme val="minor"/>
      </rPr>
      <t>default</t>
    </r>
    <r>
      <rPr>
        <sz val="10"/>
        <color rgb="FF002138"/>
        <rFont val="Calibri"/>
        <family val="2"/>
        <scheme val="minor"/>
      </rPr>
      <t xml:space="preserve"> to </t>
    </r>
    <r>
      <rPr>
        <sz val="10"/>
        <color rgb="FF0000FF"/>
        <rFont val="Consolas"/>
        <family val="3"/>
      </rPr>
      <t>FALSE</t>
    </r>
    <r>
      <rPr>
        <sz val="10"/>
        <color rgb="FF002138"/>
        <rFont val="Calibri"/>
        <family val="2"/>
        <scheme val="minor"/>
      </rPr>
      <t xml:space="preserve"> (</t>
    </r>
    <r>
      <rPr>
        <sz val="10"/>
        <color rgb="FF0000FF"/>
        <rFont val="Consolas"/>
        <family val="3"/>
      </rPr>
      <t>0</t>
    </r>
    <r>
      <rPr>
        <sz val="10"/>
        <color rgb="FF002138"/>
        <rFont val="Calibri"/>
        <family val="2"/>
        <scheme val="minor"/>
      </rPr>
      <t>)</t>
    </r>
  </si>
  <si>
    <r>
      <t xml:space="preserve">The input can be either </t>
    </r>
    <r>
      <rPr>
        <sz val="10"/>
        <color rgb="FF0000FF"/>
        <rFont val="Consolas"/>
        <family val="3"/>
      </rPr>
      <t>TRUE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FALSE</t>
    </r>
    <r>
      <rPr>
        <sz val="10"/>
        <color rgb="FF002138"/>
        <rFont val="Calibri"/>
        <family val="2"/>
        <scheme val="minor"/>
      </rPr>
      <t xml:space="preserve"> or </t>
    </r>
    <r>
      <rPr>
        <sz val="10"/>
        <color rgb="FF0000FF"/>
        <rFont val="Consolas"/>
        <family val="3"/>
      </rPr>
      <t>1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0</t>
    </r>
  </si>
  <si>
    <t>The input can be a number, a text string, a True/False boolean value, or even an error code</t>
  </si>
  <si>
    <t>= returns a #N/A error code</t>
  </si>
  <si>
    <r>
      <t xml:space="preserve">If a True/False value is provided, this determines whether or not return the original source </t>
    </r>
    <r>
      <rPr>
        <sz val="10"/>
        <color theme="1" tint="0.249977111117893"/>
        <rFont val="Consolas"/>
        <family val="3"/>
      </rPr>
      <t>text</t>
    </r>
    <r>
      <rPr>
        <sz val="10"/>
        <color rgb="FF002138"/>
        <rFont val="Calibri"/>
        <family val="2"/>
        <scheme val="minor"/>
      </rPr>
      <t xml:space="preserve"> string if no match is found</t>
    </r>
  </si>
  <si>
    <r>
      <t xml:space="preserve">= returns the full source </t>
    </r>
    <r>
      <rPr>
        <sz val="10"/>
        <color theme="1" tint="0.249977111117893"/>
        <rFont val="Consolas"/>
        <family val="3"/>
      </rPr>
      <t>text</t>
    </r>
    <r>
      <rPr>
        <sz val="10"/>
        <color rgb="FF002138"/>
        <rFont val="Calibri"/>
        <family val="2"/>
        <scheme val="minor"/>
      </rPr>
      <t xml:space="preserve"> string</t>
    </r>
  </si>
  <si>
    <r>
      <t xml:space="preserve">If not supplied, will </t>
    </r>
    <r>
      <rPr>
        <sz val="10"/>
        <color rgb="FF0000FF"/>
        <rFont val="Calibri"/>
        <family val="2"/>
        <scheme val="minor"/>
      </rPr>
      <t>default</t>
    </r>
    <r>
      <rPr>
        <sz val="10"/>
        <color rgb="FF002138"/>
        <rFont val="Calibri"/>
        <family val="2"/>
        <scheme val="minor"/>
      </rPr>
      <t xml:space="preserve"> to </t>
    </r>
    <r>
      <rPr>
        <sz val="10"/>
        <color rgb="FF0000FF"/>
        <rFont val="Consolas"/>
        <family val="3"/>
      </rPr>
      <t>FALSE</t>
    </r>
  </si>
  <si>
    <t>NOT(ISNUMBER(_instA)), _instA = 0,</t>
  </si>
  <si>
    <t>NOT(ISNUMBER(_instB)), _instB = 0,</t>
  </si>
  <si>
    <r>
      <rPr>
        <sz val="10"/>
        <color theme="1" tint="0.249977111117893"/>
        <rFont val="Consolas"/>
        <family val="3"/>
      </rPr>
      <t>start_instance</t>
    </r>
    <r>
      <rPr>
        <sz val="10"/>
        <color rgb="FF002138"/>
        <rFont val="Calibri"/>
        <family val="2"/>
        <scheme val="minor"/>
      </rPr>
      <t xml:space="preserve"> input is invalid -- not a non-zero number</t>
    </r>
  </si>
  <si>
    <r>
      <rPr>
        <sz val="10"/>
        <color theme="1" tint="0.249977111117893"/>
        <rFont val="Consolas"/>
        <family val="3"/>
      </rPr>
      <t>end_instance</t>
    </r>
    <r>
      <rPr>
        <sz val="10"/>
        <color rgb="FF002138"/>
        <rFont val="Calibri"/>
        <family val="2"/>
        <scheme val="minor"/>
      </rPr>
      <t xml:space="preserve"> input is invalid -- not a non-zero number</t>
    </r>
  </si>
  <si>
    <r>
      <rPr>
        <sz val="10"/>
        <color theme="1" tint="0.249977111117893"/>
        <rFont val="Consolas"/>
        <family val="3"/>
      </rPr>
      <t>case_sensitive</t>
    </r>
    <r>
      <rPr>
        <sz val="10"/>
        <color rgb="FF002138"/>
        <rFont val="Calibri"/>
        <family val="2"/>
        <scheme val="minor"/>
      </rPr>
      <t xml:space="preserve"> input is invalid -- not a logical Boolean value (</t>
    </r>
    <r>
      <rPr>
        <sz val="10"/>
        <color rgb="FF0000FF"/>
        <rFont val="Consolas"/>
        <family val="3"/>
      </rPr>
      <t>TRUE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FALSE</t>
    </r>
    <r>
      <rPr>
        <sz val="10"/>
        <color rgb="FF002138"/>
        <rFont val="Calibri"/>
        <family val="2"/>
        <scheme val="minor"/>
      </rPr>
      <t>) or a number</t>
    </r>
  </si>
  <si>
    <t>Lambda function used to return a text sub-string from between two delimiters, combining the actions of the TEXTAFTER() and TEXTBEFORE() functions.</t>
  </si>
  <si>
    <t>If the start_delimiter is omitted then the functions acts like the TEXTBEFORE() function, or if the end_delimiter is omitted then the functions acts like the TEXTAFTER() function.</t>
  </si>
  <si>
    <t>Create a Lambda which combines the TEXTAFTER() and TEXTBEFORE() functions to return a substring between two delimiters</t>
  </si>
  <si>
    <t>Ability to have separate start and end delimiters as well as flexiblity to only provide 1 delimiter and have the action of that function only</t>
  </si>
  <si>
    <t>Ability to take advantage of the instance number functionality and case sesnitive searching of the native Excel functions</t>
  </si>
  <si>
    <t>Add flexibility of different if-not-found results</t>
  </si>
  <si>
    <t>Demonstrating Function Usage</t>
  </si>
  <si>
    <t xml:space="preserve">Name:  </t>
  </si>
  <si>
    <t xml:space="preserve">Description:  </t>
  </si>
  <si>
    <t>RXL_TextBetween</t>
  </si>
  <si>
    <t>TextBetween()</t>
  </si>
  <si>
    <t>Return a sub-string from in between two delimiter characters/tex</t>
  </si>
  <si>
    <t>Basic Demonstration</t>
  </si>
  <si>
    <t>Demonstration of delimiter instance parameters</t>
  </si>
  <si>
    <t>Demonstration of if_not_found parameter</t>
  </si>
  <si>
    <t>Demonstration of case_sensitive parameter</t>
  </si>
  <si>
    <t>Source Text</t>
  </si>
  <si>
    <t>Start</t>
  </si>
  <si>
    <t>End</t>
  </si>
  <si>
    <t>ABC-9876//001</t>
  </si>
  <si>
    <t>-</t>
  </si>
  <si>
    <t>//</t>
  </si>
  <si>
    <t>ABC--9876//001</t>
  </si>
  <si>
    <t>/</t>
  </si>
  <si>
    <t>?</t>
  </si>
  <si>
    <t>This is a test Sentence</t>
  </si>
  <si>
    <t>is</t>
  </si>
  <si>
    <t>Sentence</t>
  </si>
  <si>
    <t>sentence</t>
  </si>
  <si>
    <t>Output</t>
  </si>
  <si>
    <t xml:space="preserve">Gist URL:  </t>
  </si>
  <si>
    <t>https://gist.github.com/r-silk/b33b16e634e1ff6aa054cd6149964d80</t>
  </si>
  <si>
    <t>VBA Code</t>
  </si>
  <si>
    <t>Instructions</t>
  </si>
  <si>
    <t>A.</t>
  </si>
  <si>
    <t>Start by ensuring that you have this Workbook and the Workbook you wish to copy the function to open in the same Excel instance</t>
  </si>
  <si>
    <t>B.</t>
  </si>
  <si>
    <t>Open the VB Editor window</t>
  </si>
  <si>
    <t>C.</t>
  </si>
  <si>
    <t>D.</t>
  </si>
  <si>
    <t>In the code window which opens for ThisWorkbook, paste the VBA code from below exactly as written</t>
  </si>
  <si>
    <t>E.</t>
  </si>
  <si>
    <t>After copying the VBA code into code window, update line 11 replacing the text "Example.xlsx" with the name of your Excel Workbook/file</t>
  </si>
  <si>
    <t>F.</t>
  </si>
  <si>
    <t>Run the CopyLambda sub routine in ThisWorkbook module and check the Immediate window for the feedback message</t>
  </si>
  <si>
    <t>In order to copy across the RXL_TextBetween() function from this Workbook to your own project you can use the instructions and VBA code below .</t>
  </si>
  <si>
    <t>In the VB Editor Project Explorer window, select this Workbook (RXL_TextBetween.xlsx) and double click on the object named "ThisWorkbook"</t>
  </si>
  <si>
    <t>Also check line 7 of the code has the correct name of the function you wish to copy (i.e. "RXL_TextBetween")</t>
  </si>
  <si>
    <r>
      <rPr>
        <sz val="10"/>
        <color rgb="FF1E4FA8"/>
        <rFont val="Consolas"/>
        <family val="3"/>
      </rPr>
      <t>Private Sub</t>
    </r>
    <r>
      <rPr>
        <sz val="10"/>
        <color rgb="FF002138"/>
        <rFont val="Consolas"/>
        <family val="3"/>
      </rPr>
      <t xml:space="preserve"> CopyLambda()</t>
    </r>
  </si>
  <si>
    <r>
      <t xml:space="preserve">    </t>
    </r>
    <r>
      <rPr>
        <sz val="10"/>
        <color rgb="FF1E4FA8"/>
        <rFont val="Consolas"/>
        <family val="3"/>
      </rPr>
      <t>Dim</t>
    </r>
    <r>
      <rPr>
        <sz val="10"/>
        <color rgb="FF002138"/>
        <rFont val="Consolas"/>
        <family val="3"/>
      </rPr>
      <t xml:space="preserve"> wb </t>
    </r>
    <r>
      <rPr>
        <sz val="10"/>
        <color rgb="FF1E4FA8"/>
        <rFont val="Consolas"/>
        <family val="3"/>
      </rPr>
      <t>As</t>
    </r>
    <r>
      <rPr>
        <sz val="10"/>
        <color rgb="FF002138"/>
        <rFont val="Consolas"/>
        <family val="3"/>
      </rPr>
      <t xml:space="preserve"> Workbook, nm </t>
    </r>
    <r>
      <rPr>
        <sz val="10"/>
        <color rgb="FF1E4FA8"/>
        <rFont val="Consolas"/>
        <family val="3"/>
      </rPr>
      <t>As</t>
    </r>
    <r>
      <rPr>
        <sz val="10"/>
        <color rgb="FF002138"/>
        <rFont val="Consolas"/>
        <family val="3"/>
      </rPr>
      <t xml:space="preserve"> Name, fn </t>
    </r>
    <r>
      <rPr>
        <sz val="10"/>
        <color rgb="FF1E4FA8"/>
        <rFont val="Consolas"/>
        <family val="3"/>
      </rPr>
      <t>As</t>
    </r>
    <r>
      <rPr>
        <sz val="10"/>
        <color rgb="FF002138"/>
        <rFont val="Consolas"/>
        <family val="3"/>
      </rPr>
      <t xml:space="preserve"> Name</t>
    </r>
  </si>
  <si>
    <r>
      <t xml:space="preserve">    </t>
    </r>
    <r>
      <rPr>
        <sz val="10"/>
        <color rgb="FF1E4FA8"/>
        <rFont val="Consolas"/>
        <family val="3"/>
      </rPr>
      <t>Dim</t>
    </r>
    <r>
      <rPr>
        <sz val="10"/>
        <color rgb="FF002138"/>
        <rFont val="Consolas"/>
        <family val="3"/>
      </rPr>
      <t xml:space="preserve"> strLambda </t>
    </r>
    <r>
      <rPr>
        <sz val="10"/>
        <color rgb="FF1E4FA8"/>
        <rFont val="Consolas"/>
        <family val="3"/>
      </rPr>
      <t>As String</t>
    </r>
  </si>
  <si>
    <t xml:space="preserve">    </t>
  </si>
  <si>
    <t xml:space="preserve">    'Name of custom Lambda function to copy</t>
  </si>
  <si>
    <t xml:space="preserve">    On Error Resume Next</t>
  </si>
  <si>
    <t xml:space="preserve">        'Update "Example.xlsx" with name of the Workbook you wish to copy the function to</t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</si>
  <si>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color rgb="FF002138"/>
        <rFont val="Consolas"/>
        <family val="3"/>
      </rPr>
      <t xml:space="preserve"> wb = Application.Workbooks("Example.xlsx")</t>
    </r>
  </si>
  <si>
    <t xml:space="preserve">    On Error GoTo 0</t>
  </si>
  <si>
    <r>
      <t xml:space="preserve">    </t>
    </r>
    <r>
      <rPr>
        <sz val="10"/>
        <color rgb="FF1E4FA8"/>
        <rFont val="Consolas"/>
        <family val="3"/>
      </rPr>
      <t>If</t>
    </r>
    <r>
      <rPr>
        <sz val="10"/>
        <color rgb="FF002138"/>
        <rFont val="Consolas"/>
        <family val="3"/>
      </rPr>
      <t xml:space="preserve"> wb </t>
    </r>
    <r>
      <rPr>
        <sz val="10"/>
        <color rgb="FF1E4FA8"/>
        <rFont val="Consolas"/>
        <family val="3"/>
      </rPr>
      <t>Is Nothing Then</t>
    </r>
  </si>
  <si>
    <t xml:space="preserve">        Exit Sub</t>
  </si>
  <si>
    <t xml:space="preserve">    End If</t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</si>
  <si>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color rgb="FF002138"/>
        <rFont val="Consolas"/>
        <family val="3"/>
      </rPr>
      <t xml:space="preserve"> nm = ThisWorkbook.Names(strLambda)</t>
    </r>
  </si>
  <si>
    <r>
      <t xml:space="preserve">    </t>
    </r>
    <r>
      <rPr>
        <sz val="10"/>
        <color rgb="FF1E4FA8"/>
        <rFont val="Consolas"/>
        <family val="3"/>
      </rPr>
      <t>If Not</t>
    </r>
    <r>
      <rPr>
        <sz val="10"/>
        <color rgb="FF002138"/>
        <rFont val="Consolas"/>
        <family val="3"/>
      </rPr>
      <t xml:space="preserve"> nm </t>
    </r>
    <r>
      <rPr>
        <sz val="10"/>
        <color rgb="FF1E4FA8"/>
        <rFont val="Consolas"/>
        <family val="3"/>
      </rPr>
      <t>Is Nothing Then</t>
    </r>
  </si>
  <si>
    <t xml:space="preserve">        Err.Clear</t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</si>
  <si>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color rgb="FF002138"/>
        <rFont val="Consolas"/>
        <family val="3"/>
      </rPr>
      <t xml:space="preserve"> fn = wb.Names.Add(Name:=nm.Name, _</t>
    </r>
  </si>
  <si>
    <t xml:space="preserve">                              RefersTo:=nm.RefersTo, _</t>
  </si>
  <si>
    <t xml:space="preserve">                              Visible:=nm.Visible)</t>
  </si>
  <si>
    <r>
      <t xml:space="preserve">        </t>
    </r>
    <r>
      <rPr>
        <sz val="10"/>
        <color rgb="FF1E4FA8"/>
        <rFont val="Consolas"/>
        <family val="3"/>
      </rPr>
      <t>If</t>
    </r>
    <r>
      <rPr>
        <sz val="10"/>
        <color rgb="FF002138"/>
        <rFont val="Consolas"/>
        <family val="3"/>
      </rPr>
      <t xml:space="preserve"> Err.Number = 0 </t>
    </r>
    <r>
      <rPr>
        <sz val="10"/>
        <color rgb="FF1E4FA8"/>
        <rFont val="Consolas"/>
        <family val="3"/>
      </rPr>
      <t>Then</t>
    </r>
  </si>
  <si>
    <t xml:space="preserve">            fn.Comment = nm.Comment</t>
  </si>
  <si>
    <t xml:space="preserve">        Else</t>
  </si>
  <si>
    <t xml:space="preserve">        End If</t>
  </si>
  <si>
    <t xml:space="preserve">    Else</t>
  </si>
  <si>
    <t>End Sub</t>
  </si>
  <si>
    <t xml:space="preserve">    strLambda = "RXL_TextBetween"</t>
  </si>
  <si>
    <r>
      <t xml:space="preserve">    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color rgb="FF002138"/>
        <rFont val="Consolas"/>
        <family val="3"/>
      </rPr>
      <t xml:space="preserve"> "ERROR: Destination Workbook not found - please ensure it is open"</t>
    </r>
  </si>
  <si>
    <r>
      <t xml:space="preserve">        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color rgb="FF002138"/>
        <rFont val="Consolas"/>
        <family val="3"/>
      </rPr>
      <t xml:space="preserve"> "Success! -&gt; " &amp; strLambda &amp; " copied to " &amp; wb.Name</t>
    </r>
  </si>
  <si>
    <r>
      <t xml:space="preserve">        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color rgb="FF002138"/>
        <rFont val="Consolas"/>
        <family val="3"/>
      </rPr>
      <t xml:space="preserve"> "ERROR: Unable to copy " &amp; strLambda &amp; " to " &amp; wb.Name</t>
    </r>
  </si>
  <si>
    <r>
      <t xml:space="preserve">    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color rgb="FF002138"/>
        <rFont val="Consolas"/>
        <family val="3"/>
      </rPr>
      <t xml:space="preserve"> "ERROR: " &amp; strLambda &amp; " not found"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</si>
</sst>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_);[Red]\(#,##0\);\ \-_)"/>
    <numFmt numFmtId="165" formatCode="[Red]&quot;CHECK&quot;;[Red]&quot;ERROR&quot;;&quot;OK&quot;"/>
    <numFmt numFmtId="166" formatCode="#,##0_);\(#,##0\);\-_)"/>
    <numFmt numFmtId="167" formatCode="&quot;£&quot;#,##0.0,\ \K_);&quot;£&quot;\(#,##0.0,\ \K\);&quot;£&quot;0_)"/>
    <numFmt numFmtId="168" formatCode="mmm\-yyyy_)"/>
    <numFmt numFmtId="169" formatCode="00\."/>
    <numFmt numFmtId="170" formatCode="&quot;On (1)&quot;;[Red]&quot;Err&quot;;&quot;Off (0)&quot;"/>
    <numFmt numFmtId="171" formatCode="&quot;Yes (1)&quot;;[Red]&quot;Err&quot;;&quot;No (0)&quot;"/>
  </numFmts>
  <fonts count="58" x14ac:knownFonts="1">
    <font>
      <sz val="10"/>
      <color rgb="FF002138"/>
      <name val="Calibri"/>
      <family val="2"/>
      <scheme val="minor"/>
    </font>
    <font>
      <sz val="10"/>
      <color theme="1"/>
      <name val="Calibri"/>
      <family val="2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F9C35"/>
      <name val="Consolas"/>
      <family val="3"/>
    </font>
    <font>
      <b/>
      <i/>
      <sz val="10"/>
      <color theme="1"/>
      <name val="Calibri"/>
      <family val="2"/>
    </font>
    <font>
      <sz val="10"/>
      <color rgb="FF1E4FA8"/>
      <name val="Consolas"/>
      <family val="3"/>
    </font>
    <font>
      <sz val="10"/>
      <color theme="1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002138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10"/>
      <color rgb="FF808080"/>
      <name val="Calibri"/>
      <family val="2"/>
      <scheme val="minor"/>
    </font>
    <font>
      <u/>
      <sz val="10"/>
      <color rgb="FF960040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2"/>
      <color rgb="FFFFFFFF"/>
      <name val="Arial"/>
      <family val="2"/>
      <scheme val="major"/>
    </font>
    <font>
      <b/>
      <sz val="11"/>
      <color rgb="FFFFFFFF"/>
      <name val="Arial"/>
      <family val="2"/>
      <scheme val="major"/>
    </font>
    <font>
      <b/>
      <sz val="10"/>
      <color rgb="FF595959"/>
      <name val="Arial"/>
      <family val="2"/>
      <scheme val="major"/>
    </font>
    <font>
      <u/>
      <sz val="10"/>
      <color rgb="FFB75EE1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0"/>
      <color rgb="FF195C89"/>
      <name val="Calibri"/>
      <family val="2"/>
      <scheme val="minor"/>
    </font>
    <font>
      <sz val="12"/>
      <color rgb="FF195C89"/>
      <name val="Arial"/>
      <family val="2"/>
      <scheme val="major"/>
    </font>
    <font>
      <sz val="10"/>
      <color theme="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i/>
      <sz val="10"/>
      <color rgb="FF33B9F2"/>
      <name val="Calibri"/>
      <family val="2"/>
      <scheme val="minor"/>
    </font>
    <font>
      <sz val="10"/>
      <color rgb="FF9C5700"/>
      <name val="Calibri"/>
      <family val="2"/>
      <scheme val="minor"/>
    </font>
    <font>
      <i/>
      <sz val="10"/>
      <color rgb="FFFF8225"/>
      <name val="Calibri"/>
      <family val="2"/>
      <scheme val="minor"/>
    </font>
    <font>
      <sz val="10"/>
      <color rgb="FFB400B4"/>
      <name val="Calibri"/>
      <family val="2"/>
      <scheme val="minor"/>
    </font>
    <font>
      <sz val="10"/>
      <color rgb="FF8C0000"/>
      <name val="Calibri"/>
      <family val="2"/>
      <scheme val="minor"/>
    </font>
    <font>
      <b/>
      <sz val="12"/>
      <color rgb="FF195C89"/>
      <name val="Arial"/>
      <family val="2"/>
      <scheme val="major"/>
    </font>
    <font>
      <b/>
      <sz val="16"/>
      <color rgb="FF0E2550"/>
      <name val="Arial"/>
      <family val="2"/>
      <scheme val="major"/>
    </font>
    <font>
      <sz val="10"/>
      <color rgb="FFB4B4B4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FFFFFF"/>
      <name val="Arial"/>
      <family val="2"/>
      <scheme val="major"/>
    </font>
    <font>
      <b/>
      <sz val="10"/>
      <color rgb="FF002138"/>
      <name val="Calibri"/>
      <family val="2"/>
      <scheme val="minor"/>
    </font>
    <font>
      <b/>
      <sz val="10"/>
      <color rgb="FF0000FF"/>
      <name val="Calibri"/>
      <family val="2"/>
    </font>
    <font>
      <sz val="10"/>
      <color rgb="FF0000FF"/>
      <name val="Calibri"/>
      <family val="2"/>
    </font>
    <font>
      <b/>
      <sz val="10"/>
      <color rgb="FFB75EE1"/>
      <name val="Calibri"/>
      <family val="2"/>
    </font>
    <font>
      <b/>
      <sz val="10"/>
      <color rgb="FFFC6017"/>
      <name val="Calibri"/>
      <family val="2"/>
    </font>
    <font>
      <sz val="10"/>
      <color rgb="FFC00000"/>
      <name val="Calibri"/>
      <family val="2"/>
      <scheme val="minor"/>
    </font>
    <font>
      <sz val="10"/>
      <color rgb="FFC00000"/>
      <name val="Consolas"/>
      <family val="3"/>
    </font>
    <font>
      <b/>
      <sz val="10"/>
      <color theme="1"/>
      <name val="Calibri"/>
      <family val="2"/>
    </font>
    <font>
      <sz val="10"/>
      <color rgb="FF0000FF"/>
      <name val="Consolas"/>
      <family val="3"/>
    </font>
    <font>
      <sz val="10"/>
      <color theme="1" tint="0.249977111117893"/>
      <name val="Consolas"/>
      <family val="3"/>
    </font>
    <font>
      <b/>
      <sz val="10"/>
      <color rgb="FFB75EE1"/>
      <name val="Calibri"/>
      <family val="2"/>
      <scheme val="minor"/>
    </font>
    <font>
      <b/>
      <sz val="10"/>
      <color rgb="FFFC6017"/>
      <name val="Calibri"/>
      <family val="2"/>
      <scheme val="minor"/>
    </font>
    <font>
      <sz val="10"/>
      <color rgb="FF002138"/>
      <name val="Calibri"/>
      <family val="3"/>
      <scheme val="minor"/>
    </font>
    <font>
      <sz val="10"/>
      <color theme="0"/>
      <name val="Calibri"/>
      <family val="2"/>
    </font>
    <font>
      <b/>
      <i/>
      <sz val="10"/>
      <color rgb="FF195C89"/>
      <name val="Calibri"/>
      <family val="2"/>
      <scheme val="minor"/>
    </font>
    <font>
      <b/>
      <i/>
      <sz val="10"/>
      <color rgb="FF002138"/>
      <name val="Calibri"/>
      <family val="2"/>
      <scheme val="minor"/>
    </font>
    <font>
      <b/>
      <sz val="10"/>
      <color theme="0"/>
      <name val="Calibri"/>
      <family val="2"/>
    </font>
    <font>
      <sz val="10"/>
      <color rgb="FF002138"/>
      <name val="Consolas"/>
      <family val="3"/>
    </font>
    <font>
      <sz val="10"/>
      <name val="Consolas"/>
      <family val="3"/>
    </font>
  </fonts>
  <fills count="4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EE6CE"/>
        <bgColor indexed="64"/>
      </patternFill>
    </fill>
    <fill>
      <patternFill patternType="solid">
        <fgColor rgb="FF198B83"/>
        <bgColor indexed="64"/>
      </patternFill>
    </fill>
    <fill>
      <patternFill patternType="solid">
        <fgColor rgb="FF56BAB8"/>
        <bgColor indexed="64"/>
      </patternFill>
    </fill>
    <fill>
      <patternFill patternType="solid">
        <fgColor rgb="FFE6D3B8"/>
        <bgColor indexed="64"/>
      </patternFill>
    </fill>
    <fill>
      <patternFill patternType="solid">
        <fgColor rgb="FFF7ECDD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9E7FF"/>
        <bgColor indexed="64"/>
      </patternFill>
    </fill>
    <fill>
      <patternFill patternType="solid">
        <fgColor rgb="FFEBFAFA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200"/>
        <bgColor indexed="64"/>
      </patternFill>
    </fill>
    <fill>
      <patternFill patternType="solid">
        <fgColor rgb="FFBEE4E3"/>
        <bgColor indexed="64"/>
      </patternFill>
    </fill>
    <fill>
      <patternFill patternType="lightUp">
        <fgColor theme="0" tint="-0.34998626667073579"/>
        <bgColor auto="1"/>
      </patternFill>
    </fill>
    <fill>
      <patternFill patternType="solid">
        <fgColor rgb="FFE4E6E8"/>
        <bgColor indexed="64"/>
      </patternFill>
    </fill>
    <fill>
      <patternFill patternType="solid">
        <fgColor theme="4"/>
      </patternFill>
    </fill>
  </fills>
  <borders count="3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rgb="FF787878"/>
      </right>
      <top style="hair">
        <color rgb="FF787878"/>
      </top>
      <bottom style="hair">
        <color rgb="FF787878"/>
      </bottom>
      <diagonal/>
    </border>
    <border>
      <left style="hair">
        <color rgb="FF787878"/>
      </left>
      <right/>
      <top style="hair">
        <color rgb="FF787878"/>
      </top>
      <bottom style="hair">
        <color rgb="FF787878"/>
      </bottom>
      <diagonal/>
    </border>
    <border>
      <left/>
      <right/>
      <top style="hair">
        <color rgb="FF787878"/>
      </top>
      <bottom style="hair">
        <color rgb="FF787878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/>
      <right/>
      <top style="medium">
        <color theme="5"/>
      </top>
      <bottom/>
      <diagonal/>
    </border>
    <border>
      <left style="thin">
        <color rgb="FF198B83"/>
      </left>
      <right style="thin">
        <color rgb="FF198B83"/>
      </right>
      <top style="thin">
        <color rgb="FF198B83"/>
      </top>
      <bottom style="thin">
        <color rgb="FF198B83"/>
      </bottom>
      <diagonal/>
    </border>
    <border>
      <left style="thin">
        <color rgb="FF56BAB8"/>
      </left>
      <right style="thin">
        <color rgb="FF56BAB8"/>
      </right>
      <top style="thin">
        <color rgb="FF56BAB8"/>
      </top>
      <bottom style="thin">
        <color rgb="FF56BAB8"/>
      </bottom>
      <diagonal/>
    </border>
    <border>
      <left style="thin">
        <color rgb="FFE6D3B8"/>
      </left>
      <right style="thin">
        <color rgb="FFE6D3B8"/>
      </right>
      <top style="thin">
        <color rgb="FFE6D3B8"/>
      </top>
      <bottom style="thin">
        <color rgb="FFE6D3B8"/>
      </bottom>
      <diagonal/>
    </border>
    <border>
      <left style="thin">
        <color rgb="FFF7ECDD"/>
      </left>
      <right style="thin">
        <color rgb="FFF7ECDD"/>
      </right>
      <top style="thin">
        <color rgb="FFF7ECDD"/>
      </top>
      <bottom style="thin">
        <color rgb="FFF7ECDD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medium">
        <color theme="5"/>
      </bottom>
      <diagonal/>
    </border>
    <border>
      <left style="hair">
        <color rgb="FF0082B3"/>
      </left>
      <right style="hair">
        <color rgb="FF0082B3"/>
      </right>
      <top style="hair">
        <color rgb="FF0082B3"/>
      </top>
      <bottom style="hair">
        <color rgb="FF0082B3"/>
      </bottom>
      <diagonal/>
    </border>
    <border>
      <left style="hair">
        <color rgb="FF1990AA"/>
      </left>
      <right/>
      <top style="hair">
        <color rgb="FF1990AA"/>
      </top>
      <bottom style="hair">
        <color rgb="FF1990AA"/>
      </bottom>
      <diagonal/>
    </border>
    <border>
      <left/>
      <right/>
      <top style="hair">
        <color rgb="FF1990AA"/>
      </top>
      <bottom style="hair">
        <color rgb="FF1990AA"/>
      </bottom>
      <diagonal/>
    </border>
    <border>
      <left/>
      <right style="hair">
        <color rgb="FF1990AA"/>
      </right>
      <top style="hair">
        <color rgb="FF1990AA"/>
      </top>
      <bottom style="hair">
        <color rgb="FF1990AA"/>
      </bottom>
      <diagonal/>
    </border>
    <border>
      <left style="hair">
        <color theme="1" tint="0.24994659260841701"/>
      </left>
      <right/>
      <top style="hair">
        <color theme="1" tint="0.24994659260841701"/>
      </top>
      <bottom style="hair">
        <color theme="1" tint="0.24994659260841701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/>
      <top/>
      <bottom style="hair">
        <color theme="1" tint="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 style="hair">
        <color theme="1" tint="0.24994659260841701"/>
      </left>
      <right/>
      <top/>
      <bottom style="hair">
        <color theme="1" tint="0.24994659260841701"/>
      </bottom>
      <diagonal/>
    </border>
    <border>
      <left/>
      <right style="hair">
        <color theme="1" tint="0.24994659260841701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1" tint="0.24994659260841701"/>
      </bottom>
      <diagonal/>
    </border>
  </borders>
  <cellStyleXfs count="92">
    <xf numFmtId="0" fontId="0" fillId="0" borderId="0"/>
    <xf numFmtId="0" fontId="2" fillId="2" borderId="1" applyNumberFormat="0" applyAlignment="0" applyProtection="0"/>
    <xf numFmtId="0" fontId="15" fillId="0" borderId="0" applyNumberFormat="0" applyAlignment="0" applyProtection="0"/>
    <xf numFmtId="0" fontId="15" fillId="0" borderId="0" applyNumberFormat="0" applyAlignment="0" applyProtection="0"/>
    <xf numFmtId="167" fontId="1" fillId="0" borderId="0" applyFont="0" applyFill="0" applyBorder="0" applyAlignment="0" applyProtection="0"/>
    <xf numFmtId="9" fontId="15" fillId="0" borderId="0" applyNumberFormat="0" applyAlignment="0" applyProtection="0"/>
    <xf numFmtId="0" fontId="35" fillId="0" borderId="0" applyAlignment="0" applyProtection="0"/>
    <xf numFmtId="0" fontId="20" fillId="28" borderId="14" applyNumberFormat="0" applyAlignment="0" applyProtection="0"/>
    <xf numFmtId="0" fontId="21" fillId="29" borderId="15" applyNumberFormat="0" applyAlignment="0" applyProtection="0"/>
    <xf numFmtId="0" fontId="22" fillId="30" borderId="16" applyNumberFormat="0" applyAlignment="0" applyProtection="0"/>
    <xf numFmtId="0" fontId="22" fillId="31" borderId="17" applyNumberFormat="0" applyAlignment="0" applyProtection="0"/>
    <xf numFmtId="0" fontId="19" fillId="3" borderId="0" applyNumberFormat="0" applyBorder="0" applyAlignment="0" applyProtection="0"/>
    <xf numFmtId="0" fontId="14" fillId="4" borderId="0" applyNumberFormat="0" applyBorder="0" applyAlignment="0" applyProtection="0"/>
    <xf numFmtId="0" fontId="30" fillId="5" borderId="0" applyNumberFormat="0" applyBorder="0" applyAlignment="0" applyProtection="0"/>
    <xf numFmtId="0" fontId="4" fillId="6" borderId="2" applyNumberFormat="0" applyAlignment="0" applyProtection="0"/>
    <xf numFmtId="0" fontId="5" fillId="6" borderId="1" applyNumberFormat="0" applyAlignment="0" applyProtection="0"/>
    <xf numFmtId="0" fontId="6" fillId="0" borderId="3" applyNumberFormat="0" applyFill="0" applyAlignment="0" applyProtection="0"/>
    <xf numFmtId="0" fontId="7" fillId="7" borderId="4" applyNumberFormat="0" applyAlignment="0" applyProtection="0"/>
    <xf numFmtId="166" fontId="37" fillId="0" borderId="0" applyNumberFormat="0" applyFill="0" applyBorder="0" applyAlignment="0" applyProtection="0"/>
    <xf numFmtId="0" fontId="3" fillId="8" borderId="5" applyNumberFormat="0" applyFont="0" applyAlignment="0" applyProtection="0"/>
    <xf numFmtId="166" fontId="17" fillId="0" borderId="0" applyNumberFormat="0" applyFill="0" applyBorder="0" applyAlignment="0" applyProtection="0"/>
    <xf numFmtId="0" fontId="8" fillId="0" borderId="6" applyNumberFormat="0" applyFill="0" applyAlignment="0" applyProtection="0"/>
    <xf numFmtId="165" fontId="24" fillId="0" borderId="0" applyFill="0">
      <alignment horizontal="center"/>
    </xf>
    <xf numFmtId="0" fontId="16" fillId="34" borderId="10" applyAlignment="0"/>
    <xf numFmtId="166" fontId="27" fillId="35" borderId="0">
      <alignment horizontal="center"/>
    </xf>
    <xf numFmtId="0" fontId="29" fillId="0" borderId="0"/>
    <xf numFmtId="0" fontId="31" fillId="0" borderId="0" applyNumberFormat="0" applyFill="0" applyBorder="0" applyAlignment="0"/>
    <xf numFmtId="0" fontId="28" fillId="39" borderId="20" applyNumberFormat="0" applyBorder="0" applyAlignment="0" applyProtection="0"/>
    <xf numFmtId="166" fontId="13" fillId="40" borderId="10"/>
    <xf numFmtId="166" fontId="13" fillId="40" borderId="12" applyNumberFormat="0"/>
    <xf numFmtId="0" fontId="10" fillId="0" borderId="0" applyFill="0" applyBorder="0" applyAlignment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166" fontId="13" fillId="0" borderId="10" applyAlignment="0"/>
    <xf numFmtId="0" fontId="13" fillId="0" borderId="10" applyAlignment="0"/>
    <xf numFmtId="0" fontId="13" fillId="0" borderId="10" applyAlignment="0"/>
    <xf numFmtId="166" fontId="13" fillId="0" borderId="11" applyNumberFormat="0" applyAlignment="0"/>
    <xf numFmtId="166" fontId="9" fillId="0" borderId="12" applyNumberFormat="0" applyAlignment="0"/>
    <xf numFmtId="0" fontId="16" fillId="27" borderId="10" applyAlignment="0">
      <protection locked="0"/>
    </xf>
    <xf numFmtId="0" fontId="16" fillId="27" borderId="10" applyAlignment="0">
      <protection locked="0"/>
    </xf>
    <xf numFmtId="0" fontId="16" fillId="27" borderId="10" applyAlignment="0">
      <protection locked="0"/>
    </xf>
    <xf numFmtId="0" fontId="16" fillId="27" borderId="10" applyAlignment="0">
      <protection locked="0"/>
    </xf>
    <xf numFmtId="0" fontId="53" fillId="0" borderId="13" applyFill="0">
      <alignment vertical="center"/>
    </xf>
    <xf numFmtId="0" fontId="16" fillId="32" borderId="10" applyAlignment="0">
      <protection locked="0"/>
    </xf>
    <xf numFmtId="0" fontId="16" fillId="32" borderId="10" applyAlignment="0">
      <protection locked="0"/>
    </xf>
    <xf numFmtId="0" fontId="16" fillId="32" borderId="10" applyAlignment="0">
      <protection locked="0"/>
    </xf>
    <xf numFmtId="0" fontId="16" fillId="32" borderId="10" applyAlignment="0">
      <protection locked="0"/>
    </xf>
    <xf numFmtId="0" fontId="26" fillId="0" borderId="0">
      <alignment vertical="center"/>
    </xf>
    <xf numFmtId="166" fontId="28" fillId="37" borderId="0">
      <alignment horizontal="center"/>
    </xf>
    <xf numFmtId="164" fontId="13" fillId="0" borderId="0" applyFill="0" applyAlignment="0"/>
    <xf numFmtId="0" fontId="13" fillId="0" borderId="0" applyFill="0" applyAlignment="0"/>
    <xf numFmtId="168" fontId="13" fillId="0" borderId="0" applyFill="0" applyAlignment="0"/>
    <xf numFmtId="166" fontId="9" fillId="0" borderId="18" applyNumberFormat="0" applyFill="0" applyAlignment="0"/>
    <xf numFmtId="0" fontId="13" fillId="0" borderId="0" applyFill="0" applyAlignment="0"/>
    <xf numFmtId="166" fontId="9" fillId="0" borderId="6" applyNumberFormat="0" applyFill="0" applyAlignment="0"/>
    <xf numFmtId="0" fontId="34" fillId="0" borderId="19"/>
    <xf numFmtId="0" fontId="13" fillId="40" borderId="1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6" fontId="25" fillId="33" borderId="10" applyAlignment="0">
      <protection locked="0"/>
    </xf>
    <xf numFmtId="166" fontId="27" fillId="36" borderId="0">
      <alignment horizontal="center"/>
    </xf>
    <xf numFmtId="0" fontId="25" fillId="0" borderId="0" applyNumberFormat="0" applyFill="0" applyBorder="0" applyAlignment="0"/>
    <xf numFmtId="0" fontId="32" fillId="0" borderId="10" applyAlignment="0"/>
    <xf numFmtId="0" fontId="32" fillId="0" borderId="10" applyAlignment="0"/>
    <xf numFmtId="0" fontId="32" fillId="0" borderId="10" applyAlignment="0"/>
    <xf numFmtId="0" fontId="32" fillId="0" borderId="11" applyNumberFormat="0" applyAlignment="0"/>
    <xf numFmtId="0" fontId="32" fillId="0" borderId="10" applyAlignment="0"/>
    <xf numFmtId="0" fontId="33" fillId="0" borderId="10" applyAlignment="0"/>
    <xf numFmtId="0" fontId="33" fillId="0" borderId="10" applyAlignment="0"/>
    <xf numFmtId="0" fontId="33" fillId="0" borderId="10" applyAlignment="0"/>
    <xf numFmtId="0" fontId="33" fillId="0" borderId="11" applyNumberFormat="0" applyAlignment="0"/>
    <xf numFmtId="0" fontId="33" fillId="0" borderId="10" applyAlignment="0"/>
    <xf numFmtId="0" fontId="13" fillId="38" borderId="0" applyAlignment="0" applyProtection="0"/>
    <xf numFmtId="0" fontId="36" fillId="0" borderId="0" applyNumberFormat="0" applyFill="0" applyBorder="0">
      <alignment horizontal="center"/>
    </xf>
    <xf numFmtId="166" fontId="13" fillId="40" borderId="11" applyNumberFormat="0"/>
    <xf numFmtId="0" fontId="52" fillId="41" borderId="0" applyNumberFormat="0" applyBorder="0" applyAlignment="0" applyProtection="0"/>
  </cellStyleXfs>
  <cellXfs count="63">
    <xf numFmtId="0" fontId="0" fillId="0" borderId="0" xfId="0"/>
    <xf numFmtId="171" fontId="16" fillId="32" borderId="10" xfId="59" applyNumberFormat="1" applyAlignment="1">
      <alignment horizontal="center"/>
      <protection locked="0"/>
    </xf>
    <xf numFmtId="0" fontId="38" fillId="28" borderId="14" xfId="7" applyFont="1" applyAlignment="1">
      <alignment horizontal="left" vertical="center" indent="1"/>
    </xf>
    <xf numFmtId="0" fontId="36" fillId="0" borderId="0" xfId="89" applyAlignment="1"/>
    <xf numFmtId="0" fontId="10" fillId="0" borderId="0" xfId="30"/>
    <xf numFmtId="0" fontId="0" fillId="0" borderId="0" xfId="0" quotePrefix="1"/>
    <xf numFmtId="0" fontId="20" fillId="28" borderId="14" xfId="7" applyAlignment="1">
      <alignment vertical="center"/>
    </xf>
    <xf numFmtId="0" fontId="53" fillId="0" borderId="13" xfId="58">
      <alignment vertical="center"/>
    </xf>
    <xf numFmtId="166" fontId="13" fillId="0" borderId="7" xfId="49" applyBorder="1"/>
    <xf numFmtId="166" fontId="13" fillId="0" borderId="8" xfId="49" applyBorder="1"/>
    <xf numFmtId="166" fontId="13" fillId="0" borderId="9" xfId="49" applyBorder="1"/>
    <xf numFmtId="0" fontId="11" fillId="0" borderId="0" xfId="0" applyFont="1"/>
    <xf numFmtId="0" fontId="29" fillId="0" borderId="0" xfId="25"/>
    <xf numFmtId="0" fontId="34" fillId="0" borderId="19" xfId="71"/>
    <xf numFmtId="169" fontId="34" fillId="0" borderId="19" xfId="71" applyNumberFormat="1"/>
    <xf numFmtId="170" fontId="16" fillId="34" borderId="10" xfId="23" applyNumberFormat="1"/>
    <xf numFmtId="171" fontId="16" fillId="34" borderId="10" xfId="23" applyNumberFormat="1"/>
    <xf numFmtId="0" fontId="39" fillId="0" borderId="0" xfId="0" applyFont="1"/>
    <xf numFmtId="0" fontId="0" fillId="0" borderId="0" xfId="0" applyAlignment="1">
      <alignment horizontal="right"/>
    </xf>
    <xf numFmtId="0" fontId="20" fillId="28" borderId="14" xfId="7" applyNumberFormat="1" applyAlignment="1">
      <alignment vertical="center"/>
    </xf>
    <xf numFmtId="0" fontId="0" fillId="0" borderId="0" xfId="0" applyAlignment="1">
      <alignment horizontal="left" indent="1"/>
    </xf>
    <xf numFmtId="0" fontId="10" fillId="0" borderId="0" xfId="30" quotePrefix="1"/>
    <xf numFmtId="0" fontId="12" fillId="0" borderId="0" xfId="30" applyFont="1"/>
    <xf numFmtId="0" fontId="45" fillId="0" borderId="0" xfId="0" applyFont="1"/>
    <xf numFmtId="0" fontId="22" fillId="31" borderId="17" xfId="10"/>
    <xf numFmtId="0" fontId="47" fillId="0" borderId="0" xfId="0" applyFont="1"/>
    <xf numFmtId="0" fontId="46" fillId="0" borderId="0" xfId="0" applyFont="1"/>
    <xf numFmtId="0" fontId="16" fillId="32" borderId="21" xfId="62" applyBorder="1">
      <protection locked="0"/>
    </xf>
    <xf numFmtId="0" fontId="16" fillId="32" borderId="22" xfId="62" applyBorder="1">
      <protection locked="0"/>
    </xf>
    <xf numFmtId="0" fontId="16" fillId="32" borderId="23" xfId="62" applyBorder="1">
      <protection locked="0"/>
    </xf>
    <xf numFmtId="0" fontId="16" fillId="32" borderId="10" xfId="62">
      <protection locked="0"/>
    </xf>
    <xf numFmtId="0" fontId="48" fillId="0" borderId="0" xfId="30" applyFont="1"/>
    <xf numFmtId="0" fontId="48" fillId="0" borderId="0" xfId="30" applyFont="1" applyAlignment="1">
      <alignment horizontal="left" indent="2"/>
    </xf>
    <xf numFmtId="0" fontId="48" fillId="0" borderId="0" xfId="30" applyFont="1" applyAlignment="1">
      <alignment horizontal="left" indent="4"/>
    </xf>
    <xf numFmtId="0" fontId="48" fillId="0" borderId="0" xfId="30" applyFont="1" applyAlignment="1">
      <alignment horizontal="left" indent="6"/>
    </xf>
    <xf numFmtId="0" fontId="48" fillId="0" borderId="0" xfId="30" applyFont="1" applyAlignment="1">
      <alignment horizontal="left" indent="8"/>
    </xf>
    <xf numFmtId="0" fontId="10" fillId="0" borderId="0" xfId="30" applyAlignment="1">
      <alignment horizontal="left" indent="2"/>
    </xf>
    <xf numFmtId="0" fontId="10" fillId="0" borderId="0" xfId="30" applyAlignment="1">
      <alignment horizontal="left" indent="4"/>
    </xf>
    <xf numFmtId="0" fontId="48" fillId="0" borderId="0" xfId="30" quotePrefix="1" applyFont="1"/>
    <xf numFmtId="0" fontId="44" fillId="0" borderId="0" xfId="0" applyFont="1"/>
    <xf numFmtId="0" fontId="22" fillId="31" borderId="17" xfId="10" applyAlignment="1">
      <alignment horizontal="left" indent="1"/>
    </xf>
    <xf numFmtId="0" fontId="47" fillId="0" borderId="0" xfId="0" quotePrefix="1" applyFont="1" applyAlignment="1">
      <alignment horizontal="right"/>
    </xf>
    <xf numFmtId="0" fontId="51" fillId="0" borderId="0" xfId="0" applyFont="1"/>
    <xf numFmtId="0" fontId="39" fillId="0" borderId="0" xfId="0" applyFont="1" applyAlignment="1">
      <alignment horizontal="right"/>
    </xf>
    <xf numFmtId="0" fontId="54" fillId="0" borderId="0" xfId="0" applyFont="1"/>
    <xf numFmtId="0" fontId="16" fillId="32" borderId="24" xfId="62" applyBorder="1">
      <protection locked="0"/>
    </xf>
    <xf numFmtId="0" fontId="16" fillId="32" borderId="25" xfId="62" applyBorder="1">
      <protection locked="0"/>
    </xf>
    <xf numFmtId="0" fontId="16" fillId="32" borderId="26" xfId="62" applyBorder="1">
      <protection locked="0"/>
    </xf>
    <xf numFmtId="166" fontId="13" fillId="0" borderId="24" xfId="49" applyBorder="1"/>
    <xf numFmtId="166" fontId="13" fillId="0" borderId="25" xfId="49" applyBorder="1"/>
    <xf numFmtId="166" fontId="13" fillId="0" borderId="26" xfId="49" applyBorder="1"/>
    <xf numFmtId="0" fontId="16" fillId="32" borderId="29" xfId="62" applyBorder="1">
      <protection locked="0"/>
    </xf>
    <xf numFmtId="0" fontId="16" fillId="32" borderId="27" xfId="62" applyBorder="1">
      <protection locked="0"/>
    </xf>
    <xf numFmtId="0" fontId="16" fillId="32" borderId="30" xfId="62" applyBorder="1">
      <protection locked="0"/>
    </xf>
    <xf numFmtId="0" fontId="16" fillId="32" borderId="31" xfId="62" applyBorder="1">
      <protection locked="0"/>
    </xf>
    <xf numFmtId="166" fontId="13" fillId="0" borderId="29" xfId="49" applyBorder="1"/>
    <xf numFmtId="166" fontId="13" fillId="0" borderId="27" xfId="49" applyBorder="1"/>
    <xf numFmtId="166" fontId="13" fillId="0" borderId="30" xfId="49" applyBorder="1"/>
    <xf numFmtId="0" fontId="55" fillId="41" borderId="28" xfId="91" applyFont="1" applyBorder="1"/>
    <xf numFmtId="0" fontId="23" fillId="0" borderId="0" xfId="73"/>
    <xf numFmtId="0" fontId="56" fillId="0" borderId="0" xfId="0" applyFont="1"/>
    <xf numFmtId="0" fontId="10" fillId="0" borderId="0" xfId="0" applyFont="1"/>
    <xf numFmtId="0" fontId="12" fillId="0" borderId="0" xfId="0" applyFont="1"/>
  </cellXfs>
  <cellStyles count="92">
    <cellStyle name="20% - Accent1" xfId="31" builtinId="30" customBuiltin="1"/>
    <cellStyle name="20% - Accent2" xfId="34" builtinId="34" customBuiltin="1"/>
    <cellStyle name="20% - Accent3" xfId="37" builtinId="38" customBuiltin="1"/>
    <cellStyle name="20% - Accent4" xfId="40" builtinId="42" customBuiltin="1"/>
    <cellStyle name="20% - Accent5" xfId="43" builtinId="46" customBuiltin="1"/>
    <cellStyle name="20% - Accent6" xfId="46" builtinId="50" customBuiltin="1"/>
    <cellStyle name="40% - Accent1" xfId="32" builtinId="31" customBuiltin="1"/>
    <cellStyle name="40% - Accent2" xfId="35" builtinId="35" customBuiltin="1"/>
    <cellStyle name="40% - Accent3" xfId="38" builtinId="39" customBuiltin="1"/>
    <cellStyle name="40% - Accent4" xfId="41" builtinId="43" customBuiltin="1"/>
    <cellStyle name="40% - Accent5" xfId="44" builtinId="47" customBuiltin="1"/>
    <cellStyle name="40% - Accent6" xfId="47" builtinId="51" customBuiltin="1"/>
    <cellStyle name="60% - Accent1" xfId="33" builtinId="32" customBuiltin="1"/>
    <cellStyle name="60% - Accent2" xfId="36" builtinId="36" customBuiltin="1"/>
    <cellStyle name="60% - Accent3" xfId="39" builtinId="40" customBuiltin="1"/>
    <cellStyle name="60% - Accent4" xfId="42" builtinId="44" customBuiltin="1"/>
    <cellStyle name="60% - Accent5" xfId="45" builtinId="48" customBuiltin="1"/>
    <cellStyle name="60% - Accent6" xfId="48" builtinId="52" customBuiltin="1"/>
    <cellStyle name="Accent1" xfId="91" builtinId="29"/>
    <cellStyle name="Bad" xfId="12" builtinId="27" customBuiltin="1"/>
    <cellStyle name="Calc - #" xfId="49" xr:uid="{2495CDAB-90FF-4C3D-BA81-740AFFEAE34F}"/>
    <cellStyle name="Calc - %" xfId="50" xr:uid="{3071A072-FD64-4371-A892-8083BC06D80E}"/>
    <cellStyle name="Calc - Date" xfId="51" xr:uid="{8C138BAE-026B-464A-A8F7-0959008204C5}"/>
    <cellStyle name="Calc - SubTotal" xfId="52" xr:uid="{03F67E89-A370-4CA2-8ED5-E04EED92D31A}"/>
    <cellStyle name="Calc - Total" xfId="53" xr:uid="{66EDCBE4-B269-4428-9460-4A665606A11C}"/>
    <cellStyle name="Calculation" xfId="15" builtinId="22" hidden="1"/>
    <cellStyle name="Check Cell" xfId="17" builtinId="23" hidden="1"/>
    <cellStyle name="Code" xfId="30" xr:uid="{B8FCD659-3DFB-42D6-8526-A2BCC03606B5}"/>
    <cellStyle name="Comma" xfId="2" builtinId="3" customBuiltin="1"/>
    <cellStyle name="Const - #" xfId="54" xr:uid="{FC61DC0C-5CE2-4480-A5B9-156C1F382B6D}"/>
    <cellStyle name="Const - %" xfId="55" xr:uid="{FD8D9826-1E51-49FC-BCBE-58EBB480029D}"/>
    <cellStyle name="Const - Date" xfId="56" xr:uid="{21ED30E5-899D-4676-981F-49908B1827B4}"/>
    <cellStyle name="Const - Text" xfId="57" xr:uid="{DB0E7607-F53D-41E5-B4DA-A2761ECD479C}"/>
    <cellStyle name="Currency" xfId="3" builtinId="4" customBuiltin="1"/>
    <cellStyle name="Currency [0]" xfId="4" builtinId="7" customBuiltin="1"/>
    <cellStyle name="Explanatory Text" xfId="20" builtinId="53" customBuiltin="1"/>
    <cellStyle name="Followed Hyperlink" xfId="74" builtinId="9" customBuiltin="1"/>
    <cellStyle name="Footer" xfId="58" xr:uid="{79781C6A-EB78-482F-AF81-80226C3882E1}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" xfId="73" builtinId="8" customBuiltin="1"/>
    <cellStyle name="Inline Check" xfId="22" xr:uid="{E7FD4D4C-BE0C-4C66-90EF-C5205204C60E}"/>
    <cellStyle name="Input" xfId="1" builtinId="20" hidden="1"/>
    <cellStyle name="Input - #" xfId="59" xr:uid="{B8E537EE-A566-440F-A007-AA2FB5F9A9FB}"/>
    <cellStyle name="Input - %" xfId="60" xr:uid="{976D63A3-80C6-4567-AE8F-0D3E16350EF8}"/>
    <cellStyle name="Input - Date" xfId="61" xr:uid="{61CD4EAE-32D8-4878-9CCC-BC4A561495C9}"/>
    <cellStyle name="Input - Text" xfId="62" xr:uid="{9BAD8F5A-8782-4831-9E5C-ADE825F5200E}"/>
    <cellStyle name="Linked Cell" xfId="16" builtinId="24" hidden="1"/>
    <cellStyle name="Macro Paste" xfId="75" xr:uid="{B7031408-8270-4CF6-9EF6-C95730554BFB}"/>
    <cellStyle name="Message Bar" xfId="63" xr:uid="{3B0D17CD-633D-4591-9C53-704178FD419A}"/>
    <cellStyle name="Model Author Input" xfId="23" xr:uid="{22313D04-CEE3-4C6D-A73A-0922D389E627}"/>
    <cellStyle name="Model Error" xfId="24" xr:uid="{7DF8A411-A2F6-49EF-86E9-1FBCD7E034D7}"/>
    <cellStyle name="Model Input Error" xfId="76" xr:uid="{B8ED4A64-BC78-4F21-B321-D7A218A214B5}"/>
    <cellStyle name="Model Warning" xfId="64" xr:uid="{84E6CA98-0C35-47A7-A1AA-48EE78A8551D}"/>
    <cellStyle name="Named Range" xfId="25" xr:uid="{E1999A07-DF06-4E2D-9D12-B5FF5AB39725}"/>
    <cellStyle name="Neutral" xfId="13" builtinId="28" customBuiltin="1"/>
    <cellStyle name="Normal" xfId="0" builtinId="0" customBuiltin="1"/>
    <cellStyle name="Note" xfId="19" builtinId="10" hidden="1"/>
    <cellStyle name="Notes" xfId="26" xr:uid="{A5B30873-7290-4B84-88CF-F6942C7113B4}"/>
    <cellStyle name="Notes - Alt Text" xfId="77" xr:uid="{C3BD8E38-560D-4E7C-B626-49A71273E491}"/>
    <cellStyle name="Output" xfId="14" builtinId="21" hidden="1"/>
    <cellStyle name="Output - #" xfId="65" xr:uid="{7370FC14-4D4E-4017-ABB2-53D819BCD0F2}"/>
    <cellStyle name="Output - %" xfId="66" xr:uid="{6C044CA3-3915-4D8A-BEF7-C461B38069AA}"/>
    <cellStyle name="Output - Date" xfId="67" xr:uid="{0DAFC17A-95FB-4984-99CB-3F1F041A33E4}"/>
    <cellStyle name="Output - SubTotal" xfId="68" xr:uid="{3944BA35-D861-48C8-BF5E-3B5A261E1A76}"/>
    <cellStyle name="Output - Text" xfId="69" xr:uid="{D8AED5B9-3D8F-49BF-8E7D-B2C435B0B345}"/>
    <cellStyle name="Output - Total" xfId="70" xr:uid="{4535EB24-0E67-4CEB-99CB-25A662CC9E57}"/>
    <cellStyle name="Per cent" xfId="5" builtinId="5" customBuiltin="1"/>
    <cellStyle name="Ref.In - #" xfId="78" xr:uid="{7AC7FA44-CE33-4D97-A9FF-6DB2BE2FBF7C}"/>
    <cellStyle name="Ref.In - %" xfId="79" xr:uid="{BE627C07-1DF5-42CE-90A7-95B617354C42}"/>
    <cellStyle name="Ref.In - Date" xfId="80" xr:uid="{70FB18BE-2731-4B77-8479-BF1A1A35C14E}"/>
    <cellStyle name="Ref.In - SubTotal" xfId="81" xr:uid="{1BCBE048-F1DD-4438-B851-47640116EDC4}"/>
    <cellStyle name="Ref.In - Text" xfId="82" xr:uid="{76DDEE21-CB3B-4B3F-A682-B80A16F240B7}"/>
    <cellStyle name="Ref.Out - #" xfId="83" xr:uid="{5FC54B47-478F-4591-AD7F-336E1608C747}"/>
    <cellStyle name="Ref.Out - %" xfId="84" xr:uid="{9FA89097-514A-441E-B0A0-94BBD3524816}"/>
    <cellStyle name="Ref.Out - Date" xfId="85" xr:uid="{8B20E3B4-706B-41CE-864E-E775C3D3E39B}"/>
    <cellStyle name="Ref.Out - SubTotal" xfId="86" xr:uid="{11BF8659-80CF-4C13-9B69-58CDA4FF5B64}"/>
    <cellStyle name="Ref.Out - Text" xfId="87" xr:uid="{D6E2D691-99EC-4F06-9B51-7814062DE643}"/>
    <cellStyle name="SubTitle" xfId="71" xr:uid="{81F4C8C1-EA43-481A-9676-DC23C4FA3B53}"/>
    <cellStyle name="Time Line" xfId="88" xr:uid="{E03B2099-5F54-4B36-B917-7B8C5089334B}"/>
    <cellStyle name="Title" xfId="6" builtinId="15" customBuiltin="1"/>
    <cellStyle name="Total" xfId="21" builtinId="25" hidden="1"/>
    <cellStyle name="Units Label" xfId="89" xr:uid="{30F76D94-6F5D-4005-AA68-53AB799EC6FC}"/>
    <cellStyle name="Unused" xfId="27" xr:uid="{41FDAA62-0CFA-4ECE-8536-2FE4DDCF7B47}"/>
    <cellStyle name="Variance - #" xfId="28" xr:uid="{C6E31070-8FD9-44FE-9156-8DC91AE2C02C}"/>
    <cellStyle name="Variance - %" xfId="72" xr:uid="{0B45C513-E93C-425C-9EA0-C12C16E6E00D}"/>
    <cellStyle name="Variance - SubTotal" xfId="90" xr:uid="{EA38576B-A343-4751-923A-790D33FCBF99}"/>
    <cellStyle name="Variance - Total" xfId="29" xr:uid="{4F69F40F-674C-4CBD-B34C-2FD1E42EDEB8}"/>
    <cellStyle name="Warning Text" xfId="18" builtinId="11" customBuiltin="1"/>
  </cellStyles>
  <dxfs count="0"/>
  <tableStyles count="0" defaultTableStyle="TableStyleMedium2" defaultPivotStyle="PivotStyleLight16"/>
  <colors>
    <mruColors>
      <color rgb="FF0000FF"/>
      <color rgb="FFFC6017"/>
      <color rgb="FFB75EE1"/>
      <color rgb="FF000000"/>
      <color rgb="FF1E4FA8"/>
      <color rgb="FF00153D"/>
      <color rgb="FF009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38100</xdr:rowOff>
    </xdr:from>
    <xdr:to>
      <xdr:col>2</xdr:col>
      <xdr:colOff>45720</xdr:colOff>
      <xdr:row>0</xdr:row>
      <xdr:rowOff>355542</xdr:rowOff>
    </xdr:to>
    <xdr:pic>
      <xdr:nvPicPr>
        <xdr:cNvPr id="2" name="Picture 1" descr="A black and white logo&#10;&#10;AI-generated content may be incorrect.">
          <a:extLst>
            <a:ext uri="{FF2B5EF4-FFF2-40B4-BE49-F238E27FC236}">
              <a16:creationId xmlns:a16="http://schemas.microsoft.com/office/drawing/2014/main" id="{62CA0371-A16F-4060-9238-16E0B1457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8100"/>
          <a:ext cx="594360" cy="3174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38100</xdr:rowOff>
    </xdr:from>
    <xdr:to>
      <xdr:col>2</xdr:col>
      <xdr:colOff>45720</xdr:colOff>
      <xdr:row>0</xdr:row>
      <xdr:rowOff>355542</xdr:rowOff>
    </xdr:to>
    <xdr:pic>
      <xdr:nvPicPr>
        <xdr:cNvPr id="2" name="Picture 1" descr="A black and white logo&#10;&#10;AI-generated content may be incorrect.">
          <a:extLst>
            <a:ext uri="{FF2B5EF4-FFF2-40B4-BE49-F238E27FC236}">
              <a16:creationId xmlns:a16="http://schemas.microsoft.com/office/drawing/2014/main" id="{28982F8F-B211-4ABB-B9F0-30F957F5B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8100"/>
          <a:ext cx="586740" cy="3174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38100</xdr:rowOff>
    </xdr:from>
    <xdr:to>
      <xdr:col>2</xdr:col>
      <xdr:colOff>45720</xdr:colOff>
      <xdr:row>0</xdr:row>
      <xdr:rowOff>355542</xdr:rowOff>
    </xdr:to>
    <xdr:pic>
      <xdr:nvPicPr>
        <xdr:cNvPr id="2" name="Picture 1" descr="A black and white logo&#10;&#10;AI-generated content may be incorrect.">
          <a:extLst>
            <a:ext uri="{FF2B5EF4-FFF2-40B4-BE49-F238E27FC236}">
              <a16:creationId xmlns:a16="http://schemas.microsoft.com/office/drawing/2014/main" id="{0E071BA9-EA1F-4829-AF3A-C8478F85A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8100"/>
          <a:ext cx="609600" cy="3174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45720</xdr:rowOff>
    </xdr:from>
    <xdr:to>
      <xdr:col>10</xdr:col>
      <xdr:colOff>549110</xdr:colOff>
      <xdr:row>15</xdr:row>
      <xdr:rowOff>58034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A12FEA-3432-EE19-13C6-4EBD15773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360" y="1508760"/>
          <a:ext cx="5425910" cy="14143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45720</xdr:rowOff>
    </xdr:from>
    <xdr:to>
      <xdr:col>8</xdr:col>
      <xdr:colOff>526364</xdr:colOff>
      <xdr:row>36</xdr:row>
      <xdr:rowOff>23322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8C5660-5799-9A50-E18D-E25992077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360" y="3261360"/>
          <a:ext cx="4183964" cy="33075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45720</xdr:rowOff>
    </xdr:from>
    <xdr:to>
      <xdr:col>17</xdr:col>
      <xdr:colOff>450919</xdr:colOff>
      <xdr:row>62</xdr:row>
      <xdr:rowOff>15774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6D5614-6020-FD57-7377-C0660FC8E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4360" y="7292340"/>
          <a:ext cx="9594919" cy="38257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38100</xdr:rowOff>
    </xdr:from>
    <xdr:to>
      <xdr:col>9</xdr:col>
      <xdr:colOff>175645</xdr:colOff>
      <xdr:row>69</xdr:row>
      <xdr:rowOff>53417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A061A14-E593-3326-5964-4DA5A0600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4360" y="11490960"/>
          <a:ext cx="4442845" cy="8916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38100</xdr:rowOff>
    </xdr:from>
    <xdr:to>
      <xdr:col>2</xdr:col>
      <xdr:colOff>45720</xdr:colOff>
      <xdr:row>0</xdr:row>
      <xdr:rowOff>355542</xdr:rowOff>
    </xdr:to>
    <xdr:pic>
      <xdr:nvPicPr>
        <xdr:cNvPr id="2" name="Picture 1" descr="A black and white logo&#10;&#10;AI-generated content may be incorrect.">
          <a:extLst>
            <a:ext uri="{FF2B5EF4-FFF2-40B4-BE49-F238E27FC236}">
              <a16:creationId xmlns:a16="http://schemas.microsoft.com/office/drawing/2014/main" id="{0A24780F-62EA-45A8-A36A-9DC3BD891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8100"/>
          <a:ext cx="594360" cy="317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RXL Custom Theme">
  <a:themeElements>
    <a:clrScheme name="RXL Custom Theme">
      <a:dk1>
        <a:srgbClr val="002138"/>
      </a:dk1>
      <a:lt1>
        <a:sysClr val="window" lastClr="FFFFFF"/>
      </a:lt1>
      <a:dk2>
        <a:srgbClr val="002138"/>
      </a:dk2>
      <a:lt2>
        <a:srgbClr val="F8F8F8"/>
      </a:lt2>
      <a:accent1>
        <a:srgbClr val="198B83"/>
      </a:accent1>
      <a:accent2>
        <a:srgbClr val="56BAB8"/>
      </a:accent2>
      <a:accent3>
        <a:srgbClr val="FC6017"/>
      </a:accent3>
      <a:accent4>
        <a:srgbClr val="F88D24"/>
      </a:accent4>
      <a:accent5>
        <a:srgbClr val="E6D3B8"/>
      </a:accent5>
      <a:accent6>
        <a:srgbClr val="FF4F4F"/>
      </a:accent6>
      <a:hlink>
        <a:srgbClr val="467886"/>
      </a:hlink>
      <a:folHlink>
        <a:srgbClr val="96607D"/>
      </a:folHlink>
    </a:clrScheme>
    <a:fontScheme name="RXL Custom Them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3"/>
        </a:solidFill>
        <a:ln w="28575">
          <a:solidFill>
            <a:schemeClr val="accent3">
              <a:lumMod val="7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a:spPr>
      <a:bodyPr vertOverflow="clip" horzOverflow="clip" rtlCol="0" anchor="ctr"/>
      <a:lstStyle>
        <a:defPPr algn="ctr">
          <a:defRPr sz="1200" kern="1200">
            <a:solidFill>
              <a:schemeClr val="bg1"/>
            </a:solidFill>
            <a:latin typeface="+mj-lt"/>
            <a:cs typeface="Arial" panose="020B0604020202020204" pitchFamily="34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898898-00B4-4C03-BA06-A0F23E263CD4}">
  <we:reference id="wa200003696" version="1.3.0.0" store="en-GB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E868B07E-8E73-453F-8EDC-C5D00DFF7CD9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gist.github.com/r-silk/b33b16e634e1ff6aa054cd6149964d8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0545-A130-4DC7-ACDB-2FCDAA37438B}">
  <sheetPr codeName="Sheet1"/>
  <dimension ref="A1:S211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RowHeight="13.8" x14ac:dyDescent="0.3"/>
  <cols>
    <col min="1" max="3" width="4.33203125" customWidth="1"/>
    <col min="4" max="4" width="16.44140625" customWidth="1"/>
  </cols>
  <sheetData>
    <row r="1" spans="1:19" s="6" customFormat="1" ht="30" customHeight="1" x14ac:dyDescent="0.3">
      <c r="A1" s="19"/>
      <c r="C1" s="2" t="s">
        <v>115</v>
      </c>
    </row>
    <row r="3" spans="1:19" x14ac:dyDescent="0.3">
      <c r="B3" s="40" t="s">
        <v>12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5" spans="1:19" x14ac:dyDescent="0.3">
      <c r="D5" t="s">
        <v>13</v>
      </c>
    </row>
    <row r="6" spans="1:19" x14ac:dyDescent="0.3">
      <c r="D6" t="s">
        <v>14</v>
      </c>
    </row>
    <row r="7" spans="1:19" x14ac:dyDescent="0.3">
      <c r="D7" s="20" t="s">
        <v>15</v>
      </c>
    </row>
    <row r="8" spans="1:19" x14ac:dyDescent="0.3">
      <c r="D8" s="20" t="s">
        <v>16</v>
      </c>
    </row>
    <row r="10" spans="1:19" x14ac:dyDescent="0.3">
      <c r="C10" s="11" t="s">
        <v>17</v>
      </c>
    </row>
    <row r="11" spans="1:19" x14ac:dyDescent="0.3">
      <c r="D11" s="21" t="s">
        <v>18</v>
      </c>
    </row>
    <row r="13" spans="1:19" x14ac:dyDescent="0.3">
      <c r="D13" s="22" t="s">
        <v>19</v>
      </c>
      <c r="E13" t="s">
        <v>37</v>
      </c>
    </row>
    <row r="14" spans="1:19" x14ac:dyDescent="0.3">
      <c r="D14" s="22"/>
      <c r="F14" t="s">
        <v>20</v>
      </c>
    </row>
    <row r="15" spans="1:19" x14ac:dyDescent="0.3">
      <c r="D15" s="22"/>
      <c r="F15" t="s">
        <v>21</v>
      </c>
    </row>
    <row r="16" spans="1:19" x14ac:dyDescent="0.3">
      <c r="D16" s="22" t="s">
        <v>22</v>
      </c>
      <c r="E16" t="s">
        <v>38</v>
      </c>
    </row>
    <row r="17" spans="3:7" x14ac:dyDescent="0.3">
      <c r="D17" s="22" t="s">
        <v>23</v>
      </c>
      <c r="E17" t="s">
        <v>39</v>
      </c>
    </row>
    <row r="18" spans="3:7" x14ac:dyDescent="0.3">
      <c r="D18" s="22"/>
      <c r="F18" t="s">
        <v>24</v>
      </c>
    </row>
    <row r="19" spans="3:7" x14ac:dyDescent="0.3">
      <c r="D19" s="22"/>
      <c r="F19" t="s">
        <v>25</v>
      </c>
    </row>
    <row r="20" spans="3:7" x14ac:dyDescent="0.3">
      <c r="D20" s="22" t="s">
        <v>26</v>
      </c>
      <c r="E20" t="s">
        <v>40</v>
      </c>
    </row>
    <row r="21" spans="3:7" x14ac:dyDescent="0.3">
      <c r="D21" s="22"/>
      <c r="F21" s="25">
        <v>0</v>
      </c>
      <c r="G21" t="s">
        <v>27</v>
      </c>
    </row>
    <row r="22" spans="3:7" x14ac:dyDescent="0.3">
      <c r="D22" s="22"/>
      <c r="F22" s="25">
        <v>1</v>
      </c>
      <c r="G22" t="s">
        <v>28</v>
      </c>
    </row>
    <row r="23" spans="3:7" x14ac:dyDescent="0.3">
      <c r="D23" s="22" t="s">
        <v>29</v>
      </c>
      <c r="E23" t="s">
        <v>41</v>
      </c>
    </row>
    <row r="24" spans="3:7" x14ac:dyDescent="0.3">
      <c r="D24" s="22"/>
      <c r="F24" s="25">
        <v>0</v>
      </c>
      <c r="G24" t="s">
        <v>30</v>
      </c>
    </row>
    <row r="25" spans="3:7" x14ac:dyDescent="0.3">
      <c r="D25" s="22"/>
      <c r="F25" s="25">
        <v>1</v>
      </c>
      <c r="G25" t="s">
        <v>31</v>
      </c>
    </row>
    <row r="26" spans="3:7" x14ac:dyDescent="0.3">
      <c r="D26" s="22" t="s">
        <v>32</v>
      </c>
      <c r="E26" t="s">
        <v>42</v>
      </c>
    </row>
    <row r="27" spans="3:7" x14ac:dyDescent="0.3">
      <c r="F27" t="s">
        <v>43</v>
      </c>
    </row>
    <row r="28" spans="3:7" x14ac:dyDescent="0.3">
      <c r="C28" s="11" t="s">
        <v>33</v>
      </c>
    </row>
    <row r="29" spans="3:7" x14ac:dyDescent="0.3">
      <c r="D29" s="23" t="e">
        <v>#VALUE!</v>
      </c>
      <c r="E29" t="s">
        <v>34</v>
      </c>
    </row>
    <row r="30" spans="3:7" x14ac:dyDescent="0.3">
      <c r="D30" s="23" t="e">
        <v>#N/A</v>
      </c>
      <c r="E30" t="s">
        <v>35</v>
      </c>
    </row>
    <row r="31" spans="3:7" x14ac:dyDescent="0.3">
      <c r="D31" s="23" t="e">
        <v>#N/A</v>
      </c>
      <c r="E31" t="s">
        <v>36</v>
      </c>
    </row>
    <row r="34" spans="2:19" x14ac:dyDescent="0.3">
      <c r="B34" s="40" t="s">
        <v>44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6" spans="2:19" x14ac:dyDescent="0.3">
      <c r="D36" t="s">
        <v>45</v>
      </c>
    </row>
    <row r="37" spans="2:19" x14ac:dyDescent="0.3">
      <c r="D37" t="s">
        <v>46</v>
      </c>
    </row>
    <row r="38" spans="2:19" x14ac:dyDescent="0.3">
      <c r="D38" s="20" t="s">
        <v>47</v>
      </c>
    </row>
    <row r="39" spans="2:19" x14ac:dyDescent="0.3">
      <c r="D39" s="20" t="s">
        <v>48</v>
      </c>
    </row>
    <row r="41" spans="2:19" x14ac:dyDescent="0.3">
      <c r="C41" s="11" t="s">
        <v>17</v>
      </c>
    </row>
    <row r="42" spans="2:19" x14ac:dyDescent="0.3">
      <c r="D42" s="21" t="s">
        <v>49</v>
      </c>
    </row>
    <row r="44" spans="2:19" x14ac:dyDescent="0.3">
      <c r="D44" s="22" t="s">
        <v>19</v>
      </c>
      <c r="E44" t="s">
        <v>37</v>
      </c>
    </row>
    <row r="45" spans="2:19" x14ac:dyDescent="0.3">
      <c r="D45" s="22"/>
      <c r="F45" t="s">
        <v>20</v>
      </c>
    </row>
    <row r="46" spans="2:19" x14ac:dyDescent="0.3">
      <c r="D46" s="22"/>
      <c r="F46" t="s">
        <v>21</v>
      </c>
    </row>
    <row r="47" spans="2:19" x14ac:dyDescent="0.3">
      <c r="D47" s="22" t="s">
        <v>22</v>
      </c>
      <c r="E47" t="s">
        <v>50</v>
      </c>
    </row>
    <row r="48" spans="2:19" x14ac:dyDescent="0.3">
      <c r="D48" s="22" t="s">
        <v>23</v>
      </c>
      <c r="E48" t="s">
        <v>51</v>
      </c>
    </row>
    <row r="49" spans="3:7" x14ac:dyDescent="0.3">
      <c r="D49" s="22"/>
      <c r="F49" t="s">
        <v>24</v>
      </c>
    </row>
    <row r="50" spans="3:7" x14ac:dyDescent="0.3">
      <c r="D50" s="22"/>
      <c r="F50" t="s">
        <v>25</v>
      </c>
    </row>
    <row r="51" spans="3:7" x14ac:dyDescent="0.3">
      <c r="D51" s="22" t="s">
        <v>26</v>
      </c>
      <c r="E51" t="s">
        <v>40</v>
      </c>
    </row>
    <row r="52" spans="3:7" x14ac:dyDescent="0.3">
      <c r="D52" s="22"/>
      <c r="F52" s="25">
        <v>0</v>
      </c>
      <c r="G52" t="s">
        <v>27</v>
      </c>
    </row>
    <row r="53" spans="3:7" x14ac:dyDescent="0.3">
      <c r="D53" s="22"/>
      <c r="F53" s="25">
        <v>1</v>
      </c>
      <c r="G53" t="s">
        <v>28</v>
      </c>
    </row>
    <row r="54" spans="3:7" x14ac:dyDescent="0.3">
      <c r="D54" s="22" t="s">
        <v>29</v>
      </c>
      <c r="E54" t="s">
        <v>41</v>
      </c>
    </row>
    <row r="55" spans="3:7" x14ac:dyDescent="0.3">
      <c r="D55" s="22"/>
      <c r="F55" s="25">
        <v>0</v>
      </c>
      <c r="G55" t="s">
        <v>30</v>
      </c>
    </row>
    <row r="56" spans="3:7" x14ac:dyDescent="0.3">
      <c r="D56" s="22"/>
      <c r="F56" s="25">
        <v>1</v>
      </c>
      <c r="G56" t="s">
        <v>31</v>
      </c>
    </row>
    <row r="57" spans="3:7" x14ac:dyDescent="0.3">
      <c r="D57" s="22" t="s">
        <v>32</v>
      </c>
      <c r="E57" t="s">
        <v>42</v>
      </c>
    </row>
    <row r="58" spans="3:7" x14ac:dyDescent="0.3">
      <c r="F58" t="s">
        <v>52</v>
      </c>
    </row>
    <row r="59" spans="3:7" x14ac:dyDescent="0.3">
      <c r="C59" s="11" t="s">
        <v>33</v>
      </c>
    </row>
    <row r="60" spans="3:7" x14ac:dyDescent="0.3">
      <c r="D60" s="23" t="e">
        <v>#VALUE!</v>
      </c>
      <c r="E60" t="s">
        <v>34</v>
      </c>
    </row>
    <row r="61" spans="3:7" x14ac:dyDescent="0.3">
      <c r="D61" s="23" t="e">
        <v>#N/A</v>
      </c>
      <c r="E61" t="s">
        <v>35</v>
      </c>
    </row>
    <row r="62" spans="3:7" x14ac:dyDescent="0.3">
      <c r="D62" s="23" t="e">
        <v>#N/A</v>
      </c>
      <c r="E62" t="s">
        <v>36</v>
      </c>
    </row>
    <row r="65" spans="2:8" s="13" customFormat="1" ht="16.2" thickBot="1" x14ac:dyDescent="0.35">
      <c r="B65" s="14">
        <f xml:space="preserve"> MAX(B$1:B1) + 1</f>
        <v>1</v>
      </c>
      <c r="C65" s="13" t="s">
        <v>53</v>
      </c>
    </row>
    <row r="67" spans="2:8" x14ac:dyDescent="0.3">
      <c r="C67" s="11" t="s">
        <v>4</v>
      </c>
    </row>
    <row r="68" spans="2:8" x14ac:dyDescent="0.3">
      <c r="D68" t="s">
        <v>154</v>
      </c>
    </row>
    <row r="69" spans="2:8" x14ac:dyDescent="0.3">
      <c r="D69" t="s">
        <v>155</v>
      </c>
    </row>
    <row r="70" spans="2:8" x14ac:dyDescent="0.3">
      <c r="D70" t="s">
        <v>156</v>
      </c>
    </row>
    <row r="71" spans="2:8" x14ac:dyDescent="0.3">
      <c r="D71" t="s">
        <v>157</v>
      </c>
    </row>
    <row r="73" spans="2:8" x14ac:dyDescent="0.3">
      <c r="C73" s="11" t="s">
        <v>5</v>
      </c>
    </row>
    <row r="75" spans="2:8" x14ac:dyDescent="0.3">
      <c r="C75" t="s">
        <v>118</v>
      </c>
      <c r="D75" s="26" t="s">
        <v>54</v>
      </c>
    </row>
    <row r="76" spans="2:8" x14ac:dyDescent="0.3">
      <c r="D76" s="18" t="s">
        <v>55</v>
      </c>
      <c r="E76" s="27" t="s">
        <v>56</v>
      </c>
      <c r="F76" s="28"/>
      <c r="G76" s="28"/>
      <c r="H76" s="29"/>
    </row>
    <row r="77" spans="2:8" x14ac:dyDescent="0.3">
      <c r="D77" s="18" t="s">
        <v>57</v>
      </c>
      <c r="E77" s="30"/>
      <c r="F77" s="30"/>
    </row>
    <row r="78" spans="2:8" x14ac:dyDescent="0.3">
      <c r="D78" s="18" t="s">
        <v>58</v>
      </c>
      <c r="E78" s="9" t="str" cm="1">
        <f t="array" ref="E78" xml:space="preserve"> _xlfn.LAMBDA(_xlpm.text,_xlpm.start_delimiter,_xlpm.end_delimiter,
_xlfn.LET(
_xlpm._rtn, _xlfn.TEXTBEFORE( _xlfn.TEXTAFTER(_xlpm.text, _xlpm.start_delimiter, 1), _xlpm.end_delimiter, -1),
_xlpm._rtn
))(E76, E77, F77)</f>
        <v>Hello World!</v>
      </c>
      <c r="F78" s="10"/>
      <c r="G78" s="10"/>
      <c r="H78" s="8"/>
    </row>
    <row r="79" spans="2:8" x14ac:dyDescent="0.3">
      <c r="E79" s="4" t="str">
        <f ca="1" xml:space="preserve"> _xlfn.FORMULATEXT(E78)</f>
        <v>= LAMBDA(text,start_delimiter,end_delimiter,
LET(
_rtn, TEXTBEFORE( TEXTAFTER(text, start_delimiter, 1), end_delimiter, -1),
_rtn
))(E76, E77, F77)</v>
      </c>
    </row>
    <row r="81" spans="3:8" x14ac:dyDescent="0.3">
      <c r="C81" t="s">
        <v>119</v>
      </c>
      <c r="D81" s="26" t="s">
        <v>59</v>
      </c>
    </row>
    <row r="82" spans="3:8" x14ac:dyDescent="0.3">
      <c r="D82" s="18" t="s">
        <v>55</v>
      </c>
      <c r="E82" s="27" t="s">
        <v>56</v>
      </c>
      <c r="F82" s="28"/>
      <c r="G82" s="28"/>
      <c r="H82" s="29"/>
    </row>
    <row r="83" spans="3:8" x14ac:dyDescent="0.3">
      <c r="D83" s="18" t="s">
        <v>57</v>
      </c>
      <c r="E83" s="30"/>
      <c r="F83" s="30"/>
    </row>
    <row r="84" spans="3:8" x14ac:dyDescent="0.3">
      <c r="D84" s="18" t="s">
        <v>58</v>
      </c>
      <c r="E84" s="9" t="str" cm="1">
        <f t="array" ref="E84" xml:space="preserve"> _xlfn.LAMBDA(_xlpm.text,_xlop.start_delimiter,_xlop.end_delimiter,
  _xlfn.LET(
    _xlpm._delimA, IF( _xlfn.ISOMITTED(_xlpm.start_delimiter), "", _xlpm.start_delimiter),
    _xlpm._delimB, IF( _xlfn.ISOMITTED(_xlpm.end_delimiter), "", _xlpm.end_delimiter),
    _xlpm._rtn, IF( AND(_xlpm._delimA = "", _xlpm._delimB = ""),
      _xlpm.text,
      _xlfn.TEXTBEFORE( _xlfn.TEXTAFTER(_xlpm.text, _xlpm._delimA, 1), _xlpm._delimB, -1)
    ),
    _xlpm._rtn
  )
)(E82, E83, F83)</f>
        <v>Hello World!</v>
      </c>
      <c r="F84" s="10"/>
      <c r="G84" s="10"/>
      <c r="H84" s="8"/>
    </row>
    <row r="85" spans="3:8" x14ac:dyDescent="0.3">
      <c r="E85" s="4" t="str">
        <f ca="1" xml:space="preserve"> _xlfn.FORMULATEXT(E84)</f>
        <v>= LAMBDA(text,[start_delimiter],[end_delimiter],
  LET(
    _delimA, IF( ISOMITTED(start_delimiter), "", start_delimiter),
    _delimB, IF( ISOMITTED(end_delimiter), "", end_delimiter),
    _rtn, IF( AND(_delimA = "", _delimB = ""),
      text,
      TEXTBEFORE( TEXTAFTER(text, _delimA, 1), _delimB, -1)
    ),
    _rtn
  )
)(E82, E83, F83)</v>
      </c>
    </row>
    <row r="87" spans="3:8" x14ac:dyDescent="0.3">
      <c r="C87" t="s">
        <v>120</v>
      </c>
      <c r="D87" s="26" t="s">
        <v>60</v>
      </c>
    </row>
    <row r="88" spans="3:8" x14ac:dyDescent="0.3">
      <c r="D88" s="18" t="s">
        <v>55</v>
      </c>
      <c r="E88" s="27" t="s">
        <v>56</v>
      </c>
      <c r="F88" s="28"/>
      <c r="G88" s="28"/>
      <c r="H88" s="29"/>
    </row>
    <row r="89" spans="3:8" x14ac:dyDescent="0.3">
      <c r="D89" s="18" t="s">
        <v>57</v>
      </c>
      <c r="E89" s="30" t="s">
        <v>61</v>
      </c>
      <c r="F89" s="30" t="s">
        <v>62</v>
      </c>
    </row>
    <row r="90" spans="3:8" x14ac:dyDescent="0.3">
      <c r="D90" s="18" t="s">
        <v>63</v>
      </c>
      <c r="E90" s="30">
        <v>1</v>
      </c>
      <c r="F90" s="30">
        <v>-1</v>
      </c>
    </row>
    <row r="91" spans="3:8" x14ac:dyDescent="0.3">
      <c r="D91" s="18" t="s">
        <v>58</v>
      </c>
      <c r="E91" s="9" t="str" cm="1">
        <f t="array" ref="E91" xml:space="preserve"> _xlfn.LAMBDA(_xlpm.text,_xlop.start_delimiter,_xlop.end_delimiter,_xlop.start_instance,_xlop.end_instance,
  _xlfn.LET(
    _xlpm._delimA, IF( _xlfn.ISOMITTED(_xlpm.start_delimiter), "", _xlpm.start_delimiter),
    _xlpm._delimB, IF( _xlfn.ISOMITTED(_xlpm.end_delimiter), "", _xlpm.end_delimiter),
    _xlpm._instA, IF( _xlfn.ISOMITTED(_xlpm.start_instance), 1, _xlpm.start_instance),
    _xlpm._instB, IF( _xlfn.ISOMITTED(_xlpm.end_instance), -1, _xlpm.end_instance),
    _xlpm._inpChk, IF(
      OR( NOT(ISNUMBER(_xlpm._instA)), NOT(ISNUMBER(_xlpm._instB))),
      #VALUE!,
      ""
    ),
    _xlpm._rtn, IF( AND(_xlpm._delimA = "", _xlpm._delimB = ""),
      _xlpm.text,
      _xlfn.TEXTBEFORE( _xlfn.TEXTAFTER(_xlpm.text, _xlpm._delimA, _xlpm._instA), _xlpm._delimB, _xlpm._instB)
    ),
    IF(_xlpm._inpChk &lt;&gt; "", _xlpm._inpChk, _xlpm._rtn)
  )
)(E88, E89, F89, E90, F90)</f>
        <v xml:space="preserve"> World</v>
      </c>
      <c r="F91" s="10"/>
      <c r="G91" s="10"/>
      <c r="H91" s="8"/>
    </row>
    <row r="92" spans="3:8" x14ac:dyDescent="0.3">
      <c r="E92" s="4" t="str">
        <f ca="1" xml:space="preserve"> _xlfn.FORMULATEXT(E91)</f>
        <v>= LAMBDA(text,[start_delimiter],[end_delimiter],[start_instance],[end_instance],
  LET(
    _delimA, IF( ISOMITTED(start_delimiter), "", start_delimiter),
    _delimB, IF( ISOMITTED(end_delimiter), "", end_delimiter),
    _instA, IF( ISOMITTED(start_instance), 1, start_instance),
    _instB, IF( ISOMITTED(end_instance), -1, end_instance),
    _inpChk, IF(
      OR( NOT(ISNUMBER(_instA)), NOT(ISNUMBER(_instB))),
      #VALUE!,
      ""
    ),
    _rtn, IF( AND(_delimA = "", _delimB = ""),
      text,
      TEXTBEFORE( TEXTAFTER(text, _delimA, _instA), _delimB, _instB)
    ),
    IF(_inpChk &lt;&gt; "", _inpChk, _rtn)
  )
)(E88, E89, F89, E90, F90)</v>
      </c>
    </row>
    <row r="94" spans="3:8" x14ac:dyDescent="0.3">
      <c r="C94" t="s">
        <v>121</v>
      </c>
      <c r="D94" s="26" t="s">
        <v>64</v>
      </c>
    </row>
    <row r="95" spans="3:8" x14ac:dyDescent="0.3">
      <c r="D95" s="18" t="s">
        <v>55</v>
      </c>
      <c r="E95" s="27" t="s">
        <v>56</v>
      </c>
      <c r="F95" s="28"/>
      <c r="G95" s="28"/>
      <c r="H95" s="29"/>
    </row>
    <row r="96" spans="3:8" x14ac:dyDescent="0.3">
      <c r="D96" s="18" t="s">
        <v>57</v>
      </c>
      <c r="E96" s="30" t="s">
        <v>65</v>
      </c>
      <c r="F96" s="30" t="s">
        <v>62</v>
      </c>
    </row>
    <row r="97" spans="3:8" x14ac:dyDescent="0.3">
      <c r="D97" s="18" t="s">
        <v>63</v>
      </c>
      <c r="E97" s="30">
        <v>1</v>
      </c>
      <c r="F97" s="30">
        <v>-1</v>
      </c>
    </row>
    <row r="98" spans="3:8" x14ac:dyDescent="0.3">
      <c r="D98" s="18" t="s">
        <v>66</v>
      </c>
      <c r="E98" s="1">
        <v>0</v>
      </c>
    </row>
    <row r="99" spans="3:8" x14ac:dyDescent="0.3">
      <c r="D99" s="18" t="s">
        <v>58</v>
      </c>
      <c r="E99" s="9" t="str" cm="1">
        <f t="array" ref="E99" xml:space="preserve"> _xlfn.LAMBDA(_xlpm.text,_xlop.start_delimiter,_xlop.end_delimiter,_xlop.start_instance,_xlop.end_instance,_xlop.case_sensitive,
  _xlfn.LET(
    _xlpm._delimA, IF( _xlfn.ISOMITTED(_xlpm.start_delimiter), "", _xlpm.start_delimiter),
    _xlpm._delimB, IF( _xlfn.ISOMITTED(_xlpm.end_delimiter), "", _xlpm.end_delimiter),
    _xlpm._instA, IF( _xlfn.ISOMITTED(_xlpm.start_instance), 1, _xlpm.start_instance),
    _xlpm._instB, IF( _xlfn.ISOMITTED(_xlpm.end_instance), -1, _xlpm.end_instance),
    _xlpm._case, IF( _xlfn.ISOMITTED(_xlpm.case_sensitive), 0, IF(_xlpm.case_sensitive, 0, 1)),
    _xlpm._inpChk, IF(
      OR(
        NOT(ISNUMBER(_xlpm._instA)),
        NOT(ISNUMBER(_xlpm._instB)),
        AND( NOT(ISLOGICAL(_xlpm._case)), NOT(ISNUMBER(_xlpm._case)))
      ),
      #VALUE!,
      ""
    ),
    _xlpm._rtn, IF( AND(_xlpm._delimA = "", _xlpm._delimB = ""),
      _xlpm.text,
      _xlfn.TEXTBEFORE( _xlfn.TEXTAFTER(_xlpm.text, _xlpm._delimA, _xlpm._instA, _xlpm._case), _xlpm._delimB, _xlpm._instB, _xlpm._case)
    ),
    IF(_xlpm._inpChk &lt;&gt; "", _xlpm._inpChk, _xlpm._rtn)
  )
)(E95, E96, F96, E97, F97, E98)</f>
        <v xml:space="preserve"> World</v>
      </c>
      <c r="F99" s="10"/>
      <c r="G99" s="10"/>
      <c r="H99" s="8"/>
    </row>
    <row r="100" spans="3:8" x14ac:dyDescent="0.3">
      <c r="E100" s="4" t="str">
        <f ca="1" xml:space="preserve"> _xlfn.FORMULATEXT(E99)</f>
        <v>= LAMBDA(text,[start_delimiter],[end_delimiter],[start_instance],[end_instance],[case_sensitive],
  LET(
    _delimA, IF( ISOMITTED(start_delimiter), "", start_delimiter),
    _delimB, IF( ISOMITTED(end_delimiter), "", end_delimiter),
    _instA, IF( ISOMITTED(start_instance), 1, start_instance),
    _instB, IF( ISOMITTED(end_instance), -1, end_instance),
    _case, IF( ISOMITTED(case_sensitive), 0, IF(case_sensitive, 0, 1)),
    _inpChk, IF(
      OR(
        NOT(ISNUMBER(_instA)),
        NOT(ISNUMBER(_instB)),
        AND( NOT(ISLOGICAL(_case)), NOT(ISNUMBER(_case)))
      ),
      #VALUE!,
      ""
    ),
    _rtn, IF( AND(_delimA = "", _delimB = ""),
      text,
      TEXTBEFORE( TEXTAFTER(text, _delimA, _instA, _case), _delimB, _instB, _case)
    ),
    IF(_inpChk &lt;&gt; "", _inpChk, _rtn)
  )
)(E95, E96, F96, E97, F97, E98)</v>
      </c>
    </row>
    <row r="102" spans="3:8" x14ac:dyDescent="0.3">
      <c r="C102" t="s">
        <v>122</v>
      </c>
      <c r="D102" s="26" t="s">
        <v>67</v>
      </c>
    </row>
    <row r="103" spans="3:8" x14ac:dyDescent="0.3">
      <c r="D103" s="18" t="s">
        <v>55</v>
      </c>
      <c r="E103" s="27" t="s">
        <v>56</v>
      </c>
      <c r="F103" s="28"/>
      <c r="G103" s="28"/>
      <c r="H103" s="29"/>
    </row>
    <row r="104" spans="3:8" x14ac:dyDescent="0.3">
      <c r="D104" s="18" t="s">
        <v>57</v>
      </c>
      <c r="E104" s="30" t="s">
        <v>65</v>
      </c>
      <c r="F104" s="30" t="s">
        <v>62</v>
      </c>
    </row>
    <row r="105" spans="3:8" x14ac:dyDescent="0.3">
      <c r="D105" s="18" t="s">
        <v>63</v>
      </c>
      <c r="E105" s="30">
        <v>1</v>
      </c>
      <c r="F105" s="30">
        <v>-1</v>
      </c>
    </row>
    <row r="106" spans="3:8" x14ac:dyDescent="0.3">
      <c r="D106" s="18" t="s">
        <v>66</v>
      </c>
      <c r="E106" s="1">
        <v>1</v>
      </c>
    </row>
    <row r="107" spans="3:8" x14ac:dyDescent="0.3">
      <c r="D107" s="18" t="s">
        <v>68</v>
      </c>
      <c r="E107" s="27" t="s">
        <v>69</v>
      </c>
      <c r="F107" s="29"/>
    </row>
    <row r="108" spans="3:8" x14ac:dyDescent="0.3">
      <c r="D108" s="18" t="s">
        <v>58</v>
      </c>
      <c r="E108" s="9" t="str" cm="1">
        <f t="array" ref="E108" xml:space="preserve"> _xlfn.LAMBDA(_xlpm.text,_xlop.start_delimiter,_xlop.end_delimiter,_xlop.start_instance,_xlop.end_instance,_xlop.case_sensitive,_xlop.if_not_found,
  _xlfn.LET(
    _xlpm._delimA, IF( _xlfn.ISOMITTED(_xlpm.start_delimiter), "", _xlpm.start_delimiter),
    _xlpm._delimB, IF( _xlfn.ISOMITTED(_xlpm.end_delimiter), "", _xlpm.end_delimiter),
    _xlpm._instA, IF( _xlfn.ISOMITTED(_xlpm.start_instance), 1, _xlpm.start_instance),
    _xlpm._instB, IF( _xlfn.ISOMITTED(_xlpm.end_instance), -1, _xlpm.end_instance),
    _xlpm._case, IF( _xlfn.ISOMITTED(_xlpm.case_sensitive), 0, IF(_xlpm.case_sensitive, 0, 1)),
    _xlpm._inf, IF(
      OR( _xlfn.ISOMITTED(_xlpm.if_not_found), ISBLANK(_xlpm.if_not_found), _xlpm.if_not_found = ""),
      NA(),
      _xlpm.if_not_found
    ),
    _xlpm._inpChk, IF(
      OR(
        NOT(ISNUMBER(_xlpm._instA)),
        NOT(ISNUMBER(_xlpm._instB)),
        AND( NOT(ISLOGICAL(_xlpm._case)), NOT(ISNUMBER(_xlpm._case)))
      ),
      #VALUE!,
      ""
    ),
    _xlpm._rtn, IF( AND(_xlpm._delimA = "", _xlpm._delimB = ""),
      _xlpm.text,
      _xlfn.TEXTBEFORE( _xlfn.TEXTAFTER(_xlpm.text, _xlpm._delimA, _xlpm._instA, _xlpm._case, , _xlpm._inf), _xlpm._delimB, _xlpm._instB, _xlpm._case, , _xlpm._inf)
    ),
    IF(_xlpm._inpChk &lt;&gt; "", _xlpm._inpChk, _xlpm._rtn)
  )
)(E103, E104, F104, E105, F105, E106, E107)</f>
        <v>(not found)</v>
      </c>
      <c r="F108" s="10"/>
      <c r="G108" s="10"/>
      <c r="H108" s="8"/>
    </row>
    <row r="109" spans="3:8" x14ac:dyDescent="0.3">
      <c r="E109" s="4" t="str">
        <f ca="1" xml:space="preserve"> _xlfn.FORMULATEXT(E108)</f>
        <v>= LAMBDA(text,[start_delimiter],[end_delimiter],[start_instance],[end_instance],[case_sensitive],[if_not_found],
  LET(
    _delimA, IF( ISOMITTED(start_delimiter), "", start_delimiter),
    _delimB, IF( ISOMITTED(end_delimiter), "", end_delimiter),
    _instA, IF( ISOMITTED(start_instance), 1, start_instance),
    _instB, IF( ISOMITTED(end_instance), -1, end_instance),
    _case, IF( ISOMITTED(case_sensitive), 0, IF(case_sensitive, 0, 1)),
    _inf, IF(
      OR( ISOMITTED(if_not_found), ISBLANK(if_not_found), if_not_found = ""),
      NA(),
      if_not_found
    ),
    _inpChk, IF(
      OR(
        NOT(ISNUMBER(_instA)),
        NOT(ISNUMBER(_instB)),
        AND( NOT(ISLOGICAL(_case)), NOT(ISNUMBER(_case)))
      ),
      #VALUE!,
      ""
    ),
    _rtn, IF( AND(_delimA = "", _delimB = ""),
      text,
      TEXTBEFORE( TEXTAFTER(text, _delimA, _instA, _case, , _inf), _delimB, _instB, _case, , _inf)
    ),
    IF(_inpChk &lt;&gt; "", _inpChk, _rtn)
  )
)(E103, E104, F104, E105, F105, E106, E107)</v>
      </c>
    </row>
    <row r="111" spans="3:8" x14ac:dyDescent="0.3">
      <c r="C111" t="s">
        <v>123</v>
      </c>
      <c r="D111" s="26" t="s">
        <v>70</v>
      </c>
    </row>
    <row r="112" spans="3:8" x14ac:dyDescent="0.3">
      <c r="D112" s="18" t="s">
        <v>55</v>
      </c>
      <c r="E112" s="27" t="s">
        <v>56</v>
      </c>
      <c r="F112" s="28"/>
      <c r="G112" s="28"/>
      <c r="H112" s="29"/>
    </row>
    <row r="113" spans="2:8" x14ac:dyDescent="0.3">
      <c r="D113" s="18" t="s">
        <v>57</v>
      </c>
      <c r="E113" s="30" t="s">
        <v>65</v>
      </c>
      <c r="F113" s="30" t="s">
        <v>62</v>
      </c>
    </row>
    <row r="114" spans="2:8" x14ac:dyDescent="0.3">
      <c r="D114" s="18" t="s">
        <v>63</v>
      </c>
      <c r="E114" s="30">
        <v>1</v>
      </c>
      <c r="F114" s="30">
        <v>-1</v>
      </c>
    </row>
    <row r="115" spans="2:8" x14ac:dyDescent="0.3">
      <c r="D115" s="18" t="s">
        <v>66</v>
      </c>
      <c r="E115" s="1">
        <v>0</v>
      </c>
    </row>
    <row r="116" spans="2:8" x14ac:dyDescent="0.3">
      <c r="D116" s="18" t="s">
        <v>68</v>
      </c>
      <c r="E116" s="27" t="s">
        <v>69</v>
      </c>
      <c r="F116" s="29"/>
    </row>
    <row r="117" spans="2:8" x14ac:dyDescent="0.3">
      <c r="D117" s="18" t="s">
        <v>58</v>
      </c>
      <c r="E117" s="9" t="str" cm="1">
        <f t="array" ref="E117" xml:space="preserve"> _xlfn.LAMBDA(_xlpm.text,_xlop.start_delimiter,_xlop.end_delimiter,_xlop.start_instance,_xlop.end_instance,_xlop.case_sensitive,_xlop.if_not_found,
  _xlfn.LET(
    _xlpm._delimA, IF( OR( _xlfn.ISOMITTED(_xlpm.start_delimiter), ISBLANK(_xlpm.start_delimiter)), "", _xlpm.start_delimiter),
    _xlpm._delimB, IF( OR( _xlfn.ISOMITTED(_xlpm.end_delimiter), ISBLANK(_xlpm.end_delimiter)), "", _xlpm.end_delimiter),
    _xlpm._instA, IF( OR( _xlfn.ISOMITTED(_xlpm.start_instance), ISBLANK(_xlpm.start_instance)), 1, INT(_xlpm.start_instance)),
    _xlpm._instB, IF( OR( _xlfn.ISOMITTED(_xlpm.end_instance), ISBLANK(_xlpm.end_instance)), -1, INT(_xlpm.end_instance)),
    _xlpm._case, IF( _xlfn.ISOMITTED(_xlpm.case_sensitive), 0, IF(_xlpm.case_sensitive, 0, 1)),
    _xlpm._inf, IF(
      OR( _xlfn.ISOMITTED(_xlpm.if_not_found), ISBLANK(_xlpm.if_not_found), _xlpm.if_not_found = "", AND( ISLOGICAL(_xlpm.if_not_found), _xlpm.if_not_found = FALSE)),
      NA(),
      IF( ISLOGICAL(_xlpm.if_not_found), _xlpm.text, _xlpm.if_not_found)
    ),
    _xlpm._end, IF( ISLOGICAL(_xlpm.if_not_found), _xlpm.if_not_found * 1, 0),
    _xlpm._inpChk, IF(
      OR(
        NOT(ISNUMBER(_xlpm._instA)), _xlpm._instA = 0,
        NOT(ISNUMBER(_xlpm._instB)), _xlpm._instB = 0,
        AND( NOT(ISLOGICAL(_xlpm._case)), NOT(ISNUMBER(_xlpm._case)))
      ),
      2,
      1
    ),
    _xlpm._calc, IF( OR( AND(_xlpm._delimA = "", _xlpm._delimB = "")),
      _xlpm.text,
      _xlfn.TEXTBEFORE( _xlfn.TEXTAFTER(_xlpm.text, _xlpm._delimA, _xlpm._instA, _xlpm._case, _xlpm._end, _xlpm._inf), _xlpm._delimB, _xlpm._instB, _xlpm._case, , _xlpm._inf)
    ),
    _xlpm._rtn, IF( AND( ISERROR(_xlpm._calc), _xlpm._end = 1), _xlpm.text, _xlpm._calc),
    CHOOSE(_xlpm._inpChk, _xlpm._rtn, #VALUE!)
  )
)(E112, E113, F113, E114, F114, E115, E116)</f>
        <v xml:space="preserve"> World</v>
      </c>
      <c r="F117" s="10"/>
      <c r="G117" s="10"/>
      <c r="H117" s="8"/>
    </row>
    <row r="118" spans="2:8" x14ac:dyDescent="0.3">
      <c r="E118" s="4" t="str">
        <f ca="1" xml:space="preserve"> _xlfn.FORMULATEXT(E117)</f>
        <v>= LAMBDA(text,[start_delimiter],[end_delimiter],[start_instance],[end_instance],[case_sensitive],[if_not_found],
  LET(
    _delimA, IF( OR( ISOMITTED(start_delimiter), ISBLANK(start_delimiter)), "", start_delimiter),
    _delimB, IF( OR( ISOMITTED(end_delimiter), ISBLANK(end_delimiter)), "", end_delimiter),
    _instA, IF( OR( ISOMITTED(start_instance), ISBLANK(start_instance)), 1, INT(start_instance)),
    _instB, IF( OR( ISOMITTED(end_instance), ISBLANK(end_instance)), -1, INT(end_instance)),
    _case, IF( ISOMITTED(case_sensitive), 0, IF(case_sensitive, 0, 1)),
    _inf, IF(
      OR( ISOMITTED(if_not_found), ISBLANK(if_not_found), if_not_found = "", AND( ISLOGICAL(if_not_found), if_not_found = FALSE)),
      NA(),
      IF( ISLOGICAL(if_not_found), text, if_not_found)
    ),
    _end, IF( ISLOGICAL(if_not_found), if_not_found * 1, 0),
    _inpChk, IF(
      OR(
        NOT(ISNUMBER(_instA)), _instA = 0,
        NOT(ISNUMBER(_instB)), _instB = 0,
        AND( NOT(ISLOGICAL(_case)), NOT(ISNUMBER(_case)))
      ),
      2,
      1
    ),
    _calc, IF( OR( AND(_delimA = "", _delimB = "")),
      text,
      TEXTBEFORE( TEXTAFTER(text, _delimA, _instA, _case, _end, _inf), _delimB, _instB, _case, , _inf)
    ),
    _rtn, IF( AND( ISERROR(_calc), _end = 1), text, _calc),
    CHOOSE(_inpChk, _rtn, #VALUE!)
  )
)(E112, E113, F113, E114, F114, E115, E116)</v>
      </c>
    </row>
    <row r="121" spans="2:8" s="13" customFormat="1" ht="16.2" thickBot="1" x14ac:dyDescent="0.35">
      <c r="B121" s="14">
        <f xml:space="preserve"> MAX(B$1:B120) + 1</f>
        <v>2</v>
      </c>
      <c r="C121" s="13" t="s">
        <v>11</v>
      </c>
    </row>
    <row r="123" spans="2:8" x14ac:dyDescent="0.3">
      <c r="C123" s="17" t="s">
        <v>71</v>
      </c>
    </row>
    <row r="124" spans="2:8" x14ac:dyDescent="0.3">
      <c r="D124" t="s">
        <v>152</v>
      </c>
    </row>
    <row r="125" spans="2:8" x14ac:dyDescent="0.3">
      <c r="D125" t="s">
        <v>153</v>
      </c>
    </row>
    <row r="127" spans="2:8" x14ac:dyDescent="0.3">
      <c r="C127" s="17" t="s">
        <v>72</v>
      </c>
    </row>
    <row r="128" spans="2:8" x14ac:dyDescent="0.3">
      <c r="D128" s="31" t="s">
        <v>19</v>
      </c>
      <c r="E128" t="s">
        <v>125</v>
      </c>
    </row>
    <row r="129" spans="4:7" x14ac:dyDescent="0.3">
      <c r="D129" s="31" t="s">
        <v>79</v>
      </c>
      <c r="E129" t="s">
        <v>116</v>
      </c>
    </row>
    <row r="130" spans="4:7" x14ac:dyDescent="0.3">
      <c r="D130" s="31"/>
      <c r="F130" t="s">
        <v>126</v>
      </c>
    </row>
    <row r="131" spans="4:7" x14ac:dyDescent="0.3">
      <c r="D131" s="31"/>
      <c r="F131" t="s">
        <v>130</v>
      </c>
    </row>
    <row r="132" spans="4:7" x14ac:dyDescent="0.3">
      <c r="D132" s="31" t="s">
        <v>78</v>
      </c>
      <c r="E132" t="s">
        <v>117</v>
      </c>
    </row>
    <row r="133" spans="4:7" x14ac:dyDescent="0.3">
      <c r="D133" s="31"/>
      <c r="F133" t="s">
        <v>126</v>
      </c>
    </row>
    <row r="134" spans="4:7" x14ac:dyDescent="0.3">
      <c r="D134" s="31"/>
      <c r="F134" t="s">
        <v>131</v>
      </c>
    </row>
    <row r="135" spans="4:7" x14ac:dyDescent="0.3">
      <c r="D135" s="31" t="s">
        <v>77</v>
      </c>
      <c r="E135" t="s">
        <v>127</v>
      </c>
    </row>
    <row r="136" spans="4:7" x14ac:dyDescent="0.3">
      <c r="D136" s="31"/>
      <c r="F136" t="s">
        <v>129</v>
      </c>
    </row>
    <row r="137" spans="4:7" x14ac:dyDescent="0.3">
      <c r="D137" s="31"/>
      <c r="F137" s="41" t="s">
        <v>133</v>
      </c>
      <c r="G137" s="5" t="s">
        <v>135</v>
      </c>
    </row>
    <row r="138" spans="4:7" x14ac:dyDescent="0.3">
      <c r="D138" s="31"/>
      <c r="F138" s="41" t="s">
        <v>134</v>
      </c>
      <c r="G138" s="5" t="s">
        <v>136</v>
      </c>
    </row>
    <row r="139" spans="4:7" x14ac:dyDescent="0.3">
      <c r="D139" s="31" t="s">
        <v>76</v>
      </c>
      <c r="E139" t="s">
        <v>128</v>
      </c>
    </row>
    <row r="140" spans="4:7" x14ac:dyDescent="0.3">
      <c r="D140" s="31"/>
      <c r="F140" t="s">
        <v>132</v>
      </c>
    </row>
    <row r="141" spans="4:7" x14ac:dyDescent="0.3">
      <c r="D141" s="31"/>
      <c r="F141" s="41" t="s">
        <v>133</v>
      </c>
      <c r="G141" s="5" t="s">
        <v>137</v>
      </c>
    </row>
    <row r="142" spans="4:7" x14ac:dyDescent="0.3">
      <c r="D142" s="31"/>
      <c r="F142" s="41" t="s">
        <v>134</v>
      </c>
      <c r="G142" s="5" t="s">
        <v>138</v>
      </c>
    </row>
    <row r="143" spans="4:7" x14ac:dyDescent="0.3">
      <c r="D143" s="31" t="s">
        <v>75</v>
      </c>
      <c r="E143" t="s">
        <v>139</v>
      </c>
    </row>
    <row r="144" spans="4:7" x14ac:dyDescent="0.3">
      <c r="D144" s="31"/>
      <c r="F144" t="s">
        <v>141</v>
      </c>
    </row>
    <row r="145" spans="3:7" x14ac:dyDescent="0.3">
      <c r="D145" s="31"/>
      <c r="F145" t="s">
        <v>140</v>
      </c>
    </row>
    <row r="146" spans="3:7" x14ac:dyDescent="0.3">
      <c r="D146" s="31" t="s">
        <v>32</v>
      </c>
      <c r="E146" t="s">
        <v>124</v>
      </c>
    </row>
    <row r="147" spans="3:7" x14ac:dyDescent="0.3">
      <c r="D147" s="31"/>
      <c r="F147" t="s">
        <v>142</v>
      </c>
    </row>
    <row r="148" spans="3:7" x14ac:dyDescent="0.3">
      <c r="D148" s="31"/>
      <c r="F148" t="s">
        <v>144</v>
      </c>
    </row>
    <row r="149" spans="3:7" x14ac:dyDescent="0.3">
      <c r="D149" s="31"/>
      <c r="F149" s="25" t="b">
        <v>1</v>
      </c>
      <c r="G149" s="5" t="s">
        <v>145</v>
      </c>
    </row>
    <row r="150" spans="3:7" x14ac:dyDescent="0.3">
      <c r="F150" s="25" t="b">
        <v>0</v>
      </c>
      <c r="G150" s="5" t="s">
        <v>143</v>
      </c>
    </row>
    <row r="151" spans="3:7" x14ac:dyDescent="0.3">
      <c r="F151" t="s">
        <v>146</v>
      </c>
      <c r="G151" s="5"/>
    </row>
    <row r="153" spans="3:7" x14ac:dyDescent="0.3">
      <c r="C153" s="17" t="s">
        <v>73</v>
      </c>
    </row>
    <row r="154" spans="3:7" x14ac:dyDescent="0.3">
      <c r="D154" s="39" t="e">
        <v>#VALUE!</v>
      </c>
      <c r="E154" s="42" t="s">
        <v>149</v>
      </c>
    </row>
    <row r="155" spans="3:7" x14ac:dyDescent="0.3">
      <c r="D155" s="39" t="e">
        <v>#VALUE!</v>
      </c>
      <c r="E155" s="42" t="s">
        <v>150</v>
      </c>
    </row>
    <row r="156" spans="3:7" x14ac:dyDescent="0.3">
      <c r="D156" s="39" t="e">
        <v>#VALUE!</v>
      </c>
      <c r="E156" s="42" t="s">
        <v>151</v>
      </c>
    </row>
    <row r="158" spans="3:7" x14ac:dyDescent="0.3">
      <c r="C158" s="17" t="s">
        <v>74</v>
      </c>
    </row>
    <row r="159" spans="3:7" x14ac:dyDescent="0.3">
      <c r="D159" s="31" t="s">
        <v>1</v>
      </c>
    </row>
    <row r="160" spans="3:7" x14ac:dyDescent="0.3">
      <c r="D160" s="36" t="s">
        <v>8</v>
      </c>
    </row>
    <row r="161" spans="4:4" x14ac:dyDescent="0.3">
      <c r="D161" s="32" t="s">
        <v>80</v>
      </c>
    </row>
    <row r="162" spans="4:4" x14ac:dyDescent="0.3">
      <c r="D162" s="32" t="s">
        <v>96</v>
      </c>
    </row>
    <row r="163" spans="4:4" x14ac:dyDescent="0.3">
      <c r="D163" s="32" t="s">
        <v>97</v>
      </c>
    </row>
    <row r="164" spans="4:4" x14ac:dyDescent="0.3">
      <c r="D164" s="32" t="s">
        <v>98</v>
      </c>
    </row>
    <row r="165" spans="4:4" x14ac:dyDescent="0.3">
      <c r="D165" s="32" t="s">
        <v>99</v>
      </c>
    </row>
    <row r="166" spans="4:4" x14ac:dyDescent="0.3">
      <c r="D166" s="32" t="s">
        <v>100</v>
      </c>
    </row>
    <row r="167" spans="4:4" x14ac:dyDescent="0.3">
      <c r="D167" s="32" t="s">
        <v>101</v>
      </c>
    </row>
    <row r="168" spans="4:4" x14ac:dyDescent="0.3">
      <c r="D168" s="36" t="s">
        <v>81</v>
      </c>
    </row>
    <row r="169" spans="4:4" x14ac:dyDescent="0.3">
      <c r="D169" s="32" t="s">
        <v>2</v>
      </c>
    </row>
    <row r="170" spans="4:4" x14ac:dyDescent="0.3">
      <c r="D170" s="37" t="s">
        <v>82</v>
      </c>
    </row>
    <row r="171" spans="4:4" x14ac:dyDescent="0.3">
      <c r="D171" s="33" t="s">
        <v>104</v>
      </c>
    </row>
    <row r="172" spans="4:4" x14ac:dyDescent="0.3">
      <c r="D172" s="33" t="s">
        <v>105</v>
      </c>
    </row>
    <row r="173" spans="4:4" x14ac:dyDescent="0.3">
      <c r="D173" s="33" t="s">
        <v>106</v>
      </c>
    </row>
    <row r="174" spans="4:4" x14ac:dyDescent="0.3">
      <c r="D174" s="33" t="s">
        <v>107</v>
      </c>
    </row>
    <row r="175" spans="4:4" x14ac:dyDescent="0.3">
      <c r="D175" s="33" t="s">
        <v>83</v>
      </c>
    </row>
    <row r="176" spans="4:4" x14ac:dyDescent="0.3">
      <c r="D176" s="37" t="s">
        <v>84</v>
      </c>
    </row>
    <row r="177" spans="4:4" x14ac:dyDescent="0.3">
      <c r="D177" s="37" t="s">
        <v>85</v>
      </c>
    </row>
    <row r="178" spans="4:4" x14ac:dyDescent="0.3">
      <c r="D178" s="33" t="s">
        <v>86</v>
      </c>
    </row>
    <row r="179" spans="4:4" x14ac:dyDescent="0.3">
      <c r="D179" s="34" t="s">
        <v>108</v>
      </c>
    </row>
    <row r="180" spans="4:4" x14ac:dyDescent="0.3">
      <c r="D180" s="34" t="s">
        <v>87</v>
      </c>
    </row>
    <row r="181" spans="4:4" x14ac:dyDescent="0.3">
      <c r="D181" s="34" t="s">
        <v>109</v>
      </c>
    </row>
    <row r="182" spans="4:4" x14ac:dyDescent="0.3">
      <c r="D182" s="33" t="s">
        <v>88</v>
      </c>
    </row>
    <row r="183" spans="4:4" x14ac:dyDescent="0.3">
      <c r="D183" s="33" t="s">
        <v>110</v>
      </c>
    </row>
    <row r="184" spans="4:4" x14ac:dyDescent="0.3">
      <c r="D184" s="37" t="s">
        <v>89</v>
      </c>
    </row>
    <row r="185" spans="4:4" x14ac:dyDescent="0.3">
      <c r="D185" s="37" t="s">
        <v>90</v>
      </c>
    </row>
    <row r="186" spans="4:4" x14ac:dyDescent="0.3">
      <c r="D186" s="33" t="s">
        <v>91</v>
      </c>
    </row>
    <row r="187" spans="4:4" x14ac:dyDescent="0.3">
      <c r="D187" s="34" t="s">
        <v>92</v>
      </c>
    </row>
    <row r="188" spans="4:4" x14ac:dyDescent="0.3">
      <c r="D188" s="35" t="s">
        <v>147</v>
      </c>
    </row>
    <row r="189" spans="4:4" x14ac:dyDescent="0.3">
      <c r="D189" s="35" t="s">
        <v>148</v>
      </c>
    </row>
    <row r="190" spans="4:4" x14ac:dyDescent="0.3">
      <c r="D190" s="35" t="s">
        <v>93</v>
      </c>
    </row>
    <row r="191" spans="4:4" x14ac:dyDescent="0.3">
      <c r="D191" s="34" t="s">
        <v>88</v>
      </c>
    </row>
    <row r="192" spans="4:4" x14ac:dyDescent="0.3">
      <c r="D192" s="34" t="s">
        <v>102</v>
      </c>
    </row>
    <row r="193" spans="4:4" x14ac:dyDescent="0.3">
      <c r="D193" s="34">
        <v>1</v>
      </c>
    </row>
    <row r="194" spans="4:4" x14ac:dyDescent="0.3">
      <c r="D194" s="33" t="s">
        <v>88</v>
      </c>
    </row>
    <row r="195" spans="4:4" x14ac:dyDescent="0.3">
      <c r="D195" s="37" t="s">
        <v>94</v>
      </c>
    </row>
    <row r="196" spans="4:4" x14ac:dyDescent="0.3">
      <c r="D196" s="33" t="s">
        <v>111</v>
      </c>
    </row>
    <row r="197" spans="4:4" x14ac:dyDescent="0.3">
      <c r="D197" s="34" t="s">
        <v>80</v>
      </c>
    </row>
    <row r="198" spans="4:4" x14ac:dyDescent="0.3">
      <c r="D198" s="34" t="s">
        <v>112</v>
      </c>
    </row>
    <row r="199" spans="4:4" x14ac:dyDescent="0.3">
      <c r="D199" s="33" t="s">
        <v>88</v>
      </c>
    </row>
    <row r="200" spans="4:4" x14ac:dyDescent="0.3">
      <c r="D200" s="37" t="s">
        <v>95</v>
      </c>
    </row>
    <row r="201" spans="4:4" x14ac:dyDescent="0.3">
      <c r="D201" s="33" t="s">
        <v>113</v>
      </c>
    </row>
    <row r="202" spans="4:4" x14ac:dyDescent="0.3">
      <c r="D202" s="33" t="s">
        <v>103</v>
      </c>
    </row>
    <row r="203" spans="4:4" x14ac:dyDescent="0.3">
      <c r="D203" s="32" t="s">
        <v>0</v>
      </c>
    </row>
    <row r="204" spans="4:4" x14ac:dyDescent="0.3">
      <c r="D204" s="31" t="s">
        <v>0</v>
      </c>
    </row>
    <row r="207" spans="4:4" x14ac:dyDescent="0.3">
      <c r="D207" s="17" t="s">
        <v>10</v>
      </c>
    </row>
    <row r="208" spans="4:4" x14ac:dyDescent="0.3">
      <c r="D208" s="38" t="s">
        <v>114</v>
      </c>
    </row>
    <row r="210" spans="2:2" ht="14.4" thickBot="1" x14ac:dyDescent="0.35"/>
    <row r="211" spans="2:2" s="7" customFormat="1" x14ac:dyDescent="0.3">
      <c r="B211" s="7" t="s">
        <v>3</v>
      </c>
    </row>
  </sheetData>
  <dataValidations disablePrompts="1" count="1">
    <dataValidation type="list" allowBlank="1" showInputMessage="1" showErrorMessage="1" sqref="E98 E106 E115" xr:uid="{599EE5CF-2B98-4729-8D3E-C6C07C37427D}">
      <formula1>_YesNo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FAD8-1E3A-4DD9-B273-ABB42BEDBDF6}">
  <sheetPr codeName="Sheet2"/>
  <dimension ref="B1:R37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3" width="4.33203125" customWidth="1"/>
  </cols>
  <sheetData>
    <row r="1" spans="2:18" s="6" customFormat="1" ht="30" customHeight="1" x14ac:dyDescent="0.3">
      <c r="C1" s="2" t="s">
        <v>115</v>
      </c>
    </row>
    <row r="2" spans="2:18" s="13" customFormat="1" ht="16.2" thickBot="1" x14ac:dyDescent="0.35">
      <c r="B2" s="14">
        <f xml:space="preserve"> MAX(B$1:B1) + 1</f>
        <v>1</v>
      </c>
      <c r="C2" s="13" t="s">
        <v>158</v>
      </c>
    </row>
    <row r="4" spans="2:18" x14ac:dyDescent="0.3">
      <c r="D4" s="43" t="s">
        <v>159</v>
      </c>
      <c r="E4" t="s">
        <v>161</v>
      </c>
    </row>
    <row r="5" spans="2:18" x14ac:dyDescent="0.3">
      <c r="D5" s="43" t="s">
        <v>160</v>
      </c>
      <c r="E5" t="s">
        <v>163</v>
      </c>
    </row>
    <row r="6" spans="2:18" x14ac:dyDescent="0.3">
      <c r="D6" s="43" t="s">
        <v>182</v>
      </c>
      <c r="E6" s="59" t="s">
        <v>183</v>
      </c>
    </row>
    <row r="9" spans="2:18" x14ac:dyDescent="0.3">
      <c r="B9" s="40" t="s">
        <v>162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</row>
    <row r="11" spans="2:18" x14ac:dyDescent="0.3">
      <c r="C11" s="44" t="s">
        <v>164</v>
      </c>
    </row>
    <row r="12" spans="2:18" ht="14.4" thickBot="1" x14ac:dyDescent="0.35">
      <c r="D12" s="58" t="s">
        <v>168</v>
      </c>
      <c r="E12" s="58"/>
      <c r="F12" s="58"/>
      <c r="G12" s="58" t="s">
        <v>169</v>
      </c>
      <c r="H12" s="58" t="s">
        <v>170</v>
      </c>
      <c r="I12" s="58" t="s">
        <v>181</v>
      </c>
      <c r="J12" s="58"/>
      <c r="K12" s="58"/>
    </row>
    <row r="13" spans="2:18" x14ac:dyDescent="0.3">
      <c r="D13" s="51" t="s">
        <v>171</v>
      </c>
      <c r="E13" s="52"/>
      <c r="F13" s="53"/>
      <c r="G13" s="54" t="s">
        <v>172</v>
      </c>
      <c r="H13" s="54" t="s">
        <v>173</v>
      </c>
      <c r="I13" s="55" t="str" cm="1">
        <f t="array" ref="I13" xml:space="preserve"> RXL_TextBetween(D13, G13, H13)</f>
        <v>9876</v>
      </c>
      <c r="J13" s="56"/>
      <c r="K13" s="57"/>
      <c r="L13" s="4" t="str">
        <f ca="1" xml:space="preserve"> _xlfn.FORMULATEXT(I13)</f>
        <v>= RXL_TextBetween(D13, G13, H13)</v>
      </c>
    </row>
    <row r="14" spans="2:18" x14ac:dyDescent="0.3">
      <c r="D14" s="45" t="s">
        <v>171</v>
      </c>
      <c r="E14" s="46"/>
      <c r="F14" s="47"/>
      <c r="G14" s="30" t="s">
        <v>172</v>
      </c>
      <c r="H14" s="30"/>
      <c r="I14" s="48" t="str" cm="1">
        <f t="array" ref="I14" xml:space="preserve"> RXL_TextBetween(D14, G14, H14)</f>
        <v>9876//001</v>
      </c>
      <c r="J14" s="49"/>
      <c r="K14" s="50"/>
      <c r="L14" s="4" t="str">
        <f t="shared" ref="L14:L16" ca="1" si="0" xml:space="preserve"> _xlfn.FORMULATEXT(I14)</f>
        <v>= RXL_TextBetween(D14, G14, H14)</v>
      </c>
    </row>
    <row r="15" spans="2:18" x14ac:dyDescent="0.3">
      <c r="D15" s="45" t="s">
        <v>171</v>
      </c>
      <c r="E15" s="46"/>
      <c r="F15" s="47"/>
      <c r="G15" s="30"/>
      <c r="H15" s="30" t="s">
        <v>173</v>
      </c>
      <c r="I15" s="48" t="str" cm="1">
        <f t="array" ref="I15" xml:space="preserve"> RXL_TextBetween(D15, G15, H15)</f>
        <v>ABC-9876</v>
      </c>
      <c r="J15" s="49"/>
      <c r="K15" s="50"/>
      <c r="L15" s="4" t="str">
        <f t="shared" ca="1" si="0"/>
        <v>= RXL_TextBetween(D15, G15, H15)</v>
      </c>
    </row>
    <row r="16" spans="2:18" x14ac:dyDescent="0.3">
      <c r="D16" s="45" t="s">
        <v>171</v>
      </c>
      <c r="E16" s="46"/>
      <c r="F16" s="47"/>
      <c r="G16" s="30"/>
      <c r="H16" s="30"/>
      <c r="I16" s="48" t="str" cm="1">
        <f t="array" ref="I16" xml:space="preserve"> RXL_TextBetween(D16, G16, H16)</f>
        <v>ABC-9876//001</v>
      </c>
      <c r="J16" s="49"/>
      <c r="K16" s="50"/>
      <c r="L16" s="4" t="str">
        <f t="shared" ca="1" si="0"/>
        <v>= RXL_TextBetween(D16, G16, H16)</v>
      </c>
    </row>
    <row r="18" spans="3:12" x14ac:dyDescent="0.3">
      <c r="C18" s="44" t="s">
        <v>165</v>
      </c>
    </row>
    <row r="19" spans="3:12" x14ac:dyDescent="0.3">
      <c r="D19" s="45" t="s">
        <v>174</v>
      </c>
      <c r="E19" s="46"/>
      <c r="F19" s="47"/>
      <c r="G19" s="30" t="s">
        <v>172</v>
      </c>
      <c r="H19" s="30" t="s">
        <v>175</v>
      </c>
      <c r="I19" s="48" t="str" cm="1">
        <f t="array" ref="I19" xml:space="preserve"> RXL_TextBetween(D19, G19, H19)</f>
        <v>-9876/</v>
      </c>
      <c r="J19" s="49"/>
      <c r="K19" s="50"/>
      <c r="L19" s="4" t="str">
        <f t="shared" ref="L19:L22" ca="1" si="1" xml:space="preserve"> _xlfn.FORMULATEXT(I19)</f>
        <v>= RXL_TextBetween(D19, G19, H19)</v>
      </c>
    </row>
    <row r="20" spans="3:12" x14ac:dyDescent="0.3">
      <c r="D20" s="45" t="s">
        <v>174</v>
      </c>
      <c r="E20" s="46"/>
      <c r="F20" s="47"/>
      <c r="G20" s="30" t="s">
        <v>172</v>
      </c>
      <c r="H20" s="30" t="s">
        <v>175</v>
      </c>
      <c r="I20" s="48" t="str" cm="1">
        <f t="array" ref="I20" xml:space="preserve"> RXL_TextBetween(D20, G20, H20, 1, 1)</f>
        <v>-9876</v>
      </c>
      <c r="J20" s="49"/>
      <c r="K20" s="50"/>
      <c r="L20" s="4" t="str">
        <f t="shared" ca="1" si="1"/>
        <v>= RXL_TextBetween(D20, G20, H20, 1, 1)</v>
      </c>
    </row>
    <row r="21" spans="3:12" x14ac:dyDescent="0.3">
      <c r="D21" s="45" t="s">
        <v>174</v>
      </c>
      <c r="E21" s="46"/>
      <c r="F21" s="47"/>
      <c r="G21" s="30" t="s">
        <v>172</v>
      </c>
      <c r="H21" s="30" t="s">
        <v>175</v>
      </c>
      <c r="I21" s="48" t="str" cm="1">
        <f t="array" ref="I21" xml:space="preserve"> RXL_TextBetween(D21, G21, H21, -1, -1)</f>
        <v>9876/</v>
      </c>
      <c r="J21" s="49"/>
      <c r="K21" s="50"/>
      <c r="L21" s="4" t="str">
        <f t="shared" ca="1" si="1"/>
        <v>= RXL_TextBetween(D21, G21, H21, -1, -1)</v>
      </c>
    </row>
    <row r="22" spans="3:12" x14ac:dyDescent="0.3">
      <c r="D22" s="45" t="s">
        <v>174</v>
      </c>
      <c r="E22" s="46"/>
      <c r="F22" s="47"/>
      <c r="G22" s="30" t="s">
        <v>172</v>
      </c>
      <c r="H22" s="30" t="s">
        <v>175</v>
      </c>
      <c r="I22" s="48" t="str" cm="1">
        <f t="array" ref="I22" xml:space="preserve"> RXL_TextBetween(D22, G22, H22, -1, 1)</f>
        <v>9876</v>
      </c>
      <c r="J22" s="49"/>
      <c r="K22" s="50"/>
      <c r="L22" s="4" t="str">
        <f t="shared" ca="1" si="1"/>
        <v>= RXL_TextBetween(D22, G22, H22, -1, 1)</v>
      </c>
    </row>
    <row r="24" spans="3:12" x14ac:dyDescent="0.3">
      <c r="C24" s="44" t="s">
        <v>166</v>
      </c>
    </row>
    <row r="25" spans="3:12" x14ac:dyDescent="0.3">
      <c r="D25" s="45" t="s">
        <v>171</v>
      </c>
      <c r="E25" s="46"/>
      <c r="F25" s="47"/>
      <c r="G25" s="30" t="s">
        <v>62</v>
      </c>
      <c r="H25" s="30" t="s">
        <v>176</v>
      </c>
      <c r="I25" s="48" t="e" cm="1">
        <f t="array" ref="I25" xml:space="preserve"> RXL_TextBetween(D25, G25, H25)</f>
        <v>#N/A</v>
      </c>
      <c r="J25" s="49"/>
      <c r="K25" s="50"/>
      <c r="L25" s="4" t="str">
        <f t="shared" ref="L25:L28" ca="1" si="2" xml:space="preserve"> _xlfn.FORMULATEXT(I25)</f>
        <v>= RXL_TextBetween(D25, G25, H25)</v>
      </c>
    </row>
    <row r="26" spans="3:12" x14ac:dyDescent="0.3">
      <c r="D26" s="45" t="s">
        <v>171</v>
      </c>
      <c r="E26" s="46"/>
      <c r="F26" s="47"/>
      <c r="G26" s="30" t="s">
        <v>62</v>
      </c>
      <c r="H26" s="30" t="s">
        <v>176</v>
      </c>
      <c r="I26" s="48" t="str" cm="1">
        <f t="array" ref="I26" xml:space="preserve"> RXL_TextBetween(D26, G26, H26, , , , "(not found)")</f>
        <v>(not found)</v>
      </c>
      <c r="J26" s="49"/>
      <c r="K26" s="50"/>
      <c r="L26" s="4" t="str">
        <f t="shared" ca="1" si="2"/>
        <v>= RXL_TextBetween(D26, G26, H26, , , , "(not found)")</v>
      </c>
    </row>
    <row r="27" spans="3:12" x14ac:dyDescent="0.3">
      <c r="D27" s="45" t="s">
        <v>171</v>
      </c>
      <c r="E27" s="46"/>
      <c r="F27" s="47"/>
      <c r="G27" s="30" t="s">
        <v>62</v>
      </c>
      <c r="H27" s="30" t="s">
        <v>176</v>
      </c>
      <c r="I27" s="48" t="e" cm="1">
        <f t="array" ref="I27" xml:space="preserve"> RXL_TextBetween(D27, G27, H27, , , , FALSE)</f>
        <v>#N/A</v>
      </c>
      <c r="J27" s="49"/>
      <c r="K27" s="50"/>
      <c r="L27" s="4" t="str">
        <f t="shared" ca="1" si="2"/>
        <v>= RXL_TextBetween(D27, G27, H27, , , , FALSE)</v>
      </c>
    </row>
    <row r="28" spans="3:12" x14ac:dyDescent="0.3">
      <c r="D28" s="45" t="s">
        <v>171</v>
      </c>
      <c r="E28" s="46"/>
      <c r="F28" s="47"/>
      <c r="G28" s="30" t="s">
        <v>62</v>
      </c>
      <c r="H28" s="30" t="s">
        <v>176</v>
      </c>
      <c r="I28" s="48" t="str" cm="1">
        <f t="array" ref="I28" xml:space="preserve"> RXL_TextBetween(D28, G28, H28, , , , TRUE)</f>
        <v>ABC-9876//001</v>
      </c>
      <c r="J28" s="49"/>
      <c r="K28" s="50"/>
      <c r="L28" s="4" t="str">
        <f t="shared" ca="1" si="2"/>
        <v>= RXL_TextBetween(D28, G28, H28, , , , TRUE)</v>
      </c>
    </row>
    <row r="30" spans="3:12" x14ac:dyDescent="0.3">
      <c r="C30" s="44" t="s">
        <v>167</v>
      </c>
    </row>
    <row r="31" spans="3:12" x14ac:dyDescent="0.3">
      <c r="D31" s="45" t="s">
        <v>177</v>
      </c>
      <c r="E31" s="46"/>
      <c r="F31" s="47"/>
      <c r="G31" s="30" t="s">
        <v>178</v>
      </c>
      <c r="H31" s="30" t="s">
        <v>179</v>
      </c>
      <c r="I31" s="48" t="str" cm="1">
        <f t="array" ref="I31" xml:space="preserve"> RXL_TextBetween(D31, G31, H31, -1)</f>
        <v xml:space="preserve"> a test </v>
      </c>
      <c r="J31" s="49"/>
      <c r="K31" s="50"/>
      <c r="L31" s="4" t="str">
        <f t="shared" ref="L31:L33" ca="1" si="3" xml:space="preserve"> _xlfn.FORMULATEXT(I31)</f>
        <v>= RXL_TextBetween(D31, G31, H31, -1)</v>
      </c>
    </row>
    <row r="32" spans="3:12" x14ac:dyDescent="0.3">
      <c r="D32" s="45" t="s">
        <v>177</v>
      </c>
      <c r="E32" s="46"/>
      <c r="F32" s="47"/>
      <c r="G32" s="30" t="s">
        <v>178</v>
      </c>
      <c r="H32" s="30" t="s">
        <v>180</v>
      </c>
      <c r="I32" s="48" t="e" cm="1">
        <f t="array" ref="I32" xml:space="preserve"> RXL_TextBetween(D32, G32, H32, -1, , TRUE)</f>
        <v>#N/A</v>
      </c>
      <c r="J32" s="49"/>
      <c r="K32" s="50"/>
      <c r="L32" s="4" t="str">
        <f t="shared" ca="1" si="3"/>
        <v>= RXL_TextBetween(D32, G32, H32, -1, , TRUE)</v>
      </c>
    </row>
    <row r="33" spans="2:12" x14ac:dyDescent="0.3">
      <c r="D33" s="45" t="s">
        <v>177</v>
      </c>
      <c r="E33" s="46"/>
      <c r="F33" s="47"/>
      <c r="G33" s="30" t="s">
        <v>178</v>
      </c>
      <c r="H33" s="30" t="s">
        <v>180</v>
      </c>
      <c r="I33" s="48" t="str" cm="1">
        <f t="array" ref="I33" xml:space="preserve"> RXL_TextBetween(D33, G33, H33, -1, , FALSE)</f>
        <v xml:space="preserve"> a test </v>
      </c>
      <c r="J33" s="49"/>
      <c r="K33" s="50"/>
      <c r="L33" s="4" t="str">
        <f t="shared" ca="1" si="3"/>
        <v>= RXL_TextBetween(D33, G33, H33, -1, , FALSE)</v>
      </c>
    </row>
    <row r="36" spans="2:12" ht="14.4" thickBot="1" x14ac:dyDescent="0.35"/>
    <row r="37" spans="2:12" s="7" customFormat="1" x14ac:dyDescent="0.3">
      <c r="B37" s="7" t="s">
        <v>3</v>
      </c>
    </row>
  </sheetData>
  <hyperlinks>
    <hyperlink ref="E6" r:id="rId1" xr:uid="{CA82F8EA-E1F2-464C-A2D2-BC8F74D592BF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960D-E125-4902-AE46-2BC9B841C8F4}">
  <sheetPr codeName="Sheet3"/>
  <dimension ref="B1:C110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2:3" s="6" customFormat="1" ht="30" customHeight="1" x14ac:dyDescent="0.3">
      <c r="C1" s="2" t="s">
        <v>115</v>
      </c>
    </row>
    <row r="2" spans="2:3" s="13" customFormat="1" ht="16.2" thickBot="1" x14ac:dyDescent="0.35">
      <c r="B2" s="14">
        <f xml:space="preserve"> MAX(B$1:B1) + 1</f>
        <v>1</v>
      </c>
      <c r="C2" s="13" t="s">
        <v>185</v>
      </c>
    </row>
    <row r="4" spans="2:3" x14ac:dyDescent="0.3">
      <c r="C4" t="s">
        <v>197</v>
      </c>
    </row>
    <row r="6" spans="2:3" x14ac:dyDescent="0.3">
      <c r="B6" s="18" t="s">
        <v>186</v>
      </c>
      <c r="C6" t="s">
        <v>187</v>
      </c>
    </row>
    <row r="7" spans="2:3" x14ac:dyDescent="0.3">
      <c r="B7" s="18" t="s">
        <v>188</v>
      </c>
      <c r="C7" t="s">
        <v>189</v>
      </c>
    </row>
    <row r="17" spans="2:3" x14ac:dyDescent="0.3">
      <c r="B17" s="18" t="s">
        <v>190</v>
      </c>
      <c r="C17" t="s">
        <v>198</v>
      </c>
    </row>
    <row r="38" spans="2:3" x14ac:dyDescent="0.3">
      <c r="B38" s="18" t="s">
        <v>191</v>
      </c>
      <c r="C38" t="s">
        <v>192</v>
      </c>
    </row>
    <row r="39" spans="2:3" x14ac:dyDescent="0.3">
      <c r="B39" s="18" t="s">
        <v>193</v>
      </c>
      <c r="C39" t="s">
        <v>194</v>
      </c>
    </row>
    <row r="40" spans="2:3" x14ac:dyDescent="0.3">
      <c r="C40" t="s">
        <v>199</v>
      </c>
    </row>
    <row r="64" spans="2:3" x14ac:dyDescent="0.3">
      <c r="B64" s="18" t="s">
        <v>195</v>
      </c>
      <c r="C64" t="s">
        <v>196</v>
      </c>
    </row>
    <row r="71" spans="2:3" s="13" customFormat="1" ht="16.2" thickBot="1" x14ac:dyDescent="0.35">
      <c r="B71" s="14">
        <f xml:space="preserve"> MAX(B$1:B70) + 1</f>
        <v>2</v>
      </c>
      <c r="C71" s="13" t="s">
        <v>184</v>
      </c>
    </row>
    <row r="73" spans="2:3" x14ac:dyDescent="0.3">
      <c r="C73" s="60" t="s">
        <v>200</v>
      </c>
    </row>
    <row r="74" spans="2:3" x14ac:dyDescent="0.3">
      <c r="C74" s="60"/>
    </row>
    <row r="75" spans="2:3" x14ac:dyDescent="0.3">
      <c r="C75" s="60" t="s">
        <v>201</v>
      </c>
    </row>
    <row r="76" spans="2:3" x14ac:dyDescent="0.3">
      <c r="C76" s="60" t="s">
        <v>202</v>
      </c>
    </row>
    <row r="77" spans="2:3" x14ac:dyDescent="0.3">
      <c r="C77" s="60" t="s">
        <v>203</v>
      </c>
    </row>
    <row r="78" spans="2:3" x14ac:dyDescent="0.3">
      <c r="C78" s="61" t="s">
        <v>204</v>
      </c>
    </row>
    <row r="79" spans="2:3" x14ac:dyDescent="0.3">
      <c r="C79" s="60" t="s">
        <v>224</v>
      </c>
    </row>
    <row r="80" spans="2:3" x14ac:dyDescent="0.3">
      <c r="C80" s="60" t="s">
        <v>203</v>
      </c>
    </row>
    <row r="81" spans="3:3" x14ac:dyDescent="0.3">
      <c r="C81" s="62" t="s">
        <v>205</v>
      </c>
    </row>
    <row r="82" spans="3:3" x14ac:dyDescent="0.3">
      <c r="C82" s="61" t="s">
        <v>206</v>
      </c>
    </row>
    <row r="83" spans="3:3" x14ac:dyDescent="0.3">
      <c r="C83" s="60" t="s">
        <v>207</v>
      </c>
    </row>
    <row r="84" spans="3:3" x14ac:dyDescent="0.3">
      <c r="C84" s="62" t="s">
        <v>208</v>
      </c>
    </row>
    <row r="85" spans="3:3" x14ac:dyDescent="0.3">
      <c r="C85" s="60" t="s">
        <v>209</v>
      </c>
    </row>
    <row r="86" spans="3:3" x14ac:dyDescent="0.3">
      <c r="C86" s="60" t="s">
        <v>225</v>
      </c>
    </row>
    <row r="87" spans="3:3" x14ac:dyDescent="0.3">
      <c r="C87" s="62" t="s">
        <v>210</v>
      </c>
    </row>
    <row r="88" spans="3:3" x14ac:dyDescent="0.3">
      <c r="C88" s="62" t="s">
        <v>211</v>
      </c>
    </row>
    <row r="89" spans="3:3" x14ac:dyDescent="0.3">
      <c r="C89" s="60" t="s">
        <v>203</v>
      </c>
    </row>
    <row r="90" spans="3:3" x14ac:dyDescent="0.3">
      <c r="C90" s="62" t="s">
        <v>205</v>
      </c>
    </row>
    <row r="91" spans="3:3" x14ac:dyDescent="0.3">
      <c r="C91" s="60" t="s">
        <v>212</v>
      </c>
    </row>
    <row r="92" spans="3:3" x14ac:dyDescent="0.3">
      <c r="C92" s="60" t="s">
        <v>213</v>
      </c>
    </row>
    <row r="93" spans="3:3" x14ac:dyDescent="0.3">
      <c r="C93" s="60" t="s">
        <v>214</v>
      </c>
    </row>
    <row r="94" spans="3:3" x14ac:dyDescent="0.3">
      <c r="C94" s="60" t="s">
        <v>215</v>
      </c>
    </row>
    <row r="95" spans="3:3" x14ac:dyDescent="0.3">
      <c r="C95" s="60" t="s">
        <v>216</v>
      </c>
    </row>
    <row r="96" spans="3:3" x14ac:dyDescent="0.3">
      <c r="C96" s="60" t="s">
        <v>217</v>
      </c>
    </row>
    <row r="97" spans="2:3" x14ac:dyDescent="0.3">
      <c r="C97" s="60" t="s">
        <v>218</v>
      </c>
    </row>
    <row r="98" spans="2:3" x14ac:dyDescent="0.3">
      <c r="C98" s="60" t="s">
        <v>219</v>
      </c>
    </row>
    <row r="99" spans="2:3" x14ac:dyDescent="0.3">
      <c r="C99" s="60" t="s">
        <v>226</v>
      </c>
    </row>
    <row r="100" spans="2:3" x14ac:dyDescent="0.3">
      <c r="C100" s="62" t="s">
        <v>220</v>
      </c>
    </row>
    <row r="101" spans="2:3" x14ac:dyDescent="0.3">
      <c r="C101" s="60" t="s">
        <v>227</v>
      </c>
    </row>
    <row r="102" spans="2:3" x14ac:dyDescent="0.3">
      <c r="C102" s="62" t="s">
        <v>221</v>
      </c>
    </row>
    <row r="103" spans="2:3" x14ac:dyDescent="0.3">
      <c r="C103" s="62" t="s">
        <v>222</v>
      </c>
    </row>
    <row r="104" spans="2:3" x14ac:dyDescent="0.3">
      <c r="C104" s="60" t="s">
        <v>228</v>
      </c>
    </row>
    <row r="105" spans="2:3" x14ac:dyDescent="0.3">
      <c r="C105" s="62" t="s">
        <v>211</v>
      </c>
    </row>
    <row r="106" spans="2:3" x14ac:dyDescent="0.3">
      <c r="C106" s="60" t="s">
        <v>203</v>
      </c>
    </row>
    <row r="107" spans="2:3" x14ac:dyDescent="0.3">
      <c r="C107" s="62" t="s">
        <v>223</v>
      </c>
    </row>
    <row r="109" spans="2:3" ht="14.4" thickBot="1" x14ac:dyDescent="0.35"/>
    <row r="110" spans="2:3" s="7" customFormat="1" x14ac:dyDescent="0.3">
      <c r="B110" s="7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A15E-3384-4194-A934-E1FDEF2D75BB}">
  <sheetPr codeName="Sheet12"/>
  <dimension ref="B1:D10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2:4" s="6" customFormat="1" ht="30" customHeight="1" x14ac:dyDescent="0.3">
      <c r="C1" s="2" t="s">
        <v>6</v>
      </c>
    </row>
    <row r="3" spans="2:4" x14ac:dyDescent="0.3">
      <c r="B3" s="3">
        <v>1</v>
      </c>
      <c r="C3" s="16">
        <v>1</v>
      </c>
    </row>
    <row r="4" spans="2:4" x14ac:dyDescent="0.3">
      <c r="B4" s="3">
        <v>0</v>
      </c>
      <c r="C4" s="16">
        <v>0</v>
      </c>
      <c r="D4" s="12" t="s">
        <v>7</v>
      </c>
    </row>
    <row r="6" spans="2:4" x14ac:dyDescent="0.3">
      <c r="B6" s="3">
        <v>1</v>
      </c>
      <c r="C6" s="15">
        <v>1</v>
      </c>
    </row>
    <row r="7" spans="2:4" x14ac:dyDescent="0.3">
      <c r="B7" s="3">
        <v>0</v>
      </c>
      <c r="C7" s="15">
        <v>0</v>
      </c>
      <c r="D7" s="12" t="s">
        <v>9</v>
      </c>
    </row>
    <row r="9" spans="2:4" ht="14.4" thickBot="1" x14ac:dyDescent="0.35"/>
    <row r="10" spans="2:4" s="7" customFormat="1" x14ac:dyDescent="0.3">
      <c r="B10" s="7" t="s">
        <v>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8AKgAgACAAUgBYAEwAXwBUAGUAeAB0AEIAZQB0AHcAZQBlAG4AIABGAHUAbgBjAHQAaQBvAG4AXABuACAAIAAgACAAIAAgACAAIAB2AGUAcgBzAGkAbwBuACAAMQAuADAAOAAgACAAKAAyADMALQBBAHAAcgAtADIAMAAyADUAKQAgAFwAbgAgACAAIAAgACAAIAAgACAAUgAgAFMAaQBsAGsALAAgAFIAWABMACAARABlAHYAZQBsAG8AcABtAGUAbgB0AFwAbgAgACAAIAAgACAAIAAgACAAaAB0AHQAcABzADoALwAvAGcAaQBzAHQALgBnAGkAdABoAHUAYgAuAGMAbwBtAC8AcgAtAHMAaQBsAGsALwBiADMAMwBiADEANgBlADYAMwA0AGUAMQBmAGYANgBhAGEAMAA1ADQAYwBkADYAMQA0ADkAOQA2ADQAZAA4ADAAXABuACoALwBcAG4ALwAqAFwAbgAgACAAIAAgAE4AYQBtAGUAOgAgACAAIAAgACAAIAAgACAAVABlAHgAdABCAGUAdAB3AGUAZQBuACgAKQBcAG4AIAAgACAAIABEAGUAcwBjAHIAaQBwAHQAaQBvAG4AOgAgACoALwAvACoAKgBSAGUAdAB1AHIAbgBzACAAdABoAGUAIABjAGgAYQByAGEAYwB0AGUAcgBzACAAZgByAG8AbQAgAGEAIAB0AGUAeAB0ACAAcwB0AHIAaQBuAGcAIABiAGUAdAB3AGUAZQBuACAAYQAgAHMAdABhAHIAdABpAG4AZwAgAGQAZQBsAGkAbQBpAHQAZQByACAAYwBoAGEAcgBhAGMAdABlAHIAKABzACkAIABhAG4AZAAgAGUAbgBkAGkAbgBnACAAZABlAGwAaQBtAGkAdABlAHIAIABjAGgAYQByAGEAYwB0AGUAcgAoAHMAKQAqAC8ALwAqAFwAbgAgACAAIAAgAFAAYQByAGEAbQBlAHQAZQByAHMAOgBcAG4AIAAgACAAIAAgACAAIAAgACsAIAB0AGUAeAB0ACAAIAAgACAAIAAgACAAIAAgACAAIAAgACAAIAA9ACAAKAByAGUAcQB1AGkAcgBlAGQAKQAgAHQAaABlACAAbQBhAGkAbgAgAHQAZQB4AHQAIABzAHQAcgBpAG4AZwAgAHQAbwAgAHMAZQBhAHIAYwBoACAAdwBpAHQAaABpAG4AXABuACAAIAAgACAAIAAgACAAIAArACAAcwB0AGEAcgB0AF8AZABlAGwAaQBtAGkAdABlAHIAIAAgACAAPQAgACgAbwBwAHQAaQBvAG4AYQBsACkAIAB0AGgAZQAgADEAcwB0ACAAZABlAGwAaQBtAGkAdABlAHIAIAB0AG8AIAByAGUAdAB1AHIAbgAgAHQAaABlACAAdABlAHgAdAAgAGEAZgB0AGUAcgBcAG4AIAAgACAAIAAgACAAIAAgACsAIABlAG4AZABfAGQAZQBsAGkAbQBpAHQAZQByACAAIAAgACAAIAA9ACAAKABvAHAAdABpAG8AbgBhAGwAKQAgAHQAaABlACAAMgBuAGQAIABkAGUAbABpAG0AaQB0AGUAcgAgAHQAbwAgAHIAZQB0AHUAcgBuACAAdABoAGUAIAB0AGUAeAB0ACAAYgBlAGYAbwByAGUAXABuACAAIAAgACAAIAAgACAAIAArACAAcwB0AGEAcgB0AF8AaQBuAHMAdABhAG4AYwBlACAAIAAgACAAPQAgACgAbwBwAHQAaQBvAG4AYQBsACkAIAB0AGgAZQAgAGkAbgBzAHQAYQBuAGMAZQAgAG8AZgAgAHQAaABlACAAMQBzAHQAIABkAGUAbABpAG0AaQB0AGUAcgAgAHQAbwAgAGwAbwBvAGsAIABmAG8AcgAgACgAZABlAGYAYQB1AGwAdAAgAD0AIAAxACkAXABuACAAIAAgACAAIAAgACAAIAArACAAZQBuAGQAXwBpAG4AcwB0AGEAbgBjAGUAIAAgACAAIAAgACAAPQAgACgAbwBwAHQAaQBvAG4AYQBsACkAIAB0AGgAZQAgAGkAbgBzAHQAYQBuAGMAZQAgAG8AZgAgAHQAaABlACAAMgBuAGQAIABkAGUAbABpAG0AaQB0AGUAcgAgAHQAbwAgAGwAbwBvAGsAIABmAG8AcgAgACgAZABlAGYAYQB1AGwAdAAgAD0AIAAtADEAKQBcAG4AIAAgACAAIAAgACAAIAAgACsAIABjAGEAcwBlAF8AcwBlAG4AcwBpAHQAaQB2AGUAIAAgACAAIAA9ACAAKABvAHAAdABpAG8AbgBhAGwAKQAgAGMAaABvAG8AcwBlACAAdwBoAGUAdABoAGUAcgAgAHQAaABlACAAdABlAHgAdAAgAHMAZQBhAHIAYwBoACAAaQBzACAAYwBhAHMAZQAgAHMAZQBuAHMAaQB0AGkAdgBlACAAbwByACAAYwBhAHMAZQAgAGkAbgBzAGUAbgBzAGkAdABpAHYAZQAgACgAZABlAGYAYQB1AGwAdAAgAGkAcwAgAGMAYQBzAGUAIABzAGUAbgBzAGkAdABpAHYAZQApAFwAbgAgACAAIAAgACAAIAAgACAAKwAgAGkAZgBfAG4AbwB0AF8AZgBvAHUAbgBkACAAIAAgACAAIAAgAD0AIAAoAG8AcAB0AGkAbwBuAGEAbAApACAAYQAgAHUAcwBlAHIAIABzAHUAcABwAGwAaQBlAGQAIAB2AGEAbAB1AGUAIABvAHIAIABzAHQAcgBpAG4AZwAgAHcAaABpAGMAaAAgAGkAcwAgAHIAZQB0AHUAcgBuAGUAZAAgAGkAZgAgAHQAaABlACAAcwBlAGEAcgBjAGgAIABkAGUAbABpAG0AaQB0AGUAcgAoAHMAKQAgAGEAcgBlACAAbgBvAHQAIABmAG8AdQBuAGQAXABuACAAIAAgACAARQByAHIAbwByACAAYwBvAGQAZQBzADoAXABuACAAIAAgACAAIAAgACAAIAAgACAAIAAgACMAVgBBAEwAVQBFACEAIAAgACAAIAAgACAAIAAgACAAPQAgAHMAdABhAHIAdABfAGkAbgBzAHQAYQBuAGMAZQAgAGEAbgBkAC8AbwByACAAZQBuAGQAXwBpAG4AcwB0AGEAbgBjAGUAIABpAG4AcAB1AHQAcwAgAGEAcgBlACAAaQBuAHYAYQBsAGkAZAAgAC0ALQAgAG4AbwB0ACAAYQAgAG4AbwBuAC0AegBlAHIAbwAgAG4AdQBtAGIAZQByAFwAbgAgACAAIAAgACAAIAAgACAAIAAgACAAIAAjAFYAQQBMAFUARQAhACAAIAAgACAAIAAgACAAIAAgAD0AIABjAGEAcwBlAF8AcwBlAG4AcwBpAHQAaQB2AGUAIABpAG4AcAB1AHQAIABpAHMAIABpAG4AdgBhAGwAaQBkACAALQAtACAAbgBvAHQAIABhACAAbABvAGcAaQBjAGEAbAAvAEIAbwBvAGwAZQBhAG4AIAB2AGEAbAB1AGUAIAAoAFQAUgBVAEUALwBGAEEATABTAEUAKQAgAG8AcgAgAGEAIABuAHUAbQBiAGUAcgAgACgAMQAvADAAKQBcAG4AIAAgACAAIABOAG8AdABlAHMAOgBcAG4AIAAgACAAIAAgACAAIAAgAC0AIABUAGgAaQBzACAAdgBlAHIAcwBpAG8AbgAgAG8AZgAgAHQAaABlACAAZgB1AG4AYwB0AGkAbwBuACAAdQBzAGUAcwAgAHQAaABlACAAbgBhAHQAaQB2AGUAIABFAHgAYwBlAGwAIABUAEUAWABUAEEARgBUAEUAUgAoACkAIABhAG4AZAAgAFQARQBYAFQAQgBFAEYATwBSAEUAKAApACAAZgB1AG4AYwB0AGkAbwBuAHMAXABuACAAIAAgACAAIAAgACAAIAAtACAASQBmACAAbgBvACAAZQBuAGQAXwBkAGUAbABpAG0AaQB0AGUAcgAgAGkAcwAgAHMAdQBwAHAAbABpAGUAZAAgAHQAaABlACAAZgB1AG4AYwB0AGkAbwBuACAAcgBlAHQAdQByAG4AcwAgAHQAaABlACAAdABlAHgAdAAgAGEAZgB0AGUAcgAgAHQAaABlACAAcwB0AGEAcgB0AF8AZABlAGwAaQBtAGkAdABlAHIAIABbAFQARQBYAFQAQQBGAFQARQBSACgAKQAgAGYAdQBuAGMAdABpAG8AbgBhAGwAaQB0AHkAXQBcAG4AIAAgACAAIAAgACAAIAAgAC0AIABJAGYAIABuAG8AIABzAHQAYQByAHQAXwBkAGUAbABpAG0AaQB0AGUAcgAgAGkAcwAgAHMAdQBwAHAAbABpAGUAZAAgAHQAaABlACAAZgB1AG4AYwB0AGkAbwBuACAAcgBlAHQAdQByAG4AcwAgAHQAaABlACAAdABlAHgAdAAgAGIAZQBmAG8AcgBlACAAdABoAGUAIABlAG4AZABfAGQAZQBsAGkAbQBpAHQAZQByACAAWwBUAEUAWABUAEIARQBGAE8AUgBFACgAKQAgAGYAdQBuAGMAdABpAG8AbgBhAGwAaQB0AHkAXQBcAG4AIAAgACAAIAAgACAAIAAgAC0AIABJAGYAIABuAGUAaQB0AGgAZQByACAAZABlAGwAaQBtAGkAdABlAHIAIABpAHMAIABzAHUAcABwAGwAaQBlAGQALAAgAHQAaABlACAAZgB1AGwAbAAgAHQAZQB4AHQAIABzAHQAcgBpAG4AZwAgAGkAcwAgAHIAZQB0AHUAcgBuAGUAZABcAG4AIAAgACAAIAAgACAAIAAgAC0AIABUAGgAZQAgAGQAZQBsAGkAbQBpAHQAZQByACAAaQBuAHMAdABhAG4AYwBlACAAbgB1AG0AYgBlAHIAcwAgACgAcwB0AGEAcgB0AF8AaQBuAHMAdABhAG4AYwBlACwAIABlAG4AZABfAGkAbgBzAHQAYQBuAGMAZQApACAAcwBoAG8AdQBsAGQAIABiAGUAIABhAG4AIABpAG4AdABlAGcAZQByACAAKAB3AGgAbwBsAGUAIABuAHUAbQBiAGUAcgApACAAZwByAGUAYQB0AGUAcgAgAHQAaABhAG4AIAAwACwAIABhAG4AZAAgAGMAYQBuACAAYgBlACAAcABvAHMAaQB0AGkAdgBlACAAbwByACAAbgBlAGcAYQB0AGkAdgBlAFwAbgAgACAAIAAgACAAIAAgACAAIAAgACAAIAAtAC0AIABpAGYAIABhACAAcABvAHMAaQB0AGkAdgBlACAAbgB1AG0AYgBlAHIAIABpAHMAIABwAHIAbwB2AGkAZABlAGQAIAB0AGgAZQAgAGYAdQBuAGMAdABpAG8AbgAgAGwAbwBvAGsAcwAgAGYAbwByACAAdABoAGUAIABkAGUAbABpAG0AaQB0AGUAcgAgAGYAcgBvAG0AIAB0AGgAZQAgAHMAdABhAHIAdAAgAG8AZgAgAHQAaABlACAAdABlAHgAdAAgAHMAdAByAGkAbgBnAFwAbgAgACAAIAAgACAAIAAgACAAIAAgACAAIAAtAC0AIABpAGYAIABhACAAbgBlAGcAYQB0AGkAdgBlACAAbgB1AG0AYgBlAHIAIABpAHMAIABwAHIAbwB2AGkAZABlAGQAIAB0AGgAZQAgAGYAdQBuAGMAdABpAG8AbgAgAGwAbwBvAGsAcwAgAGYAbwByACAAdABoAGUAIABkAGUAbABpAG0AaQB0AGUAcgAgAGYAcgBvAG0AIAB0AGgAZQAgAGUAbgBkACAAbwBmACAAdABoAGUAIAB0AGUAeAB0ACAAcwB0AHIAaQBuAGcAXABuACAAIAAgACAAIAAgACAAIAAtACAAVABoAGUAIABjAGEAcwBlAF8AcwBlAG4AcwBpAHQAaQB2AGUAIABwAGEAcgBhAG0AZQB0AGUAcgAgAHMAaABvAHUAbABkACAAYgBlACAAcwB1AHAAcABsAGkAZQBkACAAYQBzACAAZQBpAHQAaABlAHIAIABUAFIAVQBFAC8AMQAgAG8AcgAgAEYAQQBMAFMARQAvADAAOwAgAHQAaABlACAAZABlAGYAYQB1AGwAdAAgAGkAcwAgAFQAUgBVAEUAIAAoAGMAYQBzAGUAIABzAGUAbgBzAGkAdABpAHYAZQAgAHMAZQBhAHIAYwBoACkAXABuACAAIAAgACAAIAAgACAAIAAtACAASQBmACAAdABoAGUAIABpAGYAXwBuAG8AdABfAGYAbwB1AG4AZAAgAHAAYQByAGEAbQBlAHQAZQByACAAaQBzACAAbwBtAGkAdAB0AGUAZAAgAG8AcgAgAGIAbABhAG4AawAsACAAdABoAGUAbgAgAGEAIAAjAE4ALwBBACAAYwBvAGQAZQAgAGkAcwAgAHIAZQB0AHUAcgBuAGUAZAAgAGkAZgAgAHQAaABlACAAZABlAGwAaQBtAGkAdABlAHIAIABzAGUAYQByAGMAaAAgAGkAcwAgAGUAbQBwAHQAeQAsACAAbwB0AGgAZQByAHcAaQBzAGUAIAB0AGgAZQAgAHMAdQBwAHAAbABpAGUAZAAgAHMAdAByAGkAbgBnACAAaQBzACAAdQBzAGUAZABcAG4AIAAgACAAIAAgACAAIAAgACAAIAAgACAALQAtACAAdABvACAAcgBlAHQAdQByAG4AIABhACAAXAAiAGIAbABhAG4AawBcACIAIAByAGUAcwB1AGwAdAAgAHQAaABlAG4AIAB1AHMAZQAgAGEAIABzAGkAbgBnAGwAZQAgAHMAcABhAGMAZQAgACgAXAAiACAAXAAiACkAXABuACAAIAAgACAAIAAgACAAIAAgACAAIAAgAC0ALQAgAGkAZgAgAHQAaABlACAAdQBzAGUAcgAgAHMAdQBwAHAAbABpAGUAcwAgAGEAIABsAG8AZwBpAGMAYQBsACAARgBBAEwAUwBFACwAIABhACAAIwBOAC8AQQAgAGUAcgByAG8AcgAgAGMAbwBkAGUAIABpAHMAIAByAGUAdAB1AHIAbgBlAGQAIAB3AGgAZQBuACAAdABoAGUAIABkAGUAbABpAG0AaQB0AGUAcgAgAHMAZQBhAHIAYwBoACAAaQBzACAAZQBtAHAAdAB5AFwAbgAgACAAIAAgACAAIAAgACAAIAAgACAAIAAtAC0AIABpAGYAIAB0AGgAZQAgAHUAcwBlAHIAIABzAHUAcABwAGwAaQBlAHMAIABhACAAbABvAGcAaQBjAGEAbAAgAFQAUgBVAEUALAAgAHQAaABlACAAbwByAGkAZwBpAG4AYQBsACAAdABlAHgAdAAgAHMAdAByAGkAbgBnACAAaQBzACAAcgBlAHQAdQByAG4AZQBkACAAdwBoAGUAbgAgAHQAaABlACAAZABlAGwAaQBtAGkAdABlAHIAIABzAGUAYQByAGMAaAAgAGkAcwAgAGUAbQBwAHQAeQBcAG4AKgAvAFwAbgBSAFgATABfAFQAZQB4AHQAQgBlAHQAdwBlAGUAbgAgAD0AIABMAEEATQBCAEQAQQAoAFwAbgAgACAAIAAgAC8ALwAgAFAAYQByAGEAbQBlAHQAZQByACAAZABlAGYAaQBuAGkAdABpAG8AbgBzAFwAbgAgACAAIAAgAHQAZQB4AHQALABcAG4AIAAgACAAIABbAHMAdABhAHIAdABfAGQAZQBsAGkAbQBpAHQAZQByAF0ALABcAG4AIAAgACAAIABbAGUAbgBkAF8AZABlAGwAaQBtAGkAdABlAHIAXQAsAFwAbgAgACAAIAAgAFsAcwB0AGEAcgB0AF8AaQBuAHMAdABhAG4AYwBlAF0ALABcAG4AIAAgACAAIABbAGUAbgBkAF8AaQBuAHMAdABhAG4AYwBlAF0ALABcAG4AIAAgACAAIABbAGMAYQBzAGUAXwBzAGUAbgBzAGkAdABpAHYAZQBdACwAXABuACAAIAAgACAAWwBpAGYAXwBuAG8AdABfAGYAbwB1AG4AZABdACwAXABuACAAIAAgACAALwAvACAATQBhAGkAbgAgAGYAdQBuAGMAdABpAG8AbgAgAGIAbwBkAHkALwBjAGEAbABjAHUAbABhAHQAaQBvAG4AcwBcAG4AIAAgACAAIABMAEUAVAAoAFwAbgAgACAAIAAgACAAIAAgACAALwAvACAARABlAGEAbAAgAHcAaQB0AGgAIABbAG8AcAB0AGkAbwBuAGEAbABdACAAcABhAHIAYQBtAGUAdABlAHIAcwAgAGEAbgBkACAAcwBlAHQAIABkAGUAZgBhAHUAbAB0ACAAdgBhAGwAdQBlAHMAXABuACAAIAAgACAAIAAgACAAIABfAGQAZQBsAGkAbQBBACwAIABJAEYAKAAgAE8AUgAoACAASQBTAE8ATQBJAFQAVABFAEQAKABzAHQAYQByAHQAXwBkAGUAbABpAG0AaQB0AGUAcgApACwAIABJAFMAQgBMAEEATgBLACgAcwB0AGEAcgB0AF8AZABlAGwAaQBtAGkAdABlAHIAKQApACwAIABcACIAXAAiACwAIABzAHQAYQByAHQAXwBkAGUAbABpAG0AaQB0AGUAcgApACwAXABuACAAIAAgACAAIAAgACAAIABfAGQAZQBsAGkAbQBCACwAIABJAEYAKAAgAE8AUgAoACAASQBTAE8ATQBJAFQAVABFAEQAKABlAG4AZABfAGQAZQBsAGkAbQBpAHQAZQByACkALAAgAEkAUwBCAEwAQQBOAEsAKABlAG4AZABfAGQAZQBsAGkAbQBpAHQAZQByACkAKQAsACAAXAAiAFwAIgAsACAAZQBuAGQAXwBkAGUAbABpAG0AaQB0AGUAcgApACwAXABuACAAIAAgACAAIAAgACAAIABfAGkAbgBzAHQAQQAsACAASQBGACgAIABPAFIAKAAgAEkAUwBPAE0ASQBUAFQARQBEACgAcwB0AGEAcgB0AF8AaQBuAHMAdABhAG4AYwBlACkALAAgAEkAUwBCAEwAQQBOAEsAKABzAHQAYQByAHQAXwBpAG4AcwB0AGEAbgBjAGUAKQApACwAIAAxACwAIABJAE4AVAAoAHMAdABhAHIAdABfAGkAbgBzAHQAYQBuAGMAZQApACkALABcAG4AIAAgACAAIAAgACAAIAAgAF8AaQBuAHMAdABCACwAIABJAEYAKAAgAE8AUgAoACAASQBTAE8ATQBJAFQAVABFAEQAKABlAG4AZABfAGkAbgBzAHQAYQBuAGMAZQApACwAIABJAFMAQgBMAEEATgBLACgAZQBuAGQAXwBpAG4AcwB0AGEAbgBjAGUAKQApACwAIAAtADEALAAgAEkATgBUACgAZQBuAGQAXwBpAG4AcwB0AGEAbgBjAGUAKQApACwAXABuACAAIAAgACAAIAAgACAAIABfAGMAYQBzAGUALAAgAEkARgAoACAASQBTAE8ATQBJAFQAVABFAEQAKABjAGEAcwBlAF8AcwBlAG4AcwBpAHQAaQB2AGUAKQAsACAAMAAsACAASQBGACgAYwBhAHMAZQBfAHMAZQBuAHMAaQB0AGkAdgBlACwAIAAwACwAIAAxACkAKQAsAFwAbgAgACAAIAAgACAAIAAgACAALwAvACAAQQBkAGQAaQB0AGkAbwBuAGEAbAAgAGkAbgBwAHUAdAAgAGMAaABlAGMAawBpAG4AZwAgAGYAbwByACAAdABoAGUAIABpAGYAXwBuAG8AdABfAGYAbwB1AG4AZAAgAHAAYQByAGEAbQBlAHQAZQByACAAaQBuACAAbwByAGQAZQByACAAdABvACAAcAByAG8AdgBpAGQAZQAgACMATgAvAEEAIAByAGUAcwB1AGwAdAAgAHcAaABlAG4AIABuAG8AIAByAGUAdAB1AHIAbgAgAHMAdAByAGkAbgBnACAAaQBzACAAYwBhAGwAYwB1AGwAYQB0AGUAZABcAG4AIAAgACAAIAAgACAAIAAgAC8ALwAgAHIAYQB0AGgAZQByACAAdABoAGEAbgAgAGEAIAAjAFYAQQBMAFUARQAhACAAUgBlAHMAdQBsAHQAXABuACAAIAAgACAAIAAgACAAIABfAGkAbgBmACwAIABJAEYAKABcAG4AIAAgACAAIAAgACAAIAAgACAAIAAgACAATwBSACgAIABJAFMATwBNAEkAVABUAEUARAAoAGkAZgBfAG4AbwB0AF8AZgBvAHUAbgBkACkALAAgAEkAUwBCAEwAQQBOAEsAKABpAGYAXwBuAG8AdABfAGYAbwB1AG4AZAApACwAIABpAGYAXwBuAG8AdABfAGYAbwB1AG4AZAAgAD0AIABcACIAXAAiACwAIABBAE4ARAAoACAASQBTAEwATwBHAEkAQwBBAEwAKABpAGYAXwBuAG8AdABfAGYAbwB1AG4AZAApACwAIABpAGYAXwBuAG8AdABfAGYAbwB1AG4AZAAgAD0AIABGAEEATABTAEUAKQApACwAXABuACAAIAAgACAAIAAgACAAIAAgACAAIAAgAE4AQQAoACkALABcAG4AIAAgACAAIAAgACAAIAAgACAAIAAgACAASQBGACgAIABJAFMATABPAEcASQBDAEEATAAoAGkAZgBfAG4AbwB0AF8AZgBvAHUAbgBkACkALAAgAHQAZQB4AHQALAAgAGkAZgBfAG4AbwB0AF8AZgBvAHUAbgBkACkAXABuACAAIAAgACAAIAAgACAAIAApACwAXABuACAAIAAgACAAIAAgACAAIABfAGUAbgBkACwAIABJAEYAKAAgAEkAUwBMAE8ARwBJAEMAQQBMACgAaQBmAF8AbgBvAHQAXwBmAG8AdQBuAGQAKQAsACAAaQBmAF8AbgBvAHQAXwBmAG8AdQBuAGQAIAAqACAAMQAsACAAMAApACwAXABuACAAIAAgACAAIAAgACAAIAAvAC8AIABDAGgAZQBjAGsAIABmAG8AcgAgAGkAbgB2AGEAbABpAGQAIABpAG4AcAB1AHQAIAB2AGEAbAB1AGUAcwAgAC0ALQAgAHIAZQB0AHUAcgBuAHMAIAB2AGEAbAB1AGUAIABvAGYAOgAgADAAIAA9ACAAbgBvACAAaQBuAHAAdQB0ACAAZQByAHIAbwByAHMAOwAgAD4AMAAgAD0AIABpAG4AcAB1AHQAIABlAHIAcgBvAHIAKABzACkAIABpAGQAZQBuAHQAaQBmAGkAZQBkAFwAbgAgACAAIAAgACAAIAAgACAALwAvACAAdABoAGkAcwAgAGkAcwAgAHAAbABhAGMAZQBkACAAYQBmAHQAZQByACAAZABlAGEAbABpAG4AZwAgAHcAaQB0AGgAIABvAHAAdABpAG8AbgBhAGwAIABwAGEAcgBhAG0AZQB0AGUAcgAgAGQAZQBmAGEAdQBsAHQAIAB2AGEAbAB1AGUAcwAgAHMAbwAgAHQAaABhAHQAIABhAG4AIABvAG0AaQB0AHQAZQBkACAAaQBuAHAAdQB0ACAAZABvAGUAcwAgAG4AbwB0ACAAcgBlAGcAaQBzAHQAZQByACAAYQBuACAAaQBuAHAAdQB0ACAAZQByAHIAbwByAFwAbgAgACAAIAAgACAAIAAgACAAXwBpAG4AcABDAGgAawAsACAASQBGACgAXABuACAAIAAgACAAIAAgACAAIAAgACAAIAAgAE8AUgAoAFwAbgAgACAAIAAgACAAIAAgACAAIAAgACAAIAAgACAAIAAgAE4ATwBUACgASQBTAE4AVQBNAEIARQBSACgAXwBpAG4AcwB0AEEAKQApACwAIABfAGkAbgBzAHQAQQAgAD0AIAAwACwAXABuACAAIAAgACAAIAAgACAAIAAgACAAIAAgACAAIAAgACAATgBPAFQAKABJAFMATgBVAE0AQgBFAFIAKABfAGkAbgBzAHQAQgApACkALAAgAF8AaQBuAHMAdABCACAAPQAgADAALABcAG4AIAAgACAAIAAgACAAIAAgACAAIAAgACAAIAAgACAAIABBAE4ARAAoACAATgBPAFQAKABJAFMATABPAEcASQBDAEEATAAoAF8AYwBhAHMAZQApACkALAAgAE4ATwBUACgASQBTAE4AVQBNAEIARQBSACgAXwBjAGEAcwBlACkAKQApAFwAbgAgACAAIAAgACAAIAAgACAAIAAgACAAIAApACwAXABuACAAIAAgACAAIAAgACAAIAAgACAAIAAgADIALABcAG4AIAAgACAAIAAgACAAIAAgACAAIAAgACAAMQBcAG4AIAAgACAAIAAgACAAIAAgACkALABcAG4AIAAgACAAIAAgACAAIAAgAC8ALwAgAEMAYQBsAGMAdQBsAGEAdABlACAAdABoAGUAIABvAHUAdABwAHUAdAAgAHMAdAByAGkAbgBnACAAdQBzAGkAbgBnACAAVABFAFgAVABBAEYAVABFAFIAKAApACAAYQBuAGQAIABUAEUAWABUAEIARQBGAE8AUgBFACgAKQAgAGYAdQBuAGMAdABpAG8AbgBzAFwAbgAgACAAIAAgACAAIAAgACAAXwBjAGEAbABjACwAIABJAEYAKAAgAE8AUgAoACAAQQBOAEQAKABfAGQAZQBsAGkAbQBBACAAPQAgAFwAIgBcACIALAAgAF8AZABlAGwAaQBtAEIAIAA9ACAAXAAiAFwAIgApACkALABcAG4AIAAgACAAIAAgACAAIAAgACAAIAAgACAAdABlAHgAdAAsAFwAbgAgACAAIAAgACAAIAAgACAAIAAgACAAIABUAEUAWABUAEIARQBGAE8AUgBFACgAIABUAEUAWABUAEEARgBUAEUAUgAoAHQAZQB4AHQALAAgAF8AZABlAGwAaQBtAEEALAAgAF8AaQBuAHMAdABBACwAIABfAGMAYQBzAGUALAAgAF8AZQBuAGQALAAgAF8AaQBuAGYAKQAsACAAXwBkAGUAbABpAG0AQgAsACAAXwBpAG4AcwB0AEIALAAgAF8AYwBhAHMAZQAsACAALAAgAF8AaQBuAGYAKQBcAG4AIAAgACAAIAAgACAAIAAgACkALABcAG4AIAAgACAAIAAgACAAIAAgAC8ALwAgAEYAbwByACAAdABoAGUAIABmAGkAbgBhAGwAIABjAGEAbABjAHUAbABhAHQAaQBvAG4AIABvAHUAdABwAHUAdAAsACAAaQBmACAAdABoAGUAIABhAG4AIABpAG4AcAB1AHQAIABlAHIAcgBvAHIAIABjAGgAZQBjAGsAIABtAGUAcwBzAGEAZwBlAC8AYwBvAGQAZQAgAGkAcwAgAHAAcgBlAHMAZQBuAHQAIAByAGUAdAB1AHIAbgAgAHQAaABhAHQALAAgAG8AdABoAGUAcgB3AGkAcwBlACAAcgBlAHQAdQByAG4AIAB0AGgAZQAgAG8AdQB0AHAAdQB0ACAAcwB0AHIAaQBuAGcAXABuACAAIAAgACAAIAAgACAAIABfAHIAdABuACwAIABJAEYAKAAgAEEATgBEACgAIABJAFMARQBSAFIATwBSACgAXwBjAGEAbABjACkALAAgAF8AZQBuAGQAIAA9ACAAMQApACwAIAB0AGUAeAB0ACwAIABfAGMAYQBsAGMAKQAsAFwAbgAgACAAIAAgACAAIAAgACAAQwBIAE8ATwBTAEUAKABfAGkAbgBwAEMAaABrACwAIABfAHIAdABuACwAIAAjAFYAQQBMAFUARQAhACkAXABuACAAIAAgACAAKQBcAG4AKQA7ACIAfQBdACwAIgBwAHIAbwBqAGUAYwB0AE4AYQBtAGUAcwAiADoAWwAiAFIAWABMAF8AVABlAHgAdABCAGUAdAB3AGUAZQ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KM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Props1.xml><?xml version="1.0" encoding="utf-8"?>
<ds:datastoreItem xmlns:ds="http://schemas.openxmlformats.org/officeDocument/2006/customXml" ds:itemID="{E868B07E-8E73-453F-8EDC-C5D00DFF7CD9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TextBetween</vt:lpstr>
      <vt:lpstr>Demo</vt:lpstr>
      <vt:lpstr>VBA</vt:lpstr>
      <vt:lpstr>Lookups</vt:lpstr>
      <vt:lpstr>_OnOff</vt:lpstr>
      <vt:lpstr>_YesNo</vt:lpstr>
    </vt:vector>
  </TitlesOfParts>
  <Company>RXL Development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RXL TextBetween Lambda Function</dc:title>
  <dc:subject>Excel LAMBDA function development</dc:subject>
  <dc:creator>Robert Silk</dc:creator>
  <cp:keywords>https://excel-bits.net</cp:keywords>
  <dc:description/>
  <cp:lastModifiedBy>Robert Silk</cp:lastModifiedBy>
  <dcterms:created xsi:type="dcterms:W3CDTF">2023-11-03T12:13:36Z</dcterms:created>
  <dcterms:modified xsi:type="dcterms:W3CDTF">2026-05-06T14:17:02Z</dcterms:modified>
  <cp:category>LAMBDA functions</cp:category>
</cp:coreProperties>
</file>