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30"/>
  <workbookPr codeName="ThisWorkbook"/>
  <mc:AlternateContent xmlns:mc="http://schemas.openxmlformats.org/markup-compatibility/2006">
    <mc:Choice Requires="x15">
      <x15ac:absPath xmlns:x15ac="http://schemas.microsoft.com/office/spreadsheetml/2010/11/ac" url="E:\Work\_RXL\Development\LAMBDA\"/>
    </mc:Choice>
  </mc:AlternateContent>
  <xr:revisionPtr revIDLastSave="0" documentId="13_ncr:1_{203CB4F9-208D-4803-BA41-A94547B29D6E}" xr6:coauthVersionLast="47" xr6:coauthVersionMax="47" xr10:uidLastSave="{00000000-0000-0000-0000-000000000000}"/>
  <bookViews>
    <workbookView xWindow="-120" yWindow="-120" windowWidth="29040" windowHeight="15720" xr2:uid="{1605ACE6-66F7-41A1-A7B9-6E9FA9C38EDF}"/>
  </bookViews>
  <sheets>
    <sheet name="ExpSmoothing" sheetId="6" r:id="rId1"/>
    <sheet name="Interpolation" sheetId="7" r:id="rId2"/>
    <sheet name="Outliers" sheetId="1" r:id="rId3"/>
    <sheet name="VBA" sheetId="3" r:id="rId4"/>
    <sheet name="Lookups" sheetId="4" r:id="rId5"/>
  </sheets>
  <definedNames>
    <definedName name="_OnOff">Lookups!$C$6:$C$7</definedName>
    <definedName name="_YesNo">Lookups!$C$3:$C$4</definedName>
    <definedName name="RXL_ExpSmoothing" comment="Creates a 'smoothed' level over a series of values using exponential smoothing, reducing variability/movement in the series">_xlfn.LAMBDA(_xlpm.array,_xlpm.alpha_value,_xlop.start_value,_xlop.end_value,_xlop.output,_xlop.exclude_periods,_xlop.replace_errors,_xlop.replace_blanks,_xlfn.LET(_xlpm._alpha,N(_xlpm.alpha_value),_xlpm._init,IF(_xlfn.ISOMITTED(_xlpm.start_value),INDEX(_xlpm.array,1,1),_xlpm.start_value),_xlpm._end,IF(_xlfn.ISOMITTED(_xlpm.end_value),INDEX(_xlpm.array,ROWS(_xlpm.array),COLUMNS(_xlpm.array)),_xlpm.end_value),_xlpm._optn,IF(_xlfn.ISOMITTED(_xlpm.output),0,INT(_xlpm.output)),_xlpm._exc,_xlpm.exclude_periods,_xlpm._err,IF(_xlfn.ISOMITTED(_xlpm.replace_errors),FALSE,IF(ISLOGICAL(_xlpm.replace_errors),_xlpm.replace_errors,TRUE)),_xlpm._repE,IF(ISLOGICAL(_xlpm.replace_errors),NA(),_xlpm.replace_errors),_xlpm._blnk,IF(_xlfn.ISOMITTED(_xlpm.replace_blanks),FALSE,_xlpm.replace_blanks),_xlpm._repB,IF(ISLOGICAL(_xlpm._blnk),IF(_xlpm._blnk,NA(),0),_xlpm._blnk),_xlpm._inpChk,IF(OR(AND(ROWS(_xlpm.array)&lt;=1,COLUMNS(_xlpm.array)&lt;=1),AND(ROWS(_xlpm.array)&gt;1,COLUMNS(_xlpm.array)&gt;1)),2,IF(OR(NOT(ISNUMBER(_xlpm._alpha)),_xlpm._alpha&lt;0,_xlpm._alpha&gt;1,NOT(ISNUMBER(_xlpm._init)),NOT(ISNUMBER(_xlpm._end)),NOT(ISNUMBER(_xlpm._optn)),_xlpm._optn&lt;-1,_xlpm._optn&gt;1,ISTEXT(_xlpm._repE),ISTEXT(_xlpm._repB)),3,1)),_xlpm._vrt,(ROWS(_xlpm.array)&gt;COLUMNS(_xlpm.array)),_xlpm._arr,_xlfn.MAP(_xlfn.TOROW(_xlpm.array),_xlfn.LAMBDA(_xlpm._val,IF(ISERROR(_xlpm._val),IF(_xlpm._err,_xlpm._repE,_xlpm._val),IF(ISBLANK(_xlpm._val),_xlpm._repB,_xlpm._val)))),_xlpm._fltr,_xlfn._xlws.FILTER(_xlpm._arr,NOT(ISNA(_xlpm._arr))),_xlpm._idx,_xlfn._xlws.FILTER(_xlfn.SEQUENCE(1,COLUMNS(_xlpm._arr)),NOT(ISNA(_xlpm._arr))),_xlpm._cols,COLUMNS(_xlpm._fltr),_xlpm._fwd,IF(_xlpm._optn&gt;=0,_xlfn.SCAN(_xlpm._init,_xlpm._idx,_xlfn.LAMBDA(_xlpm._prev,_xlpm._v,IF(ISNUMBER(_xlfn.XMATCH(_xlpm._v,_xlpm._exc)),INDEX(_xlpm._arr,1,_xlpm._v),INDEX(_xlpm._arr,1,_xlpm._v)*_xlpm._alpha+(1-_xlpm._alpha)*_xlpm._prev))),0),_xlpm._bck,IF(_xlpm._optn&lt;&gt;0,_xlfn.LET(_xlpm._bIdx,INDEX(_xlpm._idx,1,_xlfn.SEQUENCE(1,_xlpm._cols,_xlpm._cols,-1)),_xlpm._bArr,_xlfn.SCAN(_xlpm._end,_xlpm._bIdx,_xlfn.LAMBDA(_xlpm._prev,_xlpm._v,IF(ISNUMBER(_xlfn.XMATCH(_xlpm._v,_xlpm._exc)),INDEX(_xlpm._arr,1,_xlpm._v),INDEX(_xlpm._arr,1,_xlpm._v)*_xlpm._alpha+(1-_xlpm._alpha)*_xlpm._prev))),INDEX(_xlpm._bArr,1,_xlfn.SEQUENCE(1,_xlpm._cols,_xlpm._cols,-1))),0),_xlpm._out,CHOOSE(_xlpm._optn+2,_xlpm._bck,_xlpm._fwd,_xlfn.MAP(_xlfn.SEQUENCE(1,_xlpm._cols),_xlpm._fwd,_xlpm._bck,_xlfn.LAMBDA(_xlpm._i,_xlpm._vF,_xlpm._vB,IF(_xlpm._i=1,_xlpm._init,IF(_xlpm._i=_xlpm._cols,_xlpm._end,AVERAGE(_xlpm._vF,_xlpm._vB)))))),_xlpm._calc,INDEX(_xlpm._out,1,_xlfn.XMATCH(_xlfn.SEQUENCE(1,COLUMNS(_xlpm._arr)),_xlpm._idx)),_xlpm._rtn,IF(_xlpm._vrt,TRANSPOSE(_xlpm._calc),_xlpm._calc),CHOOSE(_xlpm._inpChk,_xlpm._rtn,_xlfn.LAMBDA(0),#VALUE!)))</definedName>
    <definedName name="RXL_Interpolation" comment="Calculates missing values between known values using linear interpolation">_xlfn.LAMBDA(_xlpm.values,_xlpm.periods,_xlop.step,_xlop.ignore_errors,_xlop.rebalance_output,_xlop.output_periods,_xlop.output_vertical,_xlfn.LET(_xlpm._stp,IF(_xlfn.ISOMITTED(_xlpm.step),0,INDEX(_xlpm.step,1,1)),_xlpm._inpE,IF(_xlfn.ISOMITTED(_xlpm.ignore_errors),0,INT(_xlpm.ignore_errors)),_xlpm._inpR,IF(_xlfn.ISOMITTED(_xlpm.rebalance_output),0,INT(_xlpm.rebalance_output)),_xlpm._inpP,IF(_xlfn.ISOMITTED(_xlpm.output_periods),0,INT(_xlpm.output_periods)),_xlpm._inpV,IF(_xlfn.ISOMITTED(_xlpm.output_vertical),0,INT(_xlpm.output_vertical)),_xlpm._arrP,_xlfn.TOROW(_xlpm.periods),_xlpm._arrV,_xlfn.MAP(_xlfn.TOROW(_xlpm.values),_xlfn.LAMBDA(_xlpm._v,IF(AND(ISERROR(_xlpm._v),_xlpm._inpE),NA(),IF(ISBLANK(_xlpm._v),NA(),_xlpm._v)))),_xlpm._inpChk,IF(OR(AND(ROWS(_xlpm.periods)&gt;1,COLUMNS(_xlpm.periods)&gt;1),AND(ROWS(_xlpm.values)&gt;1,COLUMNS(_xlpm.values)&gt;1),COLUMNS(_xlpm._arrP)&lt;&gt;COLUMNS(_xlpm._arrV),COLUMNS(_xlpm._arrV)&lt;2),2,IF(OR(NOT(ISNUMBER(_xlpm.step)),_xlpm._stp&lt;0,LISTEXT(_xlpm.ignore_errors),_xlpm._inpE&lt;0,_xlpm._inpE&gt;1,ISTEXT(_xlpm.rebalance_output),_xlpm._inpR&lt;0,_xlpm._inpR&gt;1,ISTEXT(_xlpm.output_periods),_xlpm._inpP&lt;0,_xlpm._inpP&gt;1,ISTEXT(_xlpm.output_vertical),_xlpm._inpV&lt;0,_xlpm._inpV&gt;1),3,1)),_xlpm._vrt,(ROWS(_xlpm.values)&gt;COLUMNS(_xlpm.values)),_xlpm._bgn,INDEX(_xlfn._xlws.SORT(_xlpm._arrP),1,1),_xlpm._end,INDEX(_xlfn._xlws.SORT(_xlpm._arrP),1,COLUMNS(_xlpm._arrP)),_xlpm._prd,IF(_xlpm._stp=0,_xlfn._xlws.SORT(_xlpm._arrP),_xlfn.SEQUENCE(1,((_xlpm._end-_xlpm._bgn)/_xlpm._stp)+1,_xlpm._bgn,_xlpm._stp)),_xlpm._idx,_xlfn.SEQUENCE(1,COLUMNS(_xlpm._prd)),_xlpm._map,_xlfn.MAP(_xlpm._prd,_xlfn.LAMBDA(_xlpm._p,INDEX(_xlpm._arrV,1,_xlfn.XMATCH(_xlpm._p,_xlpm._arrP)))),_xlpm._scn,_xlfn.SCAN(0,_xlpm._idx,_xlfn.LAMBDA(_xlpm._prv,_xlpm._c,IF(ISNA(INDEX(_xlpm._map,1,_xlpm._c)),_xlfn.LET(_xlpm._arr,_xlfn._xlws.FILTER(_xlfn.DROP(_xlpm._idx,,_xlpm._c),NOT(ISNA(_xlfn.DROP(_xlpm._map,,_xlpm._c)))),_xlpm._i,INDEX(_xlpm._arr,1,1),_xlpm._nxt,INDEX(_xlpm._map,1,_xlpm._i),_xlpm._inc,(_xlpm._nxt-_xlpm._prv)/(_xlpm._i-_xlpm._c+1),_xlpm._prv+_xlpm._inc),INDEX(_xlpm._map,1,_xlpm._c)))),_xlpm._calc,IF(_xlpm._inpR,_xlfn.LET(_xlpm._sumV,SUM(IF(ISERROR(_xlpm._arrV),0,_xlpm._arrV)),_xlpm._sumS,SUM(IF(ISERROR(_xlpm._scn),0,_xlpm._scn)),_xlpm._scn/_xlpm._sumS*_xlpm._sumV),_xlpm._scn),_xlpm._out,IF(_xlpm._inpP,_xlfn.VSTACK(_xlpm._prd,_xlpm._calc),_xlpm._calc),_xlpm._rtn,IF(OR(_xlpm._vrt,_xlpm._inpV),TRANSPOSE(_xlpm._out),_xlpm._out),CHOOSE(_xlpm._inpChk,_xlpm._rtn,_xlfn.LAMBDA(0),#VALUE!)))</definedName>
    <definedName name="RXL_Outliers" comment="Restricts any potential outlier values in an array above and/or below relative threshold values">_xlfn.LAMBDA(_xlpm.array,_xlpm.coefficient,_xlop.option,_xlop.replace_errors,_xlop.replace_blanks,_xlop.exclude_periods,_xlfn.LET(_xlpm._fnc,_xlpm.coefficient,_xlpm._opn,IF(_xlfn.ISOMITTED(_xlpm.option),0,INT(_xlpm.option)),_xlpm._err,IF(_xlfn.ISOMITTED(_xlpm.replace_errors),TRUE,IF(ISLOGICAL(_xlpm.replace_errors),_xlpm.replace_errors,TRUE)),_xlpm._repE,IF(AND(ISLOGICAL(_xlpm.replace_errors),_xlpm._err),NA(),_xlpm.replace_errors),_xlpm._blnk,IF(_xlfn.ISOMITTED(_xlpm.replace_blanks),FALSE,_xlpm.replace_blanks),_xlpm._repB,IF(ISLOGICAL(_xlpm._blnk),IF(_xlpm._blnk,NA(),0),_xlpm._blnk),_xlpm._exc,IF(_xlfn.ISOMITTED(_xlpm.exclude_periods),0,N(_xlpm.exclude_periods)),_xlpm._inpChk,IF(OR(NOT(ISNUMBER(_xlpm._fnc)),_xlpm._fnc&lt;-0.5),2,IF(OR(_xlpm._opn&lt;-1,_xlpm._opn&gt;1,ROWS(_xlpm.option)&gt;1,COLUMNS(_xlpm.option)&gt;1,ROWS(_xlpm.replace_errors)&gt;1,COLUMNS(_xlpm.replace_errors)&gt;1,ROWS(_xlpm.replace_blanks)&gt;1,COLUMNS(_xlpm.replace_blanks)&gt;1),3,1)),_xlpm._arr,_xlfn.MAP(_xlpm.array,_xlfn.LAMBDA(_xlpm._val,IF(ISERROR(_xlpm._val),IF(_xlpm._err,_xlpm._repE,_xlpm._val),IF(ISBLANK(_xlpm._val),_xlpm._repB,_xlpm._val)))),_xlpm._idx,_xlfn.SEQUENCE(ROWS(_xlpm._arr),COLUMNS(_xlpm._arr)),_xlpm._fltr,_xlfn._xlws.FILTER(_xlpm._arr,ISNA(_xlfn.XMATCH(_xlpm._idx,_xlpm._exc))*NOT(ISERROR(_xlpm._arr))),_xlpm._LQ,_xlfn.QUARTILE.INC(_xlpm._fltr,1),_xlpm._UQ,_xlfn.QUARTILE.INC(_xlpm._fltr,3),_xlpm._IQR,_xlpm._UQ-_xlpm._LQ,_xlpm._low,_xlpm._LQ-(_xlpm._fnc*_xlpm._IQR),_xlpm._upp,_xlpm._UQ+(_xlpm._fnc*_xlpm._IQR),_xlpm._rtn,_xlfn.MAP(_xlpm._idx,_xlpm._arr,_xlfn.LAMBDA(_xlpm._i,_xlpm._v,IF(ISNUMBER(_xlfn.XMATCH(_xlpm._i,_xlpm._exc)),_xlpm._v,IF(AND(_xlpm._opn&lt;=0,_xlpm._v&lt;_xlpm._low),MAX(_xlpm._v,_xlpm._low),IF(AND(_xlpm._opn&gt;=0,_xlpm._v&gt;_xlpm._upp),MIN(_xlpm._v,_xlpm._upp),_xlpm._v))))),CHOOSE(_xlpm._inpChk,_xlpm._rtn,_xlfn.LAMBDA(0),#VALUE!)))</definedName>
    <definedName name="RXL_Smoothing.About" comment="Provides information about the functions in this module">_xlfn.LAMBDA(_xlop.select_function, _xlfn.LET(_xlpm._num, IF(_xlfn.ISOMITTED(_xlpm.select_function), 0, IF(ISNUMBER(_xlpm.select_function), INT(_xlpm.select_function), "#")), _xlpm._arrDef, IF(_xlpm._num = 0, _xlfn.TEXTSPLIT("About:¬RXL Data Smoothing Tools|" &amp; "¬Suggested module name = RXL_Smoothing|" &amp; "Version:¬v1.07  (Jan-2025)|" &amp; "Author:¬R Silk, RXL Development|" &amp; "URL:¬https://gist.github.com/r-silk/{...}|" &amp; "¬|" &amp; "Function¬Description|" &amp; "0 - About¬Provides information about the functions in this module|" &amp; "1 - ExpSmoothing¬Creates a 'smoothed' level over a series of values using exponential smoothing, reducing variability in the series|" &amp; "2 - Interpolation¬Calculates missing values between known values using linear interpolation|" &amp; "3 - Outliers¬Restricts potential outlier values in a series above and/or below relative threshold values", "¬", "|"), ""), _xlpm._arrNames, _xlfn.TEXTSPLIT("ExpSmoothing¦" &amp; "Interpolation¦" &amp; "Outliers", "¦"), _xlpm._arrHelp, _xlfn.TEXTSPLIT("NAME:¬ExpSmoothing|" &amp; "DESCRIPTION:¬Creates a 'smoothed' level over a series of values using exponential smoothing, reducing variability in the series|" &amp; "VERSION:¬v1.04 (12-Dec-2025)|" &amp; "PARAMETERS:¬|" &amp; "array¬(required) input data series of numeric values as a 1D array|" &amp; "alpha_value¬(required) numeric factor setting how much smoothing is applied (1.0 = no smoothing, 0.0 = flat-line)|" &amp; "start_value¬(optional) initial value for the forward smoothing calcs and first value of the output array|" &amp; "end_value¬(optional) initial value for the backward smoothing calcs and last value of the output array|" &amp; "output¬(optional) determines the function output type (number 0/-1/+1)|" &amp; "exclude_periods¬(optional) array of relative data indices to exclude from calculations and output unchanged|" &amp; "replace_errors¬(optional) value to replace errors in the input data series|" &amp; "replace_blanks¬(optional) value to replace errors in the input data series" &amp; "¦" &amp; "NAME:¬Interpolation|" &amp; "DESCRIPTION:¬Calculates missing values between known values using linear interpolation|" &amp; "VERSION:¬v1.03 (10-Dec-2025)|" &amp; "PARAMETERS:¬|" &amp; "values¬(required) array of numeric data points used as the basis for the interpolation|" &amp; "periods¬(required) array containing period values matched to the values input array|" &amp; "step¬(optional) positive number used to expand the periods array without missing data points|" &amp; "ignore_errors¬(optional) determines whether any non-N/A error values are excluded from calculations (True/False)|" &amp; "rebalance_output¬(optional) determines whether to reduce calculated output so that output total is unchanged (True/False)|" &amp; "output_periods¬(optional) determines whether to include the expanded periods array in the outpuit (True/False)|" &amp; "output_vertical¬(optional) determines whether to output in vertical or horizontal orientation (True/False)" &amp; "¦" &amp; "NAME:¬Outliers|" &amp; "DESCRIPTION:¬Restricts potential outlier values in a series above and/or below relative threshold values|" &amp; "VERSION:¬v1.05 (20-Dec-2025)|" &amp; "PARAMETERS:¬|" &amp; "array¬(required) input data series of numeric values as a 1D array|" &amp; "coefficient¬(required) numeric correction factor to determine the outlier thresholds (-0.5 or above)|" &amp; "option¬(optional) determines the function output type (number -1/0/+1)|" &amp; "replace_errors¬(optional) value to replace errors in the input data series|" &amp; "replace_blanks¬(optional) value to replace errors in the input data series|" &amp; "exclude_periods¬(optional) array of relative data indices to exclude from calculations and output unchanged", "¦"), _xlpm._arrOut, IF(_xlpm._num = "#", _xlfn.LET(_xlpm._idx, SUM(_xlfn.SEQUENCE(1, COUNTA(_xlpm._arrNames)) * (_xlpm._arrNames = _xlpm.select_function)), IF(_xlpm._idx &gt; 0, _xlfn.TEXTSPLIT(INDEX(_xlpm._arrHelp, _xlpm._idx), "¬", "|"), "#[Error: name not recognised]")), IF(_xlpm._num &lt;&gt; 0, IFERROR(_xlfn.TEXTSPLIT(INDEX(_xlpm._arrHelp, _xlpm._num), "¬", "|"), "#[Error: index not recognised]"), "")), IF(_xlpm._arrDef = "", _xlpm._arrOut, _xlpm._arrDef)))</definedName>
    <definedName name="RXL_Smoothing.ExpSmoothing" comment="Creates a 'smoothed' level over a series of values using exponential smoothing, reducing variability/movement in the series">_xlfn.LAMBDA(_xlpm.array,_xlpm.alpha_value,_xlop.start_value,_xlop.end_value,_xlop.output,_xlop.exclude_periods,_xlop.replace_errors,_xlop.replace_blanks, _xlfn.LET(_xlpm._alpha, N(_xlpm.alpha_value), _xlpm._init, IF(_xlfn.ISOMITTED(_xlpm.start_value), INDEX(_xlpm.array, 1, 1), _xlpm.start_value), _xlpm._end, IF(_xlfn.ISOMITTED(_xlpm.end_value), INDEX(_xlpm.array, ROWS(_xlpm.array), COLUMNS(_xlpm.array)), _xlpm.end_value), _xlpm._optn, IF(_xlfn.ISOMITTED(_xlpm.output), 0, INT(_xlpm.output)), _xlpm._exc, IF(_xlfn.ISOMITTED(_xlpm.exclude_periods), 0, _xlpm.exclude_periods), _xlpm._err, IF(_xlfn.ISOMITTED(_xlpm.replace_errors), FALSE, IF(ISLOGICAL(_xlpm.replace_errors), _xlpm.replace_errors, TRUE)), _xlpm._repE, IF(ISLOGICAL(_xlpm.replace_errors), NA(), _xlpm.replace_errors), _xlpm._blnk, IF(_xlfn.ISOMITTED(_xlpm.replace_blanks), FALSE, _xlpm.replace_blanks), _xlpm._repB, IF(ISLOGICAL(_xlpm._blnk), IF(_xlpm._blnk, NA(), 0), _xlpm._blnk), _xlpm._inpChk, IF(OR(AND(ROWS(_xlpm.array) &lt;= 1, COLUMNS(_xlpm.array) &lt;= 1), AND(ROWS(_xlpm.array) &gt; 1, COLUMNS(_xlpm.array) &gt; 1)), 2, IF(OR(NOT(ISNUMBER(_xlpm._alpha)), _xlpm._alpha &lt; 0, _xlpm._alpha &gt; 1, NOT(ISNUMBER(_xlpm._init)), NOT(ISNUMBER(_xlpm._end)), NOT(ISNUMBER(_xlpm._optn)), _xlpm._optn &lt; -1, _xlpm._optn &gt; 1, ISTEXT(_xlpm._repE), ISTEXT(_xlpm._repB)), 3, 1)), _xlpm._vrt, (ROWS(_xlpm.array) &gt; COLUMNS(_xlpm.array)), _xlpm._arr, _xlfn.MAP(_xlfn.TOROW(_xlpm.array), _xlfn.LAMBDA(_xlpm._val, IF(ISERROR(_xlpm._val), IF(_xlpm._err, _xlpm._repE, _xlpm._val), IF(ISBLANK(_xlpm._val), _xlpm._repB, _xlpm._val)))), _xlpm._fltr, _xlfn._xlws.FILTER(_xlpm._arr, NOT(ISNA(_xlpm._arr))), _xlpm._idx, _xlfn._xlws.FILTER(_xlfn.SEQUENCE(1, COLUMNS(_xlpm._arr)), NOT(ISNA(_xlpm._arr))), _xlpm._cols, COLUMNS(_xlpm._fltr), _xlpm._fwd, IF(_xlpm._optn &gt;= 0, _xlfn.SCAN(_xlpm._init, _xlpm._idx, _xlfn.LAMBDA(_xlpm._prev,_xlpm._v, IF(ISNUMBER(_xlfn.XMATCH(_xlpm._v, _xlpm._exc)), INDEX(_xlpm._arr, 1, _xlpm._v), INDEX(_xlpm._arr, 1, _xlpm._v) * _xlpm._alpha + (1 - _xlpm._alpha) * _xlpm._prev))), 0), _xlpm._bck, IF(_xlpm._optn &lt;&gt; 0, _xlfn.LET(_xlpm._bIdx, INDEX(_xlpm._idx, 1, _xlfn.SEQUENCE(1, _xlpm._cols, _xlpm._cols, -1)), _xlpm._bArr, _xlfn.SCAN(_xlpm._end, _xlpm._bIdx, _xlfn.LAMBDA(_xlpm._prev,_xlpm._v, IF(ISNUMBER(_xlfn.XMATCH(_xlpm._v, _xlpm._exc)), INDEX(_xlpm._arr, 1, _xlpm._v), INDEX(_xlpm._arr, 1, _xlpm._v) * _xlpm._alpha + (1 - _xlpm._alpha) * _xlpm._prev))), INDEX(_xlpm._bArr, 1, _xlfn.SEQUENCE(1, _xlpm._cols, _xlpm._cols, -1))), 0), _xlpm._out, CHOOSE(_xlpm._optn + 2, _xlpm._bck, _xlpm._fwd, _xlfn.MAP(_xlfn.SEQUENCE(1, _xlpm._cols), _xlpm._fwd, _xlpm._bck, _xlfn.LAMBDA(_xlpm._i,_xlpm._vF,_xlpm._vB, IF(_xlpm._i = 1, _xlpm._init, IF(_xlpm._i = _xlpm._cols, _xlpm._end, AVERAGE(_xlpm._vF, _xlpm._vB)))))), _xlpm._calc, INDEX(_xlpm._out, 1, _xlfn.XMATCH(_xlfn.SEQUENCE(1, COLUMNS(_xlpm._arr)), _xlpm._idx)), _xlpm._rtn, IF(_xlpm._vrt, TRANSPOSE(_xlpm._calc), _xlpm._calc), CHOOSE(_xlpm._inpChk, _xlpm._rtn, _xlfn.LAMBDA(0), #VALUE!)))</definedName>
    <definedName name="RXL_Smoothing.Interpolation" comment="Calculates missing values between known values using linear interpolation">_xlfn.LAMBDA(_xlpm.values,_xlpm.periods,_xlop.step,_xlop.ignore_errors,_xlop.rebalance_output,_xlop.output_periods,_xlop.output_vertical, _xlfn.LET(_xlpm._stp, IF(_xlfn.ISOMITTED(_xlpm.step), 0, INDEX(_xlpm.step, 1, 1)), _xlpm._inpE, IF(_xlfn.ISOMITTED(_xlpm.ignore_errors), 0, INT(_xlpm.ignore_errors)), _xlpm._inpR, IF(_xlfn.ISOMITTED(_xlpm.rebalance_output), 0, INT(_xlpm.rebalance_output)), _xlpm._inpP, IF(_xlfn.ISOMITTED(_xlpm.output_periods), 0, INT(_xlpm.output_periods)), _xlpm._inpV, IF(_xlfn.ISOMITTED(_xlpm.output_vertical), 0, INT(_xlpm.output_vertical)), _xlpm._arrP, _xlfn.TOROW(_xlpm.periods), _xlpm._arrV, _xlfn.MAP(_xlfn.TOROW(_xlpm.values), _xlfn.LAMBDA(_xlpm._v, IF(AND(ISERROR(_xlpm._v), _xlpm._inpE), NA(), IF(ISBLANK(_xlpm._v), NA(), _xlpm._v)))), _xlpm._inpChk, IF(OR(AND(ROWS(_xlpm.periods) &gt; 1, COLUMNS(_xlpm.periods) &gt; 1), AND(ROWS(_xlpm.values) &gt; 1, COLUMNS(_xlpm.values) &gt; 1), COLUMNS(_xlpm._arrP) &lt;&gt; COLUMNS(_xlpm._arrV), COLUMNS(_xlpm._arrV) &lt; 2), 2, IF(OR(NOT(ISNUMBER(_xlpm.step)), _xlpm._stp &lt; 0, ISTEXT(_xlpm.ignore_errors), _xlpm._inpE &lt; 0, _xlpm._inpE &gt; 1, ISTEXT(_xlpm.rebalance_output), _xlpm._inpR &lt; 0, _xlpm._inpR &gt; 1, ISTEXT(_xlpm.output_periods), _xlpm._inpP &lt; 0, _xlpm._inpP &gt; 1, ISTEXT(_xlpm.output_vertical), _xlpm._inpV &lt; 0, _xlpm._inpV &gt; 1), 3, 1)), _xlpm._vrt, (ROWS(_xlpm.values) &gt; COLUMNS(_xlpm.values)), _xlpm._bgn, INDEX(_xlfn._xlws.SORT(_xlpm._arrP), 1, 1), _xlpm._end, INDEX(_xlfn._xlws.SORT(_xlpm._arrP), 1, COLUMNS(_xlpm._arrP)), _xlpm._prd, IF(_xlpm._stp = 0, _xlfn._xlws.SORT(_xlpm._arrP),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_xlfn.LET(_xlpm._arr, _xlfn._xlws.FILTER(_xlfn.DROP(_xlpm._idx, , _xlpm._c), NOT(ISNA(_xlfn.DROP(_xlpm._map, , _xlpm._c)))), _xlpm._i, INDEX(_xlpm._arr, 1, 1), _xlpm._nxt, INDEX(_xlpm._map, 1, _xlpm._i), _xlpm._inc, (_xlpm._nxt - _xlpm._prv) / (_xlpm._i - _xlpm._c + 1), _xlpm._prv + _xlpm._inc), INDEX(_xlpm._map, 1, _xlpm._c)))), _xlpm._calc, IF(_xlpm._inpR, _xlfn.LET(_xlpm._sumV, SUM(IF(ISERROR(_xlpm._arrV), 0, _xlpm._arrV)), _xlpm._sumS, SUM(IF(ISERROR(_xlpm._scn), 0, _xlpm._scn)), _xlpm._scn / _xlpm._sumS * _xlpm._sumV), _xlpm._scn), _xlpm._out, IF(_xlpm._inpP, _xlfn.VSTACK(_xlpm._prd, _xlpm._calc), _xlpm._calc), _xlpm._rtn, IF(OR(_xlpm._vrt, _xlpm._inpV), TRANSPOSE(_xlpm._out), _xlpm._out), CHOOSE(_xlpm._inpChk, _xlpm._rtn, _xlfn.LAMBDA(0), #VALUE!)))</definedName>
    <definedName name="RXL_Smoothing.Outliers" comment="Restricts any potential outlier values in an array above and/or below relative threshold values">_xlfn.LAMBDA(_xlpm.array,_xlpm.coefficient,_xlop.option,_xlop.replace_errors,_xlop.replace_blanks,_xlop.exclude_periods, _xlfn.LET(_xlpm._fnc, _xlpm.coefficient, _xlpm._opn, IF(_xlfn.ISOMITTED(_xlpm.option), 0, INT(_xlpm.option)), _xlpm._err, IF(_xlfn.ISOMITTED(_xlpm.replace_errors), TRUE, IF(ISLOGICAL(_xlpm.replace_errors), _xlpm.replace_errors, TRUE)), _xlpm._repE, IF(AND(ISLOGICAL(_xlpm.replace_errors), _xlpm._err), NA(), _xlpm.replace_errors), _xlpm._blnk, IF(_xlfn.ISOMITTED(_xlpm.replace_blanks), FALSE, _xlpm.replace_blanks), _xlpm._repB, IF(ISLOGICAL(_xlpm._blnk), IF(_xlpm._blnk, NA(), 0), _xlpm._blnk), _xlpm._exc, IF(_xlfn.ISOMITTED(_xlpm.exclude_periods), 0, N(_xlpm.exclude_periods)), _xlpm._inpChk, IF(OR(NOT(ISNUMBER(_xlpm._fnc)), _xlpm._fnc &lt; -0.5), 2, IF(OR(_xlpm._opn &lt; -1, _xlpm._opn &gt; 1, ROWS(_xlpm.option) &gt; 1, COLUMNS(_xlpm.option) &gt; 1, ROWS(_xlpm.replace_errors) &gt; 1, COLUMNS(_xlpm.replace_errors) &gt; 1, ROWS(_xlpm.replace_blanks) &gt; 1, COLUMNS(_xlpm.replace_blanks) &gt; 1), 3, 1)), _xlpm._arr, _xlfn.MAP(_xlpm.array, _xlfn.LAMBDA(_xlpm._val, IF(ISERROR(_xlpm._val), IF(_xlpm._err, _xlpm._repE, _xlpm._val), IF(ISBLANK(_xlpm._val), _xlpm._repB, _xlpm._val)))), _xlpm._idx, _xlfn.SEQUENCE(ROWS(_xlpm._arr), COLUMNS(_xlpm._arr)), _xlpm._fltr, _xlfn._xlws.FILTER(_xlpm._arr, ISNA(_xlfn.XMATCH(_xlpm._idx, _xlpm._exc)) * NOT(ISERROR(_xlpm._arr))), _xlpm._LQ, _xlfn.QUARTILE.INC(_xlpm._fltr, 1), _xlpm._UQ, _xlfn.QUARTILE.INC(_xlpm._fltr, 3), _xlpm._IQR, _xlpm._UQ - _xlpm._LQ, _xlpm._low, _xlpm._LQ - (_xlpm._fnc * _xlpm._IQR), _xlpm._upp, _xlpm._UQ + (_xlpm._fnc * _xlpm._IQR), _xlpm._rtn, _xlfn.MAP(_xlpm._idx, _xlpm._arr, _xlfn.LAMBDA(_xlpm._i,_xlpm._v, IF(ISNUMBER(_xlfn.XMATCH(_xlpm._i, _xlpm._exc)), _xlpm._v, IF(AND(_xlpm._opn &lt;= 0, _xlpm._v &lt; _xlpm._low), MAX(_xlpm._v, _xlpm._low), IF(AND(_xlpm._opn &gt;= 0, _xlpm._v &gt; _xlpm._upp), MIN(_xlpm._v, _xlpm._upp), _xlpm._v))))), CHOOSE(_xlpm._inpChk, _xlpm._rtn, _xlfn.LAMBDA(0), #VALUE!)))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3" i="1" l="1" a="1"/>
  <c r="E188" i="1" a="1"/>
  <c r="E255" i="6" a="1"/>
  <c r="D298" i="6" a="1"/>
  <c r="D296" i="6" a="1"/>
  <c r="D295" i="6" a="1"/>
  <c r="D289" i="6"/>
  <c r="D288" i="6"/>
  <c r="D202" i="6" a="1"/>
  <c r="D203" i="6" a="1"/>
  <c r="D201" i="6" a="1"/>
  <c r="D200" i="6" a="1"/>
  <c r="D194" i="6"/>
  <c r="D193" i="6"/>
  <c r="D141" i="6" a="1"/>
  <c r="D550" i="7" a="1"/>
  <c r="D224" i="1" a="1"/>
  <c r="D222" i="1" a="1"/>
  <c r="F188" i="1" a="1"/>
  <c r="D151" i="1" a="1"/>
  <c r="D152" i="1" a="1"/>
  <c r="D150" i="1" a="1"/>
  <c r="D483" i="7" a="1"/>
  <c r="E443" i="7" a="1"/>
  <c r="F552" i="7" a="1"/>
  <c r="F485" i="7" a="1"/>
  <c r="F443" i="7" a="1"/>
  <c r="D403" i="7" a="1"/>
  <c r="F405" i="7" a="1"/>
  <c r="D364" i="7" a="1"/>
  <c r="F366" i="7" a="1"/>
  <c r="D328" i="7" a="1"/>
  <c r="D330" i="7" a="1"/>
  <c r="D294" i="7" a="1"/>
  <c r="D296" i="7" a="1"/>
  <c r="D293" i="7" a="1"/>
  <c r="D292" i="7" a="1"/>
  <c r="D262" i="7" a="1"/>
  <c r="D260" i="7" a="1"/>
  <c r="D227" i="7" a="1"/>
  <c r="D59" i="7" a="1"/>
  <c r="D80" i="7" a="1"/>
  <c r="D44" i="7" a="1"/>
  <c r="D228" i="7" a="1"/>
  <c r="D230" i="7" a="1"/>
  <c r="D198" i="7" a="1"/>
  <c r="D167" i="7" a="1"/>
  <c r="D196" i="7" a="1"/>
  <c r="D165" i="7" a="1"/>
  <c r="D104" i="7" a="1"/>
  <c r="D135" i="7" a="1"/>
  <c r="D134" i="7" a="1"/>
  <c r="D105" i="7" a="1"/>
  <c r="D81" i="7" a="1"/>
  <c r="D60" i="7" a="1"/>
  <c r="D45" i="7" a="1"/>
  <c r="D142" i="6" a="1"/>
  <c r="D140" i="6" a="1"/>
  <c r="D109" i="1" a="1"/>
  <c r="D139" i="6" a="1"/>
  <c r="D134" i="6"/>
  <c r="D133" i="6"/>
  <c r="F255" i="6" a="1"/>
  <c r="D98" i="6" a="1"/>
  <c r="D96" i="6" a="1"/>
  <c r="D95" i="6" a="1"/>
  <c r="D92" i="6"/>
  <c r="D91" i="6"/>
  <c r="D97" i="6" s="1" a="1"/>
  <c r="D58" i="6" a="1"/>
  <c r="D56" i="6" a="1"/>
  <c r="D55" i="6" a="1"/>
  <c r="D31" i="6" a="1"/>
  <c r="D30" i="6" a="1"/>
  <c r="D28" i="6"/>
  <c r="D32" i="6" s="1" a="1"/>
  <c r="D52" i="6"/>
  <c r="D51" i="6"/>
  <c r="D259" i="7" a="1"/>
  <c r="D258" i="7" a="1"/>
  <c r="B23" i="7"/>
  <c r="B40" i="7" s="1" a="1"/>
  <c r="D33" i="6" a="1"/>
  <c r="D110" i="1" a="1"/>
  <c r="D84" i="1" a="1"/>
  <c r="D60" i="1" a="1"/>
  <c r="D108" i="1" a="1"/>
  <c r="B15" i="6"/>
  <c r="D85" i="1" a="1"/>
  <c r="D83" i="1" a="1"/>
  <c r="D61" i="1" a="1"/>
  <c r="G41" i="1" a="1"/>
  <c r="D59" i="1" a="1"/>
  <c r="D30" i="1" a="1"/>
  <c r="H41" i="1" a="1"/>
  <c r="E30" i="1" a="1"/>
  <c r="B2" i="3"/>
  <c r="B16" i="1"/>
  <c r="B28" i="1" s="1" a="1"/>
  <c r="B71" i="3" l="1"/>
  <c r="D297" i="6" a="1"/>
  <c r="D58" i="1" a="1"/>
  <c r="D107" i="1" a="1"/>
  <c r="D82" i="1" a="1"/>
  <c r="D221" i="1" a="1"/>
  <c r="D149" i="1" a="1"/>
  <c r="D57" i="6" a="1"/>
  <c r="C551" i="7" a="1"/>
  <c r="D549" i="7" a="1"/>
  <c r="C484" i="7" a="1"/>
  <c r="D482" i="7" a="1"/>
  <c r="C404" i="7" a="1"/>
  <c r="D402" i="7" a="1"/>
  <c r="C365" i="7" a="1"/>
  <c r="D363" i="7" a="1"/>
  <c r="D327" i="7" a="1"/>
  <c r="D291" i="7" a="1"/>
  <c r="D226" i="7" a="1"/>
  <c r="D163" i="7" a="1"/>
  <c r="D195" i="7" a="1"/>
  <c r="D164" i="7" a="1"/>
  <c r="D43" i="7" a="1"/>
  <c r="B25" i="6" a="1"/>
  <c r="D103" i="7" a="1"/>
  <c r="D79" i="7" a="1"/>
  <c r="D133" i="7" a="1"/>
  <c r="B55" i="7" a="1"/>
  <c r="B39" i="1" a="1"/>
  <c r="B47" i="6" l="1" a="1"/>
  <c r="B75" i="7" a="1"/>
  <c r="D102" i="7" a="1"/>
  <c r="D132" i="7" a="1"/>
  <c r="D58" i="7" a="1"/>
  <c r="D78" i="7" a="1"/>
  <c r="B53" i="1" a="1"/>
  <c r="B88" i="6" l="1" a="1"/>
  <c r="B99" i="7" a="1"/>
  <c r="B76" i="1" a="1"/>
  <c r="B100" i="1" s="1" a="1"/>
  <c r="B140" i="1" s="1" a="1"/>
  <c r="B186" i="1" s="1" a="1"/>
  <c r="B130" i="6" l="1" a="1"/>
  <c r="B129" i="7" a="1"/>
  <c r="B213" i="1" a="1"/>
  <c r="B269" i="1" s="1"/>
  <c r="B189" i="6" l="1" a="1"/>
  <c r="B160" i="7" a="1"/>
  <c r="B192" i="7" l="1" a="1"/>
  <c r="B252" i="6" a="1"/>
  <c r="B285" i="6" s="1" a="1"/>
  <c r="B359" i="6" s="1"/>
  <c r="B223" i="7" l="1" a="1"/>
  <c r="B255" i="7" l="1" a="1"/>
  <c r="B287" i="7" l="1" a="1"/>
  <c r="B322" i="7" l="1" a="1"/>
  <c r="B357" i="7" l="1" a="1"/>
  <c r="B396" i="7" s="1" a="1"/>
  <c r="B440" i="7" l="1" a="1"/>
  <c r="B476" i="7" l="1" a="1"/>
  <c r="B541" i="7" l="1" a="1"/>
  <c r="B609"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<sst xmlns="http://schemas.openxmlformats.org/spreadsheetml/2006/main" count="824" uniqueCount="509">
  <si>
    <t>Purpose:</t>
  </si>
  <si>
    <t>Input data tables:</t>
  </si>
  <si>
    <t>Development</t>
  </si>
  <si>
    <t>Approach:</t>
  </si>
  <si>
    <t>Final Version</t>
  </si>
  <si>
    <t>End of Sheet</t>
  </si>
  <si>
    <t>Description:</t>
  </si>
  <si>
    <t>Parameters:</t>
  </si>
  <si>
    <t>Errors:</t>
  </si>
  <si>
    <t>Function:</t>
  </si>
  <si>
    <t>Minimised version:</t>
  </si>
  <si>
    <t>[required]</t>
  </si>
  <si>
    <t>[optional]</t>
  </si>
  <si>
    <t>Instructions</t>
  </si>
  <si>
    <t>VBA Code</t>
  </si>
  <si>
    <t>A.</t>
  </si>
  <si>
    <t>Start by ensuring that you have this Workbook and the Workbook you wish to copy the function to open in the same Excel instance</t>
  </si>
  <si>
    <t>B.</t>
  </si>
  <si>
    <t>Open the VB Editor window</t>
  </si>
  <si>
    <t>C.</t>
  </si>
  <si>
    <t>D.</t>
  </si>
  <si>
    <t>In the code window which opens for ThisWorkbook, paste the VBA code from below exactly as written</t>
  </si>
  <si>
    <t>E.</t>
  </si>
  <si>
    <t>F.</t>
  </si>
  <si>
    <t>Run the CopyLambda sub routine in ThisWorkbook module and check the Immediate window for the feedback message</t>
  </si>
  <si>
    <t xml:space="preserve">    </t>
  </si>
  <si>
    <t xml:space="preserve">    On Error Resume Next</t>
  </si>
  <si>
    <t xml:space="preserve">        'Update "Example.xlsx" with name of the Workbook you wish to copy the function to</t>
  </si>
  <si>
    <t xml:space="preserve">        Exit Sub</t>
  </si>
  <si>
    <t xml:space="preserve">    End If</t>
  </si>
  <si>
    <t xml:space="preserve">        Else</t>
  </si>
  <si>
    <t xml:space="preserve">        End If</t>
  </si>
  <si>
    <t>End Sub</t>
  </si>
  <si>
    <t>Lookup Tables</t>
  </si>
  <si>
    <t>_YesNo</t>
  </si>
  <si>
    <t>_OnOff</t>
  </si>
  <si>
    <t xml:space="preserve">Output: </t>
  </si>
  <si>
    <t>Main Functionality Development</t>
  </si>
  <si>
    <t>Input Checks &amp; Conversion to LAMBDA() Function</t>
  </si>
  <si>
    <t>Testing input checks</t>
  </si>
  <si>
    <t>)</t>
  </si>
  <si>
    <t>= LAMBDA(</t>
  </si>
  <si>
    <t xml:space="preserve">Gist URL: </t>
  </si>
  <si>
    <t>Output:</t>
  </si>
  <si>
    <t>Outlier Correction/Smoothing Function</t>
  </si>
  <si>
    <t>Ideally the function would be able to correct/smooth outlier values which are above and/or below the IQR, as well as being able to exclude periods from correction</t>
  </si>
  <si>
    <t xml:space="preserve"> -&gt; e.g. have an input parameter for correcting both high and low values (0), just high values (+1), or just low values (-1)</t>
  </si>
  <si>
    <t xml:space="preserve"> -&gt; e.g. have an input parameter for periods and then the ability to choose which to exclude</t>
  </si>
  <si>
    <t xml:space="preserve"> - Calculate the upper and lower quartlies and the inter-quartile range (IQR) for the input array</t>
  </si>
  <si>
    <t xml:space="preserve">Date: </t>
  </si>
  <si>
    <t xml:space="preserve">Values: </t>
  </si>
  <si>
    <t xml:space="preserve">Period: </t>
  </si>
  <si>
    <t xml:space="preserve">Lower Qtl: </t>
  </si>
  <si>
    <t xml:space="preserve">Upper Qtl: </t>
  </si>
  <si>
    <t xml:space="preserve">IQR: </t>
  </si>
  <si>
    <t xml:space="preserve">Lower Threshold: </t>
  </si>
  <si>
    <t xml:space="preserve">Upper Threshold: </t>
  </si>
  <si>
    <t xml:space="preserve">Correction: </t>
  </si>
  <si>
    <t>Applying Upper and Lower Threshold correction to input array</t>
  </si>
  <si>
    <t xml:space="preserve">Inputs: </t>
  </si>
  <si>
    <t xml:space="preserve">Option: </t>
  </si>
  <si>
    <t>+1</t>
  </si>
  <si>
    <t>0</t>
  </si>
  <si>
    <t>-1</t>
  </si>
  <si>
    <t>= outlier correction applied to values above upper threshold only</t>
  </si>
  <si>
    <t>= outlier correction applied to values below lower threshold only</t>
  </si>
  <si>
    <t>= [default] outlier correction applied to values above and below thresholds</t>
  </si>
  <si>
    <t xml:space="preserve">Co-efficient: </t>
  </si>
  <si>
    <t>Exponential Smoothing Function</t>
  </si>
  <si>
    <t>Extending Functionality for Exclusion Criteria</t>
  </si>
  <si>
    <t xml:space="preserve">Alpha: </t>
  </si>
  <si>
    <t>Linear Interpolation Function</t>
  </si>
  <si>
    <t xml:space="preserve">End value: </t>
  </si>
  <si>
    <t xml:space="preserve">Start value: </t>
  </si>
  <si>
    <t>= [default] starts at the Start value and smooths forwards</t>
  </si>
  <si>
    <t>= starts with the end value and smooths backwards (reverse)</t>
  </si>
  <si>
    <t>= performs a forwards smoothing from the start value and a backwards smoothing from the end value, then outputs the average of both</t>
  </si>
  <si>
    <t xml:space="preserve">Output option: </t>
  </si>
  <si>
    <t xml:space="preserve">Adding Backwards looking Smoothing from End value </t>
  </si>
  <si>
    <t>+ Option to output Average between Forward-looking and Backwards-looking</t>
  </si>
  <si>
    <t>Initial Function for Forwards-looking Smoothing with Start/Initial value</t>
  </si>
  <si>
    <t>Dealing with Input Array in either Horizontal or Vertical orientation -&gt; output in same orientation</t>
  </si>
  <si>
    <t>Inputs</t>
  </si>
  <si>
    <t>Outputs</t>
  </si>
  <si>
    <t>Adding Parameter to determine which values in input array should be corrected</t>
  </si>
  <si>
    <t>Adding Parameter to allow for replacing Blanks and Errors</t>
  </si>
  <si>
    <t xml:space="preserve">Replace Errors: </t>
  </si>
  <si>
    <t xml:space="preserve">Replace Blanks: </t>
  </si>
  <si>
    <t>Adding Parameters for dealing with Blank and Error values in the input array</t>
  </si>
  <si>
    <t>Calculating Quartile values and Inter-Quartile Range (IQR)</t>
  </si>
  <si>
    <t>Calculating Lower and Upper Thresholds for correction using co-efficient value</t>
  </si>
  <si>
    <t xml:space="preserve">Step: </t>
  </si>
  <si>
    <t xml:space="preserve">Index: </t>
  </si>
  <si>
    <t>Extending the Periods array with a input Step size</t>
  </si>
  <si>
    <t>Filling missing/blank Values with previous value (Scan backwards)</t>
  </si>
  <si>
    <t>Filling missing/blank Values with next non-blank value (Scan forwards)</t>
  </si>
  <si>
    <t xml:space="preserve">Mapped Values: </t>
  </si>
  <si>
    <t>Calculting the required increment from previous value to next non-blank value</t>
  </si>
  <si>
    <t>Updating version (F) for non-one (+1) Step input maintaining linear interpolation</t>
  </si>
  <si>
    <t>Testing version (G) with positive and negative increments</t>
  </si>
  <si>
    <t>Blanks</t>
  </si>
  <si>
    <t xml:space="preserve">Periods: </t>
  </si>
  <si>
    <t>Updating version (I) to make Step input optional</t>
  </si>
  <si>
    <t>Updating version (J) to make Periods array output optional</t>
  </si>
  <si>
    <t>Updating version (K) to deal with both horizontal and vertical orientation for input arrays and outputting in original orientation</t>
  </si>
  <si>
    <t>+ adding optional input to force output orientation</t>
  </si>
  <si>
    <t>Updating version (L) to add input for ignoring error values</t>
  </si>
  <si>
    <t xml:space="preserve">Output Periods: </t>
  </si>
  <si>
    <t xml:space="preserve">Output vertical: </t>
  </si>
  <si>
    <t xml:space="preserve">Ignore Errors: </t>
  </si>
  <si>
    <t>(as per the approach used in the Interpolation UDF by Mark Kubiszyn, www.kubiszyn.co.uk)</t>
  </si>
  <si>
    <t>Combining versions (M) and (N) + conversion to LAMBDA() function</t>
  </si>
  <si>
    <t>Extending Functionality</t>
  </si>
  <si>
    <t xml:space="preserve">Rebalance values: </t>
  </si>
  <si>
    <t>LET(</t>
  </si>
  <si>
    <t>_inpE, IF(ISOMITTED(ignore_errors), 0, INT(ignore_errors)),</t>
  </si>
  <si>
    <t>_inpR, IF(ISOMITTED(rebalance_output), 0, INT(rebalance_output)),</t>
  </si>
  <si>
    <t>_inpP, IF(ISOMITTED(output_periods), 0, INT(output_periods)),</t>
  </si>
  <si>
    <t>_inpV, IF(ISOMITTED(output_vertical), 0, INT(output_vertical)),</t>
  </si>
  <si>
    <t>_arrP, TOROW(periods),</t>
  </si>
  <si>
    <t>_arrV, MAP(TOROW(values), LAMBDA(_v,</t>
  </si>
  <si>
    <t>IF(AND(ISERROR(_v), _inpE), NA(), IF(ISBLANK(_v), NA(), _v))</t>
  </si>
  <si>
    <t>)),</t>
  </si>
  <si>
    <t>_inpChk, IF(</t>
  </si>
  <si>
    <t>OR(</t>
  </si>
  <si>
    <t>AND(ROWS(periods) &gt; 1, COLUMNS(periods) &gt; 1),</t>
  </si>
  <si>
    <t>COLUMNS(_arrP) &lt;&gt; COLUMNS(_arrV),</t>
  </si>
  <si>
    <t>COLUMNS(_arrV) &lt; 2</t>
  </si>
  <si>
    <t>), 2, IF(</t>
  </si>
  <si>
    <t>ISTEXT(ignore_errors), _inpE &lt; 0, _inpE &gt; 1,</t>
  </si>
  <si>
    <t>ISTEXT(rebalance_output), _inpR &lt; 0, _inpR &gt; 1,</t>
  </si>
  <si>
    <t>ISTEXT(output_periods), _inpP &lt; 0, _inpP &gt; 1,</t>
  </si>
  <si>
    <t>ISTEXT(output_vertical), _inpV &lt; 0, _inpV &gt; 1</t>
  </si>
  <si>
    <t>), 3, 1)</t>
  </si>
  <si>
    <t>),</t>
  </si>
  <si>
    <t>_vrt, (ROWS(values) &gt; COLUMNS(values)),</t>
  </si>
  <si>
    <t>_bgn, INDEX(SORT(_arrP), 1, 1),</t>
  </si>
  <si>
    <t>_end, INDEX(SORT(_arrP), 1, COLUMNS(_arrP)),</t>
  </si>
  <si>
    <t>_prd, IF(_stp = 0, SORT(_arrP), SEQUENCE(1, ((_end - _bgn) / _stp) + 1, _bgn, _stp)),</t>
  </si>
  <si>
    <t>_idx, SEQUENCE(1, COLUMNS(_prd)),</t>
  </si>
  <si>
    <t>_map, MAP(_prd, LAMBDA(_p, INDEX(_arrV, 1, XMATCH(_p, _arrP)))),</t>
  </si>
  <si>
    <t>_scn, SCAN(0, _idx, LAMBDA(_prv,_c,</t>
  </si>
  <si>
    <t>IF(ISNA(INDEX(_map, 1, _c)),</t>
  </si>
  <si>
    <t>_arr, FILTER(DROP(_idx, , _c), NOT(ISNA(DROP(_map, , _c)))),</t>
  </si>
  <si>
    <t>_i, INDEX(_arr, 1, 1),</t>
  </si>
  <si>
    <t>_nxt, INDEX(_map, 1, _i),</t>
  </si>
  <si>
    <t>_inc, (_nxt - _prv) / (_i - _c + 1),</t>
  </si>
  <si>
    <t>_prv + _inc</t>
  </si>
  <si>
    <t>INDEX(_map, 1, _c)</t>
  </si>
  <si>
    <t>))),</t>
  </si>
  <si>
    <t>_calc, IF(_inpR,</t>
  </si>
  <si>
    <t>_sumV, SUM(IF(ISERROR(_arrV), 0, _arrV)),</t>
  </si>
  <si>
    <t>_sumS, SUM(IF(ISERROR(_scn), 0, _scn)),</t>
  </si>
  <si>
    <t>_scn / _sumS * _sumV</t>
  </si>
  <si>
    <t>), _scn</t>
  </si>
  <si>
    <t>_out, IF(_inpP, VSTACK(_prd, _calc), _calc),</t>
  </si>
  <si>
    <t>_rtn, IF(OR(_vrt, _inpV), TRANSPOSE(_out), _out),</t>
  </si>
  <si>
    <t>periods,</t>
  </si>
  <si>
    <t>values,</t>
  </si>
  <si>
    <t>[step],</t>
  </si>
  <si>
    <t>[ignore_errors],</t>
  </si>
  <si>
    <t>[rebalance_output],</t>
  </si>
  <si>
    <t>[output_periods],</t>
  </si>
  <si>
    <t>[output_vertical],</t>
  </si>
  <si>
    <t>AND(ROWS(values) &gt; 1, COLUMNS(values) &gt; 1),</t>
  </si>
  <si>
    <t>Developing &amp; testing input checks</t>
  </si>
  <si>
    <t>Adding optional input to re-balance values after interpolation to avoid inflation</t>
  </si>
  <si>
    <t>Testing version (G) with original inputs array + update for dealing with blank input values</t>
  </si>
  <si>
    <t>periods</t>
  </si>
  <si>
    <t>values</t>
  </si>
  <si>
    <t>step</t>
  </si>
  <si>
    <t>ignore_errors</t>
  </si>
  <si>
    <t>rebalance_output</t>
  </si>
  <si>
    <t>output_periods</t>
  </si>
  <si>
    <t>output_vertical</t>
  </si>
  <si>
    <t>CHOOSE(_inpChk, _rtn, LAMBDA(0), #VALUE!)</t>
  </si>
  <si>
    <t>// Parameter declarations</t>
  </si>
  <si>
    <t>// Check the orientation of the original values input array</t>
  </si>
  <si>
    <t>// Find the first and last values in the sorted period array</t>
  </si>
  <si>
    <t>// If the input checks (_inpChk) have flagged then return the required Excel error code, otherwise return the calculated result (_rtn)</t>
  </si>
  <si>
    <t>// If the original values array was vertical (_vrt) or the user has chosen a forced vertical output (_inpV) then transpose the output array</t>
  </si>
  <si>
    <t>// Include the periods array in the function output if chosen by the user (_inpP)</t>
  </si>
  <si>
    <t>// If  the user has chosen to re-balance the interpolated output (_inpR) then re-calculate the output values array (_scn)</t>
  </si>
  <si>
    <t>//  --&gt; the re-balancing works by reducing the output values proportionately so that the sum of the interpolated values is equal to the sum of the input values</t>
  </si>
  <si>
    <r>
      <rPr>
        <sz val="10"/>
        <color rgb="FF0065A8"/>
        <rFont val="Consolas"/>
        <family val="3"/>
      </rPr>
      <t>ignore_errors</t>
    </r>
    <r>
      <rPr>
        <sz val="10"/>
        <color rgb="FF002138"/>
        <rFont val="Calibri"/>
        <family val="2"/>
        <scheme val="minor"/>
      </rPr>
      <t xml:space="preserve">, </t>
    </r>
    <r>
      <rPr>
        <sz val="10"/>
        <color rgb="FF0065A8"/>
        <rFont val="Consolas"/>
        <family val="3"/>
      </rPr>
      <t>rebalance_output</t>
    </r>
    <r>
      <rPr>
        <sz val="10"/>
        <color rgb="FF002138"/>
        <rFont val="Calibri"/>
        <family val="2"/>
        <scheme val="minor"/>
      </rPr>
      <t xml:space="preserve">, </t>
    </r>
    <r>
      <rPr>
        <sz val="10"/>
        <color rgb="FF0065A8"/>
        <rFont val="Consolas"/>
        <family val="3"/>
      </rPr>
      <t>output_periods</t>
    </r>
    <r>
      <rPr>
        <sz val="10"/>
        <color rgb="FF002138"/>
        <rFont val="Calibri"/>
        <family val="2"/>
        <scheme val="minor"/>
      </rPr>
      <t xml:space="preserve">, or </t>
    </r>
    <r>
      <rPr>
        <sz val="10"/>
        <color rgb="FF0065A8"/>
        <rFont val="Consolas"/>
        <family val="3"/>
      </rPr>
      <t>output_vertical</t>
    </r>
    <r>
      <rPr>
        <sz val="10"/>
        <color rgb="FF002138"/>
        <rFont val="Calibri"/>
        <family val="2"/>
        <scheme val="minor"/>
      </rPr>
      <t xml:space="preserve"> input parameters are invalid -- must be a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 xml:space="preserve"> logical value or a numeric value of </t>
    </r>
    <r>
      <rPr>
        <sz val="10"/>
        <color rgb="FF0000FF"/>
        <rFont val="Consolas"/>
        <family val="3"/>
      </rPr>
      <t>1</t>
    </r>
    <r>
      <rPr>
        <sz val="10"/>
        <color rgb="FF002138"/>
        <rFont val="Calibri"/>
        <family val="2"/>
        <scheme val="minor"/>
      </rPr>
      <t>/</t>
    </r>
    <r>
      <rPr>
        <sz val="10"/>
        <color rgb="FF0000FF"/>
        <rFont val="Consolas"/>
        <family val="3"/>
      </rPr>
      <t>0</t>
    </r>
  </si>
  <si>
    <t>e.g. both inputs have 1 row with 10 columns (10 values), or the first input has 1 row with 10 columns (10 values) and the second inputs has 1 column with 10 rows (10 values)</t>
  </si>
  <si>
    <t>NOT(ISNUMBER(step)), _stp &lt; 0,</t>
  </si>
  <si>
    <t>_stp, IF(ISOMITTED(step), 0, INDEX(step, 1, 1)),</t>
  </si>
  <si>
    <t>e.g. an array with either a single row of values (1 row with 2+ columns) or a single column of values (1 column with 2+ rows)</t>
  </si>
  <si>
    <t>//  --&gt; use the DROP() + FILTER() functions to find the index of the next non-NA value (_i)</t>
  </si>
  <si>
    <t>// Iterate through each value in the mapped values array (_map), where a blank value (#N/A) is found calculate the required delta</t>
  </si>
  <si>
    <t>//  --&gt; calculate the difference between the next non-NA value (_nxt) and the previous value (_prv), and divide by the number of indexed periods between current and next non-NA</t>
  </si>
  <si>
    <t>// Convert the input periods array and values array to a single row for easier/more consistent calculations</t>
  </si>
  <si>
    <t>//  --&gt; the converted values array (_arrV) also has any blank values converted to a #N/A value, as well as error values if chosen by the user (_inpE)</t>
  </si>
  <si>
    <t>//  --&gt; ensures that the input arrays are 1D arrays, both have 2+ values, and both have the same number of values</t>
  </si>
  <si>
    <t>//  --&gt; ensures that the optional inputs use valid input types and values</t>
  </si>
  <si>
    <t>Adding optinal input to allow array of relative index values of periods to exclude</t>
  </si>
  <si>
    <t xml:space="preserve">Exclusion periods: </t>
  </si>
  <si>
    <t>Output</t>
  </si>
  <si>
    <t xml:space="preserve">  -&gt; excluded periods are not considered for the calculation of quartiles and IQR, as well as not being changed in the output</t>
  </si>
  <si>
    <t>Input</t>
  </si>
  <si>
    <t xml:space="preserve">exclude_periods: </t>
  </si>
  <si>
    <t xml:space="preserve">array: </t>
  </si>
  <si>
    <t xml:space="preserve">coefficient: </t>
  </si>
  <si>
    <t xml:space="preserve">option: </t>
  </si>
  <si>
    <t xml:space="preserve">replace_errors: </t>
  </si>
  <si>
    <t xml:space="preserve">replace_blanks: </t>
  </si>
  <si>
    <t>Combining versions (F) and (G) + conversion to LAMBDA() function</t>
  </si>
  <si>
    <t>_fnc, coefficient,</t>
  </si>
  <si>
    <t>_opn, IF(ISOMITTED(option), 0, INT(option)),</t>
  </si>
  <si>
    <t>_err, IF(ISOMITTED(replace_errors), TRUE, IF(ISLOGICAL(replace_errors), replace_errors, TRUE)),</t>
  </si>
  <si>
    <t>_repE, IF(AND(ISLOGICAL(replace_errors), _err), NA(), replace_errors),</t>
  </si>
  <si>
    <t>_blnk, IF(ISOMITTED(replace_blanks), FALSE, replace_blanks),</t>
  </si>
  <si>
    <t>_repB, IF(ISLOGICAL(_blnk), IF(_blnk, NA(), 0), _blnk),</t>
  </si>
  <si>
    <t>_exc, IF(ISOMITTED(exclude_periods), 0, N(exclude_periods)),</t>
  </si>
  <si>
    <t>_opn &lt; -1, _opn &gt; 1,</t>
  </si>
  <si>
    <t>ROWS(option) &gt; 1, COLUMNS(option) &gt; 1,</t>
  </si>
  <si>
    <t>ROWS(replace_errors) &gt; 1, COLUMNS(replace_errors) &gt; 1,</t>
  </si>
  <si>
    <t>ROWS(replace_blanks) &gt; 1, COLUMNS(replace_blanks) &gt; 1</t>
  </si>
  <si>
    <t>_arr, MAP(array, LAMBDA(_val,</t>
  </si>
  <si>
    <t>IF(ISERROR(_val), IF(_err, _repE, _val),</t>
  </si>
  <si>
    <t>IF(ISBLANK(_val), _repB, _val))</t>
  </si>
  <si>
    <t>_idx, SEQUENCE(ROWS(_arr), COLUMNS(_arr)),</t>
  </si>
  <si>
    <t>_fltr, FILTER(_arr,</t>
  </si>
  <si>
    <t>ISNA(XMATCH(_idx, _exc)) *</t>
  </si>
  <si>
    <t>NOT(ISERROR(_arr))</t>
  </si>
  <si>
    <t>_LQ, QUARTILE.INC(_fltr, 1),</t>
  </si>
  <si>
    <t>_UQ, QUARTILE.INC(_fltr, 3),</t>
  </si>
  <si>
    <t>_IQR, _UQ - _LQ,</t>
  </si>
  <si>
    <t>_low, _LQ - (_fnc * _IQR),</t>
  </si>
  <si>
    <t>_upp, _UQ + (_fnc * _IQR),</t>
  </si>
  <si>
    <t>_rtn, MAP(_idx, _arr, LAMBDA(_i,_v,</t>
  </si>
  <si>
    <t>IF(ISNUMBER(XMATCH(_i, _exc)), _v,</t>
  </si>
  <si>
    <t>IF(AND(_opn &lt;= 0, _v &lt; _low), MAX(_v, _low),</t>
  </si>
  <si>
    <t>IF(AND(_opn &gt;= 0, _v &gt; _upp), MIN(_v, _upp),</t>
  </si>
  <si>
    <t>_v)))</t>
  </si>
  <si>
    <t>array,</t>
  </si>
  <si>
    <t>coefficient,</t>
  </si>
  <si>
    <t>[option],</t>
  </si>
  <si>
    <t>[replace_errors],</t>
  </si>
  <si>
    <t>[replace_blanks],</t>
  </si>
  <si>
    <t>[exclude_periods],</t>
  </si>
  <si>
    <t>array</t>
  </si>
  <si>
    <t>coefficient</t>
  </si>
  <si>
    <t>option</t>
  </si>
  <si>
    <t>replace_errors</t>
  </si>
  <si>
    <t>replace_blanks</t>
  </si>
  <si>
    <t>exclude_periods</t>
  </si>
  <si>
    <t>Custom Lambda function which calculates missing values between known values using linear interpolation.</t>
  </si>
  <si>
    <t>By default the periods input array is sorted in ascending order, and the step value is used as an incrementing step to fill in any gaps in the periods input array.</t>
  </si>
  <si>
    <t>=LAMBDA(values,periods,[step],[ignore_errors],[rebalance_output],[output_periods],[output_vertical],LET(_stp,IF(ISOMITTED(step),0,INDEX(step,1,1)),_inpE,IF(ISOMITTED(ignore_errors),0,INT(ignore_errors)),_inpR,IF(ISOMITTED(rebalance_output),0,INT(rebalance_output)),_inpP,IF(ISOMITTED(output_periods),0,INT(output_periods)),_inpV,IF(ISOMITTED(output_vertical),0,INT(output_vertical)),_arrP,TOROW(periods),_arrV,MAP(TOROW(values),LAMBDA(_v,IF(AND(ISERROR(_v),_inpE),NA(),IF(ISBLANK(_v),NA(),_v)))),_inpChk,IF(OR(AND(ROWS(periods)&gt;1,COLUMNS(periods)&gt;1),AND(ROWS(values)&gt;1,COLUMNS(values)&gt;1),COLUMNS(_arrP)&lt;&gt;COLUMNS(_arrV),COLUMNS(_arrV)&lt;2),2,IF(OR(NOT(ISNUMBER(step)),_stp&lt;0,LISTEXT(ignore_errors),_inpE&lt;0,_inpE&gt;1,ISTEXT(rebalance_output),_inpR&lt;0,_inpR&gt;1,ISTEXT(output_periods),_inpP&lt;0,_inpP&gt;1,ISTEXT(output_vertical),_inpV&lt;0,_inpV&gt;1),3,1)),_vrt,(ROWS(values)&gt;COLUMNS(values)),_bgn,INDEX(SORT(_arrP),1,1),_end,INDEX(SORT(_arrP),1,COLUMNS(_arrP)),_prd,IF(_stp=0,SORT(_arrP),SEQUENCE(1,((_end-_bgn)/_stp)+1,_bgn,_stp)),_idx,SEQUENCE(1,COLUMNS(_prd)),_map,MAP(_prd,LAMBDA(_p,INDEX(_arrV,1,XMATCH(_p,_arrP)))),_scn,SCAN(0,_idx,LAMBDA(_prv,_c,IF(ISNA(INDEX(_map,1,_c)),LET(_arr,FILTER(DROP(_idx,,_c),NOT(ISNA(DROP(_map,,_c)))),_i,INDEX(_arr,1,1),_nxt,INDEX(_map,1,_i),_inc,(_nxt-_prv)/(_i-_c+1),_prv+_inc),INDEX(_map,1,_c)))),_calc,IF(_inpR,LET(_sumV,SUM(IF(ISERROR(_arrV),0,_arrV)),_sumS,SUM(IF(ISERROR(_scn),0,_scn)),_scn/_sumS*_sumV),_scn),_out,IF(_inpP,VSTACK(_prd,_calc),_calc),_rtn,IF(OR(_vrt,_inpV),TRANSPOSE(_out),_out),CHOOSE(_inpChk,_rtn,LAMBDA(0),#VALUE!)))</t>
  </si>
  <si>
    <t xml:space="preserve"> - Start by looking  to expand a simple periods-style array filling in the missing data points using a specified step size</t>
  </si>
  <si>
    <t xml:space="preserve"> -- to avoid extrapolation in later calculations:  (i) sort the known array values in ascending order; then</t>
  </si>
  <si>
    <t>(ii) identify the starting (lowest) and ending (highest) array values; and</t>
  </si>
  <si>
    <t xml:space="preserve"> - Calculate the missing values data points between known values using linear interpolation</t>
  </si>
  <si>
    <t xml:space="preserve"> -- find the difference between last known/calculated value and the next known (non-NA) value</t>
  </si>
  <si>
    <t xml:space="preserve"> -- calculate the increment to the last value for the linear interpolation to the next known (non-NA) value</t>
  </si>
  <si>
    <t xml:space="preserve">  (Last value + (Next value - Last value)) / (Next period - Last period - 1)</t>
  </si>
  <si>
    <t>(iii) create expanded array between these values using the step input</t>
  </si>
  <si>
    <t xml:space="preserve"> - Having created the required expanded periods array, map the known data points from the values array to the expanded periods array with missing data points represented by #N/A values</t>
  </si>
  <si>
    <t xml:space="preserve"> -- find the number of periods (steps on the expanded periods array) between the last value and the next known (non-NA) value</t>
  </si>
  <si>
    <t>Mapping the input Values array to the expanded Periods array</t>
  </si>
  <si>
    <t>Combining expanded Periods array with calculated Values array in output</t>
  </si>
  <si>
    <t>Where the step input parameter is not provided, or is given a value of 0, no expanded periods array is calculated and only missing values associated with the input periods array are calculated.</t>
  </si>
  <si>
    <t>// If no step input has been provided then use the sorted periods array (_arrP), otherwise use the first (_bgn) and last (_end) values with the step input (_stp) to calculate the expanded periods array</t>
  </si>
  <si>
    <t>// Create an index array to allow for easier iterating through the calculated/expanded periods array (_prd)</t>
  </si>
  <si>
    <t>// Create an expanded and sorted values array mapping input values to the expanded periods array (_prd) with #N/A values for missing/empty periods</t>
  </si>
  <si>
    <r>
      <t xml:space="preserve">The </t>
    </r>
    <r>
      <rPr>
        <sz val="10"/>
        <color rgb="FF0065A8"/>
        <rFont val="Consolas"/>
        <family val="3"/>
      </rPr>
      <t>values</t>
    </r>
    <r>
      <rPr>
        <sz val="10"/>
        <color rgb="FF002138"/>
        <rFont val="Calibri"/>
        <family val="2"/>
        <scheme val="minor"/>
      </rPr>
      <t xml:space="preserve"> and </t>
    </r>
    <r>
      <rPr>
        <sz val="10"/>
        <color rgb="FF0065A8"/>
        <rFont val="Consolas"/>
        <family val="3"/>
      </rPr>
      <t>periods</t>
    </r>
    <r>
      <rPr>
        <sz val="10"/>
        <color rgb="FF002138"/>
        <rFont val="Calibri"/>
        <family val="2"/>
        <scheme val="minor"/>
      </rPr>
      <t xml:space="preserve"> input arrays must contain the same number of values</t>
    </r>
  </si>
  <si>
    <r>
      <t>Required input parameters (</t>
    </r>
    <r>
      <rPr>
        <sz val="10"/>
        <color rgb="FF0065A8"/>
        <rFont val="Consolas"/>
        <family val="3"/>
      </rPr>
      <t>values</t>
    </r>
    <r>
      <rPr>
        <sz val="10"/>
        <color rgb="FF002138"/>
        <rFont val="Calibri"/>
        <family val="2"/>
        <scheme val="minor"/>
      </rPr>
      <t xml:space="preserve">, </t>
    </r>
    <r>
      <rPr>
        <sz val="10"/>
        <color rgb="FF0065A8"/>
        <rFont val="Consolas"/>
        <family val="3"/>
      </rPr>
      <t>periods</t>
    </r>
    <r>
      <rPr>
        <sz val="10"/>
        <color rgb="FF002138"/>
        <rFont val="Calibri"/>
        <family val="2"/>
        <scheme val="minor"/>
      </rPr>
      <t>) have not been provided or are invalid</t>
    </r>
  </si>
  <si>
    <r>
      <t xml:space="preserve">The </t>
    </r>
    <r>
      <rPr>
        <sz val="10"/>
        <color rgb="FF0065A8"/>
        <rFont val="Consolas"/>
        <family val="3"/>
      </rPr>
      <t>values</t>
    </r>
    <r>
      <rPr>
        <sz val="10"/>
        <color rgb="FF002138"/>
        <rFont val="Calibri"/>
        <family val="2"/>
        <scheme val="minor"/>
      </rPr>
      <t xml:space="preserve"> and </t>
    </r>
    <r>
      <rPr>
        <sz val="10"/>
        <color rgb="FF0065A8"/>
        <rFont val="Consolas"/>
        <family val="3"/>
      </rPr>
      <t>periods</t>
    </r>
    <r>
      <rPr>
        <sz val="10"/>
        <color rgb="FF002138"/>
        <rFont val="Calibri"/>
        <family val="2"/>
        <scheme val="minor"/>
      </rPr>
      <t xml:space="preserve"> inputs must be arrays (2+ values) and must be a 1D array</t>
    </r>
  </si>
  <si>
    <r>
      <t xml:space="preserve">The </t>
    </r>
    <r>
      <rPr>
        <sz val="10"/>
        <color rgb="FF0065A8"/>
        <rFont val="Consolas"/>
        <family val="3"/>
      </rPr>
      <t>step</t>
    </r>
    <r>
      <rPr>
        <sz val="10"/>
        <color rgb="FF002138"/>
        <rFont val="Calibri"/>
        <family val="2"/>
        <scheme val="minor"/>
      </rPr>
      <t xml:space="preserve"> input parameter should be a single numeric value; it must be a positive number but can be a whole or decimal value</t>
    </r>
  </si>
  <si>
    <r>
      <t xml:space="preserve">If not supplied, will </t>
    </r>
    <r>
      <rPr>
        <sz val="10"/>
        <color rgb="FF0000FF"/>
        <rFont val="Calibri"/>
        <family val="2"/>
        <scheme val="minor"/>
      </rPr>
      <t>default</t>
    </r>
    <r>
      <rPr>
        <sz val="10"/>
        <color rgb="FF002138"/>
        <rFont val="Calibri"/>
        <family val="2"/>
        <scheme val="minor"/>
      </rPr>
      <t xml:space="preserve"> to </t>
    </r>
    <r>
      <rPr>
        <sz val="10"/>
        <color rgb="FF0000FF"/>
        <rFont val="Consolas"/>
        <family val="3"/>
      </rPr>
      <t>FALSE</t>
    </r>
  </si>
  <si>
    <r>
      <t xml:space="preserve">A True/False input which determines whether any non-NA Excel error values in the values array are replaced with </t>
    </r>
    <r>
      <rPr>
        <sz val="10"/>
        <color rgb="FFC00000"/>
        <rFont val="Consolas"/>
        <family val="3"/>
      </rPr>
      <t>#N/A</t>
    </r>
    <r>
      <rPr>
        <sz val="10"/>
        <color rgb="FF002138"/>
        <rFont val="Calibri"/>
        <family val="2"/>
        <scheme val="minor"/>
      </rPr>
      <t xml:space="preserve"> values and so not included in the calculations or output</t>
    </r>
  </si>
  <si>
    <r>
      <t xml:space="preserve">= Excel error values are replaced with </t>
    </r>
    <r>
      <rPr>
        <sz val="10"/>
        <color rgb="FFC00000"/>
        <rFont val="Consolas"/>
        <family val="3"/>
      </rPr>
      <t>#N/A</t>
    </r>
    <r>
      <rPr>
        <sz val="10"/>
        <color rgb="FF002138"/>
        <rFont val="Calibri"/>
        <family val="2"/>
        <scheme val="minor"/>
      </rPr>
      <t xml:space="preserve"> values, meaning that these data points will be re-calculated in the output using linear interpolation</t>
    </r>
  </si>
  <si>
    <r>
      <t xml:space="preserve">= Excel error values (other than </t>
    </r>
    <r>
      <rPr>
        <sz val="10"/>
        <color rgb="FFC00000"/>
        <rFont val="Consolas"/>
        <family val="3"/>
      </rPr>
      <t>#N/A</t>
    </r>
    <r>
      <rPr>
        <sz val="10"/>
        <color rgb="FF002138"/>
        <rFont val="Calibri"/>
        <family val="2"/>
        <scheme val="minor"/>
      </rPr>
      <t>) are included in the output as they are seen in the input provided</t>
    </r>
  </si>
  <si>
    <r>
      <t xml:space="preserve">The </t>
    </r>
    <r>
      <rPr>
        <sz val="10"/>
        <color rgb="FF0065A8"/>
        <rFont val="Consolas"/>
        <family val="3"/>
      </rPr>
      <t>values</t>
    </r>
    <r>
      <rPr>
        <sz val="10"/>
        <color rgb="FF002138"/>
        <rFont val="Calibri"/>
        <family val="2"/>
        <scheme val="minor"/>
      </rPr>
      <t xml:space="preserve"> array must be the same size as the </t>
    </r>
    <r>
      <rPr>
        <sz val="10"/>
        <color rgb="FF0065A8"/>
        <rFont val="Consolas"/>
        <family val="3"/>
      </rPr>
      <t>periods</t>
    </r>
    <r>
      <rPr>
        <sz val="10"/>
        <color rgb="FF002138"/>
        <rFont val="Calibri"/>
        <family val="2"/>
        <scheme val="minor"/>
      </rPr>
      <t xml:space="preserve"> array, however, the included cells/array values can be empty, blank, or error values</t>
    </r>
  </si>
  <si>
    <r>
      <t xml:space="preserve">The </t>
    </r>
    <r>
      <rPr>
        <sz val="10"/>
        <color rgb="FF0065A8"/>
        <rFont val="Consolas"/>
        <family val="3"/>
      </rPr>
      <t>values</t>
    </r>
    <r>
      <rPr>
        <sz val="10"/>
        <color rgb="FF002138"/>
        <rFont val="Calibri"/>
        <family val="2"/>
        <scheme val="minor"/>
      </rPr>
      <t xml:space="preserve"> array must be numeric - interpolation is not available for non-numeric values in this function</t>
    </r>
  </si>
  <si>
    <r>
      <t xml:space="preserve">An array containing period values which match to the values provided in the </t>
    </r>
    <r>
      <rPr>
        <sz val="10"/>
        <color rgb="FF0065A8"/>
        <rFont val="Consolas"/>
        <family val="3"/>
      </rPr>
      <t>values</t>
    </r>
    <r>
      <rPr>
        <sz val="10"/>
        <color rgb="FF002138"/>
        <rFont val="Calibri"/>
        <family val="2"/>
        <scheme val="minor"/>
      </rPr>
      <t xml:space="preserve"> input array</t>
    </r>
  </si>
  <si>
    <r>
      <t xml:space="preserve">The </t>
    </r>
    <r>
      <rPr>
        <sz val="10"/>
        <color rgb="FF0065A8"/>
        <rFont val="Consolas"/>
        <family val="3"/>
      </rPr>
      <t>periods</t>
    </r>
    <r>
      <rPr>
        <sz val="10"/>
        <color rgb="FF002138"/>
        <rFont val="Calibri"/>
        <family val="2"/>
        <scheme val="minor"/>
      </rPr>
      <t xml:space="preserve"> array must have the same number of data points as the </t>
    </r>
    <r>
      <rPr>
        <sz val="10"/>
        <color rgb="FF0065A8"/>
        <rFont val="Consolas"/>
        <family val="3"/>
      </rPr>
      <t>values</t>
    </r>
    <r>
      <rPr>
        <sz val="10"/>
        <color rgb="FF002138"/>
        <rFont val="Calibri"/>
        <family val="2"/>
        <scheme val="minor"/>
      </rPr>
      <t xml:space="preserve"> array, but unlike the </t>
    </r>
    <r>
      <rPr>
        <sz val="10"/>
        <color rgb="FF0065A8"/>
        <rFont val="Consolas"/>
        <family val="3"/>
      </rPr>
      <t>values</t>
    </r>
    <r>
      <rPr>
        <sz val="10"/>
        <color rgb="FF002138"/>
        <rFont val="Calibri"/>
        <family val="2"/>
        <scheme val="minor"/>
      </rPr>
      <t xml:space="preserve"> array none of the periods array data points should be empty/blank or error values</t>
    </r>
  </si>
  <si>
    <r>
      <t xml:space="preserve">The </t>
    </r>
    <r>
      <rPr>
        <sz val="10"/>
        <color rgb="FF0065A8"/>
        <rFont val="Consolas"/>
        <family val="3"/>
      </rPr>
      <t>periods</t>
    </r>
    <r>
      <rPr>
        <sz val="10"/>
        <color rgb="FF002138"/>
        <rFont val="Calibri"/>
        <family val="2"/>
        <scheme val="minor"/>
      </rPr>
      <t xml:space="preserve"> array must be numeric due to the method used to expand the array when calculating the missing data points for interpolation</t>
    </r>
  </si>
  <si>
    <r>
      <t xml:space="preserve">A positive value used to create an expanded version of the </t>
    </r>
    <r>
      <rPr>
        <sz val="10"/>
        <color rgb="FF0065A8"/>
        <rFont val="Consolas"/>
        <family val="3"/>
      </rPr>
      <t>periods</t>
    </r>
    <r>
      <rPr>
        <sz val="10"/>
        <color rgb="FF002138"/>
        <rFont val="Calibri"/>
        <family val="2"/>
        <scheme val="minor"/>
      </rPr>
      <t xml:space="preserve"> array without any missing data points.</t>
    </r>
  </si>
  <si>
    <r>
      <t xml:space="preserve">If the input value is </t>
    </r>
    <r>
      <rPr>
        <sz val="10"/>
        <color rgb="FF0000FF"/>
        <rFont val="Consolas"/>
        <family val="3"/>
      </rPr>
      <t>0</t>
    </r>
    <r>
      <rPr>
        <sz val="10"/>
        <color rgb="FF002138"/>
        <rFont val="Calibri"/>
        <family val="2"/>
        <scheme val="minor"/>
      </rPr>
      <t xml:space="preserve"> (zero) or the input parameter is omitted, the </t>
    </r>
    <r>
      <rPr>
        <sz val="10"/>
        <color rgb="FF0065A8"/>
        <rFont val="Consolas"/>
        <family val="3"/>
      </rPr>
      <t>periods</t>
    </r>
    <r>
      <rPr>
        <sz val="10"/>
        <color rgb="FF002138"/>
        <rFont val="Calibri"/>
        <family val="2"/>
        <scheme val="minor"/>
      </rPr>
      <t xml:space="preserve"> array is used as input and not expanded</t>
    </r>
  </si>
  <si>
    <r>
      <t xml:space="preserve">Can be input as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 xml:space="preserve"> (Boolean logical value) or </t>
    </r>
    <r>
      <rPr>
        <sz val="10"/>
        <color rgb="FF0000FF"/>
        <rFont val="Consolas"/>
        <family val="3"/>
      </rPr>
      <t>1</t>
    </r>
    <r>
      <rPr>
        <sz val="10"/>
        <color rgb="FF002138"/>
        <rFont val="Calibri"/>
        <family val="2"/>
        <scheme val="minor"/>
      </rPr>
      <t>/</t>
    </r>
    <r>
      <rPr>
        <sz val="10"/>
        <color rgb="FF0000FF"/>
        <rFont val="Consolas"/>
        <family val="3"/>
      </rPr>
      <t>0</t>
    </r>
    <r>
      <rPr>
        <sz val="10"/>
        <color rgb="FF002138"/>
        <rFont val="Calibri"/>
        <family val="2"/>
        <scheme val="minor"/>
      </rPr>
      <t xml:space="preserve"> (number)</t>
    </r>
  </si>
  <si>
    <t>= the function output array will be in a vertical orientation (1-2 columns, multiple rows)</t>
  </si>
  <si>
    <t>= the function output array will be in a horizontal orientation (1-2 rows, multiple columns)</t>
  </si>
  <si>
    <r>
      <t xml:space="preserve">If not supplied, the function output array orientation will match the orientation of the </t>
    </r>
    <r>
      <rPr>
        <sz val="10"/>
        <color rgb="FF0065A8"/>
        <rFont val="Consolas"/>
        <family val="3"/>
      </rPr>
      <t>values</t>
    </r>
    <r>
      <rPr>
        <sz val="10"/>
        <color rgb="FF002138"/>
        <rFont val="Calibri"/>
        <family val="2"/>
        <scheme val="minor"/>
      </rPr>
      <t xml:space="preserve"> input array</t>
    </r>
  </si>
  <si>
    <t>A True/False input which determines whether the calculated periods array is included in the function output</t>
  </si>
  <si>
    <t>= the calculated periods array is included in the function output as the first row/column of the output</t>
  </si>
  <si>
    <t>= only the calculated values array is included in the function output</t>
  </si>
  <si>
    <t xml:space="preserve"> - As per the information and UDF created by Mark Kubiszyn (www.kubiszyn.co.uk), by calculating the additional missing values in the function output with linear interpolation</t>
  </si>
  <si>
    <t>this will increase (inflate) the sum/total of the values in the output compared to the sum/total of the values in the input array</t>
  </si>
  <si>
    <t xml:space="preserve"> -- In many use cases this may not be a concern, but where the total sum of the output of the values is important rebalancing can be used</t>
  </si>
  <si>
    <t xml:space="preserve"> -- The rebalancing keeps the same proportionate values and seasonality/variance within the output values array but reduces them proportionately so that the total/sum remains the same as the input array total</t>
  </si>
  <si>
    <t xml:space="preserve"> </t>
  </si>
  <si>
    <t>A custom Lambda function for calculating missing values between known values in an input array using linear interpolation</t>
  </si>
  <si>
    <t>The function should be able to use a provided column index array or numeric "periods" array which can be expanded to create missing periods/values</t>
  </si>
  <si>
    <t>Ideally, both blank cells within the input array and error values would be replaced with calculated "missing" values using linear interpolation</t>
  </si>
  <si>
    <t xml:space="preserve"> - Inspired by the demo of a linear interpolation UDF created by Mark Kubiszyn (www.kubiszyn.co.uk)</t>
  </si>
  <si>
    <t xml:space="preserve"> --&gt; a coefficient input of +1.0 will limit outlier values to the value of the LQR/UQR plus the value of the IQR</t>
  </si>
  <si>
    <t xml:space="preserve"> --&gt; a coefficient input of -0.5 will set the upper and lower fence/threshold values at an equal value between the LQR and UQR thereby creating a flat-line output</t>
  </si>
  <si>
    <t xml:space="preserve"> --  the coefficient input determines what multiple of the IQR is added to the LQR and UQR values to create the lower asnd upper fence/thresholds</t>
  </si>
  <si>
    <t xml:space="preserve"> - Use a correction factor (coefficient) value to determine what to limit outlier values to (= fence or threshold levels)</t>
  </si>
  <si>
    <t xml:space="preserve"> --&gt; a coefficient input of  0.0 will limit outlier values to the value of the LQR and UQR (as calculated from the raw input data)</t>
  </si>
  <si>
    <r>
      <t>Required input parameters (</t>
    </r>
    <r>
      <rPr>
        <sz val="10"/>
        <color rgb="FF0065A8"/>
        <rFont val="Consolas"/>
        <family val="3"/>
      </rPr>
      <t>array</t>
    </r>
    <r>
      <rPr>
        <sz val="10"/>
        <color rgb="FF002138"/>
        <rFont val="Calibri"/>
        <family val="2"/>
        <scheme val="minor"/>
      </rPr>
      <t xml:space="preserve">, </t>
    </r>
    <r>
      <rPr>
        <sz val="10"/>
        <color rgb="FF0065A8"/>
        <rFont val="Consolas"/>
        <family val="3"/>
      </rPr>
      <t>coefficient</t>
    </r>
    <r>
      <rPr>
        <sz val="10"/>
        <color rgb="FF002138"/>
        <rFont val="Calibri"/>
        <family val="2"/>
        <scheme val="minor"/>
      </rPr>
      <t>) have not been provided or are invalid</t>
    </r>
  </si>
  <si>
    <t>// Main function body/calculations</t>
  </si>
  <si>
    <t xml:space="preserve"> - Using an optional input, which accepts an array of relative index values (column numbers) to indicate which values to exclude from the calculations</t>
  </si>
  <si>
    <t xml:space="preserve"> -- excluded values are unchanged in the output array</t>
  </si>
  <si>
    <t>// Parameter definitions</t>
  </si>
  <si>
    <t>// Deal with optional input parameters and set default values for omitted inputs</t>
  </si>
  <si>
    <t>// Input parameter checks</t>
  </si>
  <si>
    <t>// Updating the main input array (array), replacing any error values and blank/empty data points</t>
  </si>
  <si>
    <t>// Creating an array of relative index values for each of the data points in the updated array (_arr)</t>
  </si>
  <si>
    <t>// Use the calculated LQR, UQR, and IQR values along with the coefficient (fence) value input (_fnc) to calculate the lower (_low) and upper (_upp) threshold values</t>
  </si>
  <si>
    <t>//  --&gt; where the data points relative index value is found in the excluded periods array (_exc) no change is made in the output array</t>
  </si>
  <si>
    <t>//  --&gt; non-excluded data points are limited to the lower (_low) and upper (_upp) threshold values as required, based on the user output options input (_opn)</t>
  </si>
  <si>
    <t>// Iterate through each data point in the updated main input array (_arr) to calculate the output array</t>
  </si>
  <si>
    <t>// Check if the input checks have flagged (_inpChk) -- if so return the appropriate error, otherwise return the calculated output array (_rtn)</t>
  </si>
  <si>
    <t>// Filter the updated array (_arr) to remove excluded data points (_exc) and any error values (inc. #N/A values)</t>
  </si>
  <si>
    <t>//  --&gt; checks that the coefficient input (_fnc) is a valid numeric value and is within the expected range</t>
  </si>
  <si>
    <t xml:space="preserve"> -- excluded values are filtered out of the calculations for LQ, UQ, and IQR</t>
  </si>
  <si>
    <t xml:space="preserve">Exclude periods: </t>
  </si>
  <si>
    <t>Adding optinal input to allow array of relative index values of data points to exclude</t>
  </si>
  <si>
    <t xml:space="preserve">  -&gt; excluded periods are not considered for the calculation and are unchanged in the output array</t>
  </si>
  <si>
    <t xml:space="preserve">alpha_value: </t>
  </si>
  <si>
    <t xml:space="preserve">start_value: </t>
  </si>
  <si>
    <t xml:space="preserve">end_value: </t>
  </si>
  <si>
    <t xml:space="preserve">output: </t>
  </si>
  <si>
    <t>Combining versions (E) and (F) + conversion to LAMBDA() function</t>
  </si>
  <si>
    <t>_alpha, N(alpha_value),</t>
  </si>
  <si>
    <t>_init, IF(ISOMITTED(start_value), INDEX(array, 1, 1), start_value),</t>
  </si>
  <si>
    <t>_end, IF(ISOMITTED(end_value), INDEX(array, ROWS(array), COLUMNS(array)), end_value),</t>
  </si>
  <si>
    <t>_optn, IF(ISOMITTED(output), 0, INT(output)),</t>
  </si>
  <si>
    <t>_err, IF(ISOMITTED(replace_errors), FALSE, IF(ISLOGICAL(replace_errors), replace_errors, TRUE)),</t>
  </si>
  <si>
    <t>_repE, IF(ISLOGICAL(replace_errors), NA(), replace_errors),</t>
  </si>
  <si>
    <t>AND(ROWS(array) &lt;= 1, COLUMNS(array) &lt;= 1),</t>
  </si>
  <si>
    <t>AND(ROWS(array) &gt; 1, COLUMNS(array) &gt; 1)</t>
  </si>
  <si>
    <t>NOT(ISNUMBER(_alpha)), _alpha &lt; 0, _alpha &gt; 1,</t>
  </si>
  <si>
    <t>_vrt, (ROWS(array) &gt; COLUMNS(array)),</t>
  </si>
  <si>
    <t>_arr, MAP(TOROW(array),</t>
  </si>
  <si>
    <t>LAMBDA(_val, IF(ISERROR(_val), IF(_err, _repE, _val), IF(ISBLANK(_val), _repB, _val)))</t>
  </si>
  <si>
    <t>_fltr, FILTER(_arr, NOT(ISNA(_arr))),</t>
  </si>
  <si>
    <t>_idx, FILTER(SEQUENCE(1, COLUMNS(_arr)), NOT(ISNA(_arr))),</t>
  </si>
  <si>
    <t>_cols, COLUMNS(_fltr),</t>
  </si>
  <si>
    <t>_fwd, IF(_optn &gt;= 0, SCAN(_init, _idx, LAMBDA(_prev,_v,</t>
  </si>
  <si>
    <t>IF(ISNUMBER(XMATCH(_v, _exc)),</t>
  </si>
  <si>
    <t>INDEX(_arr, 1, _v),</t>
  </si>
  <si>
    <t>INDEX(_arr, 1, _v) * _alpha + (1 - _alpha) * _prev</t>
  </si>
  <si>
    <t>)), 0),</t>
  </si>
  <si>
    <t>_bck, IF(_optn &lt;&gt; 0, LET(</t>
  </si>
  <si>
    <t>_bIdx, INDEX(_idx, 1, SEQUENCE(1, _cols, _cols, -1)),</t>
  </si>
  <si>
    <t>_bArr, SCAN(_end, _bIdx, LAMBDA(_prev,_v,</t>
  </si>
  <si>
    <t>INDEX(_bArr, 1, SEQUENCE(1, _cols, _cols, -1))</t>
  </si>
  <si>
    <t>), 0),</t>
  </si>
  <si>
    <t>_out, CHOOSE(_optn + 2,</t>
  </si>
  <si>
    <t>_bck,</t>
  </si>
  <si>
    <t>_fwd,</t>
  </si>
  <si>
    <t>MAP(</t>
  </si>
  <si>
    <t>SEQUENCE(1, _cols), _fwd, _bck,</t>
  </si>
  <si>
    <t>LAMBDA(_i,_vF,_vB, IF(_i = 1, _init, IF(_i = _cols, _end, AVERAGE(_vF, _vB))))</t>
  </si>
  <si>
    <t>_calc, INDEX(_out, 1, XMATCH(SEQUENCE(1, COLUMNS(_arr)), _idx)),</t>
  </si>
  <si>
    <t>_rtn, IF(_vrt, TRANSPOSE(_calc), _calc),</t>
  </si>
  <si>
    <t>alpha_value,</t>
  </si>
  <si>
    <t>[start_value],</t>
  </si>
  <si>
    <t>[end_value],</t>
  </si>
  <si>
    <t>[output],</t>
  </si>
  <si>
    <t>_exc, IF(ISOMITTED(exclude_periods), 0, exclude_periods),</t>
  </si>
  <si>
    <t>// If the original input array was vertical (_vrt) then transpose the output array (_out)</t>
  </si>
  <si>
    <t>// Re-map the filtered and re-calculated output array (_out) to the original data points thereby re-establishing any filtered values (output as #N/A values)</t>
  </si>
  <si>
    <t>alpha_value</t>
  </si>
  <si>
    <t>start_value</t>
  </si>
  <si>
    <t>end_value</t>
  </si>
  <si>
    <t>output</t>
  </si>
  <si>
    <t>//  --&gt; checks that main input array contains more than a single value, and is a valid 1D array</t>
  </si>
  <si>
    <t>//  --&gt; checks that the optional input values are valid and within the expected range where applicable</t>
  </si>
  <si>
    <t>// Check whether the input array is vertically or horizontally orientated</t>
  </si>
  <si>
    <t>// Converts the input array (array) to a standardised single row, and replaces any error or blank values as required</t>
  </si>
  <si>
    <t>// Filters out any #N/A values (such as after replacement of blanks and errors in the steps above) before later calculations</t>
  </si>
  <si>
    <t>// Creates a filtered index array to help with re-constructing the original input array index positions after filtering and calculations</t>
  </si>
  <si>
    <t>// Calculate the forward smoothing outputs (from left-to-right, from start-to-end index)</t>
  </si>
  <si>
    <t>//  --&gt; otherwise, each new data point is calculated based on the previous output value (_prev) and the current input array value (_v)</t>
  </si>
  <si>
    <t>// Calculate the backward smoothing outputs (from right-to-left, from end-to-start index)</t>
  </si>
  <si>
    <t>//  --&gt; first, a reversed a version of the relative index array (_idx) is created (_bIdx)</t>
  </si>
  <si>
    <t>//  --&gt; where a relative data point index is included in the excluded periods array (_exc) these are unchanged in the output</t>
  </si>
  <si>
    <t>//  --&gt; finally, the calculated output array (_bArr) is reversed back to its original direction (_bck)</t>
  </si>
  <si>
    <t>// The correct requried output array is returned based on the user output option input (_optn)</t>
  </si>
  <si>
    <t>//  --&gt; either outputs the backward smoothing array (_bck), the forward smoothing array (_fwd), or calculates an average of both</t>
  </si>
  <si>
    <r>
      <t>Required input parameters (</t>
    </r>
    <r>
      <rPr>
        <sz val="10"/>
        <color rgb="FF0065A8"/>
        <rFont val="Consolas"/>
        <family val="3"/>
      </rPr>
      <t>array</t>
    </r>
    <r>
      <rPr>
        <sz val="10"/>
        <color rgb="FF002138"/>
        <rFont val="Calibri"/>
        <family val="2"/>
        <scheme val="minor"/>
      </rPr>
      <t xml:space="preserve">, </t>
    </r>
    <r>
      <rPr>
        <sz val="10"/>
        <color rgb="FF0065A8"/>
        <rFont val="Consolas"/>
        <family val="3"/>
      </rPr>
      <t>alpha_value</t>
    </r>
    <r>
      <rPr>
        <sz val="10"/>
        <color rgb="FF002138"/>
        <rFont val="Calibri"/>
        <family val="2"/>
        <scheme val="minor"/>
      </rPr>
      <t>) have not been provided or are invalid</t>
    </r>
  </si>
  <si>
    <r>
      <t xml:space="preserve">The </t>
    </r>
    <r>
      <rPr>
        <sz val="10"/>
        <color rgb="FF0065A8"/>
        <rFont val="Consolas"/>
        <family val="3"/>
      </rPr>
      <t>array</t>
    </r>
    <r>
      <rPr>
        <sz val="10"/>
        <color rgb="FF002138"/>
        <rFont val="Calibri"/>
        <family val="2"/>
        <scheme val="minor"/>
      </rPr>
      <t xml:space="preserve"> input must be an array (2+ values) not a single value, and must be a 1D array</t>
    </r>
  </si>
  <si>
    <r>
      <t xml:space="preserve">The </t>
    </r>
    <r>
      <rPr>
        <sz val="10"/>
        <color rgb="FF0065A8"/>
        <rFont val="Consolas"/>
        <family val="3"/>
      </rPr>
      <t>alpha_value</t>
    </r>
    <r>
      <rPr>
        <sz val="10"/>
        <color rgb="FF002138"/>
        <rFont val="Calibri"/>
        <family val="2"/>
        <scheme val="minor"/>
      </rPr>
      <t xml:space="preserve"> input must be a number, and must be within the range of </t>
    </r>
    <r>
      <rPr>
        <sz val="10"/>
        <color rgb="FF0000FF"/>
        <rFont val="Consolas"/>
        <family val="3"/>
      </rPr>
      <t>0</t>
    </r>
    <r>
      <rPr>
        <sz val="10"/>
        <color rgb="FF002138"/>
        <rFont val="Calibri"/>
        <family val="2"/>
        <scheme val="minor"/>
      </rPr>
      <t xml:space="preserve"> to </t>
    </r>
    <r>
      <rPr>
        <sz val="10"/>
        <color rgb="FF0000FF"/>
        <rFont val="Consolas"/>
        <family val="3"/>
      </rPr>
      <t>1.00</t>
    </r>
  </si>
  <si>
    <r>
      <t xml:space="preserve">The optional </t>
    </r>
    <r>
      <rPr>
        <sz val="10"/>
        <color rgb="FF0065A8"/>
        <rFont val="Consolas"/>
        <family val="3"/>
      </rPr>
      <t>output</t>
    </r>
    <r>
      <rPr>
        <sz val="10"/>
        <color rgb="FF002138"/>
        <rFont val="Calibri"/>
        <family val="2"/>
        <scheme val="minor"/>
      </rPr>
      <t xml:space="preserve"> option input must be a whole number within the range of </t>
    </r>
    <r>
      <rPr>
        <sz val="10"/>
        <color rgb="FF0000FF"/>
        <rFont val="Consolas"/>
        <family val="3"/>
      </rPr>
      <t>-1</t>
    </r>
    <r>
      <rPr>
        <sz val="10"/>
        <color rgb="FF002138"/>
        <rFont val="Calibri"/>
        <family val="2"/>
        <scheme val="minor"/>
      </rPr>
      <t xml:space="preserve"> to </t>
    </r>
    <r>
      <rPr>
        <sz val="10"/>
        <color rgb="FF0000FF"/>
        <rFont val="Consolas"/>
        <family val="3"/>
      </rPr>
      <t>+1</t>
    </r>
  </si>
  <si>
    <r>
      <t xml:space="preserve">The optional </t>
    </r>
    <r>
      <rPr>
        <sz val="10"/>
        <color rgb="FF0065A8"/>
        <rFont val="Consolas"/>
        <family val="3"/>
      </rPr>
      <t>start_value</t>
    </r>
    <r>
      <rPr>
        <sz val="10"/>
        <color rgb="FF002138"/>
        <rFont val="Calibri"/>
        <family val="2"/>
        <scheme val="minor"/>
      </rPr>
      <t xml:space="preserve"> and </t>
    </r>
    <r>
      <rPr>
        <sz val="10"/>
        <color rgb="FF0065A8"/>
        <rFont val="Consolas"/>
        <family val="3"/>
      </rPr>
      <t>end_value</t>
    </r>
    <r>
      <rPr>
        <sz val="10"/>
        <color rgb="FF002138"/>
        <rFont val="Calibri"/>
        <family val="2"/>
        <scheme val="minor"/>
      </rPr>
      <t xml:space="preserve"> input parameters must be numeric values</t>
    </r>
  </si>
  <si>
    <t>Determines the type of output calculation returned by the function</t>
  </si>
  <si>
    <r>
      <t xml:space="preserve">= calculates a forward smoothing output array starting from the </t>
    </r>
    <r>
      <rPr>
        <sz val="10"/>
        <color rgb="FF0065A8"/>
        <rFont val="Consolas"/>
        <family val="3"/>
      </rPr>
      <t>start_value</t>
    </r>
    <r>
      <rPr>
        <sz val="10"/>
        <color rgb="FF002138"/>
        <rFont val="Calibri"/>
        <family val="2"/>
        <scheme val="minor"/>
      </rPr>
      <t xml:space="preserve"> or the first value in the input array</t>
    </r>
  </si>
  <si>
    <r>
      <t xml:space="preserve">= calculates a backward smoothing output array starting from the </t>
    </r>
    <r>
      <rPr>
        <sz val="10"/>
        <color rgb="FF0065A8"/>
        <rFont val="Consolas"/>
        <family val="3"/>
      </rPr>
      <t>end_value</t>
    </r>
    <r>
      <rPr>
        <sz val="10"/>
        <color rgb="FF002138"/>
        <rFont val="Calibri"/>
        <family val="2"/>
        <scheme val="minor"/>
      </rPr>
      <t xml:space="preserve"> or the last value in the input array</t>
    </r>
  </si>
  <si>
    <r>
      <t xml:space="preserve">= calculates the average between the forward and backward smoothing values, starting with the </t>
    </r>
    <r>
      <rPr>
        <sz val="10"/>
        <color rgb="FF0065A8"/>
        <rFont val="Consolas"/>
        <family val="3"/>
      </rPr>
      <t>start_value</t>
    </r>
    <r>
      <rPr>
        <sz val="10"/>
        <color rgb="FF002138"/>
        <rFont val="Calibri"/>
        <family val="2"/>
        <scheme val="minor"/>
      </rPr>
      <t xml:space="preserve"> and ending with the </t>
    </r>
    <r>
      <rPr>
        <sz val="10"/>
        <color rgb="FF0065A8"/>
        <rFont val="Consolas"/>
        <family val="3"/>
      </rPr>
      <t>end_value</t>
    </r>
  </si>
  <si>
    <t>Sets the initial value for the forward smoothing calculations, and the first value in the output array</t>
  </si>
  <si>
    <t>Sets the initial value for the backward smoothing calculations, and the last value in the output array</t>
  </si>
  <si>
    <t>1.00</t>
  </si>
  <si>
    <t>0.00</t>
  </si>
  <si>
    <t>= fully reduces/smooths the current data point creating a flat-line trend</t>
  </si>
  <si>
    <t>-&gt; for a backward smoothing calculation, the flat-line will be at the end/last value</t>
  </si>
  <si>
    <t>-&gt; for a forward smoothing calculation the flat-line will be at the initial value</t>
  </si>
  <si>
    <t>-&gt; for a combined smoothing calculation, the flat-line will be at an average position between the initial and end/last values</t>
  </si>
  <si>
    <t>= does not alter each data point, with the output values matching the input values</t>
  </si>
  <si>
    <t>A numeric factor which determines how much a value is altered compared to the previous calculated value in order to smooth out movements/differences between each data point</t>
  </si>
  <si>
    <t>A single dimension array of numeric values; the 1D array can be either horizontal (1 row, multiple columns) or vertical (multiple rows, 1 column) in orientation</t>
  </si>
  <si>
    <r>
      <t xml:space="preserve">A value which can be used to replace any Excel error values in the </t>
    </r>
    <r>
      <rPr>
        <sz val="10"/>
        <color rgb="FF0065A8"/>
        <rFont val="Consolas"/>
        <family val="3"/>
      </rPr>
      <t>array</t>
    </r>
    <r>
      <rPr>
        <sz val="10"/>
        <color rgb="FF002138"/>
        <rFont val="Calibri"/>
        <family val="2"/>
        <scheme val="minor"/>
      </rPr>
      <t xml:space="preserve"> input</t>
    </r>
  </si>
  <si>
    <t>If the input provided is a number, this value will be used to replace any error values in the main array</t>
  </si>
  <si>
    <t>If the input provided is a number, this value will be used to replace any blank values in the main array</t>
  </si>
  <si>
    <t>If the input provided is a logical/Boolean value:</t>
  </si>
  <si>
    <r>
      <t xml:space="preserve">A value which can be used to replace any blank data points/cells in the </t>
    </r>
    <r>
      <rPr>
        <sz val="10"/>
        <color rgb="FF0065A8"/>
        <rFont val="Consolas"/>
        <family val="3"/>
      </rPr>
      <t>array</t>
    </r>
    <r>
      <rPr>
        <sz val="10"/>
        <color rgb="FF002138"/>
        <rFont val="Calibri"/>
        <family val="2"/>
        <scheme val="minor"/>
      </rPr>
      <t xml:space="preserve"> input</t>
    </r>
  </si>
  <si>
    <r>
      <t xml:space="preserve">= blank data points will be replaced with a </t>
    </r>
    <r>
      <rPr>
        <sz val="10"/>
        <color rgb="FFC00000"/>
        <rFont val="Consolas"/>
        <family val="3"/>
      </rPr>
      <t>#N/A</t>
    </r>
    <r>
      <rPr>
        <sz val="10"/>
        <color rgb="FF002138"/>
        <rFont val="Calibri"/>
        <family val="2"/>
        <scheme val="minor"/>
      </rPr>
      <t xml:space="preserve"> value, and so excluded from function calculations</t>
    </r>
  </si>
  <si>
    <r>
      <t xml:space="preserve">= error values will be replaced with a </t>
    </r>
    <r>
      <rPr>
        <sz val="10"/>
        <color rgb="FFC00000"/>
        <rFont val="Consolas"/>
        <family val="3"/>
      </rPr>
      <t>#N/A</t>
    </r>
    <r>
      <rPr>
        <sz val="10"/>
        <color rgb="FF002138"/>
        <rFont val="Calibri"/>
        <family val="2"/>
        <scheme val="minor"/>
      </rPr>
      <t xml:space="preserve"> value</t>
    </r>
  </si>
  <si>
    <r>
      <t xml:space="preserve">= blank data points will not be replaced and will be treated as </t>
    </r>
    <r>
      <rPr>
        <sz val="10"/>
        <color rgb="FF0000FF"/>
        <rFont val="Consolas"/>
        <family val="3"/>
      </rPr>
      <t>0</t>
    </r>
    <r>
      <rPr>
        <sz val="10"/>
        <color rgb="FF002138"/>
        <rFont val="Calibri"/>
        <family val="2"/>
        <scheme val="minor"/>
      </rPr>
      <t xml:space="preserve"> (zero) values in function calculations</t>
    </r>
  </si>
  <si>
    <t>= error values will not be replaced and will be included in function calculations and output</t>
  </si>
  <si>
    <t>An array of relative row/column index positions, that indicate which data points should not be included in the function calculations, and will be unchanged in the output</t>
  </si>
  <si>
    <r>
      <t xml:space="preserve">The optional </t>
    </r>
    <r>
      <rPr>
        <sz val="10"/>
        <color rgb="FF0065A8"/>
        <rFont val="Consolas"/>
        <family val="3"/>
      </rPr>
      <t>replace_errors</t>
    </r>
    <r>
      <rPr>
        <sz val="10"/>
        <color rgb="FF002138"/>
        <rFont val="Calibri"/>
        <family val="2"/>
        <scheme val="minor"/>
      </rPr>
      <t xml:space="preserve"> and </t>
    </r>
    <r>
      <rPr>
        <sz val="10"/>
        <color rgb="FF0065A8"/>
        <rFont val="Consolas"/>
        <family val="3"/>
      </rPr>
      <t>replace_blanks</t>
    </r>
    <r>
      <rPr>
        <sz val="10"/>
        <color rgb="FF002138"/>
        <rFont val="Calibri"/>
        <family val="2"/>
        <scheme val="minor"/>
      </rPr>
      <t xml:space="preserve"> input parameters must be numeric values or logical/Boolean values</t>
    </r>
  </si>
  <si>
    <t>NOT(ISNUMBER(_init)), NOT(ISNUMBER(_end)),</t>
  </si>
  <si>
    <t>ISTEXT(_repE), ISTEXT(_repB)</t>
  </si>
  <si>
    <t>NOT(ISNUMBER(_optn)), _optn &lt; -1, _optn &gt; 1,</t>
  </si>
  <si>
    <t>=LAMBDA(array,alpha_value,[start_value],[end_value],[output],[exclude_periods],[replace_errors],[replace_blanks],LET(_alpha,N(alpha_value),_init,IF(ISOMITTED(start_value),INDEX(array,1,1),start_value),_end,IF(ISOMITTED(end_value),INDEX(array,ROWS(array),COLUMNS(array)),end_value),_optn,IF(ISOMITTED(output),0,INT(output)),_exc,exclude_periods,_err,IF(ISOMITTED(replace_errors),FALSE,IF(ISLOGICAL(replace_errors),replace_errors,TRUE)),_repE,IF(ISLOGICAL(replace_errors),NA(),replace_errors),_blnk,IF(ISOMITTED(replace_blanks),FALSE,replace_blanks),_repB,IF(ISLOGICAL(_blnk),IF(_blnk,NA(),0),_blnk),_inpChk,IF(OR(AND(ROWS(array)&lt;=1,COLUMNS(array)&lt;=1),AND(ROWS(array)&gt;1,COLUMNS(array)&gt;1)),2,IF(OR(NOT(ISNUMBER(_alpha)),_alpha&lt;0,_alpha&gt;1,NOT(ISNUMBER(_init)),NOT(ISNUMBER(_end)),NOT(ISNUMBER(_optn)),_optn&lt;-1,_optn&gt;1,ISTEXT(_repE),ISTEXT(_repB)),3,1)),_vrt,(ROWS(array)&gt;COLUMNS(array)),_arr,MAP(TOROW(array),LAMBDA(_val,IF(ISERROR(_val),IF(_err,_repE,_val),IF(ISBLANK(_val),_repB,_val)))),_fltr,FILTER(_arr,NOT(ISNA(_arr))),_idx,FILTER(SEQUENCE(1,COLUMNS(_arr)),NOT(ISNA(_arr))),_cols,COLUMNS(_fltr),_fwd,IF(_optn&gt;=0,SCAN(_init,_idx,LAMBDA(_prev,_v,IF(ISNUMBER(XMATCH(_v,_exc)),INDEX(_arr,1,_v),INDEX(_arr,1,_v)*_alpha+(1-_alpha)*_prev))),0),_bck,IF(_optn&lt;&gt;0,LET(_bIdx,INDEX(_idx,1,SEQUENCE(1,_cols,_cols,-1)),_bArr,SCAN(_end,_bIdx,LAMBDA(_prev,_v,IF(ISNUMBER(XMATCH(_v,_exc)),INDEX(_arr,1,_v),INDEX(_arr,1,_v)*_alpha+(1-_alpha)*_prev))),INDEX(_bArr,1,SEQUENCE(1,_cols,_cols,-1))),0),_out,CHOOSE(_optn+2,_bck,_fwd,MAP(SEQUENCE(1,_cols),_fwd,_bck,LAMBDA(_i,_vF,_vB,IF(_i=1,_init,IF(_i=_cols,_end,AVERAGE(_vF,_vB)))))),_calc,INDEX(_out,1,XMATCH(SEQUENCE(1,COLUMNS(_arr)),_idx)),_rtn,IF(_vrt,TRANSPOSE(_calc),_calc),CHOOSE(_inpChk,_rtn,LAMBDA(0),#VALUE!)))</t>
  </si>
  <si>
    <t>An array containing the main data points which are used as the basis for the interpolation</t>
  </si>
  <si>
    <t>= proportionately reduces the calculated output values array (after linear interpolation)</t>
  </si>
  <si>
    <t>A True/False input which determines whether to reduce the calculated output values so that the total of the output values stays the same as the total of the input values</t>
  </si>
  <si>
    <t>= does not change the calculated output values array after linear interpolation</t>
  </si>
  <si>
    <t>A True/False input which determines whether the functions output is in a vertical or horizontal orientation</t>
  </si>
  <si>
    <t>By default the function will perform a "forwards" smoothing from an initial value by reducing the movement/variability from each value to the next in the series.</t>
  </si>
  <si>
    <t>The function also allows for a "backwards" smoothing from final value in the series, or an average position between the forwards and backwards smoothing calculations.</t>
  </si>
  <si>
    <t>Custom Lambda function which creates a 'smoothed' level over a series of values using exponential smoothing; this can be used to reduce variability and movement in the series of values.</t>
  </si>
  <si>
    <t>A numeric correction factor which determines where to set the upper and lower outlier thresholds to limit potential outlier values</t>
  </si>
  <si>
    <t>Determines whether to correct potential outliers above and/or below the set thresholds</t>
  </si>
  <si>
    <r>
      <t>= [</t>
    </r>
    <r>
      <rPr>
        <b/>
        <sz val="10"/>
        <color rgb="FF002138"/>
        <rFont val="Calibri"/>
        <family val="2"/>
        <scheme val="minor"/>
      </rPr>
      <t>default</t>
    </r>
    <r>
      <rPr>
        <sz val="10"/>
        <color rgb="FF002138"/>
        <rFont val="Calibri"/>
        <family val="2"/>
        <scheme val="minor"/>
      </rPr>
      <t>] outlier correction applied to values above and below the thresholds</t>
    </r>
  </si>
  <si>
    <t>+ve</t>
  </si>
  <si>
    <t>-ve</t>
  </si>
  <si>
    <r>
      <t>= [</t>
    </r>
    <r>
      <rPr>
        <b/>
        <sz val="10"/>
        <color rgb="FF002138"/>
        <rFont val="Calibri"/>
        <family val="2"/>
        <scheme val="minor"/>
      </rPr>
      <t>default</t>
    </r>
    <r>
      <rPr>
        <sz val="10"/>
        <color rgb="FF002138"/>
        <rFont val="Calibri"/>
        <family val="2"/>
        <scheme val="minor"/>
      </rPr>
      <t xml:space="preserve">] error values will be replaced with a </t>
    </r>
    <r>
      <rPr>
        <sz val="10"/>
        <color rgb="FFC00000"/>
        <rFont val="Consolas"/>
        <family val="3"/>
      </rPr>
      <t>#N/A</t>
    </r>
    <r>
      <rPr>
        <sz val="10"/>
        <color rgb="FF002138"/>
        <rFont val="Calibri"/>
        <family val="2"/>
        <scheme val="minor"/>
      </rPr>
      <t xml:space="preserve"> value</t>
    </r>
  </si>
  <si>
    <r>
      <t>= [</t>
    </r>
    <r>
      <rPr>
        <b/>
        <sz val="10"/>
        <color rgb="FF002138"/>
        <rFont val="Calibri"/>
        <family val="2"/>
        <scheme val="minor"/>
      </rPr>
      <t>default</t>
    </r>
    <r>
      <rPr>
        <sz val="10"/>
        <color rgb="FF002138"/>
        <rFont val="Calibri"/>
        <family val="2"/>
        <scheme val="minor"/>
      </rPr>
      <t xml:space="preserve">] blank data points will not be replaced and will be treated as </t>
    </r>
    <r>
      <rPr>
        <sz val="10"/>
        <color rgb="FF0000FF"/>
        <rFont val="Consolas"/>
        <family val="3"/>
      </rPr>
      <t>0</t>
    </r>
    <r>
      <rPr>
        <sz val="10"/>
        <color rgb="FF002138"/>
        <rFont val="Calibri"/>
        <family val="2"/>
        <scheme val="minor"/>
      </rPr>
      <t xml:space="preserve"> (zero) values in function calculations</t>
    </r>
  </si>
  <si>
    <r>
      <t xml:space="preserve">The </t>
    </r>
    <r>
      <rPr>
        <sz val="10"/>
        <color rgb="FF0065A8"/>
        <rFont val="Consolas"/>
        <family val="3"/>
      </rPr>
      <t>coefficient</t>
    </r>
    <r>
      <rPr>
        <sz val="10"/>
        <color rgb="FF002138"/>
        <rFont val="Calibri"/>
        <family val="2"/>
        <scheme val="minor"/>
      </rPr>
      <t xml:space="preserve"> input determines what multiple of the IQR is added to the Upper Quartile and Lower Quartile values to create the upper and lower thresholds</t>
    </r>
  </si>
  <si>
    <r>
      <t xml:space="preserve">= a positive </t>
    </r>
    <r>
      <rPr>
        <sz val="10"/>
        <color rgb="FF0065A8"/>
        <rFont val="Consolas"/>
        <family val="3"/>
      </rPr>
      <t>coefficient</t>
    </r>
    <r>
      <rPr>
        <sz val="10"/>
        <color rgb="FF002138"/>
        <rFont val="Calibri"/>
        <family val="2"/>
        <scheme val="minor"/>
      </rPr>
      <t xml:space="preserve"> will set the upper threshold above the Upper Quartile and the lower threshold below the Lower Quartile</t>
    </r>
  </si>
  <si>
    <r>
      <t xml:space="preserve">= a negative </t>
    </r>
    <r>
      <rPr>
        <sz val="10"/>
        <color rgb="FF0065A8"/>
        <rFont val="Consolas"/>
        <family val="3"/>
      </rPr>
      <t>coefficient</t>
    </r>
    <r>
      <rPr>
        <sz val="10"/>
        <color rgb="FF002138"/>
        <rFont val="Calibri"/>
        <family val="2"/>
        <scheme val="minor"/>
      </rPr>
      <t xml:space="preserve"> will set the upper threshold below the Upper Quartile and the lower threshold above the Lower Quartile</t>
    </r>
  </si>
  <si>
    <r>
      <t xml:space="preserve">= a </t>
    </r>
    <r>
      <rPr>
        <sz val="10"/>
        <color rgb="FF0065A8"/>
        <rFont val="Consolas"/>
        <family val="3"/>
      </rPr>
      <t>coefficient</t>
    </r>
    <r>
      <rPr>
        <sz val="10"/>
        <color rgb="FF002138"/>
        <rFont val="Calibri"/>
        <family val="2"/>
        <scheme val="minor"/>
      </rPr>
      <t xml:space="preserve"> input of </t>
    </r>
    <r>
      <rPr>
        <sz val="10"/>
        <color rgb="FF0000FF"/>
        <rFont val="Consolas"/>
        <family val="3"/>
      </rPr>
      <t>-0.5</t>
    </r>
    <r>
      <rPr>
        <sz val="10"/>
        <color rgb="FF002138"/>
        <rFont val="Calibri"/>
        <family val="2"/>
        <scheme val="minor"/>
      </rPr>
      <t xml:space="preserve"> will limit create a flat line with the outlier thresholds set to a mid-point between the Upper Quartile and the Lower Quartile values</t>
    </r>
  </si>
  <si>
    <r>
      <t xml:space="preserve">= a </t>
    </r>
    <r>
      <rPr>
        <sz val="10"/>
        <color rgb="FF0065A8"/>
        <rFont val="Consolas"/>
        <family val="3"/>
      </rPr>
      <t>coefficient</t>
    </r>
    <r>
      <rPr>
        <sz val="10"/>
        <color rgb="FF002138"/>
        <rFont val="Calibri"/>
        <family val="2"/>
        <scheme val="minor"/>
      </rPr>
      <t xml:space="preserve"> input of </t>
    </r>
    <r>
      <rPr>
        <sz val="10"/>
        <color rgb="FF0000FF"/>
        <rFont val="Consolas"/>
        <family val="3"/>
      </rPr>
      <t>+1.0</t>
    </r>
    <r>
      <rPr>
        <sz val="10"/>
        <color rgb="FF002138"/>
        <rFont val="Calibri"/>
        <family val="2"/>
        <scheme val="minor"/>
      </rPr>
      <t xml:space="preserve"> will limit outlier thresholds to the value of the Upper Quartile plus the IQR and the Lower Quartile minus the IQR</t>
    </r>
  </si>
  <si>
    <r>
      <t xml:space="preserve">= a </t>
    </r>
    <r>
      <rPr>
        <sz val="10"/>
        <color rgb="FF0065A8"/>
        <rFont val="Consolas"/>
        <family val="3"/>
      </rPr>
      <t>coefficient</t>
    </r>
    <r>
      <rPr>
        <sz val="10"/>
        <color rgb="FF002138"/>
        <rFont val="Calibri"/>
        <family val="2"/>
        <scheme val="minor"/>
      </rPr>
      <t xml:space="preserve"> of </t>
    </r>
    <r>
      <rPr>
        <sz val="10"/>
        <color rgb="FF0000FF"/>
        <rFont val="Consolas"/>
        <family val="3"/>
      </rPr>
      <t>zero</t>
    </r>
    <r>
      <rPr>
        <sz val="10"/>
        <color rgb="FF002138"/>
        <rFont val="Calibri"/>
        <family val="2"/>
        <scheme val="minor"/>
      </rPr>
      <t xml:space="preserve"> will set the upper threshold at the Upper Quartile value and the lower threshold at the Lower Quartile value</t>
    </r>
  </si>
  <si>
    <r>
      <t xml:space="preserve">If not supplied, will </t>
    </r>
    <r>
      <rPr>
        <b/>
        <sz val="10"/>
        <rFont val="Calibri"/>
        <family val="2"/>
        <scheme val="minor"/>
      </rPr>
      <t>default</t>
    </r>
    <r>
      <rPr>
        <sz val="10"/>
        <color rgb="FF002138"/>
        <rFont val="Calibri"/>
        <family val="2"/>
        <scheme val="minor"/>
      </rPr>
      <t xml:space="preserve"> to </t>
    </r>
    <r>
      <rPr>
        <sz val="10"/>
        <color rgb="FF0000FF"/>
        <rFont val="Consolas"/>
        <family val="3"/>
      </rPr>
      <t>FALSE</t>
    </r>
  </si>
  <si>
    <t>A custom Lambda function to correct potential outlier values by either bringing these values closer to the inter-quartlie range or excluding these values</t>
  </si>
  <si>
    <t>By default the function will correct any potential outliers above and below the upper and lower thresholds, but can be set only correct values above the upper threshold or lower thresholds only</t>
  </si>
  <si>
    <t>The function allows for specified relative periods within the main input array to be excluded from calculations and unchanged in the output</t>
  </si>
  <si>
    <t>Custom Lambda function which can correct potential outlier values by either bringing these values closer to the inter-quartile range when above or below a relative threshold</t>
  </si>
  <si>
    <r>
      <t xml:space="preserve">Values in the </t>
    </r>
    <r>
      <rPr>
        <sz val="10"/>
        <color rgb="FF0065A8"/>
        <rFont val="Consolas"/>
        <family val="3"/>
      </rPr>
      <t>array</t>
    </r>
    <r>
      <rPr>
        <sz val="10"/>
        <color rgb="FF002138"/>
        <rFont val="Calibri"/>
        <family val="2"/>
        <scheme val="minor"/>
      </rPr>
      <t xml:space="preserve"> which are above the upper threshold or below the lower threshold will be restricted to that upper or lower threshold value in order to correct potential outliers</t>
    </r>
  </si>
  <si>
    <r>
      <t xml:space="preserve">The </t>
    </r>
    <r>
      <rPr>
        <sz val="10"/>
        <color rgb="FF0065A8"/>
        <rFont val="Consolas"/>
        <family val="3"/>
      </rPr>
      <t>replace_errors</t>
    </r>
    <r>
      <rPr>
        <sz val="10"/>
        <color rgb="FF002138"/>
        <rFont val="Calibri"/>
        <family val="2"/>
        <scheme val="minor"/>
      </rPr>
      <t xml:space="preserve"> and </t>
    </r>
    <r>
      <rPr>
        <sz val="10"/>
        <color rgb="FF0065A8"/>
        <rFont val="Consolas"/>
        <family val="3"/>
      </rPr>
      <t>replace_blanks</t>
    </r>
    <r>
      <rPr>
        <sz val="10"/>
        <color rgb="FF002138"/>
        <rFont val="Calibri"/>
        <family val="2"/>
        <scheme val="minor"/>
      </rPr>
      <t xml:space="preserve"> input parameters must be a single value and not an array of input values</t>
    </r>
  </si>
  <si>
    <t>//  --&gt; checks that the optional input parameters are valid single value inputs, not arrays, and are within the expected range where applicable</t>
  </si>
  <si>
    <t>// Calculate the lower quartile (_LQ), upper quartile (_UQ), and inter-quartile range (_IQR) values from the filtered input array (_fltr)</t>
  </si>
  <si>
    <r>
      <t xml:space="preserve">The optional </t>
    </r>
    <r>
      <rPr>
        <sz val="10"/>
        <color rgb="FF0065A8"/>
        <rFont val="Consolas"/>
        <family val="3"/>
      </rPr>
      <t>option</t>
    </r>
    <r>
      <rPr>
        <sz val="10"/>
        <color rgb="FF002138"/>
        <rFont val="Calibri"/>
        <family val="2"/>
        <scheme val="minor"/>
      </rPr>
      <t xml:space="preserve"> input must be a single numeric value, and should be either </t>
    </r>
    <r>
      <rPr>
        <sz val="10"/>
        <color rgb="FF0000FF"/>
        <rFont val="Consolas"/>
        <family val="3"/>
      </rPr>
      <t>0</t>
    </r>
    <r>
      <rPr>
        <sz val="10"/>
        <color rgb="FF002138"/>
        <rFont val="Calibri"/>
        <family val="2"/>
        <scheme val="minor"/>
      </rPr>
      <t xml:space="preserve">, </t>
    </r>
    <r>
      <rPr>
        <sz val="10"/>
        <color rgb="FF0000FF"/>
        <rFont val="Consolas"/>
        <family val="3"/>
      </rPr>
      <t>+1</t>
    </r>
    <r>
      <rPr>
        <sz val="10"/>
        <color rgb="FF002138"/>
        <rFont val="Calibri"/>
        <family val="2"/>
        <scheme val="minor"/>
      </rPr>
      <t xml:space="preserve">, or </t>
    </r>
    <r>
      <rPr>
        <sz val="10"/>
        <color rgb="FF0000FF"/>
        <rFont val="Consolas"/>
        <family val="3"/>
      </rPr>
      <t>-1</t>
    </r>
  </si>
  <si>
    <t>NOT(ISNUMBER(_fnc)), _fnc &lt; -0.5</t>
  </si>
  <si>
    <t>=LAMBDA(array,coefficient,[option],[replace_errors],[replace_blanks],[exclude_periods],LET(_fnc,coefficient,_opn,IF(ISOMITTED(option),0,INT(option)),_err,IF(ISOMITTED(replace_errors),TRUE,IF(ISLOGICAL(replace_errors),replace_errors,TRUE)),_repE,IF(AND(ISLOGICAL(replace_errors),_err),NA(),replace_errors),_blnk,IF(ISOMITTED(replace_blanks),FALSE,replace_blanks),_repB,IF(ISLOGICAL(_blnk),IF(_blnk,NA(),0),_blnk),_exc,IF(ISOMITTED(exclude_periods),0,N(exclude_periods)),_inpChk,IF(OR(NOT(ISNUMBER(_fnc)),_fnc&lt;-0.5),2,IF(OR(_opn&lt;-1,_opn&gt;1,ROWS(option)&gt;1,COLUMNS(option)&gt;1,ROWS(replace_errors)&gt;1,COLUMNS(replace_errors)&gt;1,ROWS(replace_blanks)&gt;1,COLUMNS(replace_blanks)&gt;1),3,1)),_arr,MAP(array,LAMBDA(_val,IF(ISERROR(_val),IF(_err,_repE,_val),IF(ISBLANK(_val),_repB,_val)))),_idx,SEQUENCE(ROWS(_arr),COLUMNS(_arr)),_fltr,FILTER(_arr,ISNA(XMATCH(_idx,_exc))*NOT(ISERROR(_arr))),_LQ,QUARTILE.INC(_fltr,1),_UQ,QUARTILE.INC(_fltr,3),_IQR,_UQ-_LQ,_low,_LQ-(_fnc*_IQR),_upp,_UQ+(_fnc*_IQR),_rtn,MAP(_idx,_arr,LAMBDA(_i,_v,IF(ISNUMBER(XMATCH(_i,_exc)),_v,IF(AND(_opn&lt;=0,_v&lt;_low),MAX(_v,_low),IF(AND(_opn&gt;=0,_v&gt;_upp),MIN(_v,_upp),_v))))),CHOOSE(_inpChk,_rtn,LAMBDA(0),#VALUE!)))</t>
  </si>
  <si>
    <r>
      <t xml:space="preserve">The </t>
    </r>
    <r>
      <rPr>
        <sz val="10"/>
        <color rgb="FF0065A8"/>
        <rFont val="Consolas"/>
        <family val="3"/>
      </rPr>
      <t>coefficient</t>
    </r>
    <r>
      <rPr>
        <sz val="10"/>
        <color rgb="FF002138"/>
        <rFont val="Calibri"/>
        <family val="2"/>
        <scheme val="minor"/>
      </rPr>
      <t xml:space="preserve"> input must be a single number, and should be no less than </t>
    </r>
    <r>
      <rPr>
        <sz val="10"/>
        <color rgb="FF0000FF"/>
        <rFont val="Consolas"/>
        <family val="3"/>
      </rPr>
      <t>-0.5</t>
    </r>
  </si>
  <si>
    <t>A custom Lambda function that can be used for "smoothing" out a data series to reduce the level of variability or movement within the series</t>
  </si>
  <si>
    <t>The function uses exponential smoothing reducing the variability from one data point to the next bringing all values closer to a average trend and reducing spikes in the data</t>
  </si>
  <si>
    <t>Ideally the function would be able to use an input factor to determine the level of "smoothing" applied, as well as being able to replace any error or blank values which could otherwise affect the output</t>
  </si>
  <si>
    <t xml:space="preserve"> - Use the SCAN() function to iterate through each value in the data series</t>
  </si>
  <si>
    <t xml:space="preserve"> - The alpha value ("smoothing" factor) is applied to the current value in the series and the previous output array value to find point in between, closer to an average trend line position</t>
  </si>
  <si>
    <t xml:space="preserve"> --&gt; could allow the user to select a forward-looking output, a backward-looking output, or an average betweem the two</t>
  </si>
  <si>
    <t xml:space="preserve"> - This approach can be used for a forward-looking smoothing calculation (-&gt; going left-to-right through the series) or a backwards-looking smoothing calculation (-&gt; going from right-to-left through the series)</t>
  </si>
  <si>
    <t xml:space="preserve"> - May be useful to allow the user to select relative periods within the input array/series to exclude from calculations and keep unchanged</t>
  </si>
  <si>
    <t xml:space="preserve"> - This would be best achieved with an input array of relative data point/periods</t>
  </si>
  <si>
    <t>Data Smoothing Tools Module</t>
  </si>
  <si>
    <t>https://gist.github.com/r-silk/53f1e5d518fea096c39eeb7cef5d2807</t>
  </si>
  <si>
    <t>https://gist.github.com/r-silk/034d3a17b275ae60643cafe4854e92ae</t>
  </si>
  <si>
    <t>https://gist.github.com/r-silk/e164a0b551941d9fd9c62e7b6e111cd4</t>
  </si>
  <si>
    <t>In order to copy across the RXL_Smoothing() module from this Workbook to your own project you can use the instructions and VBA code below .</t>
  </si>
  <si>
    <t>In the VB Editor Project Explorer window, select this Workbook (RXL_Smoothing.xlsx) and double click on the object named "ThisWorkbook"</t>
  </si>
  <si>
    <t>After copying the VBA code into code window, update line 16 replacing the text "Example.xlsx" with the name of your Excel Workbook/file</t>
  </si>
  <si>
    <r>
      <rPr>
        <sz val="10"/>
        <color rgb="FF1E4FA8"/>
        <rFont val="Consolas"/>
        <family val="3"/>
      </rPr>
      <t>Private Sub</t>
    </r>
    <r>
      <rPr>
        <sz val="10"/>
        <rFont val="Consolas"/>
        <family val="3"/>
      </rPr>
      <t xml:space="preserve"> CopyLambda()</t>
    </r>
  </si>
  <si>
    <r>
      <t xml:space="preserve">    </t>
    </r>
    <r>
      <rPr>
        <sz val="10"/>
        <color rgb="FF1E4FA8"/>
        <rFont val="Consolas"/>
        <family val="3"/>
      </rPr>
      <t>Dim</t>
    </r>
    <r>
      <rPr>
        <sz val="10"/>
        <rFont val="Consolas"/>
        <family val="3"/>
      </rPr>
      <t xml:space="preserve"> wb </t>
    </r>
    <r>
      <rPr>
        <sz val="10"/>
        <color rgb="FF1E4FA8"/>
        <rFont val="Consolas"/>
        <family val="3"/>
      </rPr>
      <t>As</t>
    </r>
    <r>
      <rPr>
        <sz val="10"/>
        <rFont val="Consolas"/>
        <family val="3"/>
      </rPr>
      <t xml:space="preserve"> Workbook, nm </t>
    </r>
    <r>
      <rPr>
        <sz val="10"/>
        <color rgb="FF1E4FA8"/>
        <rFont val="Consolas"/>
        <family val="3"/>
      </rPr>
      <t>As</t>
    </r>
    <r>
      <rPr>
        <sz val="10"/>
        <rFont val="Consolas"/>
        <family val="3"/>
      </rPr>
      <t xml:space="preserve"> Name, fn </t>
    </r>
    <r>
      <rPr>
        <sz val="10"/>
        <color rgb="FF1E4FA8"/>
        <rFont val="Consolas"/>
        <family val="3"/>
      </rPr>
      <t>As</t>
    </r>
    <r>
      <rPr>
        <sz val="10"/>
        <rFont val="Consolas"/>
        <family val="3"/>
      </rPr>
      <t xml:space="preserve"> Name</t>
    </r>
  </si>
  <si>
    <r>
      <t xml:space="preserve">    </t>
    </r>
    <r>
      <rPr>
        <sz val="10"/>
        <color rgb="FF1E4FA8"/>
        <rFont val="Consolas"/>
        <family val="3"/>
      </rPr>
      <t>Dim</t>
    </r>
    <r>
      <rPr>
        <sz val="10"/>
        <rFont val="Consolas"/>
        <family val="3"/>
      </rPr>
      <t xml:space="preserve"> strLambda </t>
    </r>
    <r>
      <rPr>
        <sz val="10"/>
        <color rgb="FF1E4FA8"/>
        <rFont val="Consolas"/>
        <family val="3"/>
      </rPr>
      <t>As String</t>
    </r>
    <r>
      <rPr>
        <sz val="10"/>
        <rFont val="Consolas"/>
        <family val="3"/>
      </rPr>
      <t xml:space="preserve">, arrFuncs() </t>
    </r>
    <r>
      <rPr>
        <sz val="10"/>
        <color rgb="FF1E4FA8"/>
        <rFont val="Consolas"/>
        <family val="3"/>
      </rPr>
      <t>As String</t>
    </r>
  </si>
  <si>
    <r>
      <t xml:space="preserve">    </t>
    </r>
    <r>
      <rPr>
        <sz val="10"/>
        <color rgb="FF1E4FA8"/>
        <rFont val="Consolas"/>
        <family val="3"/>
      </rPr>
      <t>Dim</t>
    </r>
    <r>
      <rPr>
        <sz val="10"/>
        <rFont val="Consolas"/>
        <family val="3"/>
      </rPr>
      <t xml:space="preserve"> i </t>
    </r>
    <r>
      <rPr>
        <sz val="10"/>
        <color rgb="FF1E4FA8"/>
        <rFont val="Consolas"/>
        <family val="3"/>
      </rPr>
      <t>As Long</t>
    </r>
  </si>
  <si>
    <t xml:space="preserve">    ' Defining the module base name and individual function Names</t>
  </si>
  <si>
    <t xml:space="preserve">    ' Creates the list of custom Lambda function to copy</t>
  </si>
  <si>
    <r>
      <t xml:space="preserve">    </t>
    </r>
    <r>
      <rPr>
        <sz val="10"/>
        <color rgb="FF1E4FA8"/>
        <rFont val="Consolas"/>
        <family val="3"/>
      </rPr>
      <t>On Error GoTo</t>
    </r>
    <r>
      <rPr>
        <sz val="10"/>
        <rFont val="Consolas"/>
        <family val="3"/>
      </rPr>
      <t xml:space="preserve"> ErrHndlr</t>
    </r>
  </si>
  <si>
    <t xml:space="preserve">        arrFuncs = Split(STR_FUNC, "|")</t>
  </si>
  <si>
    <r>
      <t xml:space="preserve">        </t>
    </r>
    <r>
      <rPr>
        <sz val="10"/>
        <color rgb="FF1E4FA8"/>
        <rFont val="Consolas"/>
        <family val="3"/>
      </rPr>
      <t>Set</t>
    </r>
    <r>
      <rPr>
        <sz val="10"/>
        <rFont val="Consolas"/>
        <family val="3"/>
      </rPr>
      <t xml:space="preserve"> wb = Application.Workbooks("Example.xlsx")</t>
    </r>
  </si>
  <si>
    <r>
      <t xml:space="preserve">    </t>
    </r>
    <r>
      <rPr>
        <sz val="10"/>
        <color rgb="FF1E4FA8"/>
        <rFont val="Consolas"/>
        <family val="3"/>
      </rPr>
      <t>On Error GoTo</t>
    </r>
    <r>
      <rPr>
        <sz val="10"/>
        <rFont val="Consolas"/>
        <family val="3"/>
      </rPr>
      <t xml:space="preserve"> 0</t>
    </r>
  </si>
  <si>
    <r>
      <t xml:space="preserve">    </t>
    </r>
    <r>
      <rPr>
        <sz val="10"/>
        <color rgb="FF1E4FA8"/>
        <rFont val="Consolas"/>
        <family val="3"/>
      </rPr>
      <t>If</t>
    </r>
    <r>
      <rPr>
        <sz val="10"/>
        <rFont val="Consolas"/>
        <family val="3"/>
      </rPr>
      <t xml:space="preserve"> wb </t>
    </r>
    <r>
      <rPr>
        <sz val="10"/>
        <color rgb="FF1E4FA8"/>
        <rFont val="Consolas"/>
        <family val="3"/>
      </rPr>
      <t>Is Nothing Then</t>
    </r>
  </si>
  <si>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Destination Workbook not found - please ensure it is open"</t>
    </r>
  </si>
  <si>
    <r>
      <t xml:space="preserve">    </t>
    </r>
    <r>
      <rPr>
        <sz val="10"/>
        <color rgb="FF1E4FA8"/>
        <rFont val="Consolas"/>
        <family val="3"/>
      </rPr>
      <t>For</t>
    </r>
    <r>
      <rPr>
        <sz val="10"/>
        <rFont val="Consolas"/>
        <family val="3"/>
      </rPr>
      <t xml:space="preserve"> i = </t>
    </r>
    <r>
      <rPr>
        <sz val="10"/>
        <color rgb="FF1E4FA8"/>
        <rFont val="Consolas"/>
        <family val="3"/>
      </rPr>
      <t>LBound</t>
    </r>
    <r>
      <rPr>
        <sz val="10"/>
        <rFont val="Consolas"/>
        <family val="3"/>
      </rPr>
      <t xml:space="preserve">(arrFuncs) To </t>
    </r>
    <r>
      <rPr>
        <sz val="10"/>
        <color rgb="FF1E4FA8"/>
        <rFont val="Consolas"/>
        <family val="3"/>
      </rPr>
      <t>UBound</t>
    </r>
    <r>
      <rPr>
        <sz val="10"/>
        <rFont val="Consolas"/>
        <family val="3"/>
      </rPr>
      <t>(arrFuncs)</t>
    </r>
  </si>
  <si>
    <t xml:space="preserve">        strLambda = STR_MDL &amp; "." &amp; arrFuncs(i)</t>
  </si>
  <si>
    <t xml:space="preserve">        </t>
  </si>
  <si>
    <t xml:space="preserve">        On Error Resume Next</t>
  </si>
  <si>
    <r>
      <t xml:space="preserve">            </t>
    </r>
    <r>
      <rPr>
        <sz val="10"/>
        <color rgb="FF1E4FA8"/>
        <rFont val="Consolas"/>
        <family val="3"/>
      </rPr>
      <t>Set</t>
    </r>
    <r>
      <rPr>
        <sz val="10"/>
        <rFont val="Consolas"/>
        <family val="3"/>
      </rPr>
      <t xml:space="preserve"> nm = ThisWorkbook.Names(strLambda)</t>
    </r>
  </si>
  <si>
    <r>
      <t xml:space="preserve">        </t>
    </r>
    <r>
      <rPr>
        <sz val="10"/>
        <color rgb="FF1E4FA8"/>
        <rFont val="Consolas"/>
        <family val="3"/>
      </rPr>
      <t>If Not</t>
    </r>
    <r>
      <rPr>
        <sz val="10"/>
        <rFont val="Consolas"/>
        <family val="3"/>
      </rPr>
      <t xml:space="preserve"> nm </t>
    </r>
    <r>
      <rPr>
        <sz val="10"/>
        <color rgb="FF1E4FA8"/>
        <rFont val="Consolas"/>
        <family val="3"/>
      </rPr>
      <t>Is Nothing Then</t>
    </r>
  </si>
  <si>
    <t xml:space="preserve">            Err.Clear</t>
  </si>
  <si>
    <r>
      <t xml:space="preserve">            </t>
    </r>
    <r>
      <rPr>
        <sz val="10"/>
        <color rgb="FF1E4FA8"/>
        <rFont val="Consolas"/>
        <family val="3"/>
      </rPr>
      <t>Set</t>
    </r>
    <r>
      <rPr>
        <sz val="10"/>
        <rFont val="Consolas"/>
        <family val="3"/>
      </rPr>
      <t xml:space="preserve"> fn = wb.Names.Add(Name:=nm.Name, _</t>
    </r>
  </si>
  <si>
    <t xml:space="preserve">                                  RefersTo:=nm.RefersTo, _</t>
  </si>
  <si>
    <t xml:space="preserve">                                  Visible:=nm.Visible)</t>
  </si>
  <si>
    <r>
      <t xml:space="preserve">            </t>
    </r>
    <r>
      <rPr>
        <sz val="10"/>
        <color rgb="FF1E4FA8"/>
        <rFont val="Consolas"/>
        <family val="3"/>
      </rPr>
      <t>If</t>
    </r>
    <r>
      <rPr>
        <sz val="10"/>
        <rFont val="Consolas"/>
        <family val="3"/>
      </rPr>
      <t xml:space="preserve"> Err.Number = 0 </t>
    </r>
    <r>
      <rPr>
        <sz val="10"/>
        <color rgb="FF1E4FA8"/>
        <rFont val="Consolas"/>
        <family val="3"/>
      </rPr>
      <t>Then</t>
    </r>
  </si>
  <si>
    <t xml:space="preserve">                fn.Comment = nm.Comment</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</si>
  <si>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"Success! -&gt; " &amp; strLambda &amp; " copied to " &amp; wb.Name</t>
    </r>
  </si>
  <si>
    <t xml:space="preserve">            Else</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</si>
  <si>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Unable to copy " &amp; strLambda &amp; " to " &amp; wb.Name</t>
    </r>
  </si>
  <si>
    <t xml:space="preserve">            End If</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</si>
  <si>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 &amp; strLambda &amp; " not found"</t>
    </r>
  </si>
  <si>
    <r>
      <t xml:space="preserve">    </t>
    </r>
    <r>
      <rPr>
        <sz val="10"/>
        <color rgb="FF1E4FA8"/>
        <rFont val="Consolas"/>
        <family val="3"/>
      </rPr>
      <t>Next</t>
    </r>
    <r>
      <rPr>
        <sz val="10"/>
        <rFont val="Consolas"/>
        <family val="3"/>
      </rPr>
      <t xml:space="preserve"> i</t>
    </r>
  </si>
  <si>
    <t xml:space="preserve">    Exit Sub</t>
  </si>
  <si>
    <t>ErrHndlr:</t>
  </si>
  <si>
    <r>
      <t xml:space="preserve">    </t>
    </r>
    <r>
      <rPr>
        <sz val="10"/>
        <color rgb="FF1E4FA8"/>
        <rFont val="Consolas"/>
        <family val="3"/>
      </rPr>
      <t>Debug</t>
    </r>
    <r>
      <rPr>
        <sz val="10"/>
        <rFont val="Consolas"/>
        <family val="3"/>
      </rPr>
      <t>.</t>
    </r>
    <r>
      <rPr>
        <sz val="10"/>
        <color rgb="FF1E4FA8"/>
        <rFont val="Consolas"/>
        <family val="3"/>
      </rPr>
      <t>Print</t>
    </r>
    <r>
      <rPr>
        <sz val="10"/>
        <rFont val="Consolas"/>
        <family val="3"/>
      </rPr>
      <t xml:space="preserve"> "ERROR: Unable to correctly handle expected module function names"</t>
    </r>
  </si>
  <si>
    <r>
      <t xml:space="preserve">    </t>
    </r>
    <r>
      <rPr>
        <sz val="10"/>
        <color rgb="FF1E4FA8"/>
        <rFont val="Consolas"/>
        <family val="3"/>
      </rPr>
      <t>Const</t>
    </r>
    <r>
      <rPr>
        <sz val="10"/>
        <rFont val="Consolas"/>
        <family val="3"/>
      </rPr>
      <t xml:space="preserve"> STR_MDL </t>
    </r>
    <r>
      <rPr>
        <sz val="10"/>
        <color rgb="FF1E4FA8"/>
        <rFont val="Consolas"/>
        <family val="3"/>
      </rPr>
      <t>As String</t>
    </r>
    <r>
      <rPr>
        <sz val="10"/>
        <rFont val="Consolas"/>
        <family val="3"/>
      </rPr>
      <t xml:space="preserve"> = "RXL_Smoothing"</t>
    </r>
  </si>
  <si>
    <r>
      <t xml:space="preserve">    </t>
    </r>
    <r>
      <rPr>
        <sz val="10"/>
        <color rgb="FF1E4FA8"/>
        <rFont val="Consolas"/>
        <family val="3"/>
      </rPr>
      <t>Const</t>
    </r>
    <r>
      <rPr>
        <sz val="10"/>
        <rFont val="Consolas"/>
        <family val="3"/>
      </rPr>
      <t xml:space="preserve"> STR_FUNC </t>
    </r>
    <r>
      <rPr>
        <sz val="10"/>
        <color rgb="FF1E4FA8"/>
        <rFont val="Consolas"/>
        <family val="3"/>
      </rPr>
      <t>As String</t>
    </r>
    <r>
      <rPr>
        <sz val="10"/>
        <rFont val="Consolas"/>
        <family val="3"/>
      </rPr>
      <t xml:space="preserve"> = "About|ExpSmoothing|Interpolation|Outliers"</t>
    </r>
  </si>
  <si>
    <r>
      <t xml:space="preserve">If not supplied, will </t>
    </r>
    <r>
      <rPr>
        <b/>
        <sz val="10"/>
        <rFont val="Calibri"/>
        <family val="2"/>
        <scheme val="minor"/>
      </rPr>
      <t>default</t>
    </r>
    <r>
      <rPr>
        <sz val="10"/>
        <color rgb="FF002138"/>
        <rFont val="Calibri"/>
        <family val="2"/>
        <scheme val="minor"/>
      </rPr>
      <t xml:space="preserve"> to </t>
    </r>
    <r>
      <rPr>
        <sz val="10"/>
        <color rgb="FF0000FF"/>
        <rFont val="Consolas"/>
        <family val="3"/>
      </rPr>
      <t>0</t>
    </r>
    <r>
      <rPr>
        <sz val="10"/>
        <color rgb="FF002138"/>
        <rFont val="Calibri"/>
        <family val="2"/>
        <scheme val="minor"/>
      </rPr>
      <t xml:space="preserve"> (zero)</t>
    </r>
  </si>
  <si>
    <r>
      <t xml:space="preserve">If not supplied, will </t>
    </r>
    <r>
      <rPr>
        <b/>
        <sz val="10"/>
        <rFont val="Calibri"/>
        <family val="2"/>
        <scheme val="minor"/>
      </rPr>
      <t>default</t>
    </r>
    <r>
      <rPr>
        <sz val="10"/>
        <color rgb="FF002138"/>
        <rFont val="Calibri"/>
        <family val="2"/>
        <scheme val="minor"/>
      </rPr>
      <t xml:space="preserve"> to the first value in the </t>
    </r>
    <r>
      <rPr>
        <sz val="10"/>
        <color rgb="FF0065A8"/>
        <rFont val="Consolas"/>
        <family val="3"/>
      </rPr>
      <t>array</t>
    </r>
    <r>
      <rPr>
        <sz val="10"/>
        <color rgb="FF002138"/>
        <rFont val="Calibri"/>
        <family val="2"/>
        <scheme val="minor"/>
      </rPr>
      <t xml:space="preserve"> input</t>
    </r>
  </si>
  <si>
    <r>
      <t xml:space="preserve">If not supplied, will </t>
    </r>
    <r>
      <rPr>
        <b/>
        <sz val="10"/>
        <rFont val="Calibri"/>
        <family val="2"/>
        <scheme val="minor"/>
      </rPr>
      <t>default</t>
    </r>
    <r>
      <rPr>
        <sz val="10"/>
        <color rgb="FF002138"/>
        <rFont val="Calibri"/>
        <family val="2"/>
        <scheme val="minor"/>
      </rPr>
      <t xml:space="preserve"> to the last value in the </t>
    </r>
    <r>
      <rPr>
        <sz val="10"/>
        <color rgb="FF0065A8"/>
        <rFont val="Consolas"/>
        <family val="3"/>
      </rPr>
      <t>array</t>
    </r>
    <r>
      <rPr>
        <sz val="10"/>
        <color rgb="FF002138"/>
        <rFont val="Calibri"/>
        <family val="2"/>
        <scheme val="minor"/>
      </rPr>
      <t xml:space="preserve"> input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</si>
</sst>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_);\(#,##0\);\-_)"/>
    <numFmt numFmtId="165" formatCode="0.00%;\(0.00\)%;&quot;--&quot;_)"/>
    <numFmt numFmtId="166" formatCode="d\-mmm\-yyyy"/>
    <numFmt numFmtId="167" formatCode="_(* #,##0.00_);_(* \(#,##0.00\);_(* &quot;-&quot;??_);_(@_)"/>
    <numFmt numFmtId="168" formatCode="#,##0_);\(#,##0\);\ \-_)"/>
    <numFmt numFmtId="169" formatCode="0_);\(0\);\-_)"/>
    <numFmt numFmtId="170" formatCode="_(&quot;£&quot;* #,##0.00_);_(&quot;£&quot;* \(#,##0.00\);_(&quot;£&quot;* &quot;-&quot;??_);_(@_)"/>
    <numFmt numFmtId="171" formatCode="&quot;£&quot;#,##0.0,\ \K_);&quot;£&quot;\(#,##0.0,\ \K\);&quot;£&quot;0_)"/>
    <numFmt numFmtId="172" formatCode="[Red]&quot;CHECK&quot;;[Red]&quot;ERROR&quot;;&quot;OK&quot;"/>
    <numFmt numFmtId="173" formatCode="#,##0_);[Red]\(#,##0\);\ \-_)"/>
    <numFmt numFmtId="174" formatCode="0.00%;[Red]\(0.00\)%;&quot;--&quot;_)"/>
    <numFmt numFmtId="175" formatCode="mmm\-yyyy_)"/>
    <numFmt numFmtId="176" formatCode="0_);[Red]\(0\);\-_)"/>
    <numFmt numFmtId="177" formatCode="00\."/>
    <numFmt numFmtId="178" formatCode="&quot;Yes (1)&quot;;[Red]&quot;Err&quot;;&quot;No (0)&quot;"/>
    <numFmt numFmtId="179" formatCode="&quot;On (1)&quot;;[Red]&quot;Err&quot;;&quot;Off (0)&quot;"/>
    <numFmt numFmtId="180" formatCode="#,##0.00_);\(#,##0.00\);\-_)"/>
    <numFmt numFmtId="181" formatCode="#,##0.00_);\(#,##0.00\);\ \-_)"/>
    <numFmt numFmtId="182" formatCode="#,##0.0_);\(#,##0.0\);\ \-_)"/>
    <numFmt numFmtId="183" formatCode="#,##0.0_);\(#,##0.0\);\-_)"/>
  </numFmts>
  <fonts count="50" x14ac:knownFonts="1">
    <font>
      <sz val="10"/>
      <color rgb="FF002138"/>
      <name val="Calibri"/>
      <family val="2"/>
      <scheme val="minor"/>
    </font>
    <font>
      <sz val="10"/>
      <color theme="1"/>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b/>
      <sz val="10"/>
      <color theme="1"/>
      <name val="Calibri"/>
      <family val="2"/>
    </font>
    <font>
      <sz val="10"/>
      <color rgb="FF9C0006"/>
      <name val="Calibri"/>
      <family val="2"/>
      <scheme val="minor"/>
    </font>
    <font>
      <sz val="10"/>
      <color theme="1"/>
      <name val="Calibri"/>
      <family val="2"/>
      <scheme val="minor"/>
    </font>
    <font>
      <b/>
      <sz val="10"/>
      <color theme="1"/>
      <name val="Calibri"/>
      <family val="2"/>
      <scheme val="minor"/>
    </font>
    <font>
      <sz val="10"/>
      <color rgb="FF3F9C35"/>
      <name val="Consolas"/>
      <family val="3"/>
    </font>
    <font>
      <sz val="10"/>
      <color rgb="FF002138"/>
      <name val="Calibri"/>
      <family val="2"/>
      <scheme val="minor"/>
    </font>
    <font>
      <sz val="10"/>
      <color rgb="FF0000FF"/>
      <name val="Calibri"/>
      <family val="2"/>
      <scheme val="minor"/>
    </font>
    <font>
      <i/>
      <sz val="10"/>
      <color rgb="FF808080"/>
      <name val="Calibri"/>
      <family val="2"/>
      <scheme val="minor"/>
    </font>
    <font>
      <b/>
      <i/>
      <sz val="10"/>
      <color rgb="FF195C89"/>
      <name val="Calibri"/>
      <family val="2"/>
      <scheme val="minor"/>
    </font>
    <font>
      <sz val="10"/>
      <color rgb="FF006100"/>
      <name val="Calibri"/>
      <family val="2"/>
      <scheme val="minor"/>
    </font>
    <font>
      <b/>
      <sz val="12"/>
      <color rgb="FFFFFFFF"/>
      <name val="Arial"/>
      <family val="2"/>
      <scheme val="major"/>
    </font>
    <font>
      <b/>
      <sz val="11"/>
      <color rgb="FFFFFFFF"/>
      <name val="Arial"/>
      <family val="2"/>
      <scheme val="major"/>
    </font>
    <font>
      <b/>
      <sz val="10"/>
      <color rgb="FF595959"/>
      <name val="Arial"/>
      <family val="2"/>
      <scheme val="major"/>
    </font>
    <font>
      <sz val="10"/>
      <color theme="0" tint="-0.249977111117893"/>
      <name val="Calibri"/>
      <family val="2"/>
      <scheme val="minor"/>
    </font>
    <font>
      <sz val="10"/>
      <color rgb="FF195C89"/>
      <name val="Calibri"/>
      <family val="2"/>
      <scheme val="minor"/>
    </font>
    <font>
      <sz val="12"/>
      <color rgb="FF195C89"/>
      <name val="Arial"/>
      <family val="2"/>
      <scheme val="major"/>
    </font>
    <font>
      <sz val="10"/>
      <color theme="0"/>
      <name val="Calibri"/>
      <family val="2"/>
      <scheme val="minor"/>
    </font>
    <font>
      <sz val="10"/>
      <color theme="0" tint="-0.34998626667073579"/>
      <name val="Calibri"/>
      <family val="2"/>
      <scheme val="minor"/>
    </font>
    <font>
      <i/>
      <sz val="10"/>
      <color rgb="FF33B9F2"/>
      <name val="Calibri"/>
      <family val="2"/>
      <scheme val="minor"/>
    </font>
    <font>
      <sz val="10"/>
      <color rgb="FF9C5700"/>
      <name val="Calibri"/>
      <family val="2"/>
      <scheme val="minor"/>
    </font>
    <font>
      <i/>
      <sz val="10"/>
      <color rgb="FFFF8225"/>
      <name val="Calibri"/>
      <family val="2"/>
      <scheme val="minor"/>
    </font>
    <font>
      <sz val="10"/>
      <color rgb="FFB400B4"/>
      <name val="Calibri"/>
      <family val="2"/>
      <scheme val="minor"/>
    </font>
    <font>
      <sz val="10"/>
      <color rgb="FF8C0000"/>
      <name val="Calibri"/>
      <family val="2"/>
      <scheme val="minor"/>
    </font>
    <font>
      <b/>
      <sz val="12"/>
      <color rgb="FF195C89"/>
      <name val="Arial"/>
      <family val="2"/>
      <scheme val="major"/>
    </font>
    <font>
      <b/>
      <sz val="16"/>
      <color rgb="FF0E2550"/>
      <name val="Arial"/>
      <family val="2"/>
      <scheme val="major"/>
    </font>
    <font>
      <sz val="10"/>
      <color rgb="FFB4B4B4"/>
      <name val="Calibri"/>
      <family val="2"/>
      <scheme val="minor"/>
    </font>
    <font>
      <sz val="10"/>
      <color rgb="FFFF0000"/>
      <name val="Calibri"/>
      <family val="2"/>
      <scheme val="minor"/>
    </font>
    <font>
      <b/>
      <sz val="14"/>
      <color rgb="FFFFFFFF"/>
      <name val="Arial"/>
      <family val="2"/>
      <scheme val="major"/>
    </font>
    <font>
      <b/>
      <sz val="10"/>
      <color rgb="FF002138"/>
      <name val="Calibri"/>
      <family val="2"/>
      <scheme val="minor"/>
    </font>
    <font>
      <b/>
      <i/>
      <sz val="10"/>
      <color rgb="FF002138"/>
      <name val="Calibri"/>
      <family val="2"/>
      <scheme val="minor"/>
    </font>
    <font>
      <u/>
      <sz val="10"/>
      <color rgb="FF002138"/>
      <name val="Calibri"/>
      <family val="2"/>
      <scheme val="minor"/>
    </font>
    <font>
      <sz val="10"/>
      <color rgb="FF0065A8"/>
      <name val="Consolas"/>
      <family val="3"/>
    </font>
    <font>
      <sz val="10"/>
      <color rgb="FFC00000"/>
      <name val="Consolas"/>
      <family val="3"/>
    </font>
    <font>
      <b/>
      <sz val="10"/>
      <color rgb="FFB75EE1"/>
      <name val="Calibri"/>
      <family val="2"/>
      <scheme val="minor"/>
    </font>
    <font>
      <b/>
      <sz val="10"/>
      <color rgb="FFFC6017"/>
      <name val="Calibri"/>
      <family val="2"/>
      <scheme val="minor"/>
    </font>
    <font>
      <sz val="10"/>
      <color rgb="FF1E4FA8"/>
      <name val="Consolas"/>
      <family val="3"/>
    </font>
    <font>
      <u/>
      <sz val="10"/>
      <color theme="10"/>
      <name val="Calibri"/>
      <family val="2"/>
      <scheme val="minor"/>
    </font>
    <font>
      <sz val="10"/>
      <color rgb="FF0000FF"/>
      <name val="Consolas"/>
      <family val="3"/>
    </font>
    <font>
      <sz val="10"/>
      <color theme="8" tint="-9.9978637043366805E-2"/>
      <name val="Calibri"/>
      <family val="2"/>
      <scheme val="minor"/>
    </font>
    <font>
      <b/>
      <i/>
      <sz val="10"/>
      <color theme="4"/>
      <name val="Calibri"/>
      <family val="2"/>
      <scheme val="minor"/>
    </font>
    <font>
      <sz val="10"/>
      <color rgb="FF002138"/>
      <name val="Calibri"/>
      <family val="3"/>
      <scheme val="minor"/>
    </font>
    <font>
      <sz val="10"/>
      <name val="Consolas"/>
      <family val="3"/>
    </font>
    <font>
      <b/>
      <sz val="10"/>
      <name val="Calibri"/>
      <family val="2"/>
      <scheme val="minor"/>
    </font>
  </fonts>
  <fills count="2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FEE6CE"/>
        <bgColor indexed="64"/>
      </patternFill>
    </fill>
    <fill>
      <patternFill patternType="solid">
        <fgColor rgb="FF198B83"/>
        <bgColor indexed="64"/>
      </patternFill>
    </fill>
    <fill>
      <patternFill patternType="solid">
        <fgColor rgb="FF56BAB8"/>
        <bgColor indexed="64"/>
      </patternFill>
    </fill>
    <fill>
      <patternFill patternType="solid">
        <fgColor rgb="FFE6D3B8"/>
        <bgColor indexed="64"/>
      </patternFill>
    </fill>
    <fill>
      <patternFill patternType="solid">
        <fgColor rgb="FFF7ECDD"/>
        <bgColor indexed="64"/>
      </patternFill>
    </fill>
    <fill>
      <patternFill patternType="solid">
        <fgColor rgb="FFFFFFD2"/>
        <bgColor indexed="64"/>
      </patternFill>
    </fill>
    <fill>
      <patternFill patternType="solid">
        <fgColor rgb="FFF9E7FF"/>
        <bgColor indexed="64"/>
      </patternFill>
    </fill>
    <fill>
      <patternFill patternType="solid">
        <fgColor rgb="FFEBFAFA"/>
        <bgColor indexed="64"/>
      </patternFill>
    </fill>
    <fill>
      <patternFill patternType="solid">
        <fgColor rgb="FFFF4F4F"/>
        <bgColor indexed="64"/>
      </patternFill>
    </fill>
    <fill>
      <patternFill patternType="solid">
        <fgColor rgb="FFFFC000"/>
        <bgColor indexed="64"/>
      </patternFill>
    </fill>
    <fill>
      <patternFill patternType="solid">
        <fgColor rgb="FFF8F200"/>
        <bgColor indexed="64"/>
      </patternFill>
    </fill>
    <fill>
      <patternFill patternType="solid">
        <fgColor rgb="FFBEE4E3"/>
        <bgColor indexed="64"/>
      </patternFill>
    </fill>
    <fill>
      <patternFill patternType="lightUp">
        <fgColor theme="0" tint="-0.34998626667073579"/>
        <bgColor auto="1"/>
      </patternFill>
    </fill>
    <fill>
      <patternFill patternType="solid">
        <fgColor rgb="FFE4E6E8"/>
        <bgColor indexed="64"/>
      </patternFill>
    </fill>
  </fills>
  <borders count="18">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double">
        <color theme="1" tint="0.24994659260841701"/>
      </bottom>
      <diagonal/>
    </border>
    <border>
      <left/>
      <right/>
      <top style="medium">
        <color theme="5"/>
      </top>
      <bottom/>
      <diagonal/>
    </border>
    <border>
      <left style="thin">
        <color rgb="FF198B83"/>
      </left>
      <right style="thin">
        <color rgb="FF198B83"/>
      </right>
      <top style="thin">
        <color rgb="FF198B83"/>
      </top>
      <bottom style="thin">
        <color rgb="FF198B83"/>
      </bottom>
      <diagonal/>
    </border>
    <border>
      <left style="thin">
        <color rgb="FF56BAB8"/>
      </left>
      <right style="thin">
        <color rgb="FF56BAB8"/>
      </right>
      <top style="thin">
        <color rgb="FF56BAB8"/>
      </top>
      <bottom style="thin">
        <color rgb="FF56BAB8"/>
      </bottom>
      <diagonal/>
    </border>
    <border>
      <left style="thin">
        <color rgb="FFE6D3B8"/>
      </left>
      <right style="thin">
        <color rgb="FFE6D3B8"/>
      </right>
      <top style="thin">
        <color rgb="FFE6D3B8"/>
      </top>
      <bottom style="thin">
        <color rgb="FFE6D3B8"/>
      </bottom>
      <diagonal/>
    </border>
    <border>
      <left style="thin">
        <color rgb="FFF7ECDD"/>
      </left>
      <right style="thin">
        <color rgb="FFF7ECDD"/>
      </right>
      <top style="thin">
        <color rgb="FFF7ECDD"/>
      </top>
      <bottom style="thin">
        <color rgb="FFF7ECDD"/>
      </bottom>
      <diagonal/>
    </border>
    <border>
      <left/>
      <right/>
      <top style="thin">
        <color theme="4"/>
      </top>
      <bottom/>
      <diagonal/>
    </border>
    <border>
      <left/>
      <right/>
      <top/>
      <bottom style="medium">
        <color theme="5"/>
      </bottom>
      <diagonal/>
    </border>
    <border>
      <left style="hair">
        <color rgb="FF0082B3"/>
      </left>
      <right style="hair">
        <color rgb="FF0082B3"/>
      </right>
      <top style="hair">
        <color rgb="FF0082B3"/>
      </top>
      <bottom style="hair">
        <color rgb="FF0082B3"/>
      </bottom>
      <diagonal/>
    </border>
  </borders>
  <cellStyleXfs count="72">
    <xf numFmtId="0" fontId="0" fillId="0" borderId="0"/>
    <xf numFmtId="167" fontId="12" fillId="0" borderId="0" applyNumberFormat="0" applyAlignment="0" applyProtection="0"/>
    <xf numFmtId="170" fontId="12" fillId="0" borderId="0" applyNumberFormat="0" applyAlignment="0" applyProtection="0"/>
    <xf numFmtId="171" fontId="1" fillId="0" borderId="0" applyFont="0" applyFill="0" applyBorder="0" applyAlignment="0" applyProtection="0"/>
    <xf numFmtId="9" fontId="12" fillId="0" borderId="0" applyNumberFormat="0" applyAlignment="0" applyProtection="0"/>
    <xf numFmtId="0" fontId="31" fillId="0" borderId="0" applyAlignment="0" applyProtection="0"/>
    <xf numFmtId="0" fontId="17" fillId="10" borderId="11" applyNumberFormat="0" applyAlignment="0" applyProtection="0"/>
    <xf numFmtId="0" fontId="18" fillId="11" borderId="12" applyNumberFormat="0" applyAlignment="0" applyProtection="0"/>
    <xf numFmtId="0" fontId="19" fillId="12" borderId="13" applyNumberFormat="0" applyAlignment="0" applyProtection="0"/>
    <xf numFmtId="0" fontId="19" fillId="13" borderId="14" applyNumberFormat="0" applyAlignment="0" applyProtection="0"/>
    <xf numFmtId="0" fontId="16" fillId="2" borderId="0" applyNumberFormat="0" applyBorder="0" applyAlignment="0" applyProtection="0"/>
    <xf numFmtId="0" fontId="8" fillId="3" borderId="0" applyNumberFormat="0" applyBorder="0" applyAlignment="0" applyProtection="0"/>
    <xf numFmtId="0" fontId="26" fillId="4" borderId="0" applyNumberFormat="0" applyBorder="0" applyAlignment="0" applyProtection="0"/>
    <xf numFmtId="0" fontId="2" fillId="5" borderId="1" applyNumberFormat="0" applyAlignment="0" applyProtection="0"/>
    <xf numFmtId="0" fontId="3" fillId="6" borderId="2" applyNumberFormat="0" applyAlignment="0" applyProtection="0"/>
    <xf numFmtId="0" fontId="4" fillId="6" borderId="1" applyNumberFormat="0" applyAlignment="0" applyProtection="0"/>
    <xf numFmtId="0" fontId="5" fillId="0" borderId="3" applyNumberFormat="0" applyFill="0" applyAlignment="0" applyProtection="0"/>
    <xf numFmtId="0" fontId="6" fillId="7" borderId="4" applyNumberFormat="0" applyAlignment="0" applyProtection="0"/>
    <xf numFmtId="164" fontId="33" fillId="0" borderId="0" applyNumberFormat="0" applyFill="0" applyBorder="0" applyAlignment="0" applyProtection="0"/>
    <xf numFmtId="0" fontId="1" fillId="8" borderId="5" applyNumberFormat="0" applyFont="0" applyAlignment="0" applyProtection="0"/>
    <xf numFmtId="164" fontId="14" fillId="0" borderId="0" applyNumberFormat="0" applyFill="0" applyBorder="0" applyAlignment="0" applyProtection="0"/>
    <xf numFmtId="0" fontId="7" fillId="0" borderId="6" applyNumberFormat="0" applyFill="0" applyAlignment="0" applyProtection="0"/>
    <xf numFmtId="164" fontId="9" fillId="0" borderId="7" applyAlignment="0"/>
    <xf numFmtId="165" fontId="9" fillId="0" borderId="7" applyAlignment="0"/>
    <xf numFmtId="166" fontId="9" fillId="0" borderId="7" applyAlignment="0"/>
    <xf numFmtId="164" fontId="9" fillId="0" borderId="8" applyNumberFormat="0" applyAlignment="0"/>
    <xf numFmtId="164" fontId="10" fillId="0" borderId="9" applyNumberFormat="0" applyAlignment="0"/>
    <xf numFmtId="0" fontId="11" fillId="0" borderId="0" applyFill="0" applyBorder="0" applyAlignment="0"/>
    <xf numFmtId="168" fontId="13" fillId="9" borderId="7" applyAlignment="0">
      <protection locked="0"/>
    </xf>
    <xf numFmtId="165" fontId="13" fillId="9" borderId="7" applyAlignment="0">
      <protection locked="0"/>
    </xf>
    <xf numFmtId="166" fontId="13" fillId="9" borderId="7" applyAlignment="0">
      <protection locked="0"/>
    </xf>
    <xf numFmtId="169" fontId="13" fillId="9" borderId="7" applyAlignment="0">
      <protection locked="0"/>
    </xf>
    <xf numFmtId="0" fontId="15" fillId="0" borderId="10" applyFill="0">
      <alignment vertical="center"/>
    </xf>
    <xf numFmtId="172" fontId="20" fillId="0" borderId="0" applyFill="0">
      <alignment horizontal="center"/>
    </xf>
    <xf numFmtId="168" fontId="13" fillId="14" borderId="7" applyAlignment="0">
      <protection locked="0"/>
    </xf>
    <xf numFmtId="165" fontId="13" fillId="14" borderId="7" applyAlignment="0">
      <protection locked="0"/>
    </xf>
    <xf numFmtId="166" fontId="13" fillId="14" borderId="7" applyAlignment="0">
      <protection locked="0"/>
    </xf>
    <xf numFmtId="169" fontId="13" fillId="14" borderId="7" applyAlignment="0">
      <protection locked="0"/>
    </xf>
    <xf numFmtId="164" fontId="21" fillId="15" borderId="7" applyAlignment="0">
      <protection locked="0"/>
    </xf>
    <xf numFmtId="0" fontId="22" fillId="0" borderId="0">
      <alignment vertical="center"/>
    </xf>
    <xf numFmtId="168" fontId="13" fillId="16" borderId="7" applyAlignment="0"/>
    <xf numFmtId="164" fontId="23" fillId="17" borderId="0">
      <alignment horizontal="center"/>
    </xf>
    <xf numFmtId="164" fontId="23" fillId="18" borderId="0">
      <alignment horizontal="center"/>
    </xf>
    <xf numFmtId="164" fontId="24" fillId="19" borderId="0">
      <alignment horizontal="center"/>
    </xf>
    <xf numFmtId="0" fontId="25" fillId="0" borderId="0"/>
    <xf numFmtId="0" fontId="27" fillId="0" borderId="0" applyNumberFormat="0" applyFill="0" applyBorder="0" applyAlignment="0"/>
    <xf numFmtId="0" fontId="21" fillId="0" borderId="0" applyNumberFormat="0" applyFill="0" applyBorder="0" applyAlignment="0"/>
    <xf numFmtId="173" fontId="9" fillId="0" borderId="0" applyFill="0" applyAlignment="0"/>
    <xf numFmtId="174" fontId="9" fillId="0" borderId="0" applyFill="0" applyAlignment="0"/>
    <xf numFmtId="175" fontId="9" fillId="0" borderId="0" applyFill="0" applyAlignment="0"/>
    <xf numFmtId="164" fontId="10" fillId="0" borderId="15" applyNumberFormat="0" applyFill="0" applyAlignment="0"/>
    <xf numFmtId="176" fontId="9" fillId="0" borderId="0" applyFill="0" applyAlignment="0"/>
    <xf numFmtId="164" fontId="10" fillId="0" borderId="6" applyNumberFormat="0" applyFill="0" applyAlignment="0"/>
    <xf numFmtId="168" fontId="28" fillId="0" borderId="7" applyAlignment="0"/>
    <xf numFmtId="165" fontId="28" fillId="0" borderId="7" applyAlignment="0"/>
    <xf numFmtId="166" fontId="28" fillId="0" borderId="7" applyAlignment="0"/>
    <xf numFmtId="168" fontId="28" fillId="0" borderId="8" applyNumberFormat="0" applyAlignment="0"/>
    <xf numFmtId="169" fontId="28" fillId="0" borderId="7" applyAlignment="0"/>
    <xf numFmtId="168" fontId="29" fillId="0" borderId="7" applyAlignment="0"/>
    <xf numFmtId="165" fontId="29" fillId="0" borderId="7" applyAlignment="0"/>
    <xf numFmtId="166" fontId="29" fillId="0" borderId="7" applyAlignment="0"/>
    <xf numFmtId="168" fontId="29" fillId="0" borderId="8" applyNumberFormat="0" applyAlignment="0"/>
    <xf numFmtId="169" fontId="29" fillId="0" borderId="7" applyAlignment="0"/>
    <xf numFmtId="0" fontId="30" fillId="0" borderId="16"/>
    <xf numFmtId="169" fontId="9" fillId="20" borderId="0" applyAlignment="0" applyProtection="0"/>
    <xf numFmtId="0" fontId="32" fillId="0" borderId="0" applyNumberFormat="0" applyFill="0" applyBorder="0">
      <alignment horizontal="center"/>
    </xf>
    <xf numFmtId="0" fontId="24" fillId="21" borderId="17" applyNumberFormat="0" applyBorder="0" applyAlignment="0" applyProtection="0"/>
    <xf numFmtId="164" fontId="9" fillId="22" borderId="7"/>
    <xf numFmtId="165" fontId="9" fillId="22" borderId="7"/>
    <xf numFmtId="164" fontId="9" fillId="22" borderId="8" applyNumberFormat="0"/>
    <xf numFmtId="164" fontId="9" fillId="22" borderId="9" applyNumberFormat="0"/>
    <xf numFmtId="0" fontId="43" fillId="0" borderId="0" applyNumberFormat="0" applyFill="0" applyBorder="0" applyAlignment="0" applyProtection="0"/>
  </cellStyleXfs>
  <cellXfs count="76">
    <xf numFmtId="0" fontId="0" fillId="0" borderId="0" xfId="0"/>
    <xf numFmtId="0" fontId="17" fillId="10" borderId="11" xfId="6"/>
    <xf numFmtId="0" fontId="34" fillId="10" borderId="11" xfId="6" applyFont="1" applyAlignment="1">
      <alignment horizontal="left" vertical="center" indent="1"/>
    </xf>
    <xf numFmtId="0" fontId="35" fillId="0" borderId="0" xfId="0" applyFont="1"/>
    <xf numFmtId="0" fontId="36" fillId="0" borderId="0" xfId="0" applyFont="1"/>
    <xf numFmtId="0" fontId="30" fillId="0" borderId="16" xfId="63"/>
    <xf numFmtId="177" fontId="30" fillId="0" borderId="16" xfId="63" applyNumberFormat="1"/>
    <xf numFmtId="0" fontId="19" fillId="13" borderId="14" xfId="9"/>
    <xf numFmtId="0" fontId="19" fillId="13" borderId="14" xfId="9" applyAlignment="1">
      <alignment horizontal="left" indent="1"/>
    </xf>
    <xf numFmtId="0" fontId="37" fillId="0" borderId="0" xfId="0" applyFont="1"/>
    <xf numFmtId="0" fontId="35" fillId="0" borderId="0" xfId="0" applyFont="1" applyAlignment="1">
      <alignment horizontal="center"/>
    </xf>
    <xf numFmtId="0" fontId="15" fillId="0" borderId="10" xfId="32">
      <alignment vertical="center"/>
    </xf>
    <xf numFmtId="0" fontId="38" fillId="0" borderId="0" xfId="27" applyFont="1"/>
    <xf numFmtId="0" fontId="39" fillId="0" borderId="0" xfId="27" applyFont="1"/>
    <xf numFmtId="0" fontId="40" fillId="0" borderId="0" xfId="0" applyFont="1"/>
    <xf numFmtId="0" fontId="41" fillId="0" borderId="0" xfId="0" applyFont="1"/>
    <xf numFmtId="0" fontId="0" fillId="0" borderId="0" xfId="0" applyAlignment="1">
      <alignment horizontal="right"/>
    </xf>
    <xf numFmtId="0" fontId="11" fillId="0" borderId="0" xfId="0" applyFont="1"/>
    <xf numFmtId="0" fontId="42" fillId="0" borderId="0" xfId="0" applyFont="1"/>
    <xf numFmtId="0" fontId="32" fillId="0" borderId="0" xfId="0" applyFont="1"/>
    <xf numFmtId="0" fontId="25" fillId="0" borderId="0" xfId="44"/>
    <xf numFmtId="178" fontId="13" fillId="16" borderId="7" xfId="40" applyNumberFormat="1"/>
    <xf numFmtId="179" fontId="13" fillId="16" borderId="7" xfId="40" applyNumberFormat="1"/>
    <xf numFmtId="0" fontId="0" fillId="0" borderId="0" xfId="0" applyAlignment="1">
      <alignment horizontal="left" indent="1"/>
    </xf>
    <xf numFmtId="164" fontId="9" fillId="0" borderId="7" xfId="22"/>
    <xf numFmtId="168" fontId="13" fillId="14" borderId="7" xfId="34">
      <protection locked="0"/>
    </xf>
    <xf numFmtId="0" fontId="11" fillId="0" borderId="0" xfId="27"/>
    <xf numFmtId="0" fontId="38" fillId="0" borderId="0" xfId="27" quotePrefix="1" applyFont="1"/>
    <xf numFmtId="0" fontId="43" fillId="0" borderId="0" xfId="71"/>
    <xf numFmtId="0" fontId="35" fillId="0" borderId="0" xfId="0" applyFont="1" applyAlignment="1">
      <alignment horizontal="right"/>
    </xf>
    <xf numFmtId="169" fontId="13" fillId="14" borderId="7" xfId="37">
      <protection locked="0"/>
    </xf>
    <xf numFmtId="0" fontId="38" fillId="0" borderId="0" xfId="27" quotePrefix="1" applyFont="1" applyAlignment="1">
      <alignment horizontal="left"/>
    </xf>
    <xf numFmtId="9" fontId="0" fillId="0" borderId="0" xfId="0" applyNumberFormat="1"/>
    <xf numFmtId="175" fontId="13" fillId="14" borderId="7" xfId="36" applyNumberFormat="1">
      <protection locked="0"/>
    </xf>
    <xf numFmtId="0" fontId="0" fillId="0" borderId="0" xfId="0" applyAlignment="1">
      <alignment horizontal="center"/>
    </xf>
    <xf numFmtId="180" fontId="9" fillId="0" borderId="7" xfId="22" applyNumberFormat="1"/>
    <xf numFmtId="181" fontId="13" fillId="14" borderId="7" xfId="34" applyNumberFormat="1">
      <protection locked="0"/>
    </xf>
    <xf numFmtId="179" fontId="13" fillId="14" borderId="7" xfId="37" applyNumberFormat="1" applyAlignment="1">
      <alignment horizontal="center"/>
      <protection locked="0"/>
    </xf>
    <xf numFmtId="168" fontId="28" fillId="0" borderId="7" xfId="53"/>
    <xf numFmtId="168" fontId="13" fillId="14" borderId="7" xfId="34" applyAlignment="1">
      <protection locked="0"/>
    </xf>
    <xf numFmtId="0" fontId="13" fillId="0" borderId="0" xfId="0" quotePrefix="1" applyFont="1"/>
    <xf numFmtId="0" fontId="44" fillId="0" borderId="0" xfId="27" quotePrefix="1" applyFont="1" applyAlignment="1">
      <alignment horizontal="right"/>
    </xf>
    <xf numFmtId="168" fontId="45" fillId="0" borderId="0" xfId="0" applyNumberFormat="1" applyFont="1"/>
    <xf numFmtId="0" fontId="44" fillId="0" borderId="0" xfId="0" quotePrefix="1" applyFont="1" applyAlignment="1">
      <alignment horizontal="right"/>
    </xf>
    <xf numFmtId="0" fontId="35" fillId="0" borderId="0" xfId="0" quotePrefix="1" applyFont="1"/>
    <xf numFmtId="182" fontId="13" fillId="14" borderId="7" xfId="34" applyNumberFormat="1">
      <protection locked="0"/>
    </xf>
    <xf numFmtId="173" fontId="45" fillId="0" borderId="0" xfId="0" applyNumberFormat="1" applyFont="1"/>
    <xf numFmtId="183" fontId="9" fillId="0" borderId="7" xfId="22" applyNumberFormat="1"/>
    <xf numFmtId="169" fontId="13" fillId="14" borderId="7" xfId="37" applyAlignment="1">
      <alignment horizontal="center"/>
      <protection locked="0"/>
    </xf>
    <xf numFmtId="178" fontId="13" fillId="14" borderId="7" xfId="34" applyNumberFormat="1" applyAlignment="1">
      <alignment horizontal="center"/>
      <protection locked="0"/>
    </xf>
    <xf numFmtId="0" fontId="11" fillId="0" borderId="0" xfId="27" applyBorder="1"/>
    <xf numFmtId="0" fontId="46" fillId="0" borderId="0" xfId="0" applyFont="1"/>
    <xf numFmtId="168" fontId="24" fillId="21" borderId="7" xfId="66" applyNumberFormat="1" applyBorder="1" applyProtection="1">
      <protection locked="0"/>
    </xf>
    <xf numFmtId="168" fontId="13" fillId="14" borderId="7" xfId="34" quotePrefix="1">
      <protection locked="0"/>
    </xf>
    <xf numFmtId="182" fontId="13" fillId="14" borderId="7" xfId="34" quotePrefix="1" applyNumberFormat="1">
      <protection locked="0"/>
    </xf>
    <xf numFmtId="168" fontId="0" fillId="0" borderId="0" xfId="0" applyNumberFormat="1"/>
    <xf numFmtId="0" fontId="38" fillId="0" borderId="0" xfId="27" quotePrefix="1" applyFont="1" applyAlignment="1">
      <alignment horizontal="left" indent="2"/>
    </xf>
    <xf numFmtId="0" fontId="38" fillId="0" borderId="0" xfId="27" quotePrefix="1" applyFont="1" applyAlignment="1">
      <alignment horizontal="left" indent="4"/>
    </xf>
    <xf numFmtId="0" fontId="38" fillId="0" borderId="0" xfId="27" quotePrefix="1" applyFont="1" applyAlignment="1">
      <alignment horizontal="left" indent="6"/>
    </xf>
    <xf numFmtId="0" fontId="38" fillId="0" borderId="0" xfId="27" quotePrefix="1" applyFont="1" applyAlignment="1">
      <alignment horizontal="left" indent="8"/>
    </xf>
    <xf numFmtId="0" fontId="0" fillId="0" borderId="0" xfId="0" applyAlignment="1">
      <alignment horizontal="left" indent="2"/>
    </xf>
    <xf numFmtId="0" fontId="11" fillId="0" borderId="0" xfId="27" quotePrefix="1" applyAlignment="1">
      <alignment horizontal="left" indent="2"/>
    </xf>
    <xf numFmtId="0" fontId="11" fillId="0" borderId="0" xfId="27" quotePrefix="1" applyAlignment="1">
      <alignment horizontal="left" indent="4"/>
    </xf>
    <xf numFmtId="0" fontId="47" fillId="0" borderId="0" xfId="0" applyFont="1"/>
    <xf numFmtId="164" fontId="9" fillId="0" borderId="7" xfId="22" applyAlignment="1">
      <alignment horizontal="center"/>
    </xf>
    <xf numFmtId="183" fontId="9" fillId="0" borderId="7" xfId="22" applyNumberFormat="1" applyAlignment="1">
      <alignment horizontal="center"/>
    </xf>
    <xf numFmtId="0" fontId="0" fillId="0" borderId="0" xfId="0" quotePrefix="1"/>
    <xf numFmtId="0" fontId="0" fillId="0" borderId="0" xfId="0" quotePrefix="1" applyAlignment="1">
      <alignment horizontal="left" indent="1"/>
    </xf>
    <xf numFmtId="0" fontId="0" fillId="0" borderId="0" xfId="0" applyAlignment="1">
      <alignment horizontal="left" indent="3"/>
    </xf>
    <xf numFmtId="0" fontId="44" fillId="0" borderId="0" xfId="0" applyFont="1"/>
    <xf numFmtId="4" fontId="0" fillId="0" borderId="0" xfId="0" applyNumberFormat="1"/>
    <xf numFmtId="180" fontId="9" fillId="0" borderId="7" xfId="22" applyNumberFormat="1" applyAlignment="1">
      <alignment horizontal="center"/>
    </xf>
    <xf numFmtId="0" fontId="38" fillId="0" borderId="0" xfId="27" quotePrefix="1" applyFont="1" applyAlignment="1">
      <alignment horizontal="left" indent="10"/>
    </xf>
    <xf numFmtId="0" fontId="44" fillId="0" borderId="0" xfId="0" quotePrefix="1" applyFont="1" applyAlignment="1">
      <alignment horizontal="center"/>
    </xf>
    <xf numFmtId="0" fontId="0" fillId="0" borderId="0" xfId="0" quotePrefix="1" applyAlignment="1">
      <alignment horizontal="left" indent="2"/>
    </xf>
    <xf numFmtId="0" fontId="48" fillId="0" borderId="0" xfId="0" applyFont="1"/>
  </cellXfs>
  <cellStyles count="72">
    <cellStyle name="Bad" xfId="11" builtinId="27" customBuiltin="1"/>
    <cellStyle name="Calc - #" xfId="22" xr:uid="{F527EAFB-9F21-4BF1-AB18-B9A0BD4A7DCE}"/>
    <cellStyle name="Calc - %" xfId="23" xr:uid="{B73BDC4B-EC5F-495F-B8DD-9CC9AFA094CD}"/>
    <cellStyle name="Calc - Date" xfId="24" xr:uid="{7FC39344-F211-4BFD-800E-6EDBD190C715}"/>
    <cellStyle name="Calc - SubTotal" xfId="25" xr:uid="{B747823A-4DDD-4DE0-8CFC-14512AD7E0EC}"/>
    <cellStyle name="Calc - Total" xfId="26" xr:uid="{AAC59D60-FCEA-4BC1-8825-5BF7455A753C}"/>
    <cellStyle name="Calculation" xfId="15" builtinId="22" hidden="1"/>
    <cellStyle name="Check Cell" xfId="17" builtinId="23" hidden="1"/>
    <cellStyle name="Code" xfId="27" xr:uid="{CC17487D-1AEE-4EC7-95C2-6FF3200998CE}"/>
    <cellStyle name="Comma" xfId="1" builtinId="3" customBuiltin="1"/>
    <cellStyle name="Const - #" xfId="28" xr:uid="{16DDC202-7BE8-49F5-BB4C-EE2E04B76A7F}"/>
    <cellStyle name="Const - %" xfId="29" xr:uid="{01FF21C3-3B2C-4872-A64A-2DA3A9CC2CC7}"/>
    <cellStyle name="Const - Date" xfId="30" xr:uid="{DF3B3F73-88CF-4712-8230-73E32434CCD2}"/>
    <cellStyle name="Const - Text" xfId="31" xr:uid="{5ACFC0C8-67F1-4096-8A9A-F661A0E2B434}"/>
    <cellStyle name="Currency" xfId="2" builtinId="4" customBuiltin="1"/>
    <cellStyle name="Currency [0]" xfId="3" builtinId="7" customBuiltin="1"/>
    <cellStyle name="Explanatory Text" xfId="20" builtinId="53" customBuiltin="1"/>
    <cellStyle name="Footer" xfId="32" xr:uid="{1F9EB5B0-555B-40BD-876F-473041F25D9B}"/>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71" builtinId="8"/>
    <cellStyle name="Inline Check" xfId="33" xr:uid="{101F02E8-2838-41A7-8214-0374CC7B518D}"/>
    <cellStyle name="Input" xfId="13" builtinId="20" hidden="1"/>
    <cellStyle name="Input - #" xfId="34" xr:uid="{7B84B54C-D703-46E5-A833-103D69CE7DFA}"/>
    <cellStyle name="Input - %" xfId="35" xr:uid="{44A14ABD-7FFF-4BF3-AED0-80584C5E846D}"/>
    <cellStyle name="Input - Date" xfId="36" xr:uid="{3C2CCE4F-178E-41A3-8F73-93CBCAEA609E}"/>
    <cellStyle name="Input - Text" xfId="37" xr:uid="{CDF2651F-12F5-47E9-8BA0-4DABC80B02F2}"/>
    <cellStyle name="Linked Cell" xfId="16" builtinId="24" hidden="1"/>
    <cellStyle name="Macro Paste" xfId="38" xr:uid="{F1812E6D-12D4-49DB-B2D2-E551232C423E}"/>
    <cellStyle name="Message Bar" xfId="39" xr:uid="{A02976FC-7976-42D2-82C5-EA274F32FABA}"/>
    <cellStyle name="Model Author Input" xfId="40" xr:uid="{C583F0F1-45A6-4586-96E8-75EC31CF0666}"/>
    <cellStyle name="Model Error" xfId="41" xr:uid="{644AECB1-54C0-48FF-82A0-E08709610E24}"/>
    <cellStyle name="Model Input Error" xfId="42" xr:uid="{B3A7F809-DFBD-41F6-9CF0-B40624C75F27}"/>
    <cellStyle name="Model Warning" xfId="43" xr:uid="{A03939A6-C7BA-4E9A-B549-967583859A6A}"/>
    <cellStyle name="Named Range" xfId="44" xr:uid="{275844C8-9B52-409F-AE9B-84FF95DA1E68}"/>
    <cellStyle name="Neutral" xfId="12" builtinId="28" customBuiltin="1"/>
    <cellStyle name="Normal" xfId="0" builtinId="0" customBuiltin="1"/>
    <cellStyle name="Note" xfId="19" builtinId="10" hidden="1"/>
    <cellStyle name="Notes" xfId="45" xr:uid="{20FE8002-5D33-459F-98D1-E4338740A446}"/>
    <cellStyle name="Notes - Alt Text" xfId="46" xr:uid="{C09C7139-A902-4225-9E3F-63561174F775}"/>
    <cellStyle name="Output" xfId="14" builtinId="21" hidden="1"/>
    <cellStyle name="Output - #" xfId="47" xr:uid="{E631C746-0265-491F-8B40-ED707907FAAE}"/>
    <cellStyle name="Output - %" xfId="48" xr:uid="{D5D89274-E7F3-41FD-8BE0-9595E54AAFF2}"/>
    <cellStyle name="Output - Date" xfId="49" xr:uid="{64D62534-B1AA-4F78-A3DB-2CC792E6288A}"/>
    <cellStyle name="Output - SubTotal" xfId="50" xr:uid="{A4E183F7-93B2-4EB8-82EC-694F7AB1B5B7}"/>
    <cellStyle name="Output - Text" xfId="51" xr:uid="{D1B0CAC4-52BC-4A57-BB70-DDEA4F26E6DF}"/>
    <cellStyle name="Output - Total" xfId="52" xr:uid="{F98D9ABB-35B4-4033-B70D-CC0B41C2DBCA}"/>
    <cellStyle name="Percent" xfId="4" builtinId="5" customBuiltin="1"/>
    <cellStyle name="Ref.In - #" xfId="53" xr:uid="{41310CFB-2DF5-4CA0-92AF-BE6CB4385395}"/>
    <cellStyle name="Ref.In - %" xfId="54" xr:uid="{958DF7C1-B4A8-46BF-924D-810B84053D05}"/>
    <cellStyle name="Ref.In - Date" xfId="55" xr:uid="{C87005B1-84FB-4B52-8185-D8D785D9052C}"/>
    <cellStyle name="Ref.In - SubTotal" xfId="56" xr:uid="{F89760D9-25EC-4993-885C-E98BCF99273B}"/>
    <cellStyle name="Ref.In - Text" xfId="57" xr:uid="{AC350664-1E77-4BCE-90C4-CFE384C1A2E5}"/>
    <cellStyle name="Ref.Out - #" xfId="58" xr:uid="{434685C1-1F86-4041-B1C9-885D53C5482F}"/>
    <cellStyle name="Ref.Out - %" xfId="59" xr:uid="{EE04B78B-3C5A-41C8-AED7-611620098EF0}"/>
    <cellStyle name="Ref.Out - Date" xfId="60" xr:uid="{06B45D01-090D-4C0C-8112-4B418F857554}"/>
    <cellStyle name="Ref.Out - SubTotal" xfId="61" xr:uid="{62F08507-ECFC-4F0F-9EAB-4B323DBE7583}"/>
    <cellStyle name="Ref.Out - Text" xfId="62" xr:uid="{021B4016-0690-4161-8F6E-35C55FC37C79}"/>
    <cellStyle name="SubTitle" xfId="63" xr:uid="{142B9831-CAD2-46E9-9016-267120C83808}"/>
    <cellStyle name="Time Line" xfId="64" xr:uid="{2EBAD60B-CF70-4D6C-A510-578356F6A31F}"/>
    <cellStyle name="Title" xfId="5" builtinId="15" customBuiltin="1"/>
    <cellStyle name="Total" xfId="21" builtinId="25" hidden="1"/>
    <cellStyle name="Units Label" xfId="65" xr:uid="{11E93F07-8FCD-453E-A771-47821A05E7F2}"/>
    <cellStyle name="Unused" xfId="66" xr:uid="{471A4086-F6A4-4469-A395-49FE623CA01A}"/>
    <cellStyle name="Variance - #" xfId="67" xr:uid="{8AB82A9F-321D-4E37-AD6E-F6BEBE18CCBC}"/>
    <cellStyle name="Variance - %" xfId="68" xr:uid="{00300491-D755-4C48-BD67-2DD65D84CA95}"/>
    <cellStyle name="Variance - SubTotal" xfId="69" xr:uid="{67CB1D2E-ED93-49F0-8940-8BB9FA2CBF62}"/>
    <cellStyle name="Variance - Total" xfId="70" xr:uid="{90E21E44-5177-4D55-8CF1-3C1B8979A605}"/>
    <cellStyle name="Warning Text" xfId="18" builtinId="11" customBuiltin="1"/>
  </cellStyles>
  <dxfs count="23">
    <dxf>
      <font>
        <color theme="0" tint="-0.14996795556505021"/>
      </font>
    </dxf>
    <dxf>
      <font>
        <color rgb="FFC00000"/>
      </font>
    </dxf>
    <dxf>
      <font>
        <color theme="9" tint="0.59996337778862885"/>
      </font>
    </dxf>
    <dxf>
      <font>
        <color theme="0" tint="-0.14996795556505021"/>
      </font>
    </dxf>
    <dxf>
      <font>
        <color rgb="FFC00000"/>
      </font>
    </dxf>
    <dxf>
      <font>
        <color theme="9" tint="0.59996337778862885"/>
      </font>
    </dxf>
    <dxf>
      <font>
        <color theme="0" tint="-0.14996795556505021"/>
      </font>
    </dxf>
    <dxf>
      <font>
        <color rgb="FFC00000"/>
      </font>
    </dxf>
    <dxf>
      <font>
        <color theme="9" tint="0.59996337778862885"/>
      </font>
    </dxf>
    <dxf>
      <font>
        <color theme="9" tint="0.59996337778862885"/>
      </font>
    </dxf>
    <dxf>
      <font>
        <color theme="0" tint="-0.24994659260841701"/>
      </font>
    </dxf>
    <dxf>
      <font>
        <color rgb="FFC00000"/>
      </font>
    </dxf>
    <dxf>
      <font>
        <color theme="0" tint="-0.24994659260841701"/>
      </font>
    </dxf>
    <dxf>
      <font>
        <color theme="9" tint="0.59996337778862885"/>
      </font>
    </dxf>
    <dxf>
      <font>
        <color rgb="FFC00000"/>
      </font>
    </dxf>
    <dxf>
      <font>
        <color rgb="FFC00000"/>
      </font>
    </dxf>
    <dxf>
      <font>
        <color theme="0" tint="-0.24994659260841701"/>
      </font>
    </dxf>
    <dxf>
      <font>
        <color theme="9" tint="0.59996337778862885"/>
      </font>
    </dxf>
    <dxf>
      <font>
        <color rgb="FFC00000"/>
      </font>
    </dxf>
    <dxf>
      <font>
        <color rgb="FFC00000"/>
      </font>
    </dxf>
    <dxf>
      <font>
        <color theme="0" tint="-0.24994659260841701"/>
      </font>
    </dxf>
    <dxf>
      <font>
        <color theme="9" tint="0.59996337778862885"/>
      </font>
    </dxf>
    <dxf>
      <font>
        <color rgb="FFC00000"/>
      </font>
    </dxf>
  </dxfs>
  <tableStyles count="0" defaultTableStyle="TableStyleMedium2" defaultPivotStyle="PivotStyleLight16"/>
  <colors>
    <mruColors>
      <color rgb="FF0000FF"/>
      <color rgb="FF0065A8"/>
      <color rgb="FF1E4FA8"/>
      <color rgb="FF3F9C35"/>
      <color rgb="FFB4B4B4"/>
      <color rgb="FFFC6017"/>
      <color rgb="FFB75E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Inputs</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ExpSmoothing!$D$31:$AA$31</c:f>
              <c:numCache>
                <c:formatCode>#,##0_);\(#,##0\);\ \-_)</c:formatCode>
                <c:ptCount val="24"/>
                <c:pt idx="0">
                  <c:v>28</c:v>
                </c:pt>
                <c:pt idx="1">
                  <c:v>40</c:v>
                </c:pt>
                <c:pt idx="2">
                  <c:v>23</c:v>
                </c:pt>
                <c:pt idx="3">
                  <c:v>34</c:v>
                </c:pt>
                <c:pt idx="4">
                  <c:v>20</c:v>
                </c:pt>
                <c:pt idx="5">
                  <c:v>17</c:v>
                </c:pt>
                <c:pt idx="6">
                  <c:v>16</c:v>
                </c:pt>
                <c:pt idx="7">
                  <c:v>55</c:v>
                </c:pt>
                <c:pt idx="8">
                  <c:v>30</c:v>
                </c:pt>
                <c:pt idx="9">
                  <c:v>29</c:v>
                </c:pt>
                <c:pt idx="10">
                  <c:v>39</c:v>
                </c:pt>
                <c:pt idx="11">
                  <c:v>34</c:v>
                </c:pt>
                <c:pt idx="12">
                  <c:v>30</c:v>
                </c:pt>
                <c:pt idx="13">
                  <c:v>34</c:v>
                </c:pt>
                <c:pt idx="14">
                  <c:v>50</c:v>
                </c:pt>
                <c:pt idx="15">
                  <c:v>20</c:v>
                </c:pt>
                <c:pt idx="16">
                  <c:v>25</c:v>
                </c:pt>
                <c:pt idx="17">
                  <c:v>18</c:v>
                </c:pt>
                <c:pt idx="18">
                  <c:v>5</c:v>
                </c:pt>
                <c:pt idx="19">
                  <c:v>20</c:v>
                </c:pt>
                <c:pt idx="20">
                  <c:v>30</c:v>
                </c:pt>
                <c:pt idx="21">
                  <c:v>37</c:v>
                </c:pt>
                <c:pt idx="22">
                  <c:v>35</c:v>
                </c:pt>
                <c:pt idx="23">
                  <c:v>28</c:v>
                </c:pt>
              </c:numCache>
            </c:numRef>
          </c:val>
          <c:smooth val="0"/>
          <c:extLst>
            <c:ext xmlns:c16="http://schemas.microsoft.com/office/drawing/2014/chart" uri="{C3380CC4-5D6E-409C-BE32-E72D297353CC}">
              <c16:uniqueId val="{00000001-6FA5-4243-82FF-4A14A6718FEA}"/>
            </c:ext>
          </c:extLst>
        </c:ser>
        <c:ser>
          <c:idx val="1"/>
          <c:order val="1"/>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ExpSmoothing!$D$32:$AA$32</c:f>
              <c:numCache>
                <c:formatCode>#,##0_);\(#,##0\);\-_)</c:formatCode>
                <c:ptCount val="24"/>
                <c:pt idx="0">
                  <c:v>28</c:v>
                </c:pt>
                <c:pt idx="1">
                  <c:v>34</c:v>
                </c:pt>
                <c:pt idx="2">
                  <c:v>28.5</c:v>
                </c:pt>
                <c:pt idx="3">
                  <c:v>31.25</c:v>
                </c:pt>
                <c:pt idx="4">
                  <c:v>25.625</c:v>
                </c:pt>
                <c:pt idx="5">
                  <c:v>21.3125</c:v>
                </c:pt>
                <c:pt idx="6">
                  <c:v>18.65625</c:v>
                </c:pt>
                <c:pt idx="7">
                  <c:v>36.828125</c:v>
                </c:pt>
                <c:pt idx="8">
                  <c:v>33.4140625</c:v>
                </c:pt>
                <c:pt idx="9">
                  <c:v>31.20703125</c:v>
                </c:pt>
                <c:pt idx="10">
                  <c:v>35.103515625</c:v>
                </c:pt>
                <c:pt idx="11">
                  <c:v>34.5517578125</c:v>
                </c:pt>
                <c:pt idx="12">
                  <c:v>32.27587890625</c:v>
                </c:pt>
                <c:pt idx="13">
                  <c:v>33.137939453125</c:v>
                </c:pt>
                <c:pt idx="14">
                  <c:v>41.5689697265625</c:v>
                </c:pt>
                <c:pt idx="15">
                  <c:v>30.78448486328125</c:v>
                </c:pt>
                <c:pt idx="16">
                  <c:v>27.892242431640625</c:v>
                </c:pt>
                <c:pt idx="17">
                  <c:v>22.946121215820313</c:v>
                </c:pt>
                <c:pt idx="18">
                  <c:v>13.973060607910156</c:v>
                </c:pt>
                <c:pt idx="19">
                  <c:v>16.986530303955078</c:v>
                </c:pt>
                <c:pt idx="20">
                  <c:v>23.493265151977539</c:v>
                </c:pt>
                <c:pt idx="21">
                  <c:v>30.24663257598877</c:v>
                </c:pt>
                <c:pt idx="22">
                  <c:v>32.623316287994385</c:v>
                </c:pt>
                <c:pt idx="23">
                  <c:v>30.311658143997192</c:v>
                </c:pt>
              </c:numCache>
            </c:numRef>
          </c:val>
          <c:smooth val="0"/>
          <c:extLst>
            <c:ext xmlns:c16="http://schemas.microsoft.com/office/drawing/2014/chart" uri="{C3380CC4-5D6E-409C-BE32-E72D297353CC}">
              <c16:uniqueId val="{00000002-6FA5-4243-82FF-4A14A6718FEA}"/>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alpha val="92000"/>
                  </a:schemeClr>
                </a:solidFill>
              </a:ln>
              <a:effectLst/>
            </c:spPr>
          </c:marker>
          <c:val>
            <c:numRef>
              <c:f>ExpSmoothing!$D$56:$AA$56</c:f>
              <c:numCache>
                <c:formatCode>#,##0_);\(#,##0\);\ \-_)</c:formatCode>
                <c:ptCount val="24"/>
                <c:pt idx="0">
                  <c:v>28</c:v>
                </c:pt>
                <c:pt idx="1">
                  <c:v>40</c:v>
                </c:pt>
                <c:pt idx="2">
                  <c:v>23</c:v>
                </c:pt>
                <c:pt idx="3">
                  <c:v>34</c:v>
                </c:pt>
                <c:pt idx="4">
                  <c:v>20</c:v>
                </c:pt>
                <c:pt idx="5">
                  <c:v>17</c:v>
                </c:pt>
                <c:pt idx="6">
                  <c:v>16</c:v>
                </c:pt>
                <c:pt idx="7">
                  <c:v>55</c:v>
                </c:pt>
                <c:pt idx="8">
                  <c:v>30</c:v>
                </c:pt>
                <c:pt idx="9">
                  <c:v>29</c:v>
                </c:pt>
                <c:pt idx="10">
                  <c:v>39</c:v>
                </c:pt>
                <c:pt idx="11">
                  <c:v>34</c:v>
                </c:pt>
                <c:pt idx="12">
                  <c:v>30</c:v>
                </c:pt>
                <c:pt idx="13">
                  <c:v>34</c:v>
                </c:pt>
                <c:pt idx="14">
                  <c:v>50</c:v>
                </c:pt>
                <c:pt idx="15">
                  <c:v>20</c:v>
                </c:pt>
                <c:pt idx="16">
                  <c:v>25</c:v>
                </c:pt>
                <c:pt idx="17">
                  <c:v>18</c:v>
                </c:pt>
                <c:pt idx="18">
                  <c:v>5</c:v>
                </c:pt>
                <c:pt idx="19">
                  <c:v>20</c:v>
                </c:pt>
                <c:pt idx="20">
                  <c:v>30</c:v>
                </c:pt>
                <c:pt idx="21">
                  <c:v>37</c:v>
                </c:pt>
                <c:pt idx="22">
                  <c:v>35</c:v>
                </c:pt>
                <c:pt idx="23">
                  <c:v>28</c:v>
                </c:pt>
              </c:numCache>
            </c:numRef>
          </c:val>
          <c:smooth val="0"/>
          <c:extLst>
            <c:ext xmlns:c16="http://schemas.microsoft.com/office/drawing/2014/chart" uri="{C3380CC4-5D6E-409C-BE32-E72D297353CC}">
              <c16:uniqueId val="{00000000-9412-4B70-8F3D-843BE7FCD85B}"/>
            </c:ext>
          </c:extLst>
        </c:ser>
        <c:ser>
          <c:idx val="1"/>
          <c:order val="1"/>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ExpSmoothing!$D$57:$AA$57</c:f>
              <c:numCache>
                <c:formatCode>#,##0_);\(#,##0\);\-_)</c:formatCode>
                <c:ptCount val="24"/>
                <c:pt idx="0">
                  <c:v>28</c:v>
                </c:pt>
                <c:pt idx="1">
                  <c:v>33.352613568305969</c:v>
                </c:pt>
                <c:pt idx="2">
                  <c:v>26.955227136611938</c:v>
                </c:pt>
                <c:pt idx="3">
                  <c:v>29.535454273223877</c:v>
                </c:pt>
                <c:pt idx="4">
                  <c:v>23.633408546447754</c:v>
                </c:pt>
                <c:pt idx="5">
                  <c:v>22.298067092895508</c:v>
                </c:pt>
                <c:pt idx="6">
                  <c:v>24.111759185791016</c:v>
                </c:pt>
                <c:pt idx="7">
                  <c:v>39.981330871582031</c:v>
                </c:pt>
                <c:pt idx="8">
                  <c:v>32.341567993164063</c:v>
                </c:pt>
                <c:pt idx="9">
                  <c:v>31.872589111328125</c:v>
                </c:pt>
                <c:pt idx="10">
                  <c:v>35.58990478515625</c:v>
                </c:pt>
                <c:pt idx="11">
                  <c:v>33.8521728515625</c:v>
                </c:pt>
                <c:pt idx="12">
                  <c:v>32.29052734375</c:v>
                </c:pt>
                <c:pt idx="13">
                  <c:v>33.8741455078125</c:v>
                </c:pt>
                <c:pt idx="14">
                  <c:v>38.39483642578125</c:v>
                </c:pt>
                <c:pt idx="15">
                  <c:v>25.612945556640625</c:v>
                </c:pt>
                <c:pt idx="16">
                  <c:v>24.387527465820313</c:v>
                </c:pt>
                <c:pt idx="17">
                  <c:v>19.855873107910156</c:v>
                </c:pt>
                <c:pt idx="18">
                  <c:v>14.752155303955078</c:v>
                </c:pt>
                <c:pt idx="19">
                  <c:v>21.524515151977539</c:v>
                </c:pt>
                <c:pt idx="20">
                  <c:v>27.80913257598877</c:v>
                </c:pt>
                <c:pt idx="21">
                  <c:v>32.248316287994385</c:v>
                </c:pt>
                <c:pt idx="22">
                  <c:v>32.061658143997192</c:v>
                </c:pt>
                <c:pt idx="23">
                  <c:v>28</c:v>
                </c:pt>
              </c:numCache>
            </c:numRef>
          </c:val>
          <c:smooth val="0"/>
          <c:extLst>
            <c:ext xmlns:c16="http://schemas.microsoft.com/office/drawing/2014/chart" uri="{C3380CC4-5D6E-409C-BE32-E72D297353CC}">
              <c16:uniqueId val="{00000001-9412-4B70-8F3D-843BE7FCD85B}"/>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alpha val="92000"/>
                  </a:schemeClr>
                </a:solidFill>
              </a:ln>
              <a:effectLst/>
            </c:spPr>
          </c:marker>
          <c:val>
            <c:numRef>
              <c:f>ExpSmoothing!$D$96:$AA$96</c:f>
              <c:numCache>
                <c:formatCode>#,##0_);\(#,##0\);\ \-_)</c:formatCode>
                <c:ptCount val="24"/>
                <c:pt idx="0">
                  <c:v>28</c:v>
                </c:pt>
                <c:pt idx="1">
                  <c:v>40</c:v>
                </c:pt>
                <c:pt idx="2">
                  <c:v>23</c:v>
                </c:pt>
                <c:pt idx="3">
                  <c:v>34</c:v>
                </c:pt>
                <c:pt idx="4">
                  <c:v>20</c:v>
                </c:pt>
                <c:pt idx="5">
                  <c:v>17</c:v>
                </c:pt>
                <c:pt idx="6">
                  <c:v>16</c:v>
                </c:pt>
                <c:pt idx="7">
                  <c:v>55</c:v>
                </c:pt>
                <c:pt idx="8">
                  <c:v>30</c:v>
                </c:pt>
                <c:pt idx="9">
                  <c:v>29</c:v>
                </c:pt>
                <c:pt idx="10">
                  <c:v>39</c:v>
                </c:pt>
                <c:pt idx="11">
                  <c:v>34</c:v>
                </c:pt>
                <c:pt idx="12">
                  <c:v>30</c:v>
                </c:pt>
                <c:pt idx="13">
                  <c:v>34</c:v>
                </c:pt>
                <c:pt idx="14">
                  <c:v>50</c:v>
                </c:pt>
                <c:pt idx="15">
                  <c:v>20</c:v>
                </c:pt>
                <c:pt idx="16">
                  <c:v>25</c:v>
                </c:pt>
                <c:pt idx="17">
                  <c:v>18</c:v>
                </c:pt>
                <c:pt idx="18">
                  <c:v>5</c:v>
                </c:pt>
                <c:pt idx="19">
                  <c:v>20</c:v>
                </c:pt>
                <c:pt idx="20">
                  <c:v>30</c:v>
                </c:pt>
                <c:pt idx="21">
                  <c:v>37</c:v>
                </c:pt>
                <c:pt idx="22">
                  <c:v>35</c:v>
                </c:pt>
                <c:pt idx="23">
                  <c:v>28</c:v>
                </c:pt>
              </c:numCache>
            </c:numRef>
          </c:val>
          <c:smooth val="0"/>
          <c:extLst>
            <c:ext xmlns:c16="http://schemas.microsoft.com/office/drawing/2014/chart" uri="{C3380CC4-5D6E-409C-BE32-E72D297353CC}">
              <c16:uniqueId val="{00000000-32DF-4DC2-87EC-3C4C447864D0}"/>
            </c:ext>
          </c:extLst>
        </c:ser>
        <c:ser>
          <c:idx val="1"/>
          <c:order val="1"/>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ExpSmoothing!$D$97:$AA$97</c:f>
              <c:numCache>
                <c:formatCode>#,##0_);\(#,##0\);\-_)</c:formatCode>
                <c:ptCount val="24"/>
                <c:pt idx="0">
                  <c:v>28</c:v>
                </c:pt>
                <c:pt idx="1">
                  <c:v>33.352613568305969</c:v>
                </c:pt>
                <c:pt idx="2">
                  <c:v>26.955227136611938</c:v>
                </c:pt>
                <c:pt idx="3">
                  <c:v>29.535454273223877</c:v>
                </c:pt>
                <c:pt idx="4">
                  <c:v>23.633408546447754</c:v>
                </c:pt>
                <c:pt idx="5">
                  <c:v>22.298067092895508</c:v>
                </c:pt>
                <c:pt idx="6">
                  <c:v>24.111759185791016</c:v>
                </c:pt>
                <c:pt idx="7">
                  <c:v>39.981330871582031</c:v>
                </c:pt>
                <c:pt idx="8">
                  <c:v>32.341567993164063</c:v>
                </c:pt>
                <c:pt idx="9">
                  <c:v>31.872589111328125</c:v>
                </c:pt>
                <c:pt idx="10">
                  <c:v>35.58990478515625</c:v>
                </c:pt>
                <c:pt idx="11">
                  <c:v>33.8521728515625</c:v>
                </c:pt>
                <c:pt idx="12">
                  <c:v>32.29052734375</c:v>
                </c:pt>
                <c:pt idx="13">
                  <c:v>33.8741455078125</c:v>
                </c:pt>
                <c:pt idx="14">
                  <c:v>38.39483642578125</c:v>
                </c:pt>
                <c:pt idx="15">
                  <c:v>25.612945556640625</c:v>
                </c:pt>
                <c:pt idx="16">
                  <c:v>24.387527465820313</c:v>
                </c:pt>
                <c:pt idx="17">
                  <c:v>19.855873107910156</c:v>
                </c:pt>
                <c:pt idx="18">
                  <c:v>14.752155303955078</c:v>
                </c:pt>
                <c:pt idx="19">
                  <c:v>21.524515151977539</c:v>
                </c:pt>
                <c:pt idx="20">
                  <c:v>27.80913257598877</c:v>
                </c:pt>
                <c:pt idx="21">
                  <c:v>32.248316287994385</c:v>
                </c:pt>
                <c:pt idx="22">
                  <c:v>32.061658143997192</c:v>
                </c:pt>
                <c:pt idx="23">
                  <c:v>28</c:v>
                </c:pt>
              </c:numCache>
            </c:numRef>
          </c:val>
          <c:smooth val="0"/>
          <c:extLst>
            <c:ext xmlns:c16="http://schemas.microsoft.com/office/drawing/2014/chart" uri="{C3380CC4-5D6E-409C-BE32-E72D297353CC}">
              <c16:uniqueId val="{00000001-32DF-4DC2-87EC-3C4C447864D0}"/>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alpha val="92000"/>
                  </a:schemeClr>
                </a:solidFill>
              </a:ln>
              <a:effectLst/>
            </c:spPr>
          </c:marker>
          <c:val>
            <c:numRef>
              <c:f>ExpSmoothing!$D$140:$AA$140</c:f>
              <c:numCache>
                <c:formatCode>#,##0_);\(#,##0\);\ \-_)</c:formatCode>
                <c:ptCount val="24"/>
                <c:pt idx="0">
                  <c:v>28</c:v>
                </c:pt>
                <c:pt idx="1">
                  <c:v>40</c:v>
                </c:pt>
                <c:pt idx="2">
                  <c:v>23</c:v>
                </c:pt>
                <c:pt idx="3">
                  <c:v>34</c:v>
                </c:pt>
                <c:pt idx="4">
                  <c:v>0</c:v>
                </c:pt>
                <c:pt idx="5">
                  <c:v>17</c:v>
                </c:pt>
                <c:pt idx="6">
                  <c:v>16</c:v>
                </c:pt>
                <c:pt idx="7">
                  <c:v>55</c:v>
                </c:pt>
                <c:pt idx="8">
                  <c:v>30</c:v>
                </c:pt>
                <c:pt idx="9">
                  <c:v>29</c:v>
                </c:pt>
                <c:pt idx="10">
                  <c:v>0</c:v>
                </c:pt>
                <c:pt idx="11">
                  <c:v>34</c:v>
                </c:pt>
                <c:pt idx="12">
                  <c:v>30</c:v>
                </c:pt>
                <c:pt idx="13">
                  <c:v>34</c:v>
                </c:pt>
                <c:pt idx="14">
                  <c:v>50</c:v>
                </c:pt>
                <c:pt idx="15">
                  <c:v>20</c:v>
                </c:pt>
                <c:pt idx="16">
                  <c:v>25</c:v>
                </c:pt>
                <c:pt idx="17">
                  <c:v>18</c:v>
                </c:pt>
                <c:pt idx="18">
                  <c:v>5</c:v>
                </c:pt>
                <c:pt idx="19">
                  <c:v>20</c:v>
                </c:pt>
                <c:pt idx="20">
                  <c:v>30</c:v>
                </c:pt>
                <c:pt idx="21">
                  <c:v>37</c:v>
                </c:pt>
                <c:pt idx="22">
                  <c:v>0</c:v>
                </c:pt>
                <c:pt idx="23">
                  <c:v>28</c:v>
                </c:pt>
              </c:numCache>
            </c:numRef>
          </c:val>
          <c:smooth val="0"/>
          <c:extLst>
            <c:ext xmlns:c16="http://schemas.microsoft.com/office/drawing/2014/chart" uri="{C3380CC4-5D6E-409C-BE32-E72D297353CC}">
              <c16:uniqueId val="{00000000-F2DF-4F18-8BF1-40F2FBD020AA}"/>
            </c:ext>
          </c:extLst>
        </c:ser>
        <c:ser>
          <c:idx val="1"/>
          <c:order val="1"/>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ExpSmoothing!$D$141:$AA$141</c:f>
              <c:numCache>
                <c:formatCode>#,##0_);\(#,##0\);\-_)</c:formatCode>
                <c:ptCount val="24"/>
                <c:pt idx="0">
                  <c:v>28</c:v>
                </c:pt>
                <c:pt idx="1">
                  <c:v>33.44951343536377</c:v>
                </c:pt>
                <c:pt idx="2">
                  <c:v>27.149026870727539</c:v>
                </c:pt>
                <c:pt idx="3">
                  <c:v>29.923053741455078</c:v>
                </c:pt>
                <c:pt idx="4">
                  <c:v>#N/A</c:v>
                </c:pt>
                <c:pt idx="5">
                  <c:v>23.658607482910156</c:v>
                </c:pt>
                <c:pt idx="6">
                  <c:v>24.723464965820313</c:v>
                </c:pt>
                <c:pt idx="7">
                  <c:v>40.150054931640625</c:v>
                </c:pt>
                <c:pt idx="8">
                  <c:v>32.15167236328125</c:v>
                </c:pt>
                <c:pt idx="9">
                  <c:v>31.2291259765625</c:v>
                </c:pt>
                <c:pt idx="10">
                  <c:v>#N/A</c:v>
                </c:pt>
                <c:pt idx="11">
                  <c:v>32.921142578125</c:v>
                </c:pt>
                <c:pt idx="12">
                  <c:v>31.82373046875</c:v>
                </c:pt>
                <c:pt idx="13">
                  <c:v>33.63818359375</c:v>
                </c:pt>
                <c:pt idx="14">
                  <c:v>38.271728515625</c:v>
                </c:pt>
                <c:pt idx="15">
                  <c:v>25.5411376953125</c:v>
                </c:pt>
                <c:pt idx="16">
                  <c:v>24.33111572265625</c:v>
                </c:pt>
                <c:pt idx="17">
                  <c:v>19.786651611328125</c:v>
                </c:pt>
                <c:pt idx="18">
                  <c:v>14.635513305664063</c:v>
                </c:pt>
                <c:pt idx="19">
                  <c:v>21.302131652832031</c:v>
                </c:pt>
                <c:pt idx="20">
                  <c:v>27.369815826416016</c:v>
                </c:pt>
                <c:pt idx="21">
                  <c:v>31.372407913208008</c:v>
                </c:pt>
                <c:pt idx="22">
                  <c:v>#N/A</c:v>
                </c:pt>
                <c:pt idx="23">
                  <c:v>28</c:v>
                </c:pt>
              </c:numCache>
            </c:numRef>
          </c:val>
          <c:smooth val="0"/>
          <c:extLst>
            <c:ext xmlns:c16="http://schemas.microsoft.com/office/drawing/2014/chart" uri="{C3380CC4-5D6E-409C-BE32-E72D297353CC}">
              <c16:uniqueId val="{00000001-F2DF-4F18-8BF1-40F2FBD020AA}"/>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alpha val="92000"/>
                  </a:schemeClr>
                </a:solidFill>
              </a:ln>
              <a:effectLst/>
            </c:spPr>
          </c:marker>
          <c:val>
            <c:numRef>
              <c:f>ExpSmoothing!$D$201:$AA$201</c:f>
              <c:numCache>
                <c:formatCode>#,##0_);\(#,##0\);\ \-_)</c:formatCode>
                <c:ptCount val="24"/>
                <c:pt idx="0">
                  <c:v>28</c:v>
                </c:pt>
                <c:pt idx="1">
                  <c:v>40</c:v>
                </c:pt>
                <c:pt idx="2">
                  <c:v>23</c:v>
                </c:pt>
                <c:pt idx="3">
                  <c:v>34</c:v>
                </c:pt>
                <c:pt idx="4">
                  <c:v>0</c:v>
                </c:pt>
                <c:pt idx="5">
                  <c:v>17</c:v>
                </c:pt>
                <c:pt idx="6">
                  <c:v>16</c:v>
                </c:pt>
                <c:pt idx="7">
                  <c:v>55</c:v>
                </c:pt>
                <c:pt idx="8">
                  <c:v>30</c:v>
                </c:pt>
                <c:pt idx="9">
                  <c:v>29</c:v>
                </c:pt>
                <c:pt idx="10">
                  <c:v>0</c:v>
                </c:pt>
                <c:pt idx="11">
                  <c:v>34</c:v>
                </c:pt>
                <c:pt idx="12">
                  <c:v>30</c:v>
                </c:pt>
                <c:pt idx="13">
                  <c:v>34</c:v>
                </c:pt>
                <c:pt idx="14">
                  <c:v>50</c:v>
                </c:pt>
                <c:pt idx="15">
                  <c:v>20</c:v>
                </c:pt>
                <c:pt idx="16">
                  <c:v>25</c:v>
                </c:pt>
                <c:pt idx="17">
                  <c:v>18</c:v>
                </c:pt>
                <c:pt idx="18">
                  <c:v>5</c:v>
                </c:pt>
                <c:pt idx="19">
                  <c:v>20</c:v>
                </c:pt>
                <c:pt idx="20">
                  <c:v>30</c:v>
                </c:pt>
                <c:pt idx="21">
                  <c:v>37</c:v>
                </c:pt>
                <c:pt idx="22">
                  <c:v>0</c:v>
                </c:pt>
                <c:pt idx="23">
                  <c:v>28</c:v>
                </c:pt>
              </c:numCache>
            </c:numRef>
          </c:val>
          <c:smooth val="0"/>
          <c:extLst>
            <c:ext xmlns:c16="http://schemas.microsoft.com/office/drawing/2014/chart" uri="{C3380CC4-5D6E-409C-BE32-E72D297353CC}">
              <c16:uniqueId val="{00000000-E1E5-46BE-8FB7-C1D3DE9921BB}"/>
            </c:ext>
          </c:extLst>
        </c:ser>
        <c:ser>
          <c:idx val="1"/>
          <c:order val="1"/>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ExpSmoothing!$D$202:$AA$202</c:f>
              <c:numCache>
                <c:formatCode>#,##0_);\(#,##0\);\-_)</c:formatCode>
                <c:ptCount val="24"/>
                <c:pt idx="0">
                  <c:v>28</c:v>
                </c:pt>
                <c:pt idx="1">
                  <c:v>33.44951343536377</c:v>
                </c:pt>
                <c:pt idx="2">
                  <c:v>27.149026870727539</c:v>
                </c:pt>
                <c:pt idx="3">
                  <c:v>29.923053741455078</c:v>
                </c:pt>
                <c:pt idx="4">
                  <c:v>#N/A</c:v>
                </c:pt>
                <c:pt idx="5">
                  <c:v>23.658607482910156</c:v>
                </c:pt>
                <c:pt idx="6">
                  <c:v>24.723464965820313</c:v>
                </c:pt>
                <c:pt idx="7">
                  <c:v>40.150054931640625</c:v>
                </c:pt>
                <c:pt idx="8">
                  <c:v>32.15167236328125</c:v>
                </c:pt>
                <c:pt idx="9">
                  <c:v>31.2291259765625</c:v>
                </c:pt>
                <c:pt idx="10">
                  <c:v>#N/A</c:v>
                </c:pt>
                <c:pt idx="11">
                  <c:v>32.921142578125</c:v>
                </c:pt>
                <c:pt idx="12">
                  <c:v>31.82373046875</c:v>
                </c:pt>
                <c:pt idx="13">
                  <c:v>33.63818359375</c:v>
                </c:pt>
                <c:pt idx="14">
                  <c:v>38.271728515625</c:v>
                </c:pt>
                <c:pt idx="15">
                  <c:v>25.5411376953125</c:v>
                </c:pt>
                <c:pt idx="16">
                  <c:v>24.33111572265625</c:v>
                </c:pt>
                <c:pt idx="17">
                  <c:v>19.786651611328125</c:v>
                </c:pt>
                <c:pt idx="18">
                  <c:v>14.635513305664063</c:v>
                </c:pt>
                <c:pt idx="19">
                  <c:v>21.302131652832031</c:v>
                </c:pt>
                <c:pt idx="20">
                  <c:v>27.369815826416016</c:v>
                </c:pt>
                <c:pt idx="21">
                  <c:v>31.372407913208008</c:v>
                </c:pt>
                <c:pt idx="22">
                  <c:v>#N/A</c:v>
                </c:pt>
                <c:pt idx="23">
                  <c:v>28</c:v>
                </c:pt>
              </c:numCache>
            </c:numRef>
          </c:val>
          <c:smooth val="0"/>
          <c:extLst>
            <c:ext xmlns:c16="http://schemas.microsoft.com/office/drawing/2014/chart" uri="{C3380CC4-5D6E-409C-BE32-E72D297353CC}">
              <c16:uniqueId val="{00000001-E1E5-46BE-8FB7-C1D3DE9921BB}"/>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alpha val="92000"/>
                  </a:schemeClr>
                </a:solidFill>
              </a:ln>
              <a:effectLst/>
            </c:spPr>
          </c:marker>
          <c:val>
            <c:numRef>
              <c:f>ExpSmoothing!$D$296:$AA$296</c:f>
              <c:numCache>
                <c:formatCode>#,##0_);\(#,##0\);\ \-_)</c:formatCode>
                <c:ptCount val="24"/>
                <c:pt idx="0">
                  <c:v>28</c:v>
                </c:pt>
                <c:pt idx="1">
                  <c:v>40</c:v>
                </c:pt>
                <c:pt idx="2">
                  <c:v>23</c:v>
                </c:pt>
                <c:pt idx="3">
                  <c:v>34</c:v>
                </c:pt>
                <c:pt idx="4">
                  <c:v>0</c:v>
                </c:pt>
                <c:pt idx="5">
                  <c:v>17</c:v>
                </c:pt>
                <c:pt idx="6">
                  <c:v>16</c:v>
                </c:pt>
                <c:pt idx="7">
                  <c:v>55</c:v>
                </c:pt>
                <c:pt idx="8">
                  <c:v>30</c:v>
                </c:pt>
                <c:pt idx="9">
                  <c:v>29</c:v>
                </c:pt>
                <c:pt idx="10">
                  <c:v>0</c:v>
                </c:pt>
                <c:pt idx="11">
                  <c:v>34</c:v>
                </c:pt>
                <c:pt idx="12">
                  <c:v>30</c:v>
                </c:pt>
                <c:pt idx="13">
                  <c:v>34</c:v>
                </c:pt>
                <c:pt idx="14">
                  <c:v>50</c:v>
                </c:pt>
                <c:pt idx="15">
                  <c:v>20</c:v>
                </c:pt>
                <c:pt idx="16">
                  <c:v>25</c:v>
                </c:pt>
                <c:pt idx="17">
                  <c:v>18</c:v>
                </c:pt>
                <c:pt idx="18">
                  <c:v>5</c:v>
                </c:pt>
                <c:pt idx="19">
                  <c:v>20</c:v>
                </c:pt>
                <c:pt idx="20">
                  <c:v>30</c:v>
                </c:pt>
                <c:pt idx="21">
                  <c:v>37</c:v>
                </c:pt>
                <c:pt idx="22">
                  <c:v>0</c:v>
                </c:pt>
                <c:pt idx="23">
                  <c:v>28</c:v>
                </c:pt>
              </c:numCache>
            </c:numRef>
          </c:val>
          <c:smooth val="0"/>
          <c:extLst>
            <c:ext xmlns:c16="http://schemas.microsoft.com/office/drawing/2014/chart" uri="{C3380CC4-5D6E-409C-BE32-E72D297353CC}">
              <c16:uniqueId val="{00000000-F18A-40B4-86A2-73E508F7F0B4}"/>
            </c:ext>
          </c:extLst>
        </c:ser>
        <c:ser>
          <c:idx val="1"/>
          <c:order val="1"/>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ExpSmoothing!$D$297:$AA$297</c:f>
              <c:numCache>
                <c:formatCode>#,##0_);\(#,##0\);\-_)</c:formatCode>
                <c:ptCount val="24"/>
                <c:pt idx="0">
                  <c:v>28</c:v>
                </c:pt>
                <c:pt idx="1">
                  <c:v>40</c:v>
                </c:pt>
                <c:pt idx="2">
                  <c:v>23</c:v>
                </c:pt>
                <c:pt idx="3">
                  <c:v>34</c:v>
                </c:pt>
                <c:pt idx="4">
                  <c:v>0</c:v>
                </c:pt>
                <c:pt idx="5">
                  <c:v>15.587116241455078</c:v>
                </c:pt>
                <c:pt idx="6">
                  <c:v>20.299232482910156</c:v>
                </c:pt>
                <c:pt idx="7">
                  <c:v>37.160964965820313</c:v>
                </c:pt>
                <c:pt idx="8">
                  <c:v>29.103179931640625</c:v>
                </c:pt>
                <c:pt idx="9">
                  <c:v>26.59698486328125</c:v>
                </c:pt>
                <c:pt idx="10">
                  <c:v>15.8892822265625</c:v>
                </c:pt>
                <c:pt idx="11">
                  <c:v>28.876220703125</c:v>
                </c:pt>
                <c:pt idx="12">
                  <c:v>29.80126953125</c:v>
                </c:pt>
                <c:pt idx="13">
                  <c:v>32.626953125</c:v>
                </c:pt>
                <c:pt idx="14">
                  <c:v>37.76611328125</c:v>
                </c:pt>
                <c:pt idx="15">
                  <c:v>25.288330078125</c:v>
                </c:pt>
                <c:pt idx="16">
                  <c:v>24.2047119140625</c:v>
                </c:pt>
                <c:pt idx="17">
                  <c:v>19.72344970703125</c:v>
                </c:pt>
                <c:pt idx="18">
                  <c:v>14.603912353515625</c:v>
                </c:pt>
                <c:pt idx="19">
                  <c:v>21.286331176757813</c:v>
                </c:pt>
                <c:pt idx="20">
                  <c:v>27.361915588378906</c:v>
                </c:pt>
                <c:pt idx="21">
                  <c:v>31.368457794189453</c:v>
                </c:pt>
                <c:pt idx="22">
                  <c:v>#N/A</c:v>
                </c:pt>
                <c:pt idx="23">
                  <c:v>28</c:v>
                </c:pt>
              </c:numCache>
            </c:numRef>
          </c:val>
          <c:smooth val="0"/>
          <c:extLst>
            <c:ext xmlns:c16="http://schemas.microsoft.com/office/drawing/2014/chart" uri="{C3380CC4-5D6E-409C-BE32-E72D297353CC}">
              <c16:uniqueId val="{00000001-F18A-40B4-86A2-73E508F7F0B4}"/>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Interpolation!$D$258:$AA$258</c:f>
              <c:numCache>
                <c:formatCode>#,##0_);\(#,##0\);\ \-_)</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Interpolation!$D$261:$AA$261</c:f>
              <c:numCache>
                <c:formatCode>#,##0_);\(#,##0\);\-_)</c:formatCode>
                <c:ptCount val="24"/>
                <c:pt idx="0">
                  <c:v>28</c:v>
                </c:pt>
                <c:pt idx="1">
                  <c:v>40</c:v>
                </c:pt>
                <c:pt idx="2">
                  <c:v>37</c:v>
                </c:pt>
                <c:pt idx="3">
                  <c:v>34</c:v>
                </c:pt>
                <c:pt idx="4">
                  <c:v>20</c:v>
                </c:pt>
                <c:pt idx="5">
                  <c:v>31.666666666666664</c:v>
                </c:pt>
                <c:pt idx="6">
                  <c:v>43.333333333333329</c:v>
                </c:pt>
                <c:pt idx="7">
                  <c:v>55</c:v>
                </c:pt>
                <c:pt idx="8">
                  <c:v>30</c:v>
                </c:pt>
                <c:pt idx="9">
                  <c:v>34.5</c:v>
                </c:pt>
                <c:pt idx="10">
                  <c:v>39</c:v>
                </c:pt>
                <c:pt idx="11">
                  <c:v>34</c:v>
                </c:pt>
                <c:pt idx="12">
                  <c:v>30</c:v>
                </c:pt>
                <c:pt idx="13">
                  <c:v>34</c:v>
                </c:pt>
                <c:pt idx="14">
                  <c:v>50</c:v>
                </c:pt>
                <c:pt idx="15">
                  <c:v>20</c:v>
                </c:pt>
                <c:pt idx="16">
                  <c:v>25</c:v>
                </c:pt>
                <c:pt idx="17">
                  <c:v>26.25</c:v>
                </c:pt>
                <c:pt idx="18">
                  <c:v>27.5</c:v>
                </c:pt>
                <c:pt idx="19">
                  <c:v>28.75</c:v>
                </c:pt>
                <c:pt idx="20">
                  <c:v>30</c:v>
                </c:pt>
                <c:pt idx="21">
                  <c:v>37</c:v>
                </c:pt>
                <c:pt idx="22">
                  <c:v>35</c:v>
                </c:pt>
                <c:pt idx="23">
                  <c:v>28</c:v>
                </c:pt>
              </c:numCache>
            </c:numRef>
          </c:val>
          <c:smooth val="0"/>
          <c:extLst>
            <c:ext xmlns:c16="http://schemas.microsoft.com/office/drawing/2014/chart" uri="{C3380CC4-5D6E-409C-BE32-E72D297353CC}">
              <c16:uniqueId val="{00000001-FBA5-4268-8417-14D3AF05087C}"/>
            </c:ext>
          </c:extLst>
        </c:ser>
        <c:ser>
          <c:idx val="1"/>
          <c:order val="1"/>
          <c:tx>
            <c:v>Inputs</c:v>
          </c:tx>
          <c:spPr>
            <a:ln w="28575" cap="rnd">
              <a:solidFill>
                <a:schemeClr val="accent2"/>
              </a:solidFill>
              <a:round/>
            </a:ln>
            <a:effectLst/>
          </c:spPr>
          <c:marker>
            <c:symbol val="circle"/>
            <c:size val="5"/>
            <c:spPr>
              <a:solidFill>
                <a:schemeClr val="accent1"/>
              </a:solidFill>
              <a:ln w="9525">
                <a:solidFill>
                  <a:schemeClr val="accent1"/>
                </a:solidFill>
              </a:ln>
              <a:effectLst/>
            </c:spPr>
          </c:marker>
          <c:val>
            <c:numRef>
              <c:f>Interpolation!$D$259:$AA$259</c:f>
              <c:numCache>
                <c:formatCode>#,##0_);\(#,##0\);\ \-_)</c:formatCode>
                <c:ptCount val="24"/>
                <c:pt idx="0">
                  <c:v>28</c:v>
                </c:pt>
                <c:pt idx="1">
                  <c:v>40</c:v>
                </c:pt>
                <c:pt idx="2">
                  <c:v>#N/A</c:v>
                </c:pt>
                <c:pt idx="3">
                  <c:v>34</c:v>
                </c:pt>
                <c:pt idx="4">
                  <c:v>20</c:v>
                </c:pt>
                <c:pt idx="5">
                  <c:v>#N/A</c:v>
                </c:pt>
                <c:pt idx="6">
                  <c:v>#N/A</c:v>
                </c:pt>
                <c:pt idx="7">
                  <c:v>55</c:v>
                </c:pt>
                <c:pt idx="8">
                  <c:v>30</c:v>
                </c:pt>
                <c:pt idx="9">
                  <c:v>#N/A</c:v>
                </c:pt>
                <c:pt idx="10">
                  <c:v>39</c:v>
                </c:pt>
                <c:pt idx="11">
                  <c:v>34</c:v>
                </c:pt>
                <c:pt idx="12">
                  <c:v>30</c:v>
                </c:pt>
                <c:pt idx="13">
                  <c:v>34</c:v>
                </c:pt>
                <c:pt idx="14">
                  <c:v>50</c:v>
                </c:pt>
                <c:pt idx="15">
                  <c:v>20</c:v>
                </c:pt>
                <c:pt idx="16">
                  <c:v>25</c:v>
                </c:pt>
                <c:pt idx="17">
                  <c:v>#N/A</c:v>
                </c:pt>
                <c:pt idx="18">
                  <c:v>#N/A</c:v>
                </c:pt>
                <c:pt idx="19">
                  <c:v>#N/A</c:v>
                </c:pt>
                <c:pt idx="20">
                  <c:v>30</c:v>
                </c:pt>
                <c:pt idx="21">
                  <c:v>37</c:v>
                </c:pt>
                <c:pt idx="22">
                  <c:v>35</c:v>
                </c:pt>
                <c:pt idx="23">
                  <c:v>28</c:v>
                </c:pt>
              </c:numCache>
            </c:numRef>
          </c:val>
          <c:smooth val="0"/>
          <c:extLst>
            <c:ext xmlns:c16="http://schemas.microsoft.com/office/drawing/2014/chart" uri="{C3380CC4-5D6E-409C-BE32-E72D297353CC}">
              <c16:uniqueId val="{00000002-FBA5-4268-8417-14D3AF05087C}"/>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_);\(#,##0\);\ \-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Outputs</c:v>
          </c:tx>
          <c:spPr>
            <a:ln w="28575" cap="rnd">
              <a:solidFill>
                <a:schemeClr val="accent2"/>
              </a:solidFill>
              <a:round/>
            </a:ln>
            <a:effectLst/>
          </c:spPr>
          <c:marker>
            <c:symbol val="circle"/>
            <c:size val="5"/>
            <c:spPr>
              <a:solidFill>
                <a:schemeClr val="accent1"/>
              </a:solidFill>
              <a:ln w="9525">
                <a:solidFill>
                  <a:schemeClr val="accent1"/>
                </a:solidFill>
              </a:ln>
              <a:effectLst/>
            </c:spPr>
          </c:marker>
          <c:cat>
            <c:numRef>
              <c:f>Interpolation!$D$58:$O$58</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Interpolation!$D$59:$O$59</c:f>
              <c:numCache>
                <c:formatCode>#,##0_);\(#,##0\);\-_)</c:formatCode>
                <c:ptCount val="12"/>
                <c:pt idx="0">
                  <c:v>100</c:v>
                </c:pt>
                <c:pt idx="1">
                  <c:v>200</c:v>
                </c:pt>
                <c:pt idx="2">
                  <c:v>#N/A</c:v>
                </c:pt>
                <c:pt idx="3">
                  <c:v>400</c:v>
                </c:pt>
                <c:pt idx="4">
                  <c:v>500</c:v>
                </c:pt>
                <c:pt idx="5">
                  <c:v>#N/A</c:v>
                </c:pt>
                <c:pt idx="6">
                  <c:v>#N/A</c:v>
                </c:pt>
                <c:pt idx="7">
                  <c:v>#N/A</c:v>
                </c:pt>
                <c:pt idx="8">
                  <c:v>900</c:v>
                </c:pt>
                <c:pt idx="9">
                  <c:v>#N/A</c:v>
                </c:pt>
                <c:pt idx="10">
                  <c:v>#N/A</c:v>
                </c:pt>
                <c:pt idx="11">
                  <c:v>1200</c:v>
                </c:pt>
              </c:numCache>
            </c:numRef>
          </c:val>
          <c:smooth val="0"/>
          <c:extLst>
            <c:ext xmlns:c16="http://schemas.microsoft.com/office/drawing/2014/chart" uri="{C3380CC4-5D6E-409C-BE32-E72D297353CC}">
              <c16:uniqueId val="{00000001-E064-42DB-B8C9-7DFBD96EFCF8}"/>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_);[Red]\(#,##0\);\ \-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Interpolation!$D$78:$O$78</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Interpolation!$D$80:$O$80</c:f>
              <c:numCache>
                <c:formatCode>#,##0_);\(#,##0\);\-_)</c:formatCode>
                <c:ptCount val="12"/>
                <c:pt idx="0">
                  <c:v>100</c:v>
                </c:pt>
                <c:pt idx="1">
                  <c:v>200</c:v>
                </c:pt>
                <c:pt idx="2">
                  <c:v>200</c:v>
                </c:pt>
                <c:pt idx="3">
                  <c:v>400</c:v>
                </c:pt>
                <c:pt idx="4">
                  <c:v>500</c:v>
                </c:pt>
                <c:pt idx="5">
                  <c:v>500</c:v>
                </c:pt>
                <c:pt idx="6">
                  <c:v>500</c:v>
                </c:pt>
                <c:pt idx="7">
                  <c:v>500</c:v>
                </c:pt>
                <c:pt idx="8">
                  <c:v>900</c:v>
                </c:pt>
                <c:pt idx="9">
                  <c:v>900</c:v>
                </c:pt>
                <c:pt idx="10">
                  <c:v>900</c:v>
                </c:pt>
                <c:pt idx="11">
                  <c:v>1200</c:v>
                </c:pt>
              </c:numCache>
            </c:numRef>
          </c:val>
          <c:smooth val="0"/>
          <c:extLst>
            <c:ext xmlns:c16="http://schemas.microsoft.com/office/drawing/2014/chart" uri="{C3380CC4-5D6E-409C-BE32-E72D297353CC}">
              <c16:uniqueId val="{00000000-E98C-4943-8868-59E98F931565}"/>
            </c:ext>
          </c:extLst>
        </c:ser>
        <c:ser>
          <c:idx val="0"/>
          <c:order val="1"/>
          <c:tx>
            <c:v>Mapped Values</c:v>
          </c:tx>
          <c:spPr>
            <a:ln w="28575" cap="rnd">
              <a:solidFill>
                <a:schemeClr val="accent2"/>
              </a:solidFill>
              <a:round/>
            </a:ln>
            <a:effectLst/>
          </c:spPr>
          <c:marker>
            <c:symbol val="circle"/>
            <c:size val="5"/>
            <c:spPr>
              <a:solidFill>
                <a:schemeClr val="accent1"/>
              </a:solidFill>
              <a:ln w="9525">
                <a:solidFill>
                  <a:schemeClr val="accent1"/>
                </a:solidFill>
              </a:ln>
              <a:effectLst/>
            </c:spPr>
          </c:marker>
          <c:val>
            <c:numRef>
              <c:f>Interpolation!$D$79:$O$79</c:f>
              <c:numCache>
                <c:formatCode>#,##0_);\(#,##0\);\ \-_)</c:formatCode>
                <c:ptCount val="12"/>
                <c:pt idx="0">
                  <c:v>100</c:v>
                </c:pt>
                <c:pt idx="1">
                  <c:v>200</c:v>
                </c:pt>
                <c:pt idx="2">
                  <c:v>#N/A</c:v>
                </c:pt>
                <c:pt idx="3">
                  <c:v>400</c:v>
                </c:pt>
                <c:pt idx="4">
                  <c:v>500</c:v>
                </c:pt>
                <c:pt idx="5">
                  <c:v>#N/A</c:v>
                </c:pt>
                <c:pt idx="6">
                  <c:v>#N/A</c:v>
                </c:pt>
                <c:pt idx="7">
                  <c:v>#N/A</c:v>
                </c:pt>
                <c:pt idx="8">
                  <c:v>900</c:v>
                </c:pt>
                <c:pt idx="9">
                  <c:v>#N/A</c:v>
                </c:pt>
                <c:pt idx="10">
                  <c:v>#N/A</c:v>
                </c:pt>
                <c:pt idx="11">
                  <c:v>1200</c:v>
                </c:pt>
              </c:numCache>
            </c:numRef>
          </c:val>
          <c:smooth val="0"/>
          <c:extLst>
            <c:ext xmlns:c16="http://schemas.microsoft.com/office/drawing/2014/chart" uri="{C3380CC4-5D6E-409C-BE32-E72D297353CC}">
              <c16:uniqueId val="{00000003-E98C-4943-8868-59E98F931565}"/>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_);[Red]\(#,##0\);\ \-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Interpolation!$D$102:$O$102</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Interpolation!$D$104:$O$104</c:f>
              <c:numCache>
                <c:formatCode>#,##0_);\(#,##0\);\-_)</c:formatCode>
                <c:ptCount val="12"/>
                <c:pt idx="0">
                  <c:v>100</c:v>
                </c:pt>
                <c:pt idx="1">
                  <c:v>200</c:v>
                </c:pt>
                <c:pt idx="2">
                  <c:v>400</c:v>
                </c:pt>
                <c:pt idx="3">
                  <c:v>400</c:v>
                </c:pt>
                <c:pt idx="4">
                  <c:v>500</c:v>
                </c:pt>
                <c:pt idx="5">
                  <c:v>900</c:v>
                </c:pt>
                <c:pt idx="6">
                  <c:v>900</c:v>
                </c:pt>
                <c:pt idx="7">
                  <c:v>900</c:v>
                </c:pt>
                <c:pt idx="8">
                  <c:v>900</c:v>
                </c:pt>
                <c:pt idx="9">
                  <c:v>1200</c:v>
                </c:pt>
                <c:pt idx="10">
                  <c:v>1200</c:v>
                </c:pt>
                <c:pt idx="11">
                  <c:v>1200</c:v>
                </c:pt>
              </c:numCache>
            </c:numRef>
          </c:val>
          <c:smooth val="0"/>
          <c:extLst>
            <c:ext xmlns:c16="http://schemas.microsoft.com/office/drawing/2014/chart" uri="{C3380CC4-5D6E-409C-BE32-E72D297353CC}">
              <c16:uniqueId val="{00000000-28FA-4A47-86D5-A60938A7D27B}"/>
            </c:ext>
          </c:extLst>
        </c:ser>
        <c:ser>
          <c:idx val="0"/>
          <c:order val="1"/>
          <c:tx>
            <c:v>Mapped Values</c:v>
          </c:tx>
          <c:spPr>
            <a:ln w="28575" cap="rnd">
              <a:solidFill>
                <a:schemeClr val="accent2"/>
              </a:solidFill>
              <a:round/>
            </a:ln>
            <a:effectLst/>
          </c:spPr>
          <c:marker>
            <c:symbol val="circle"/>
            <c:size val="5"/>
            <c:spPr>
              <a:solidFill>
                <a:schemeClr val="accent1"/>
              </a:solidFill>
              <a:ln w="9525">
                <a:solidFill>
                  <a:schemeClr val="accent1"/>
                </a:solidFill>
              </a:ln>
              <a:effectLst/>
            </c:spPr>
          </c:marker>
          <c:cat>
            <c:numRef>
              <c:f>Interpolation!$D$102:$O$102</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Interpolation!$D$103:$O$103</c:f>
              <c:numCache>
                <c:formatCode>#,##0_);\(#,##0\);\ \-_)</c:formatCode>
                <c:ptCount val="12"/>
                <c:pt idx="0">
                  <c:v>100</c:v>
                </c:pt>
                <c:pt idx="1">
                  <c:v>200</c:v>
                </c:pt>
                <c:pt idx="2">
                  <c:v>#N/A</c:v>
                </c:pt>
                <c:pt idx="3">
                  <c:v>400</c:v>
                </c:pt>
                <c:pt idx="4">
                  <c:v>500</c:v>
                </c:pt>
                <c:pt idx="5">
                  <c:v>#N/A</c:v>
                </c:pt>
                <c:pt idx="6">
                  <c:v>#N/A</c:v>
                </c:pt>
                <c:pt idx="7">
                  <c:v>#N/A</c:v>
                </c:pt>
                <c:pt idx="8">
                  <c:v>900</c:v>
                </c:pt>
                <c:pt idx="9">
                  <c:v>#N/A</c:v>
                </c:pt>
                <c:pt idx="10">
                  <c:v>#N/A</c:v>
                </c:pt>
                <c:pt idx="11">
                  <c:v>1200</c:v>
                </c:pt>
              </c:numCache>
            </c:numRef>
          </c:val>
          <c:smooth val="0"/>
          <c:extLst>
            <c:ext xmlns:c16="http://schemas.microsoft.com/office/drawing/2014/chart" uri="{C3380CC4-5D6E-409C-BE32-E72D297353CC}">
              <c16:uniqueId val="{00000001-28FA-4A47-86D5-A60938A7D27B}"/>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_);[Red]\(#,##0\);\ \-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Interpolation!$D$132:$O$132</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Interpolation!$D$134:$O$134</c:f>
              <c:numCache>
                <c:formatCode>#,##0_);\(#,##0\);\-_)</c:formatCode>
                <c:ptCount val="12"/>
                <c:pt idx="0">
                  <c:v>100</c:v>
                </c:pt>
                <c:pt idx="1">
                  <c:v>200</c:v>
                </c:pt>
                <c:pt idx="2">
                  <c:v>300</c:v>
                </c:pt>
                <c:pt idx="3">
                  <c:v>400</c:v>
                </c:pt>
                <c:pt idx="4">
                  <c:v>500</c:v>
                </c:pt>
                <c:pt idx="5">
                  <c:v>600</c:v>
                </c:pt>
                <c:pt idx="6">
                  <c:v>700</c:v>
                </c:pt>
                <c:pt idx="7">
                  <c:v>800</c:v>
                </c:pt>
                <c:pt idx="8">
                  <c:v>900</c:v>
                </c:pt>
                <c:pt idx="9">
                  <c:v>1000</c:v>
                </c:pt>
                <c:pt idx="10">
                  <c:v>1100</c:v>
                </c:pt>
                <c:pt idx="11">
                  <c:v>1200</c:v>
                </c:pt>
              </c:numCache>
            </c:numRef>
          </c:val>
          <c:smooth val="0"/>
          <c:extLst>
            <c:ext xmlns:c16="http://schemas.microsoft.com/office/drawing/2014/chart" uri="{C3380CC4-5D6E-409C-BE32-E72D297353CC}">
              <c16:uniqueId val="{00000000-0881-4DB3-86E9-3E8107AEF162}"/>
            </c:ext>
          </c:extLst>
        </c:ser>
        <c:ser>
          <c:idx val="0"/>
          <c:order val="1"/>
          <c:tx>
            <c:v>Mapped Values</c:v>
          </c:tx>
          <c:spPr>
            <a:ln w="28575" cap="rnd">
              <a:solidFill>
                <a:schemeClr val="accent2"/>
              </a:solidFill>
              <a:round/>
            </a:ln>
            <a:effectLst/>
          </c:spPr>
          <c:marker>
            <c:symbol val="circle"/>
            <c:size val="5"/>
            <c:spPr>
              <a:solidFill>
                <a:schemeClr val="accent1"/>
              </a:solidFill>
              <a:ln w="9525">
                <a:solidFill>
                  <a:schemeClr val="accent1"/>
                </a:solidFill>
              </a:ln>
              <a:effectLst/>
            </c:spPr>
          </c:marker>
          <c:cat>
            <c:numRef>
              <c:f>Interpolation!$D$132:$O$132</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Interpolation!$D$133:$O$133</c:f>
              <c:numCache>
                <c:formatCode>#,##0_);\(#,##0\);\ \-_)</c:formatCode>
                <c:ptCount val="12"/>
                <c:pt idx="0">
                  <c:v>100</c:v>
                </c:pt>
                <c:pt idx="1">
                  <c:v>200</c:v>
                </c:pt>
                <c:pt idx="2">
                  <c:v>#N/A</c:v>
                </c:pt>
                <c:pt idx="3">
                  <c:v>400</c:v>
                </c:pt>
                <c:pt idx="4">
                  <c:v>500</c:v>
                </c:pt>
                <c:pt idx="5">
                  <c:v>#N/A</c:v>
                </c:pt>
                <c:pt idx="6">
                  <c:v>#N/A</c:v>
                </c:pt>
                <c:pt idx="7">
                  <c:v>#N/A</c:v>
                </c:pt>
                <c:pt idx="8">
                  <c:v>900</c:v>
                </c:pt>
                <c:pt idx="9">
                  <c:v>#N/A</c:v>
                </c:pt>
                <c:pt idx="10">
                  <c:v>#N/A</c:v>
                </c:pt>
                <c:pt idx="11">
                  <c:v>1200</c:v>
                </c:pt>
              </c:numCache>
            </c:numRef>
          </c:val>
          <c:smooth val="0"/>
          <c:extLst>
            <c:ext xmlns:c16="http://schemas.microsoft.com/office/drawing/2014/chart" uri="{C3380CC4-5D6E-409C-BE32-E72D297353CC}">
              <c16:uniqueId val="{00000001-0881-4DB3-86E9-3E8107AEF162}"/>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_);[Red]\(#,##0\);\ \-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Interpolation!$D$163:$O$163</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Interpolation!$D$166:$O$166</c:f>
              <c:numCache>
                <c:formatCode>#,##0_);\(#,##0\);\-_)</c:formatCode>
                <c:ptCount val="12"/>
                <c:pt idx="0">
                  <c:v>100</c:v>
                </c:pt>
                <c:pt idx="1">
                  <c:v>200</c:v>
                </c:pt>
                <c:pt idx="2">
                  <c:v>300</c:v>
                </c:pt>
                <c:pt idx="3">
                  <c:v>400</c:v>
                </c:pt>
                <c:pt idx="4">
                  <c:v>500</c:v>
                </c:pt>
                <c:pt idx="5">
                  <c:v>600</c:v>
                </c:pt>
                <c:pt idx="6">
                  <c:v>700</c:v>
                </c:pt>
                <c:pt idx="7">
                  <c:v>800</c:v>
                </c:pt>
                <c:pt idx="8">
                  <c:v>900</c:v>
                </c:pt>
                <c:pt idx="9">
                  <c:v>1000</c:v>
                </c:pt>
                <c:pt idx="10">
                  <c:v>1100</c:v>
                </c:pt>
                <c:pt idx="11">
                  <c:v>1200</c:v>
                </c:pt>
              </c:numCache>
            </c:numRef>
          </c:val>
          <c:smooth val="0"/>
          <c:extLst>
            <c:ext xmlns:c16="http://schemas.microsoft.com/office/drawing/2014/chart" uri="{C3380CC4-5D6E-409C-BE32-E72D297353CC}">
              <c16:uniqueId val="{00000005-A91D-470D-838F-8B6C3834D9AB}"/>
            </c:ext>
          </c:extLst>
        </c:ser>
        <c:ser>
          <c:idx val="0"/>
          <c:order val="1"/>
          <c:tx>
            <c:v>Mapped Values</c:v>
          </c:tx>
          <c:spPr>
            <a:ln w="28575" cap="rnd">
              <a:solidFill>
                <a:schemeClr val="accent2"/>
              </a:solidFill>
              <a:round/>
            </a:ln>
            <a:effectLst/>
          </c:spPr>
          <c:marker>
            <c:symbol val="circle"/>
            <c:size val="5"/>
            <c:spPr>
              <a:solidFill>
                <a:schemeClr val="accent1"/>
              </a:solidFill>
              <a:ln w="9525">
                <a:solidFill>
                  <a:schemeClr val="accent1"/>
                </a:solidFill>
              </a:ln>
              <a:effectLst/>
            </c:spPr>
          </c:marker>
          <c:cat>
            <c:numRef>
              <c:f>Interpolation!$D$163:$O$163</c:f>
              <c:numCache>
                <c:formatCode>#,##0_);[Red]\(#,##0\);\ \-_)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Interpolation!$D$164:$O$164</c:f>
              <c:numCache>
                <c:formatCode>#,##0_);\(#,##0\);\ \-_)</c:formatCode>
                <c:ptCount val="12"/>
                <c:pt idx="0">
                  <c:v>100</c:v>
                </c:pt>
                <c:pt idx="1">
                  <c:v>200</c:v>
                </c:pt>
                <c:pt idx="2">
                  <c:v>#N/A</c:v>
                </c:pt>
                <c:pt idx="3">
                  <c:v>400</c:v>
                </c:pt>
                <c:pt idx="4">
                  <c:v>500</c:v>
                </c:pt>
                <c:pt idx="5">
                  <c:v>#N/A</c:v>
                </c:pt>
                <c:pt idx="6">
                  <c:v>#N/A</c:v>
                </c:pt>
                <c:pt idx="7">
                  <c:v>#N/A</c:v>
                </c:pt>
                <c:pt idx="8">
                  <c:v>900</c:v>
                </c:pt>
                <c:pt idx="9">
                  <c:v>#N/A</c:v>
                </c:pt>
                <c:pt idx="10">
                  <c:v>#N/A</c:v>
                </c:pt>
                <c:pt idx="11">
                  <c:v>1200</c:v>
                </c:pt>
              </c:numCache>
            </c:numRef>
          </c:val>
          <c:smooth val="0"/>
          <c:extLst>
            <c:ext xmlns:c16="http://schemas.microsoft.com/office/drawing/2014/chart" uri="{C3380CC4-5D6E-409C-BE32-E72D297353CC}">
              <c16:uniqueId val="{00000004-A91D-470D-838F-8B6C3834D9AB}"/>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_);[Red]\(#,##0\);\ \-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circle"/>
            <c:size val="5"/>
            <c:spPr>
              <a:solidFill>
                <a:schemeClr val="accent4"/>
              </a:solidFill>
              <a:ln w="9525">
                <a:solidFill>
                  <a:schemeClr val="accent4"/>
                </a:solidFill>
              </a:ln>
              <a:effectLst/>
            </c:spPr>
          </c:marker>
          <c:val>
            <c:numRef>
              <c:f>Interpolation!$D$195:$Z$195</c:f>
              <c:numCache>
                <c:formatCode>#,##0_);[Red]\(#,##0\);\ \-_)</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val>
          <c:smooth val="0"/>
          <c:extLst>
            <c:ext xmlns:c16="http://schemas.microsoft.com/office/drawing/2014/chart" uri="{C3380CC4-5D6E-409C-BE32-E72D297353CC}">
              <c16:uniqueId val="{00000005-7E07-429F-8A46-7033B9EA7BBB}"/>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0_);\(#,##0.0\);\-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Red]\(#,##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Interpolation!$D$229:$Z$229</c:f>
              <c:numCache>
                <c:formatCode>#,##0_);\(#,##0\);\-_)</c:formatCode>
                <c:ptCount val="23"/>
                <c:pt idx="0">
                  <c:v>100</c:v>
                </c:pt>
                <c:pt idx="1">
                  <c:v>200</c:v>
                </c:pt>
                <c:pt idx="2">
                  <c:v>300</c:v>
                </c:pt>
                <c:pt idx="3">
                  <c:v>400</c:v>
                </c:pt>
                <c:pt idx="4">
                  <c:v>500</c:v>
                </c:pt>
                <c:pt idx="5">
                  <c:v>600</c:v>
                </c:pt>
                <c:pt idx="6">
                  <c:v>700</c:v>
                </c:pt>
                <c:pt idx="7">
                  <c:v>800</c:v>
                </c:pt>
                <c:pt idx="8">
                  <c:v>900</c:v>
                </c:pt>
                <c:pt idx="9">
                  <c:v>1000</c:v>
                </c:pt>
                <c:pt idx="10">
                  <c:v>1100</c:v>
                </c:pt>
                <c:pt idx="11">
                  <c:v>1200</c:v>
                </c:pt>
                <c:pt idx="12">
                  <c:v>1100</c:v>
                </c:pt>
                <c:pt idx="13">
                  <c:v>1000</c:v>
                </c:pt>
                <c:pt idx="14">
                  <c:v>900</c:v>
                </c:pt>
                <c:pt idx="15">
                  <c:v>800</c:v>
                </c:pt>
                <c:pt idx="16">
                  <c:v>700</c:v>
                </c:pt>
                <c:pt idx="17">
                  <c:v>600</c:v>
                </c:pt>
                <c:pt idx="18">
                  <c:v>500</c:v>
                </c:pt>
                <c:pt idx="19">
                  <c:v>400</c:v>
                </c:pt>
                <c:pt idx="20">
                  <c:v>300</c:v>
                </c:pt>
                <c:pt idx="21">
                  <c:v>200</c:v>
                </c:pt>
                <c:pt idx="22">
                  <c:v>100</c:v>
                </c:pt>
              </c:numCache>
            </c:numRef>
          </c:val>
          <c:smooth val="0"/>
          <c:extLst>
            <c:ext xmlns:c16="http://schemas.microsoft.com/office/drawing/2014/chart" uri="{C3380CC4-5D6E-409C-BE32-E72D297353CC}">
              <c16:uniqueId val="{00000000-4465-4E0B-A898-604F643FDB2F}"/>
            </c:ext>
          </c:extLst>
        </c:ser>
        <c:ser>
          <c:idx val="0"/>
          <c:order val="1"/>
          <c:tx>
            <c:v>Mapped Values</c:v>
          </c:tx>
          <c:spPr>
            <a:ln w="28575" cap="rnd">
              <a:solidFill>
                <a:schemeClr val="accent2"/>
              </a:solidFill>
              <a:round/>
            </a:ln>
            <a:effectLst/>
          </c:spPr>
          <c:marker>
            <c:symbol val="circle"/>
            <c:size val="5"/>
            <c:spPr>
              <a:solidFill>
                <a:schemeClr val="accent1"/>
              </a:solidFill>
              <a:ln w="9525">
                <a:solidFill>
                  <a:schemeClr val="accent1"/>
                </a:solidFill>
              </a:ln>
              <a:effectLst/>
            </c:spPr>
          </c:marker>
          <c:val>
            <c:numRef>
              <c:f>Interpolation!$D$227:$Z$227</c:f>
              <c:numCache>
                <c:formatCode>#,##0_);\(#,##0\);\ \-_)</c:formatCode>
                <c:ptCount val="23"/>
                <c:pt idx="0">
                  <c:v>100</c:v>
                </c:pt>
                <c:pt idx="1">
                  <c:v>200</c:v>
                </c:pt>
                <c:pt idx="2">
                  <c:v>#N/A</c:v>
                </c:pt>
                <c:pt idx="3">
                  <c:v>400</c:v>
                </c:pt>
                <c:pt idx="4">
                  <c:v>500</c:v>
                </c:pt>
                <c:pt idx="5">
                  <c:v>#N/A</c:v>
                </c:pt>
                <c:pt idx="6">
                  <c:v>#N/A</c:v>
                </c:pt>
                <c:pt idx="7">
                  <c:v>800</c:v>
                </c:pt>
                <c:pt idx="8">
                  <c:v>900</c:v>
                </c:pt>
                <c:pt idx="9">
                  <c:v>#N/A</c:v>
                </c:pt>
                <c:pt idx="10">
                  <c:v>1100</c:v>
                </c:pt>
                <c:pt idx="11">
                  <c:v>1200</c:v>
                </c:pt>
                <c:pt idx="12">
                  <c:v>#N/A</c:v>
                </c:pt>
                <c:pt idx="13">
                  <c:v>#N/A</c:v>
                </c:pt>
                <c:pt idx="14">
                  <c:v>900</c:v>
                </c:pt>
                <c:pt idx="15">
                  <c:v>800</c:v>
                </c:pt>
                <c:pt idx="16">
                  <c:v>700</c:v>
                </c:pt>
                <c:pt idx="17">
                  <c:v>#N/A</c:v>
                </c:pt>
                <c:pt idx="18">
                  <c:v>#N/A</c:v>
                </c:pt>
                <c:pt idx="19">
                  <c:v>#N/A</c:v>
                </c:pt>
                <c:pt idx="20">
                  <c:v>300</c:v>
                </c:pt>
                <c:pt idx="21">
                  <c:v>#N/A</c:v>
                </c:pt>
                <c:pt idx="22">
                  <c:v>100</c:v>
                </c:pt>
              </c:numCache>
            </c:numRef>
          </c:val>
          <c:smooth val="0"/>
          <c:extLst>
            <c:ext xmlns:c16="http://schemas.microsoft.com/office/drawing/2014/chart" uri="{C3380CC4-5D6E-409C-BE32-E72D297353CC}">
              <c16:uniqueId val="{00000007-4465-4E0B-A898-604F643FDB2F}"/>
            </c:ext>
          </c:extLst>
        </c:ser>
        <c:dLbls>
          <c:showLegendKey val="0"/>
          <c:showVal val="0"/>
          <c:showCatName val="0"/>
          <c:showSerName val="0"/>
          <c:showPercent val="0"/>
          <c:showBubbleSize val="0"/>
        </c:dLbls>
        <c:marker val="1"/>
        <c:smooth val="0"/>
        <c:axId val="332565760"/>
        <c:axId val="332565280"/>
      </c:lineChart>
      <c:catAx>
        <c:axId val="332565760"/>
        <c:scaling>
          <c:orientation val="minMax"/>
        </c:scaling>
        <c:delete val="0"/>
        <c:axPos val="b"/>
        <c:numFmt formatCode="#,##0_);[Red]\(#,##0\);\ \-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auto val="1"/>
        <c:lblAlgn val="ctr"/>
        <c:lblOffset val="100"/>
        <c:noMultiLvlLbl val="0"/>
      </c:cat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2"/>
          <c:order val="0"/>
          <c:tx>
            <c:v>Outputs</c:v>
          </c:tx>
          <c:spPr>
            <a:ln w="25400" cap="rnd">
              <a:solidFill>
                <a:schemeClr val="accent2"/>
              </a:solidFill>
              <a:round/>
            </a:ln>
            <a:effectLst/>
          </c:spPr>
          <c:marker>
            <c:symbol val="circle"/>
            <c:size val="5"/>
            <c:spPr>
              <a:solidFill>
                <a:schemeClr val="accent4"/>
              </a:solidFill>
              <a:ln w="9525">
                <a:solidFill>
                  <a:schemeClr val="accent4"/>
                </a:solidFill>
              </a:ln>
              <a:effectLst/>
            </c:spPr>
          </c:marker>
          <c:xVal>
            <c:numRef>
              <c:f>Interpolation!$D$294:$AA$294</c:f>
              <c:numCache>
                <c:formatCode>#,##0_);\(#,##0\);\-_)</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Interpolation!$D$295:$AA$295</c:f>
              <c:numCache>
                <c:formatCode>#,##0_);\(#,##0\);\-_)</c:formatCode>
                <c:ptCount val="24"/>
                <c:pt idx="0">
                  <c:v>28</c:v>
                </c:pt>
                <c:pt idx="1">
                  <c:v>40</c:v>
                </c:pt>
                <c:pt idx="2">
                  <c:v>37</c:v>
                </c:pt>
                <c:pt idx="3">
                  <c:v>34</c:v>
                </c:pt>
                <c:pt idx="4">
                  <c:v>20</c:v>
                </c:pt>
                <c:pt idx="5">
                  <c:v>31.666666666666664</c:v>
                </c:pt>
                <c:pt idx="6">
                  <c:v>43.333333333333329</c:v>
                </c:pt>
                <c:pt idx="7">
                  <c:v>55</c:v>
                </c:pt>
                <c:pt idx="8">
                  <c:v>30</c:v>
                </c:pt>
                <c:pt idx="9">
                  <c:v>34.5</c:v>
                </c:pt>
                <c:pt idx="10">
                  <c:v>39</c:v>
                </c:pt>
                <c:pt idx="11">
                  <c:v>34</c:v>
                </c:pt>
                <c:pt idx="12">
                  <c:v>30</c:v>
                </c:pt>
                <c:pt idx="13">
                  <c:v>34</c:v>
                </c:pt>
                <c:pt idx="14">
                  <c:v>50</c:v>
                </c:pt>
                <c:pt idx="15">
                  <c:v>20</c:v>
                </c:pt>
                <c:pt idx="16">
                  <c:v>25</c:v>
                </c:pt>
                <c:pt idx="17">
                  <c:v>26.25</c:v>
                </c:pt>
                <c:pt idx="18">
                  <c:v>27.5</c:v>
                </c:pt>
                <c:pt idx="19">
                  <c:v>28.75</c:v>
                </c:pt>
                <c:pt idx="20">
                  <c:v>30</c:v>
                </c:pt>
                <c:pt idx="21">
                  <c:v>37</c:v>
                </c:pt>
                <c:pt idx="22">
                  <c:v>35</c:v>
                </c:pt>
                <c:pt idx="23">
                  <c:v>28</c:v>
                </c:pt>
              </c:numCache>
            </c:numRef>
          </c:yVal>
          <c:smooth val="0"/>
          <c:extLst>
            <c:ext xmlns:c16="http://schemas.microsoft.com/office/drawing/2014/chart" uri="{C3380CC4-5D6E-409C-BE32-E72D297353CC}">
              <c16:uniqueId val="{00000002-2626-42CA-B817-354B9C4E79BB}"/>
            </c:ext>
          </c:extLst>
        </c:ser>
        <c:ser>
          <c:idx val="0"/>
          <c:order val="1"/>
          <c:tx>
            <c:v>Inputs</c:v>
          </c:tx>
          <c:spPr>
            <a:ln w="25400" cap="rnd">
              <a:noFill/>
              <a:round/>
            </a:ln>
            <a:effectLst/>
          </c:spPr>
          <c:marker>
            <c:symbol val="circle"/>
            <c:size val="5"/>
            <c:spPr>
              <a:solidFill>
                <a:schemeClr val="accent1"/>
              </a:solidFill>
              <a:ln w="9525">
                <a:solidFill>
                  <a:schemeClr val="accent1"/>
                </a:solidFill>
              </a:ln>
              <a:effectLst/>
            </c:spPr>
          </c:marker>
          <c:xVal>
            <c:numRef>
              <c:f>Interpolation!$D$292:$AA$292</c:f>
              <c:numCache>
                <c:formatCode>#,##0_);\(#,##0\);\ \-_)</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Interpolation!$D$293:$AA$293</c:f>
              <c:numCache>
                <c:formatCode>#,##0_);\(#,##0\);\ \-_)</c:formatCode>
                <c:ptCount val="24"/>
                <c:pt idx="0">
                  <c:v>28</c:v>
                </c:pt>
                <c:pt idx="1">
                  <c:v>40</c:v>
                </c:pt>
                <c:pt idx="2">
                  <c:v>#N/A</c:v>
                </c:pt>
                <c:pt idx="3">
                  <c:v>34</c:v>
                </c:pt>
                <c:pt idx="4">
                  <c:v>20</c:v>
                </c:pt>
                <c:pt idx="5">
                  <c:v>#N/A</c:v>
                </c:pt>
                <c:pt idx="6">
                  <c:v>#N/A</c:v>
                </c:pt>
                <c:pt idx="7">
                  <c:v>55</c:v>
                </c:pt>
                <c:pt idx="8">
                  <c:v>30</c:v>
                </c:pt>
                <c:pt idx="9">
                  <c:v>#N/A</c:v>
                </c:pt>
                <c:pt idx="10">
                  <c:v>39</c:v>
                </c:pt>
                <c:pt idx="11">
                  <c:v>34</c:v>
                </c:pt>
                <c:pt idx="12">
                  <c:v>30</c:v>
                </c:pt>
                <c:pt idx="13">
                  <c:v>34</c:v>
                </c:pt>
                <c:pt idx="14">
                  <c:v>50</c:v>
                </c:pt>
                <c:pt idx="15">
                  <c:v>20</c:v>
                </c:pt>
                <c:pt idx="16">
                  <c:v>25</c:v>
                </c:pt>
                <c:pt idx="17">
                  <c:v>#N/A</c:v>
                </c:pt>
                <c:pt idx="18">
                  <c:v>#N/A</c:v>
                </c:pt>
                <c:pt idx="19">
                  <c:v>#N/A</c:v>
                </c:pt>
                <c:pt idx="20">
                  <c:v>30</c:v>
                </c:pt>
                <c:pt idx="21">
                  <c:v>37</c:v>
                </c:pt>
                <c:pt idx="22">
                  <c:v>35</c:v>
                </c:pt>
                <c:pt idx="23">
                  <c:v>28</c:v>
                </c:pt>
              </c:numCache>
            </c:numRef>
          </c:yVal>
          <c:smooth val="0"/>
          <c:extLst>
            <c:ext xmlns:c16="http://schemas.microsoft.com/office/drawing/2014/chart" uri="{C3380CC4-5D6E-409C-BE32-E72D297353CC}">
              <c16:uniqueId val="{00000000-2626-42CA-B817-354B9C4E79BB}"/>
            </c:ext>
          </c:extLst>
        </c:ser>
        <c:dLbls>
          <c:showLegendKey val="0"/>
          <c:showVal val="0"/>
          <c:showCatName val="0"/>
          <c:showSerName val="0"/>
          <c:showPercent val="0"/>
          <c:showBubbleSize val="0"/>
        </c:dLbls>
        <c:axId val="332565760"/>
        <c:axId val="332565280"/>
      </c:scatterChart>
      <c:valAx>
        <c:axId val="332565760"/>
        <c:scaling>
          <c:orientation val="minMax"/>
        </c:scaling>
        <c:delete val="0"/>
        <c:axPos val="b"/>
        <c:numFmt formatCode="#,##0_);\(#,##0\);\-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crossBetween val="midCat"/>
      </c:val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2"/>
          <c:order val="0"/>
          <c:tx>
            <c:v>Outputs</c:v>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Interpolation!$D$550:$AA$550</c:f>
              <c:numCache>
                <c:formatCode>#,##0_);\(#,##0\);\-_)</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Interpolation!$D$551:$AA$551</c:f>
              <c:numCache>
                <c:formatCode>#,##0_);\(#,##0\);\-_)</c:formatCode>
                <c:ptCount val="24"/>
                <c:pt idx="0">
                  <c:v>28</c:v>
                </c:pt>
                <c:pt idx="1">
                  <c:v>40</c:v>
                </c:pt>
                <c:pt idx="2">
                  <c:v>37</c:v>
                </c:pt>
                <c:pt idx="3">
                  <c:v>34</c:v>
                </c:pt>
                <c:pt idx="4">
                  <c:v>20</c:v>
                </c:pt>
                <c:pt idx="5">
                  <c:v>31.666666666666664</c:v>
                </c:pt>
                <c:pt idx="6">
                  <c:v>43.333333333333329</c:v>
                </c:pt>
                <c:pt idx="7">
                  <c:v>55</c:v>
                </c:pt>
                <c:pt idx="8">
                  <c:v>30</c:v>
                </c:pt>
                <c:pt idx="9">
                  <c:v>34.5</c:v>
                </c:pt>
                <c:pt idx="10">
                  <c:v>39</c:v>
                </c:pt>
                <c:pt idx="11">
                  <c:v>34</c:v>
                </c:pt>
                <c:pt idx="12">
                  <c:v>30</c:v>
                </c:pt>
                <c:pt idx="13">
                  <c:v>34</c:v>
                </c:pt>
                <c:pt idx="14">
                  <c:v>50</c:v>
                </c:pt>
                <c:pt idx="15">
                  <c:v>20</c:v>
                </c:pt>
                <c:pt idx="16">
                  <c:v>25</c:v>
                </c:pt>
                <c:pt idx="17">
                  <c:v>26.25</c:v>
                </c:pt>
                <c:pt idx="18">
                  <c:v>27.5</c:v>
                </c:pt>
                <c:pt idx="19">
                  <c:v>28.75</c:v>
                </c:pt>
                <c:pt idx="20">
                  <c:v>30</c:v>
                </c:pt>
                <c:pt idx="21">
                  <c:v>37</c:v>
                </c:pt>
                <c:pt idx="22">
                  <c:v>35</c:v>
                </c:pt>
                <c:pt idx="23">
                  <c:v>28</c:v>
                </c:pt>
              </c:numCache>
            </c:numRef>
          </c:yVal>
          <c:smooth val="0"/>
          <c:extLst>
            <c:ext xmlns:c16="http://schemas.microsoft.com/office/drawing/2014/chart" uri="{C3380CC4-5D6E-409C-BE32-E72D297353CC}">
              <c16:uniqueId val="{00000000-FDE0-470D-828F-B481CFD4E14D}"/>
            </c:ext>
          </c:extLst>
        </c:ser>
        <c:ser>
          <c:idx val="0"/>
          <c:order val="1"/>
          <c:tx>
            <c:v>Inputs</c:v>
          </c:tx>
          <c:spPr>
            <a:ln w="28575" cap="rnd">
              <a:solidFill>
                <a:schemeClr val="accent2"/>
              </a:solidFill>
              <a:round/>
            </a:ln>
            <a:effectLst/>
          </c:spPr>
          <c:marker>
            <c:symbol val="circle"/>
            <c:size val="5"/>
            <c:spPr>
              <a:solidFill>
                <a:schemeClr val="accent1"/>
              </a:solidFill>
              <a:ln w="9525">
                <a:solidFill>
                  <a:schemeClr val="accent1"/>
                </a:solidFill>
              </a:ln>
              <a:effectLst/>
            </c:spPr>
          </c:marker>
          <c:xVal>
            <c:numRef>
              <c:f>Interpolation!$D$15:$AA$15</c:f>
              <c:numCache>
                <c:formatCode>#,##0_);\(#,##0\);\ \-_)</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Interpolation!$D$17:$AA$17</c:f>
              <c:numCache>
                <c:formatCode>#,##0_);\(#,##0\);\ \-_)</c:formatCode>
                <c:ptCount val="24"/>
                <c:pt idx="0">
                  <c:v>28</c:v>
                </c:pt>
                <c:pt idx="1">
                  <c:v>40</c:v>
                </c:pt>
                <c:pt idx="3">
                  <c:v>34</c:v>
                </c:pt>
                <c:pt idx="4">
                  <c:v>20</c:v>
                </c:pt>
                <c:pt idx="7">
                  <c:v>55</c:v>
                </c:pt>
                <c:pt idx="8">
                  <c:v>30</c:v>
                </c:pt>
                <c:pt idx="10">
                  <c:v>39</c:v>
                </c:pt>
                <c:pt idx="11">
                  <c:v>34</c:v>
                </c:pt>
                <c:pt idx="12">
                  <c:v>30</c:v>
                </c:pt>
                <c:pt idx="13">
                  <c:v>34</c:v>
                </c:pt>
                <c:pt idx="14">
                  <c:v>50</c:v>
                </c:pt>
                <c:pt idx="15">
                  <c:v>20</c:v>
                </c:pt>
                <c:pt idx="16">
                  <c:v>25</c:v>
                </c:pt>
                <c:pt idx="20">
                  <c:v>30</c:v>
                </c:pt>
                <c:pt idx="21">
                  <c:v>37</c:v>
                </c:pt>
                <c:pt idx="22">
                  <c:v>35</c:v>
                </c:pt>
                <c:pt idx="23">
                  <c:v>28</c:v>
                </c:pt>
              </c:numCache>
            </c:numRef>
          </c:yVal>
          <c:smooth val="0"/>
          <c:extLst>
            <c:ext xmlns:c16="http://schemas.microsoft.com/office/drawing/2014/chart" uri="{C3380CC4-5D6E-409C-BE32-E72D297353CC}">
              <c16:uniqueId val="{00000001-FDE0-470D-828F-B481CFD4E14D}"/>
            </c:ext>
          </c:extLst>
        </c:ser>
        <c:dLbls>
          <c:showLegendKey val="0"/>
          <c:showVal val="0"/>
          <c:showCatName val="0"/>
          <c:showSerName val="0"/>
          <c:showPercent val="0"/>
          <c:showBubbleSize val="0"/>
        </c:dLbls>
        <c:axId val="332565760"/>
        <c:axId val="332565280"/>
      </c:scatterChart>
      <c:valAx>
        <c:axId val="332565760"/>
        <c:scaling>
          <c:orientation val="minMax"/>
        </c:scaling>
        <c:delete val="0"/>
        <c:axPos val="b"/>
        <c:numFmt formatCode="#,##0_);\(#,##0\);\-_)"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280"/>
        <c:crosses val="autoZero"/>
        <c:crossBetween val="midCat"/>
      </c:valAx>
      <c:valAx>
        <c:axId val="332565280"/>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32565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Corrected</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Outliers!$D$60:$AA$60</c:f>
              <c:numCache>
                <c:formatCode>#,##0_);\(#,##0\);\-_)</c:formatCode>
                <c:ptCount val="24"/>
                <c:pt idx="0">
                  <c:v>28</c:v>
                </c:pt>
                <c:pt idx="1">
                  <c:v>40</c:v>
                </c:pt>
                <c:pt idx="2">
                  <c:v>23</c:v>
                </c:pt>
                <c:pt idx="3">
                  <c:v>34</c:v>
                </c:pt>
                <c:pt idx="4">
                  <c:v>20</c:v>
                </c:pt>
                <c:pt idx="5">
                  <c:v>17</c:v>
                </c:pt>
                <c:pt idx="6">
                  <c:v>16</c:v>
                </c:pt>
                <c:pt idx="7">
                  <c:v>41.375</c:v>
                </c:pt>
                <c:pt idx="8">
                  <c:v>30</c:v>
                </c:pt>
                <c:pt idx="9">
                  <c:v>29</c:v>
                </c:pt>
                <c:pt idx="10">
                  <c:v>39</c:v>
                </c:pt>
                <c:pt idx="11">
                  <c:v>34</c:v>
                </c:pt>
                <c:pt idx="12">
                  <c:v>30</c:v>
                </c:pt>
                <c:pt idx="13">
                  <c:v>34</c:v>
                </c:pt>
                <c:pt idx="14">
                  <c:v>41.375</c:v>
                </c:pt>
                <c:pt idx="15">
                  <c:v>20</c:v>
                </c:pt>
                <c:pt idx="16">
                  <c:v>25</c:v>
                </c:pt>
                <c:pt idx="17">
                  <c:v>18</c:v>
                </c:pt>
                <c:pt idx="18">
                  <c:v>12.875</c:v>
                </c:pt>
                <c:pt idx="19">
                  <c:v>20</c:v>
                </c:pt>
                <c:pt idx="20">
                  <c:v>30</c:v>
                </c:pt>
                <c:pt idx="21">
                  <c:v>37</c:v>
                </c:pt>
                <c:pt idx="22">
                  <c:v>35</c:v>
                </c:pt>
                <c:pt idx="23">
                  <c:v>28</c:v>
                </c:pt>
              </c:numCache>
            </c:numRef>
          </c:val>
          <c:smooth val="0"/>
          <c:extLst>
            <c:ext xmlns:c16="http://schemas.microsoft.com/office/drawing/2014/chart" uri="{C3380CC4-5D6E-409C-BE32-E72D297353CC}">
              <c16:uniqueId val="{00000001-7ECA-47E4-9CC6-898F57E704B5}"/>
            </c:ext>
          </c:extLst>
        </c:ser>
        <c:ser>
          <c:idx val="0"/>
          <c:order val="1"/>
          <c:tx>
            <c:v>Inputs</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Outliers!$D$59:$AA$59</c:f>
              <c:numCache>
                <c:formatCode>#,##0_);\(#,##0\);\ \-_)</c:formatCode>
                <c:ptCount val="24"/>
                <c:pt idx="0">
                  <c:v>28</c:v>
                </c:pt>
                <c:pt idx="1">
                  <c:v>40</c:v>
                </c:pt>
                <c:pt idx="2">
                  <c:v>23</c:v>
                </c:pt>
                <c:pt idx="3">
                  <c:v>34</c:v>
                </c:pt>
                <c:pt idx="4">
                  <c:v>20</c:v>
                </c:pt>
                <c:pt idx="5">
                  <c:v>17</c:v>
                </c:pt>
                <c:pt idx="6">
                  <c:v>16</c:v>
                </c:pt>
                <c:pt idx="7">
                  <c:v>55</c:v>
                </c:pt>
                <c:pt idx="8">
                  <c:v>30</c:v>
                </c:pt>
                <c:pt idx="9">
                  <c:v>29</c:v>
                </c:pt>
                <c:pt idx="10">
                  <c:v>39</c:v>
                </c:pt>
                <c:pt idx="11">
                  <c:v>34</c:v>
                </c:pt>
                <c:pt idx="12">
                  <c:v>30</c:v>
                </c:pt>
                <c:pt idx="13">
                  <c:v>34</c:v>
                </c:pt>
                <c:pt idx="14">
                  <c:v>50</c:v>
                </c:pt>
                <c:pt idx="15">
                  <c:v>20</c:v>
                </c:pt>
                <c:pt idx="16">
                  <c:v>25</c:v>
                </c:pt>
                <c:pt idx="17">
                  <c:v>18</c:v>
                </c:pt>
                <c:pt idx="18">
                  <c:v>5</c:v>
                </c:pt>
                <c:pt idx="19">
                  <c:v>20</c:v>
                </c:pt>
                <c:pt idx="20">
                  <c:v>30</c:v>
                </c:pt>
                <c:pt idx="21">
                  <c:v>37</c:v>
                </c:pt>
                <c:pt idx="22">
                  <c:v>35</c:v>
                </c:pt>
                <c:pt idx="23">
                  <c:v>28</c:v>
                </c:pt>
              </c:numCache>
            </c:numRef>
          </c:val>
          <c:smooth val="0"/>
          <c:extLst>
            <c:ext xmlns:c16="http://schemas.microsoft.com/office/drawing/2014/chart" uri="{C3380CC4-5D6E-409C-BE32-E72D297353CC}">
              <c16:uniqueId val="{00000000-7ECA-47E4-9CC6-898F57E704B5}"/>
            </c:ext>
          </c:extLst>
        </c:ser>
        <c:dLbls>
          <c:showLegendKey val="0"/>
          <c:showVal val="0"/>
          <c:showCatName val="0"/>
          <c:showSerName val="0"/>
          <c:showPercent val="0"/>
          <c:showBubbleSize val="0"/>
        </c:dLbls>
        <c:marker val="1"/>
        <c:smooth val="0"/>
        <c:axId val="1162641552"/>
        <c:axId val="1162642032"/>
      </c:lineChart>
      <c:catAx>
        <c:axId val="1162641552"/>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2032"/>
        <c:crosses val="autoZero"/>
        <c:auto val="1"/>
        <c:lblAlgn val="ctr"/>
        <c:lblOffset val="100"/>
        <c:noMultiLvlLbl val="0"/>
      </c:catAx>
      <c:valAx>
        <c:axId val="1162642032"/>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Outliers!$D$84:$AA$84</c:f>
              <c:numCache>
                <c:formatCode>#,##0_);\(#,##0\);\-_)</c:formatCode>
                <c:ptCount val="24"/>
                <c:pt idx="0">
                  <c:v>28</c:v>
                </c:pt>
                <c:pt idx="1">
                  <c:v>40</c:v>
                </c:pt>
                <c:pt idx="2">
                  <c:v>23</c:v>
                </c:pt>
                <c:pt idx="3">
                  <c:v>34</c:v>
                </c:pt>
                <c:pt idx="4">
                  <c:v>20</c:v>
                </c:pt>
                <c:pt idx="5">
                  <c:v>17</c:v>
                </c:pt>
                <c:pt idx="6">
                  <c:v>16</c:v>
                </c:pt>
                <c:pt idx="7">
                  <c:v>41.375</c:v>
                </c:pt>
                <c:pt idx="8">
                  <c:v>30</c:v>
                </c:pt>
                <c:pt idx="9">
                  <c:v>29</c:v>
                </c:pt>
                <c:pt idx="10">
                  <c:v>39</c:v>
                </c:pt>
                <c:pt idx="11">
                  <c:v>34</c:v>
                </c:pt>
                <c:pt idx="12">
                  <c:v>30</c:v>
                </c:pt>
                <c:pt idx="13">
                  <c:v>34</c:v>
                </c:pt>
                <c:pt idx="14">
                  <c:v>41.375</c:v>
                </c:pt>
                <c:pt idx="15">
                  <c:v>20</c:v>
                </c:pt>
                <c:pt idx="16">
                  <c:v>25</c:v>
                </c:pt>
                <c:pt idx="17">
                  <c:v>18</c:v>
                </c:pt>
                <c:pt idx="18">
                  <c:v>12.875</c:v>
                </c:pt>
                <c:pt idx="19">
                  <c:v>20</c:v>
                </c:pt>
                <c:pt idx="20">
                  <c:v>30</c:v>
                </c:pt>
                <c:pt idx="21">
                  <c:v>37</c:v>
                </c:pt>
                <c:pt idx="22">
                  <c:v>35</c:v>
                </c:pt>
                <c:pt idx="23">
                  <c:v>28</c:v>
                </c:pt>
              </c:numCache>
            </c:numRef>
          </c:val>
          <c:smooth val="0"/>
          <c:extLst>
            <c:ext xmlns:c16="http://schemas.microsoft.com/office/drawing/2014/chart" uri="{C3380CC4-5D6E-409C-BE32-E72D297353CC}">
              <c16:uniqueId val="{00000000-9528-4E27-AD1B-9C36ABAEC842}"/>
            </c:ext>
          </c:extLst>
        </c:ser>
        <c:ser>
          <c:idx val="0"/>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Outliers!$D$83:$AA$83</c:f>
              <c:numCache>
                <c:formatCode>#,##0_);\(#,##0\);\ \-_)</c:formatCode>
                <c:ptCount val="24"/>
                <c:pt idx="0">
                  <c:v>28</c:v>
                </c:pt>
                <c:pt idx="1">
                  <c:v>40</c:v>
                </c:pt>
                <c:pt idx="2">
                  <c:v>23</c:v>
                </c:pt>
                <c:pt idx="3">
                  <c:v>34</c:v>
                </c:pt>
                <c:pt idx="4">
                  <c:v>20</c:v>
                </c:pt>
                <c:pt idx="5">
                  <c:v>17</c:v>
                </c:pt>
                <c:pt idx="6">
                  <c:v>16</c:v>
                </c:pt>
                <c:pt idx="7">
                  <c:v>55</c:v>
                </c:pt>
                <c:pt idx="8">
                  <c:v>30</c:v>
                </c:pt>
                <c:pt idx="9">
                  <c:v>29</c:v>
                </c:pt>
                <c:pt idx="10">
                  <c:v>39</c:v>
                </c:pt>
                <c:pt idx="11">
                  <c:v>34</c:v>
                </c:pt>
                <c:pt idx="12">
                  <c:v>30</c:v>
                </c:pt>
                <c:pt idx="13">
                  <c:v>34</c:v>
                </c:pt>
                <c:pt idx="14">
                  <c:v>50</c:v>
                </c:pt>
                <c:pt idx="15">
                  <c:v>20</c:v>
                </c:pt>
                <c:pt idx="16">
                  <c:v>25</c:v>
                </c:pt>
                <c:pt idx="17">
                  <c:v>18</c:v>
                </c:pt>
                <c:pt idx="18">
                  <c:v>5</c:v>
                </c:pt>
                <c:pt idx="19">
                  <c:v>20</c:v>
                </c:pt>
                <c:pt idx="20">
                  <c:v>30</c:v>
                </c:pt>
                <c:pt idx="21">
                  <c:v>37</c:v>
                </c:pt>
                <c:pt idx="22">
                  <c:v>35</c:v>
                </c:pt>
                <c:pt idx="23">
                  <c:v>28</c:v>
                </c:pt>
              </c:numCache>
            </c:numRef>
          </c:val>
          <c:smooth val="0"/>
          <c:extLst>
            <c:ext xmlns:c16="http://schemas.microsoft.com/office/drawing/2014/chart" uri="{C3380CC4-5D6E-409C-BE32-E72D297353CC}">
              <c16:uniqueId val="{00000001-9528-4E27-AD1B-9C36ABAEC842}"/>
            </c:ext>
          </c:extLst>
        </c:ser>
        <c:dLbls>
          <c:showLegendKey val="0"/>
          <c:showVal val="0"/>
          <c:showCatName val="0"/>
          <c:showSerName val="0"/>
          <c:showPercent val="0"/>
          <c:showBubbleSize val="0"/>
        </c:dLbls>
        <c:marker val="1"/>
        <c:smooth val="0"/>
        <c:axId val="1162641552"/>
        <c:axId val="1162642032"/>
      </c:lineChart>
      <c:catAx>
        <c:axId val="1162641552"/>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2032"/>
        <c:crosses val="autoZero"/>
        <c:auto val="1"/>
        <c:lblAlgn val="ctr"/>
        <c:lblOffset val="100"/>
        <c:noMultiLvlLbl val="0"/>
      </c:catAx>
      <c:valAx>
        <c:axId val="1162642032"/>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Outliers!$D$109:$AA$109</c:f>
              <c:numCache>
                <c:formatCode>#,##0_);\(#,##0\);\-_)</c:formatCode>
                <c:ptCount val="24"/>
                <c:pt idx="0">
                  <c:v>28</c:v>
                </c:pt>
                <c:pt idx="1">
                  <c:v>40</c:v>
                </c:pt>
                <c:pt idx="2">
                  <c:v>23</c:v>
                </c:pt>
                <c:pt idx="3">
                  <c:v>34</c:v>
                </c:pt>
                <c:pt idx="4">
                  <c:v>#N/A</c:v>
                </c:pt>
                <c:pt idx="5">
                  <c:v>17</c:v>
                </c:pt>
                <c:pt idx="6">
                  <c:v>16</c:v>
                </c:pt>
                <c:pt idx="7">
                  <c:v>41</c:v>
                </c:pt>
                <c:pt idx="8">
                  <c:v>30</c:v>
                </c:pt>
                <c:pt idx="9">
                  <c:v>29</c:v>
                </c:pt>
                <c:pt idx="10">
                  <c:v>#N/A</c:v>
                </c:pt>
                <c:pt idx="11">
                  <c:v>34</c:v>
                </c:pt>
                <c:pt idx="12">
                  <c:v>30</c:v>
                </c:pt>
                <c:pt idx="13">
                  <c:v>34</c:v>
                </c:pt>
                <c:pt idx="14">
                  <c:v>41</c:v>
                </c:pt>
                <c:pt idx="15">
                  <c:v>20</c:v>
                </c:pt>
                <c:pt idx="16">
                  <c:v>25</c:v>
                </c:pt>
                <c:pt idx="17">
                  <c:v>18</c:v>
                </c:pt>
                <c:pt idx="18">
                  <c:v>13</c:v>
                </c:pt>
                <c:pt idx="19">
                  <c:v>20</c:v>
                </c:pt>
                <c:pt idx="20">
                  <c:v>30</c:v>
                </c:pt>
                <c:pt idx="21">
                  <c:v>37</c:v>
                </c:pt>
                <c:pt idx="22">
                  <c:v>#N/A</c:v>
                </c:pt>
                <c:pt idx="23">
                  <c:v>28</c:v>
                </c:pt>
              </c:numCache>
            </c:numRef>
          </c:val>
          <c:smooth val="0"/>
          <c:extLst>
            <c:ext xmlns:c16="http://schemas.microsoft.com/office/drawing/2014/chart" uri="{C3380CC4-5D6E-409C-BE32-E72D297353CC}">
              <c16:uniqueId val="{00000000-A7AB-4FFE-913C-92F2D66D127E}"/>
            </c:ext>
          </c:extLst>
        </c:ser>
        <c:ser>
          <c:idx val="0"/>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Outliers!$D$108:$AA$108</c:f>
              <c:numCache>
                <c:formatCode>#,##0_);\(#,##0\);\ \-_)</c:formatCode>
                <c:ptCount val="24"/>
                <c:pt idx="0">
                  <c:v>28</c:v>
                </c:pt>
                <c:pt idx="1">
                  <c:v>40</c:v>
                </c:pt>
                <c:pt idx="2">
                  <c:v>23</c:v>
                </c:pt>
                <c:pt idx="3">
                  <c:v>34</c:v>
                </c:pt>
                <c:pt idx="4">
                  <c:v>0</c:v>
                </c:pt>
                <c:pt idx="5">
                  <c:v>17</c:v>
                </c:pt>
                <c:pt idx="6">
                  <c:v>16</c:v>
                </c:pt>
                <c:pt idx="7">
                  <c:v>55</c:v>
                </c:pt>
                <c:pt idx="8">
                  <c:v>30</c:v>
                </c:pt>
                <c:pt idx="9">
                  <c:v>29</c:v>
                </c:pt>
                <c:pt idx="10">
                  <c:v>0</c:v>
                </c:pt>
                <c:pt idx="11">
                  <c:v>34</c:v>
                </c:pt>
                <c:pt idx="12">
                  <c:v>30</c:v>
                </c:pt>
                <c:pt idx="13">
                  <c:v>34</c:v>
                </c:pt>
                <c:pt idx="14">
                  <c:v>50</c:v>
                </c:pt>
                <c:pt idx="15">
                  <c:v>20</c:v>
                </c:pt>
                <c:pt idx="16">
                  <c:v>25</c:v>
                </c:pt>
                <c:pt idx="17">
                  <c:v>18</c:v>
                </c:pt>
                <c:pt idx="18">
                  <c:v>5</c:v>
                </c:pt>
                <c:pt idx="19">
                  <c:v>20</c:v>
                </c:pt>
                <c:pt idx="20">
                  <c:v>30</c:v>
                </c:pt>
                <c:pt idx="21">
                  <c:v>37</c:v>
                </c:pt>
                <c:pt idx="22">
                  <c:v>0</c:v>
                </c:pt>
                <c:pt idx="23">
                  <c:v>28</c:v>
                </c:pt>
              </c:numCache>
            </c:numRef>
          </c:val>
          <c:smooth val="0"/>
          <c:extLst>
            <c:ext xmlns:c16="http://schemas.microsoft.com/office/drawing/2014/chart" uri="{C3380CC4-5D6E-409C-BE32-E72D297353CC}">
              <c16:uniqueId val="{00000001-A7AB-4FFE-913C-92F2D66D127E}"/>
            </c:ext>
          </c:extLst>
        </c:ser>
        <c:dLbls>
          <c:showLegendKey val="0"/>
          <c:showVal val="0"/>
          <c:showCatName val="0"/>
          <c:showSerName val="0"/>
          <c:showPercent val="0"/>
          <c:showBubbleSize val="0"/>
        </c:dLbls>
        <c:marker val="1"/>
        <c:smooth val="0"/>
        <c:axId val="1162641552"/>
        <c:axId val="1162642032"/>
      </c:lineChart>
      <c:catAx>
        <c:axId val="1162641552"/>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2032"/>
        <c:crosses val="autoZero"/>
        <c:auto val="1"/>
        <c:lblAlgn val="ctr"/>
        <c:lblOffset val="100"/>
        <c:noMultiLvlLbl val="0"/>
      </c:catAx>
      <c:valAx>
        <c:axId val="1162642032"/>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1552"/>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Outliers!$D$151:$AA$151</c:f>
              <c:numCache>
                <c:formatCode>#,##0_);\(#,##0\);\-_)</c:formatCode>
                <c:ptCount val="24"/>
                <c:pt idx="0">
                  <c:v>28</c:v>
                </c:pt>
                <c:pt idx="1">
                  <c:v>39.875</c:v>
                </c:pt>
                <c:pt idx="2">
                  <c:v>23</c:v>
                </c:pt>
                <c:pt idx="3">
                  <c:v>34</c:v>
                </c:pt>
                <c:pt idx="4">
                  <c:v>#N/A</c:v>
                </c:pt>
                <c:pt idx="5">
                  <c:v>17</c:v>
                </c:pt>
                <c:pt idx="6">
                  <c:v>16</c:v>
                </c:pt>
                <c:pt idx="7">
                  <c:v>55</c:v>
                </c:pt>
                <c:pt idx="8">
                  <c:v>30</c:v>
                </c:pt>
                <c:pt idx="9">
                  <c:v>29</c:v>
                </c:pt>
                <c:pt idx="10">
                  <c:v>#N/A</c:v>
                </c:pt>
                <c:pt idx="11">
                  <c:v>34</c:v>
                </c:pt>
                <c:pt idx="12">
                  <c:v>30</c:v>
                </c:pt>
                <c:pt idx="13">
                  <c:v>34</c:v>
                </c:pt>
                <c:pt idx="14">
                  <c:v>39.875</c:v>
                </c:pt>
                <c:pt idx="15">
                  <c:v>20</c:v>
                </c:pt>
                <c:pt idx="16">
                  <c:v>25</c:v>
                </c:pt>
                <c:pt idx="17">
                  <c:v>18</c:v>
                </c:pt>
                <c:pt idx="18">
                  <c:v>16.375</c:v>
                </c:pt>
                <c:pt idx="19">
                  <c:v>20</c:v>
                </c:pt>
                <c:pt idx="20">
                  <c:v>30</c:v>
                </c:pt>
                <c:pt idx="21">
                  <c:v>37</c:v>
                </c:pt>
                <c:pt idx="22">
                  <c:v>#N/A</c:v>
                </c:pt>
                <c:pt idx="23">
                  <c:v>28</c:v>
                </c:pt>
              </c:numCache>
            </c:numRef>
          </c:val>
          <c:smooth val="0"/>
          <c:extLst>
            <c:ext xmlns:c16="http://schemas.microsoft.com/office/drawing/2014/chart" uri="{C3380CC4-5D6E-409C-BE32-E72D297353CC}">
              <c16:uniqueId val="{00000000-6EBF-4933-B565-DA8A5A6A4C06}"/>
            </c:ext>
          </c:extLst>
        </c:ser>
        <c:ser>
          <c:idx val="0"/>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Outliers!$D$150:$AA$150</c:f>
              <c:numCache>
                <c:formatCode>#,##0_);\(#,##0\);\ \-_)</c:formatCode>
                <c:ptCount val="24"/>
                <c:pt idx="0">
                  <c:v>28</c:v>
                </c:pt>
                <c:pt idx="1">
                  <c:v>40</c:v>
                </c:pt>
                <c:pt idx="2">
                  <c:v>23</c:v>
                </c:pt>
                <c:pt idx="3">
                  <c:v>34</c:v>
                </c:pt>
                <c:pt idx="4">
                  <c:v>0</c:v>
                </c:pt>
                <c:pt idx="5">
                  <c:v>17</c:v>
                </c:pt>
                <c:pt idx="6">
                  <c:v>16</c:v>
                </c:pt>
                <c:pt idx="7">
                  <c:v>55</c:v>
                </c:pt>
                <c:pt idx="8">
                  <c:v>30</c:v>
                </c:pt>
                <c:pt idx="9">
                  <c:v>29</c:v>
                </c:pt>
                <c:pt idx="10">
                  <c:v>0</c:v>
                </c:pt>
                <c:pt idx="11">
                  <c:v>34</c:v>
                </c:pt>
                <c:pt idx="12">
                  <c:v>30</c:v>
                </c:pt>
                <c:pt idx="13">
                  <c:v>34</c:v>
                </c:pt>
                <c:pt idx="14">
                  <c:v>50</c:v>
                </c:pt>
                <c:pt idx="15">
                  <c:v>20</c:v>
                </c:pt>
                <c:pt idx="16">
                  <c:v>25</c:v>
                </c:pt>
                <c:pt idx="17">
                  <c:v>18</c:v>
                </c:pt>
                <c:pt idx="18">
                  <c:v>5</c:v>
                </c:pt>
                <c:pt idx="19">
                  <c:v>20</c:v>
                </c:pt>
                <c:pt idx="20">
                  <c:v>30</c:v>
                </c:pt>
                <c:pt idx="21">
                  <c:v>37</c:v>
                </c:pt>
                <c:pt idx="22">
                  <c:v>0</c:v>
                </c:pt>
                <c:pt idx="23">
                  <c:v>28</c:v>
                </c:pt>
              </c:numCache>
            </c:numRef>
          </c:val>
          <c:smooth val="0"/>
          <c:extLst>
            <c:ext xmlns:c16="http://schemas.microsoft.com/office/drawing/2014/chart" uri="{C3380CC4-5D6E-409C-BE32-E72D297353CC}">
              <c16:uniqueId val="{00000001-6EBF-4933-B565-DA8A5A6A4C06}"/>
            </c:ext>
          </c:extLst>
        </c:ser>
        <c:dLbls>
          <c:showLegendKey val="0"/>
          <c:showVal val="0"/>
          <c:showCatName val="0"/>
          <c:showSerName val="0"/>
          <c:showPercent val="0"/>
          <c:showBubbleSize val="0"/>
        </c:dLbls>
        <c:marker val="1"/>
        <c:smooth val="0"/>
        <c:axId val="1162641552"/>
        <c:axId val="1162642032"/>
      </c:lineChart>
      <c:catAx>
        <c:axId val="1162641552"/>
        <c:scaling>
          <c:orientation val="minMax"/>
        </c:scaling>
        <c:delete val="0"/>
        <c:axPos val="b"/>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2032"/>
        <c:crosses val="autoZero"/>
        <c:auto val="1"/>
        <c:lblAlgn val="ctr"/>
        <c:lblOffset val="100"/>
        <c:noMultiLvlLbl val="0"/>
      </c:catAx>
      <c:valAx>
        <c:axId val="1162642032"/>
        <c:scaling>
          <c:orientation val="minMax"/>
        </c:scaling>
        <c:delete val="0"/>
        <c:axPos val="l"/>
        <c:majorGridlines>
          <c:spPr>
            <a:ln w="9525" cap="flat" cmpd="sng" algn="ctr">
              <a:solidFill>
                <a:schemeClr val="bg1">
                  <a:lumMod val="95000"/>
                </a:schemeClr>
              </a:solidFill>
              <a:round/>
            </a:ln>
            <a:effectLst/>
          </c:spPr>
        </c:majorGridlines>
        <c:numFmt formatCode="#,##0_);\(#,##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162641552"/>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1.png"/><Relationship Id="rId5" Type="http://schemas.openxmlformats.org/officeDocument/2006/relationships/chart" Target="../charts/chart20.xml"/><Relationship Id="rId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B01369B6-31FF-4D39-A908-0F6153F7BF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twoCellAnchor>
    <xdr:from>
      <xdr:col>11</xdr:col>
      <xdr:colOff>0</xdr:colOff>
      <xdr:row>33</xdr:row>
      <xdr:rowOff>0</xdr:rowOff>
    </xdr:from>
    <xdr:to>
      <xdr:col>21</xdr:col>
      <xdr:colOff>750</xdr:colOff>
      <xdr:row>45</xdr:row>
      <xdr:rowOff>152400</xdr:rowOff>
    </xdr:to>
    <xdr:graphicFrame macro="">
      <xdr:nvGraphicFramePr>
        <xdr:cNvPr id="5" name="Chart 4">
          <a:extLst>
            <a:ext uri="{FF2B5EF4-FFF2-40B4-BE49-F238E27FC236}">
              <a16:creationId xmlns:a16="http://schemas.microsoft.com/office/drawing/2014/main" id="{B804AB47-65CC-53C0-7CA5-1BBE9907D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618375</xdr:colOff>
      <xdr:row>58</xdr:row>
      <xdr:rowOff>0</xdr:rowOff>
    </xdr:from>
    <xdr:to>
      <xdr:col>21</xdr:col>
      <xdr:colOff>0</xdr:colOff>
      <xdr:row>70</xdr:row>
      <xdr:rowOff>152400</xdr:rowOff>
    </xdr:to>
    <xdr:graphicFrame macro="">
      <xdr:nvGraphicFramePr>
        <xdr:cNvPr id="3" name="Chart 2">
          <a:extLst>
            <a:ext uri="{FF2B5EF4-FFF2-40B4-BE49-F238E27FC236}">
              <a16:creationId xmlns:a16="http://schemas.microsoft.com/office/drawing/2014/main" id="{D48BB127-62D8-4C80-A05F-83E300FCF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618375</xdr:colOff>
      <xdr:row>98</xdr:row>
      <xdr:rowOff>0</xdr:rowOff>
    </xdr:from>
    <xdr:to>
      <xdr:col>21</xdr:col>
      <xdr:colOff>0</xdr:colOff>
      <xdr:row>110</xdr:row>
      <xdr:rowOff>152400</xdr:rowOff>
    </xdr:to>
    <xdr:graphicFrame macro="">
      <xdr:nvGraphicFramePr>
        <xdr:cNvPr id="4" name="Chart 3">
          <a:extLst>
            <a:ext uri="{FF2B5EF4-FFF2-40B4-BE49-F238E27FC236}">
              <a16:creationId xmlns:a16="http://schemas.microsoft.com/office/drawing/2014/main" id="{2C4DF5B0-F767-4750-9D63-F027AD792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142</xdr:row>
      <xdr:rowOff>0</xdr:rowOff>
    </xdr:from>
    <xdr:to>
      <xdr:col>22</xdr:col>
      <xdr:colOff>617970</xdr:colOff>
      <xdr:row>154</xdr:row>
      <xdr:rowOff>152400</xdr:rowOff>
    </xdr:to>
    <xdr:graphicFrame macro="">
      <xdr:nvGraphicFramePr>
        <xdr:cNvPr id="6" name="Chart 5">
          <a:extLst>
            <a:ext uri="{FF2B5EF4-FFF2-40B4-BE49-F238E27FC236}">
              <a16:creationId xmlns:a16="http://schemas.microsoft.com/office/drawing/2014/main" id="{51027F15-62FC-4C00-BA22-6BF64260A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203</xdr:row>
      <xdr:rowOff>0</xdr:rowOff>
    </xdr:from>
    <xdr:to>
      <xdr:col>22</xdr:col>
      <xdr:colOff>617970</xdr:colOff>
      <xdr:row>215</xdr:row>
      <xdr:rowOff>152400</xdr:rowOff>
    </xdr:to>
    <xdr:graphicFrame macro="">
      <xdr:nvGraphicFramePr>
        <xdr:cNvPr id="7" name="Chart 6">
          <a:extLst>
            <a:ext uri="{FF2B5EF4-FFF2-40B4-BE49-F238E27FC236}">
              <a16:creationId xmlns:a16="http://schemas.microsoft.com/office/drawing/2014/main" id="{518C12BB-BEDA-4051-9FDF-226A522AF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1155</xdr:colOff>
      <xdr:row>299</xdr:row>
      <xdr:rowOff>0</xdr:rowOff>
    </xdr:from>
    <xdr:to>
      <xdr:col>24</xdr:col>
      <xdr:colOff>0</xdr:colOff>
      <xdr:row>311</xdr:row>
      <xdr:rowOff>152400</xdr:rowOff>
    </xdr:to>
    <xdr:graphicFrame macro="">
      <xdr:nvGraphicFramePr>
        <xdr:cNvPr id="8" name="Chart 7">
          <a:extLst>
            <a:ext uri="{FF2B5EF4-FFF2-40B4-BE49-F238E27FC236}">
              <a16:creationId xmlns:a16="http://schemas.microsoft.com/office/drawing/2014/main" id="{B8AF2017-96FC-45E0-B96D-4E7644DC1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0BC03270-2D1C-4EE0-992F-ABA3FB50A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twoCellAnchor>
    <xdr:from>
      <xdr:col>12</xdr:col>
      <xdr:colOff>599325</xdr:colOff>
      <xdr:row>261</xdr:row>
      <xdr:rowOff>142875</xdr:rowOff>
    </xdr:from>
    <xdr:to>
      <xdr:col>22</xdr:col>
      <xdr:colOff>600075</xdr:colOff>
      <xdr:row>274</xdr:row>
      <xdr:rowOff>133350</xdr:rowOff>
    </xdr:to>
    <xdr:graphicFrame macro="">
      <xdr:nvGraphicFramePr>
        <xdr:cNvPr id="3" name="Chart 2">
          <a:extLst>
            <a:ext uri="{FF2B5EF4-FFF2-40B4-BE49-F238E27FC236}">
              <a16:creationId xmlns:a16="http://schemas.microsoft.com/office/drawing/2014/main" id="{B408B3B4-0C88-4429-9CFB-1B224B106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618375</xdr:colOff>
      <xdr:row>60</xdr:row>
      <xdr:rowOff>0</xdr:rowOff>
    </xdr:from>
    <xdr:to>
      <xdr:col>21</xdr:col>
      <xdr:colOff>0</xdr:colOff>
      <xdr:row>72</xdr:row>
      <xdr:rowOff>152400</xdr:rowOff>
    </xdr:to>
    <xdr:graphicFrame macro="">
      <xdr:nvGraphicFramePr>
        <xdr:cNvPr id="4" name="Chart 3">
          <a:extLst>
            <a:ext uri="{FF2B5EF4-FFF2-40B4-BE49-F238E27FC236}">
              <a16:creationId xmlns:a16="http://schemas.microsoft.com/office/drawing/2014/main" id="{88295450-5F48-4505-B214-323E1D8D2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81</xdr:row>
      <xdr:rowOff>0</xdr:rowOff>
    </xdr:from>
    <xdr:to>
      <xdr:col>21</xdr:col>
      <xdr:colOff>750</xdr:colOff>
      <xdr:row>93</xdr:row>
      <xdr:rowOff>152400</xdr:rowOff>
    </xdr:to>
    <xdr:graphicFrame macro="">
      <xdr:nvGraphicFramePr>
        <xdr:cNvPr id="11" name="Chart 10">
          <a:extLst>
            <a:ext uri="{FF2B5EF4-FFF2-40B4-BE49-F238E27FC236}">
              <a16:creationId xmlns:a16="http://schemas.microsoft.com/office/drawing/2014/main" id="{0442FD73-0777-4A27-A517-F7ED3CA72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105</xdr:row>
      <xdr:rowOff>0</xdr:rowOff>
    </xdr:from>
    <xdr:to>
      <xdr:col>21</xdr:col>
      <xdr:colOff>750</xdr:colOff>
      <xdr:row>117</xdr:row>
      <xdr:rowOff>152400</xdr:rowOff>
    </xdr:to>
    <xdr:graphicFrame macro="">
      <xdr:nvGraphicFramePr>
        <xdr:cNvPr id="12" name="Chart 11">
          <a:extLst>
            <a:ext uri="{FF2B5EF4-FFF2-40B4-BE49-F238E27FC236}">
              <a16:creationId xmlns:a16="http://schemas.microsoft.com/office/drawing/2014/main" id="{B3219C95-89EF-4F23-8905-691C734AC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135</xdr:row>
      <xdr:rowOff>0</xdr:rowOff>
    </xdr:from>
    <xdr:to>
      <xdr:col>21</xdr:col>
      <xdr:colOff>750</xdr:colOff>
      <xdr:row>147</xdr:row>
      <xdr:rowOff>152400</xdr:rowOff>
    </xdr:to>
    <xdr:graphicFrame macro="">
      <xdr:nvGraphicFramePr>
        <xdr:cNvPr id="13" name="Chart 12">
          <a:extLst>
            <a:ext uri="{FF2B5EF4-FFF2-40B4-BE49-F238E27FC236}">
              <a16:creationId xmlns:a16="http://schemas.microsoft.com/office/drawing/2014/main" id="{95B59AB4-0F64-47A4-9379-9DD656106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167</xdr:row>
      <xdr:rowOff>0</xdr:rowOff>
    </xdr:from>
    <xdr:to>
      <xdr:col>21</xdr:col>
      <xdr:colOff>750</xdr:colOff>
      <xdr:row>179</xdr:row>
      <xdr:rowOff>152400</xdr:rowOff>
    </xdr:to>
    <xdr:graphicFrame macro="">
      <xdr:nvGraphicFramePr>
        <xdr:cNvPr id="14" name="Chart 13">
          <a:extLst>
            <a:ext uri="{FF2B5EF4-FFF2-40B4-BE49-F238E27FC236}">
              <a16:creationId xmlns:a16="http://schemas.microsoft.com/office/drawing/2014/main" id="{31182593-1FE5-4605-ABD9-46F1D657E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619124</xdr:colOff>
      <xdr:row>198</xdr:row>
      <xdr:rowOff>0</xdr:rowOff>
    </xdr:from>
    <xdr:to>
      <xdr:col>23</xdr:col>
      <xdr:colOff>619124</xdr:colOff>
      <xdr:row>210</xdr:row>
      <xdr:rowOff>152400</xdr:rowOff>
    </xdr:to>
    <xdr:graphicFrame macro="">
      <xdr:nvGraphicFramePr>
        <xdr:cNvPr id="15" name="Chart 14">
          <a:extLst>
            <a:ext uri="{FF2B5EF4-FFF2-40B4-BE49-F238E27FC236}">
              <a16:creationId xmlns:a16="http://schemas.microsoft.com/office/drawing/2014/main" id="{B25AB065-F1E8-4AFA-844E-2C4AE2402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619124</xdr:colOff>
      <xdr:row>230</xdr:row>
      <xdr:rowOff>0</xdr:rowOff>
    </xdr:from>
    <xdr:to>
      <xdr:col>23</xdr:col>
      <xdr:colOff>619124</xdr:colOff>
      <xdr:row>242</xdr:row>
      <xdr:rowOff>152400</xdr:rowOff>
    </xdr:to>
    <xdr:graphicFrame macro="">
      <xdr:nvGraphicFramePr>
        <xdr:cNvPr id="16" name="Chart 15">
          <a:extLst>
            <a:ext uri="{FF2B5EF4-FFF2-40B4-BE49-F238E27FC236}">
              <a16:creationId xmlns:a16="http://schemas.microsoft.com/office/drawing/2014/main" id="{3F4A4BB4-DDBE-40EF-9AD0-6C7727B74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296</xdr:row>
      <xdr:rowOff>0</xdr:rowOff>
    </xdr:from>
    <xdr:to>
      <xdr:col>23</xdr:col>
      <xdr:colOff>750</xdr:colOff>
      <xdr:row>308</xdr:row>
      <xdr:rowOff>152400</xdr:rowOff>
    </xdr:to>
    <xdr:graphicFrame macro="">
      <xdr:nvGraphicFramePr>
        <xdr:cNvPr id="17" name="Chart 16">
          <a:extLst>
            <a:ext uri="{FF2B5EF4-FFF2-40B4-BE49-F238E27FC236}">
              <a16:creationId xmlns:a16="http://schemas.microsoft.com/office/drawing/2014/main" id="{626D4CA7-A016-4B4A-B560-E9449AE99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0</xdr:colOff>
      <xdr:row>553</xdr:row>
      <xdr:rowOff>0</xdr:rowOff>
    </xdr:from>
    <xdr:to>
      <xdr:col>23</xdr:col>
      <xdr:colOff>750</xdr:colOff>
      <xdr:row>565</xdr:row>
      <xdr:rowOff>152400</xdr:rowOff>
    </xdr:to>
    <xdr:graphicFrame macro="">
      <xdr:nvGraphicFramePr>
        <xdr:cNvPr id="5" name="Chart 4">
          <a:extLst>
            <a:ext uri="{FF2B5EF4-FFF2-40B4-BE49-F238E27FC236}">
              <a16:creationId xmlns:a16="http://schemas.microsoft.com/office/drawing/2014/main" id="{008EAF45-4780-42B6-AEDC-6FE4AFDA3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D7B8D236-8F0F-4A21-AAB5-1437009F3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twoCellAnchor>
    <xdr:from>
      <xdr:col>10</xdr:col>
      <xdr:colOff>0</xdr:colOff>
      <xdr:row>61</xdr:row>
      <xdr:rowOff>9525</xdr:rowOff>
    </xdr:from>
    <xdr:to>
      <xdr:col>20</xdr:col>
      <xdr:colOff>0</xdr:colOff>
      <xdr:row>74</xdr:row>
      <xdr:rowOff>0</xdr:rowOff>
    </xdr:to>
    <xdr:graphicFrame macro="">
      <xdr:nvGraphicFramePr>
        <xdr:cNvPr id="4" name="Chart 3">
          <a:extLst>
            <a:ext uri="{FF2B5EF4-FFF2-40B4-BE49-F238E27FC236}">
              <a16:creationId xmlns:a16="http://schemas.microsoft.com/office/drawing/2014/main" id="{B757514B-B684-EF29-5FAA-3A6E33432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85</xdr:row>
      <xdr:rowOff>0</xdr:rowOff>
    </xdr:from>
    <xdr:to>
      <xdr:col>20</xdr:col>
      <xdr:colOff>0</xdr:colOff>
      <xdr:row>97</xdr:row>
      <xdr:rowOff>152400</xdr:rowOff>
    </xdr:to>
    <xdr:graphicFrame macro="">
      <xdr:nvGraphicFramePr>
        <xdr:cNvPr id="3" name="Chart 2">
          <a:extLst>
            <a:ext uri="{FF2B5EF4-FFF2-40B4-BE49-F238E27FC236}">
              <a16:creationId xmlns:a16="http://schemas.microsoft.com/office/drawing/2014/main" id="{31F2C488-DE09-4DCA-8845-2DDD2A220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110</xdr:row>
      <xdr:rowOff>0</xdr:rowOff>
    </xdr:from>
    <xdr:to>
      <xdr:col>23</xdr:col>
      <xdr:colOff>0</xdr:colOff>
      <xdr:row>122</xdr:row>
      <xdr:rowOff>152400</xdr:rowOff>
    </xdr:to>
    <xdr:graphicFrame macro="">
      <xdr:nvGraphicFramePr>
        <xdr:cNvPr id="5" name="Chart 4">
          <a:extLst>
            <a:ext uri="{FF2B5EF4-FFF2-40B4-BE49-F238E27FC236}">
              <a16:creationId xmlns:a16="http://schemas.microsoft.com/office/drawing/2014/main" id="{2CBA33C9-AA89-4F00-A6A6-A410EE1A9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152</xdr:row>
      <xdr:rowOff>0</xdr:rowOff>
    </xdr:from>
    <xdr:to>
      <xdr:col>23</xdr:col>
      <xdr:colOff>0</xdr:colOff>
      <xdr:row>164</xdr:row>
      <xdr:rowOff>152400</xdr:rowOff>
    </xdr:to>
    <xdr:graphicFrame macro="">
      <xdr:nvGraphicFramePr>
        <xdr:cNvPr id="6" name="Chart 5">
          <a:extLst>
            <a:ext uri="{FF2B5EF4-FFF2-40B4-BE49-F238E27FC236}">
              <a16:creationId xmlns:a16="http://schemas.microsoft.com/office/drawing/2014/main" id="{84D1D3D7-71AC-4381-B597-8096EE279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80EF98B5-2B2B-422C-AE28-0A1B13703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twoCellAnchor editAs="oneCell">
    <xdr:from>
      <xdr:col>2</xdr:col>
      <xdr:colOff>0</xdr:colOff>
      <xdr:row>7</xdr:row>
      <xdr:rowOff>53340</xdr:rowOff>
    </xdr:from>
    <xdr:to>
      <xdr:col>10</xdr:col>
      <xdr:colOff>555206</xdr:colOff>
      <xdr:row>15</xdr:row>
      <xdr:rowOff>53462</xdr:rowOff>
    </xdr:to>
    <xdr:pic>
      <xdr:nvPicPr>
        <xdr:cNvPr id="7" name="Picture 6">
          <a:extLst>
            <a:ext uri="{FF2B5EF4-FFF2-40B4-BE49-F238E27FC236}">
              <a16:creationId xmlns:a16="http://schemas.microsoft.com/office/drawing/2014/main" id="{8A5B4452-8106-4D50-8128-D4AC7489BCEC}"/>
            </a:ext>
          </a:extLst>
        </xdr:cNvPr>
        <xdr:cNvPicPr>
          <a:picLocks noChangeAspect="1"/>
        </xdr:cNvPicPr>
      </xdr:nvPicPr>
      <xdr:blipFill>
        <a:blip xmlns:r="http://schemas.openxmlformats.org/officeDocument/2006/relationships" r:embed="rId2"/>
        <a:stretch>
          <a:fillRect/>
        </a:stretch>
      </xdr:blipFill>
      <xdr:spPr>
        <a:xfrm>
          <a:off x="594360" y="1516380"/>
          <a:ext cx="5432006" cy="1402202"/>
        </a:xfrm>
        <a:prstGeom prst="rect">
          <a:avLst/>
        </a:prstGeom>
      </xdr:spPr>
    </xdr:pic>
    <xdr:clientData/>
  </xdr:twoCellAnchor>
  <xdr:twoCellAnchor editAs="oneCell">
    <xdr:from>
      <xdr:col>2</xdr:col>
      <xdr:colOff>0</xdr:colOff>
      <xdr:row>17</xdr:row>
      <xdr:rowOff>53341</xdr:rowOff>
    </xdr:from>
    <xdr:to>
      <xdr:col>8</xdr:col>
      <xdr:colOff>533985</xdr:colOff>
      <xdr:row>36</xdr:row>
      <xdr:rowOff>15700</xdr:rowOff>
    </xdr:to>
    <xdr:pic>
      <xdr:nvPicPr>
        <xdr:cNvPr id="8" name="Picture 7">
          <a:extLst>
            <a:ext uri="{FF2B5EF4-FFF2-40B4-BE49-F238E27FC236}">
              <a16:creationId xmlns:a16="http://schemas.microsoft.com/office/drawing/2014/main" id="{BD4B0B41-B6FA-5787-58C4-25F3119B62AD}"/>
            </a:ext>
          </a:extLst>
        </xdr:cNvPr>
        <xdr:cNvPicPr>
          <a:picLocks noChangeAspect="1"/>
        </xdr:cNvPicPr>
      </xdr:nvPicPr>
      <xdr:blipFill>
        <a:blip xmlns:r="http://schemas.openxmlformats.org/officeDocument/2006/relationships" r:embed="rId3"/>
        <a:stretch>
          <a:fillRect/>
        </a:stretch>
      </xdr:blipFill>
      <xdr:spPr>
        <a:xfrm>
          <a:off x="594360" y="3268981"/>
          <a:ext cx="4191585" cy="3292299"/>
        </a:xfrm>
        <a:prstGeom prst="rect">
          <a:avLst/>
        </a:prstGeom>
      </xdr:spPr>
    </xdr:pic>
    <xdr:clientData/>
  </xdr:twoCellAnchor>
  <xdr:twoCellAnchor editAs="oneCell">
    <xdr:from>
      <xdr:col>2</xdr:col>
      <xdr:colOff>1</xdr:colOff>
      <xdr:row>39</xdr:row>
      <xdr:rowOff>60961</xdr:rowOff>
    </xdr:from>
    <xdr:to>
      <xdr:col>17</xdr:col>
      <xdr:colOff>435678</xdr:colOff>
      <xdr:row>61</xdr:row>
      <xdr:rowOff>38636</xdr:rowOff>
    </xdr:to>
    <xdr:pic>
      <xdr:nvPicPr>
        <xdr:cNvPr id="9" name="Picture 8">
          <a:extLst>
            <a:ext uri="{FF2B5EF4-FFF2-40B4-BE49-F238E27FC236}">
              <a16:creationId xmlns:a16="http://schemas.microsoft.com/office/drawing/2014/main" id="{84C38D3C-5F4A-8A45-52CC-B52AD2BB83DB}"/>
            </a:ext>
          </a:extLst>
        </xdr:cNvPr>
        <xdr:cNvPicPr>
          <a:picLocks noChangeAspect="1"/>
        </xdr:cNvPicPr>
      </xdr:nvPicPr>
      <xdr:blipFill>
        <a:blip xmlns:r="http://schemas.openxmlformats.org/officeDocument/2006/relationships" r:embed="rId4"/>
        <a:stretch>
          <a:fillRect/>
        </a:stretch>
      </xdr:blipFill>
      <xdr:spPr>
        <a:xfrm>
          <a:off x="594361" y="7132321"/>
          <a:ext cx="9579677" cy="3833395"/>
        </a:xfrm>
        <a:prstGeom prst="rect">
          <a:avLst/>
        </a:prstGeom>
      </xdr:spPr>
    </xdr:pic>
    <xdr:clientData/>
  </xdr:twoCellAnchor>
  <xdr:twoCellAnchor editAs="oneCell">
    <xdr:from>
      <xdr:col>2</xdr:col>
      <xdr:colOff>0</xdr:colOff>
      <xdr:row>63</xdr:row>
      <xdr:rowOff>45720</xdr:rowOff>
    </xdr:from>
    <xdr:to>
      <xdr:col>10</xdr:col>
      <xdr:colOff>160457</xdr:colOff>
      <xdr:row>69</xdr:row>
      <xdr:rowOff>15328</xdr:rowOff>
    </xdr:to>
    <xdr:pic>
      <xdr:nvPicPr>
        <xdr:cNvPr id="10" name="Picture 9">
          <a:extLst>
            <a:ext uri="{FF2B5EF4-FFF2-40B4-BE49-F238E27FC236}">
              <a16:creationId xmlns:a16="http://schemas.microsoft.com/office/drawing/2014/main" id="{3D8F3885-A5CC-086C-BEF9-635B21F74B7F}"/>
            </a:ext>
          </a:extLst>
        </xdr:cNvPr>
        <xdr:cNvPicPr>
          <a:picLocks noChangeAspect="1"/>
        </xdr:cNvPicPr>
      </xdr:nvPicPr>
      <xdr:blipFill>
        <a:blip xmlns:r="http://schemas.openxmlformats.org/officeDocument/2006/relationships" r:embed="rId5"/>
        <a:stretch>
          <a:fillRect/>
        </a:stretch>
      </xdr:blipFill>
      <xdr:spPr>
        <a:xfrm>
          <a:off x="594360" y="11323320"/>
          <a:ext cx="5037257" cy="10211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D9D81A61-76F2-4DB1-8E70-310D7B4E78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0</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RXL Custom Theme">
  <a:themeElements>
    <a:clrScheme name="RXL Custom Theme">
      <a:dk1>
        <a:srgbClr val="002138"/>
      </a:dk1>
      <a:lt1>
        <a:sysClr val="window" lastClr="FFFFFF"/>
      </a:lt1>
      <a:dk2>
        <a:srgbClr val="002138"/>
      </a:dk2>
      <a:lt2>
        <a:srgbClr val="F8F8F8"/>
      </a:lt2>
      <a:accent1>
        <a:srgbClr val="198B83"/>
      </a:accent1>
      <a:accent2>
        <a:srgbClr val="56BAB8"/>
      </a:accent2>
      <a:accent3>
        <a:srgbClr val="FC6017"/>
      </a:accent3>
      <a:accent4>
        <a:srgbClr val="F88D24"/>
      </a:accent4>
      <a:accent5>
        <a:srgbClr val="E6D3B8"/>
      </a:accent5>
      <a:accent6>
        <a:srgbClr val="B75EE1"/>
      </a:accent6>
      <a:hlink>
        <a:srgbClr val="467886"/>
      </a:hlink>
      <a:folHlink>
        <a:srgbClr val="96607D"/>
      </a:folHlink>
    </a:clrScheme>
    <a:fontScheme name="RXL Custom Them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solidFill>
        <a:ln w="28575">
          <a:solidFill>
            <a:schemeClr val="accent3">
              <a:lumMod val="75000"/>
            </a:schemeClr>
          </a:solidFill>
        </a:ln>
        <a:effectLst>
          <a:outerShdw blurRad="50800" dist="38100" dir="5400000" algn="t" rotWithShape="0">
            <a:prstClr val="black">
              <a:alpha val="40000"/>
            </a:prstClr>
          </a:outerShdw>
        </a:effectLst>
      </a:spPr>
      <a:bodyPr vertOverflow="clip" horzOverflow="clip" rtlCol="0" anchor="ctr"/>
      <a:lstStyle>
        <a:defPPr algn="ctr">
          <a:defRPr sz="1200" kern="1200">
            <a:solidFill>
              <a:schemeClr val="bg1"/>
            </a:solidFill>
            <a:latin typeface="+mj-lt"/>
            <a:cs typeface="Arial" panose="020B0604020202020204" pitchFamily="34" charset="0"/>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1"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236887-46F9-465C-B704-C46299D12C85}">
  <we:reference id="wa200003696" version="1.3.0.0" store="en-GB" storeType="OMEX"/>
  <we:alternateReferences>
    <we:reference id="WA200003696" version="1.3.0.0" store="" storeType="OMEX"/>
  </we:alternateReferences>
  <we:properties>
    <we:property name="projectV0_1-56c6e055-265e-4713-816e-a646dbb708de" value="{&quot;kind&quot;:&quot;AFEJSONBlobNode&quot;,&quot;id&quot;:&quot;{4B0F4647-0577-40E7-865D-28E0BE3676F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st.github.com/r-silk/034d3a17b275ae60643cafe4854e92a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ist.github.com/r-silk/e164a0b551941d9fd9c62e7b6e111cd4"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ist.github.com/r-silk/53f1e5d518fea096c39eeb7cef5d280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49EB-9FCA-49D2-89DA-8CC1EB28DC8B}">
  <sheetPr codeName="Sheet5"/>
  <dimension ref="B1:AA504"/>
  <sheetViews>
    <sheetView showGridLines="0" tabSelected="1" workbookViewId="0">
      <pane ySplit="1" topLeftCell="A2" activePane="bottomLeft" state="frozen"/>
      <selection pane="bottomLeft"/>
    </sheetView>
  </sheetViews>
  <sheetFormatPr defaultRowHeight="12.75" x14ac:dyDescent="0.2"/>
  <cols>
    <col min="1" max="2" width="4.28515625" customWidth="1"/>
    <col min="3" max="3" width="9.140625" customWidth="1"/>
    <col min="4" max="27" width="9.28515625" customWidth="1"/>
  </cols>
  <sheetData>
    <row r="1" spans="2:27" s="1" customFormat="1" ht="30" customHeight="1" x14ac:dyDescent="0.25">
      <c r="C1" s="2" t="s">
        <v>68</v>
      </c>
    </row>
    <row r="3" spans="2:27" x14ac:dyDescent="0.2">
      <c r="B3" s="4" t="s">
        <v>0</v>
      </c>
    </row>
    <row r="4" spans="2:27" x14ac:dyDescent="0.2">
      <c r="C4" t="s">
        <v>455</v>
      </c>
    </row>
    <row r="5" spans="2:27" x14ac:dyDescent="0.2">
      <c r="C5" t="s">
        <v>456</v>
      </c>
    </row>
    <row r="6" spans="2:27" x14ac:dyDescent="0.2">
      <c r="C6" t="s">
        <v>457</v>
      </c>
    </row>
    <row r="8" spans="2:27" x14ac:dyDescent="0.2">
      <c r="B8" s="4" t="s">
        <v>1</v>
      </c>
    </row>
    <row r="9" spans="2:27" x14ac:dyDescent="0.2">
      <c r="C9" s="16" t="s">
        <v>51</v>
      </c>
      <c r="D9" s="25">
        <v>1</v>
      </c>
      <c r="E9" s="25">
        <v>2</v>
      </c>
      <c r="F9" s="25">
        <v>3</v>
      </c>
      <c r="G9" s="25">
        <v>4</v>
      </c>
      <c r="H9" s="25">
        <v>5</v>
      </c>
      <c r="I9" s="25">
        <v>6</v>
      </c>
      <c r="J9" s="25">
        <v>7</v>
      </c>
      <c r="K9" s="25">
        <v>8</v>
      </c>
      <c r="L9" s="25">
        <v>9</v>
      </c>
      <c r="M9" s="25">
        <v>10</v>
      </c>
      <c r="N9" s="25">
        <v>11</v>
      </c>
      <c r="O9" s="25">
        <v>12</v>
      </c>
      <c r="P9" s="25">
        <v>13</v>
      </c>
      <c r="Q9" s="25">
        <v>14</v>
      </c>
      <c r="R9" s="25">
        <v>15</v>
      </c>
      <c r="S9" s="25">
        <v>16</v>
      </c>
      <c r="T9" s="25">
        <v>17</v>
      </c>
      <c r="U9" s="25">
        <v>18</v>
      </c>
      <c r="V9" s="25">
        <v>19</v>
      </c>
      <c r="W9" s="25">
        <v>20</v>
      </c>
      <c r="X9" s="25">
        <v>21</v>
      </c>
      <c r="Y9" s="25">
        <v>22</v>
      </c>
      <c r="Z9" s="25">
        <v>23</v>
      </c>
      <c r="AA9" s="25">
        <v>24</v>
      </c>
    </row>
    <row r="10" spans="2:27" x14ac:dyDescent="0.2">
      <c r="C10" s="16" t="s">
        <v>49</v>
      </c>
      <c r="D10" s="33">
        <v>45292</v>
      </c>
      <c r="E10" s="33">
        <v>45323</v>
      </c>
      <c r="F10" s="33">
        <v>45352</v>
      </c>
      <c r="G10" s="33">
        <v>45383</v>
      </c>
      <c r="H10" s="33">
        <v>45413</v>
      </c>
      <c r="I10" s="33">
        <v>45444</v>
      </c>
      <c r="J10" s="33">
        <v>45474</v>
      </c>
      <c r="K10" s="33">
        <v>45505</v>
      </c>
      <c r="L10" s="33">
        <v>45536</v>
      </c>
      <c r="M10" s="33">
        <v>45566</v>
      </c>
      <c r="N10" s="33">
        <v>45597</v>
      </c>
      <c r="O10" s="33">
        <v>45627</v>
      </c>
      <c r="P10" s="33">
        <v>45658</v>
      </c>
      <c r="Q10" s="33">
        <v>45689</v>
      </c>
      <c r="R10" s="33">
        <v>45717</v>
      </c>
      <c r="S10" s="33">
        <v>45748</v>
      </c>
      <c r="T10" s="33">
        <v>45778</v>
      </c>
      <c r="U10" s="33">
        <v>45809</v>
      </c>
      <c r="V10" s="33">
        <v>45839</v>
      </c>
      <c r="W10" s="33">
        <v>45870</v>
      </c>
      <c r="X10" s="33">
        <v>45901</v>
      </c>
      <c r="Y10" s="33">
        <v>45931</v>
      </c>
      <c r="Z10" s="33">
        <v>45962</v>
      </c>
      <c r="AA10" s="33">
        <v>45992</v>
      </c>
    </row>
    <row r="11" spans="2:27" x14ac:dyDescent="0.2">
      <c r="C11" s="16" t="s">
        <v>50</v>
      </c>
      <c r="D11" s="25">
        <v>28</v>
      </c>
      <c r="E11" s="25">
        <v>40</v>
      </c>
      <c r="F11" s="25">
        <v>23</v>
      </c>
      <c r="G11" s="25">
        <v>34</v>
      </c>
      <c r="H11" s="25">
        <v>20</v>
      </c>
      <c r="I11" s="25">
        <v>17</v>
      </c>
      <c r="J11" s="25">
        <v>16</v>
      </c>
      <c r="K11" s="25">
        <v>55</v>
      </c>
      <c r="L11" s="25">
        <v>30</v>
      </c>
      <c r="M11" s="25">
        <v>29</v>
      </c>
      <c r="N11" s="25">
        <v>39</v>
      </c>
      <c r="O11" s="25">
        <v>34</v>
      </c>
      <c r="P11" s="25">
        <v>30</v>
      </c>
      <c r="Q11" s="25">
        <v>34</v>
      </c>
      <c r="R11" s="25">
        <v>50</v>
      </c>
      <c r="S11" s="25">
        <v>20</v>
      </c>
      <c r="T11" s="25">
        <v>25</v>
      </c>
      <c r="U11" s="25">
        <v>18</v>
      </c>
      <c r="V11" s="25">
        <v>5</v>
      </c>
      <c r="W11" s="25">
        <v>20</v>
      </c>
      <c r="X11" s="25">
        <v>30</v>
      </c>
      <c r="Y11" s="25">
        <v>37</v>
      </c>
      <c r="Z11" s="25">
        <v>35</v>
      </c>
      <c r="AA11" s="25">
        <v>28</v>
      </c>
    </row>
    <row r="12" spans="2:27" x14ac:dyDescent="0.2">
      <c r="C12" s="16"/>
      <c r="D12" s="25">
        <v>28</v>
      </c>
      <c r="E12" s="25">
        <v>40</v>
      </c>
      <c r="F12" s="25">
        <v>23</v>
      </c>
      <c r="G12" s="25">
        <v>34</v>
      </c>
      <c r="H12" s="25"/>
      <c r="I12" s="25">
        <v>17</v>
      </c>
      <c r="J12" s="25">
        <v>16</v>
      </c>
      <c r="K12" s="25">
        <v>55</v>
      </c>
      <c r="L12" s="25">
        <v>30</v>
      </c>
      <c r="M12" s="25">
        <v>29</v>
      </c>
      <c r="N12" s="25"/>
      <c r="O12" s="25">
        <v>34</v>
      </c>
      <c r="P12" s="25">
        <v>30</v>
      </c>
      <c r="Q12" s="25">
        <v>34</v>
      </c>
      <c r="R12" s="25">
        <v>50</v>
      </c>
      <c r="S12" s="25">
        <v>20</v>
      </c>
      <c r="T12" s="25">
        <v>25</v>
      </c>
      <c r="U12" s="25">
        <v>18</v>
      </c>
      <c r="V12" s="25">
        <v>5</v>
      </c>
      <c r="W12" s="25">
        <v>20</v>
      </c>
      <c r="X12" s="25">
        <v>30</v>
      </c>
      <c r="Y12" s="25">
        <v>37</v>
      </c>
      <c r="Z12" s="25" t="e">
        <v>#VALUE!</v>
      </c>
      <c r="AA12" s="25">
        <v>28</v>
      </c>
    </row>
    <row r="15" spans="2:27" s="5" customFormat="1" ht="16.5" thickBot="1" x14ac:dyDescent="0.3">
      <c r="B15" s="6">
        <f xml:space="preserve"> MAX(B$1:B14) + 1</f>
        <v>1</v>
      </c>
      <c r="C15" s="5" t="s">
        <v>2</v>
      </c>
    </row>
    <row r="17" spans="2:27" x14ac:dyDescent="0.2">
      <c r="B17" s="8" t="s">
        <v>37</v>
      </c>
      <c r="C17" s="7"/>
      <c r="D17" s="7"/>
      <c r="E17" s="7"/>
      <c r="F17" s="7"/>
      <c r="G17" s="7"/>
      <c r="H17" s="7"/>
      <c r="I17" s="7"/>
      <c r="J17" s="7"/>
      <c r="K17" s="7"/>
      <c r="L17" s="7"/>
      <c r="M17" s="7"/>
      <c r="N17" s="7"/>
      <c r="O17" s="7"/>
      <c r="P17" s="7"/>
      <c r="Q17" s="7"/>
      <c r="R17" s="7"/>
      <c r="S17" s="7"/>
      <c r="T17" s="7"/>
    </row>
    <row r="19" spans="2:27" x14ac:dyDescent="0.2">
      <c r="C19" s="9" t="s">
        <v>3</v>
      </c>
    </row>
    <row r="20" spans="2:27" x14ac:dyDescent="0.2">
      <c r="C20" t="s">
        <v>458</v>
      </c>
    </row>
    <row r="21" spans="2:27" x14ac:dyDescent="0.2">
      <c r="C21" t="s">
        <v>459</v>
      </c>
    </row>
    <row r="22" spans="2:27" x14ac:dyDescent="0.2">
      <c r="C22" t="s">
        <v>461</v>
      </c>
    </row>
    <row r="23" spans="2:27" x14ac:dyDescent="0.2">
      <c r="C23" s="23" t="s">
        <v>460</v>
      </c>
    </row>
    <row r="25" spans="2:27" x14ac:dyDescent="0.2">
      <c r="B25" s="10" t="str" cm="1">
        <f t="array" ref="B25" xml:space="preserve"> "(" &amp; _xlfn.UNICHAR( 65 + SUMPRODUCT(--(_xlfn.REGEXTEST(B$1:B22, "^\([A-Z]\)$")))) &amp; ")"</f>
        <v>(A)</v>
      </c>
      <c r="C25" s="3" t="s">
        <v>80</v>
      </c>
    </row>
    <row r="27" spans="2:27" x14ac:dyDescent="0.2">
      <c r="C27" s="16" t="s">
        <v>70</v>
      </c>
      <c r="D27" s="36">
        <v>0.5</v>
      </c>
    </row>
    <row r="28" spans="2:27" x14ac:dyDescent="0.2">
      <c r="C28" s="16" t="s">
        <v>73</v>
      </c>
      <c r="D28" s="25">
        <f xml:space="preserve"> $D$11</f>
        <v>28</v>
      </c>
    </row>
    <row r="29" spans="2:27" x14ac:dyDescent="0.2">
      <c r="C29" s="16"/>
    </row>
    <row r="30" spans="2:27" x14ac:dyDescent="0.2">
      <c r="D30" s="42" cm="1">
        <f t="array" ref="D30:AA30" xml:space="preserve"> $D$9:$AA$9</f>
        <v>1</v>
      </c>
      <c r="E30" s="42">
        <v>2</v>
      </c>
      <c r="F30" s="42">
        <v>3</v>
      </c>
      <c r="G30" s="42">
        <v>4</v>
      </c>
      <c r="H30" s="42">
        <v>5</v>
      </c>
      <c r="I30" s="42">
        <v>6</v>
      </c>
      <c r="J30" s="42">
        <v>7</v>
      </c>
      <c r="K30" s="42">
        <v>8</v>
      </c>
      <c r="L30" s="42">
        <v>9</v>
      </c>
      <c r="M30" s="42">
        <v>10</v>
      </c>
      <c r="N30" s="42">
        <v>11</v>
      </c>
      <c r="O30" s="42">
        <v>12</v>
      </c>
      <c r="P30" s="42">
        <v>13</v>
      </c>
      <c r="Q30" s="42">
        <v>14</v>
      </c>
      <c r="R30" s="42">
        <v>15</v>
      </c>
      <c r="S30" s="42">
        <v>16</v>
      </c>
      <c r="T30" s="42">
        <v>17</v>
      </c>
      <c r="U30" s="42">
        <v>18</v>
      </c>
      <c r="V30" s="42">
        <v>19</v>
      </c>
      <c r="W30" s="42">
        <v>20</v>
      </c>
      <c r="X30" s="42">
        <v>21</v>
      </c>
      <c r="Y30" s="42">
        <v>22</v>
      </c>
      <c r="Z30" s="42">
        <v>23</v>
      </c>
      <c r="AA30" s="42">
        <v>24</v>
      </c>
    </row>
    <row r="31" spans="2:27" x14ac:dyDescent="0.2">
      <c r="C31" s="16" t="s">
        <v>59</v>
      </c>
      <c r="D31" s="38" cm="1">
        <f t="array" ref="D31:AA31" xml:space="preserve"> $D$11:$AA$11</f>
        <v>28</v>
      </c>
      <c r="E31" s="38">
        <v>40</v>
      </c>
      <c r="F31" s="38">
        <v>23</v>
      </c>
      <c r="G31" s="38">
        <v>34</v>
      </c>
      <c r="H31" s="38">
        <v>20</v>
      </c>
      <c r="I31" s="38">
        <v>17</v>
      </c>
      <c r="J31" s="38">
        <v>16</v>
      </c>
      <c r="K31" s="38">
        <v>55</v>
      </c>
      <c r="L31" s="38">
        <v>30</v>
      </c>
      <c r="M31" s="38">
        <v>29</v>
      </c>
      <c r="N31" s="38">
        <v>39</v>
      </c>
      <c r="O31" s="38">
        <v>34</v>
      </c>
      <c r="P31" s="38">
        <v>30</v>
      </c>
      <c r="Q31" s="38">
        <v>34</v>
      </c>
      <c r="R31" s="38">
        <v>50</v>
      </c>
      <c r="S31" s="38">
        <v>20</v>
      </c>
      <c r="T31" s="38">
        <v>25</v>
      </c>
      <c r="U31" s="38">
        <v>18</v>
      </c>
      <c r="V31" s="38">
        <v>5</v>
      </c>
      <c r="W31" s="38">
        <v>20</v>
      </c>
      <c r="X31" s="38">
        <v>30</v>
      </c>
      <c r="Y31" s="38">
        <v>37</v>
      </c>
      <c r="Z31" s="38">
        <v>35</v>
      </c>
      <c r="AA31" s="38">
        <v>28</v>
      </c>
    </row>
    <row r="32" spans="2:27" x14ac:dyDescent="0.2">
      <c r="C32" s="16" t="s">
        <v>36</v>
      </c>
      <c r="D32" s="24" cm="1">
        <f t="array" ref="D32:AA32" xml:space="preserve"> _xlfn.LET(
  _xlpm.array, $D$11:$AA$11,
  _xlpm._alpha, D27,
  _xlpm._init, D28,
  _xlpm._arr, _xlfn.TOROW(_xlpm.array),
  _xlpm._rtn, _xlfn.SCAN(_xlpm._init, _xlpm._arr,
    _xlfn.LAMBDA(_xlpm._acc,_xlpm._val, _xlpm._val * _xlpm._alpha + (1 - _xlpm._alpha) * _xlpm._acc)
  ),
  _xlpm._rtn
)</f>
        <v>28</v>
      </c>
      <c r="E32" s="24">
        <v>34</v>
      </c>
      <c r="F32" s="24">
        <v>28.5</v>
      </c>
      <c r="G32" s="24">
        <v>31.25</v>
      </c>
      <c r="H32" s="24">
        <v>25.625</v>
      </c>
      <c r="I32" s="24">
        <v>21.3125</v>
      </c>
      <c r="J32" s="24">
        <v>18.65625</v>
      </c>
      <c r="K32" s="24">
        <v>36.828125</v>
      </c>
      <c r="L32" s="24">
        <v>33.4140625</v>
      </c>
      <c r="M32" s="24">
        <v>31.20703125</v>
      </c>
      <c r="N32" s="24">
        <v>35.103515625</v>
      </c>
      <c r="O32" s="24">
        <v>34.5517578125</v>
      </c>
      <c r="P32" s="24">
        <v>32.27587890625</v>
      </c>
      <c r="Q32" s="24">
        <v>33.137939453125</v>
      </c>
      <c r="R32" s="24">
        <v>41.5689697265625</v>
      </c>
      <c r="S32" s="24">
        <v>30.78448486328125</v>
      </c>
      <c r="T32" s="24">
        <v>27.892242431640625</v>
      </c>
      <c r="U32" s="24">
        <v>22.946121215820313</v>
      </c>
      <c r="V32" s="24">
        <v>13.973060607910156</v>
      </c>
      <c r="W32" s="24">
        <v>16.986530303955078</v>
      </c>
      <c r="X32" s="24">
        <v>23.493265151977539</v>
      </c>
      <c r="Y32" s="24">
        <v>30.24663257598877</v>
      </c>
      <c r="Z32" s="24">
        <v>32.623316287994385</v>
      </c>
      <c r="AA32" s="24">
        <v>30.311658143997192</v>
      </c>
    </row>
    <row r="33" spans="2:4" x14ac:dyDescent="0.2">
      <c r="D33" s="26" t="str" cm="1">
        <f t="array" aca="1" ref="D33:D42" ca="1" xml:space="preserve"> _xlfn.TEXTSPLIT( _xlfn.FORMULATEXT(D32), , CHAR(10))</f>
        <v>= LET(</v>
      </c>
    </row>
    <row r="34" spans="2:4" x14ac:dyDescent="0.2">
      <c r="D34" s="26" t="str">
        <f ca="1"/>
        <v xml:space="preserve">  array, $D$11:$AA$11,</v>
      </c>
    </row>
    <row r="35" spans="2:4" x14ac:dyDescent="0.2">
      <c r="D35" s="26" t="str">
        <f ca="1"/>
        <v xml:space="preserve">  _alpha, D27,</v>
      </c>
    </row>
    <row r="36" spans="2:4" x14ac:dyDescent="0.2">
      <c r="D36" s="26" t="str">
        <f ca="1"/>
        <v xml:space="preserve">  _init, D28,</v>
      </c>
    </row>
    <row r="37" spans="2:4" x14ac:dyDescent="0.2">
      <c r="D37" s="26" t="str">
        <f ca="1"/>
        <v xml:space="preserve">  _arr, TOROW(array),</v>
      </c>
    </row>
    <row r="38" spans="2:4" x14ac:dyDescent="0.2">
      <c r="D38" s="26" t="str">
        <f ca="1"/>
        <v xml:space="preserve">  _rtn, SCAN(_init, _arr,</v>
      </c>
    </row>
    <row r="39" spans="2:4" x14ac:dyDescent="0.2">
      <c r="D39" s="26" t="str">
        <f ca="1"/>
        <v xml:space="preserve">    LAMBDA(_acc,_val, _val * _alpha + (1 - _alpha) * _acc)</v>
      </c>
    </row>
    <row r="40" spans="2:4" x14ac:dyDescent="0.2">
      <c r="D40" s="26" t="str">
        <f ca="1"/>
        <v xml:space="preserve">  ),</v>
      </c>
    </row>
    <row r="41" spans="2:4" x14ac:dyDescent="0.2">
      <c r="D41" s="26" t="str">
        <f ca="1"/>
        <v xml:space="preserve">  _rtn</v>
      </c>
    </row>
    <row r="42" spans="2:4" x14ac:dyDescent="0.2">
      <c r="D42" s="26" t="str">
        <f ca="1"/>
        <v>)</v>
      </c>
    </row>
    <row r="47" spans="2:4" x14ac:dyDescent="0.2">
      <c r="B47" s="10" t="str" cm="1">
        <f t="array" ref="B47" xml:space="preserve"> "(" &amp; _xlfn.UNICHAR( 65 + SUMPRODUCT(--(_xlfn.REGEXTEST(B$1:B46, "^\([A-Z]\)$")))) &amp; ")"</f>
        <v>(B)</v>
      </c>
      <c r="C47" s="3" t="s">
        <v>78</v>
      </c>
    </row>
    <row r="48" spans="2:4" x14ac:dyDescent="0.2">
      <c r="C48" s="44" t="s">
        <v>79</v>
      </c>
    </row>
    <row r="50" spans="3:27" x14ac:dyDescent="0.2">
      <c r="C50" s="16" t="s">
        <v>70</v>
      </c>
      <c r="D50" s="36">
        <v>0.5</v>
      </c>
    </row>
    <row r="51" spans="3:27" x14ac:dyDescent="0.2">
      <c r="C51" s="16" t="s">
        <v>73</v>
      </c>
      <c r="D51" s="25">
        <f xml:space="preserve"> $D$11</f>
        <v>28</v>
      </c>
      <c r="E51" s="43" t="s">
        <v>62</v>
      </c>
      <c r="F51" s="40" t="s">
        <v>74</v>
      </c>
    </row>
    <row r="52" spans="3:27" x14ac:dyDescent="0.2">
      <c r="C52" s="16" t="s">
        <v>72</v>
      </c>
      <c r="D52" s="25">
        <f xml:space="preserve"> $AA$11</f>
        <v>28</v>
      </c>
      <c r="E52" s="43" t="s">
        <v>63</v>
      </c>
      <c r="F52" s="40" t="s">
        <v>75</v>
      </c>
    </row>
    <row r="53" spans="3:27" x14ac:dyDescent="0.2">
      <c r="C53" s="16" t="s">
        <v>77</v>
      </c>
      <c r="D53" s="25">
        <v>1</v>
      </c>
      <c r="E53" s="43" t="s">
        <v>61</v>
      </c>
      <c r="F53" s="40" t="s">
        <v>76</v>
      </c>
    </row>
    <row r="55" spans="3:27" x14ac:dyDescent="0.2">
      <c r="D55" s="42" cm="1">
        <f t="array" ref="D55:AA55" xml:space="preserve"> $D$9:$AA$9</f>
        <v>1</v>
      </c>
      <c r="E55" s="42">
        <v>2</v>
      </c>
      <c r="F55" s="42">
        <v>3</v>
      </c>
      <c r="G55" s="42">
        <v>4</v>
      </c>
      <c r="H55" s="42">
        <v>5</v>
      </c>
      <c r="I55" s="42">
        <v>6</v>
      </c>
      <c r="J55" s="42">
        <v>7</v>
      </c>
      <c r="K55" s="42">
        <v>8</v>
      </c>
      <c r="L55" s="42">
        <v>9</v>
      </c>
      <c r="M55" s="42">
        <v>10</v>
      </c>
      <c r="N55" s="42">
        <v>11</v>
      </c>
      <c r="O55" s="42">
        <v>12</v>
      </c>
      <c r="P55" s="42">
        <v>13</v>
      </c>
      <c r="Q55" s="42">
        <v>14</v>
      </c>
      <c r="R55" s="42">
        <v>15</v>
      </c>
      <c r="S55" s="42">
        <v>16</v>
      </c>
      <c r="T55" s="42">
        <v>17</v>
      </c>
      <c r="U55" s="42">
        <v>18</v>
      </c>
      <c r="V55" s="42">
        <v>19</v>
      </c>
      <c r="W55" s="42">
        <v>20</v>
      </c>
      <c r="X55" s="42">
        <v>21</v>
      </c>
      <c r="Y55" s="42">
        <v>22</v>
      </c>
      <c r="Z55" s="42">
        <v>23</v>
      </c>
      <c r="AA55" s="42">
        <v>24</v>
      </c>
    </row>
    <row r="56" spans="3:27" x14ac:dyDescent="0.2">
      <c r="C56" s="16" t="s">
        <v>59</v>
      </c>
      <c r="D56" s="38" cm="1">
        <f t="array" ref="D56:AA56" xml:space="preserve"> $D$11:$AA$11</f>
        <v>28</v>
      </c>
      <c r="E56" s="38">
        <v>40</v>
      </c>
      <c r="F56" s="38">
        <v>23</v>
      </c>
      <c r="G56" s="38">
        <v>34</v>
      </c>
      <c r="H56" s="38">
        <v>20</v>
      </c>
      <c r="I56" s="38">
        <v>17</v>
      </c>
      <c r="J56" s="38">
        <v>16</v>
      </c>
      <c r="K56" s="38">
        <v>55</v>
      </c>
      <c r="L56" s="38">
        <v>30</v>
      </c>
      <c r="M56" s="38">
        <v>29</v>
      </c>
      <c r="N56" s="38">
        <v>39</v>
      </c>
      <c r="O56" s="38">
        <v>34</v>
      </c>
      <c r="P56" s="38">
        <v>30</v>
      </c>
      <c r="Q56" s="38">
        <v>34</v>
      </c>
      <c r="R56" s="38">
        <v>50</v>
      </c>
      <c r="S56" s="38">
        <v>20</v>
      </c>
      <c r="T56" s="38">
        <v>25</v>
      </c>
      <c r="U56" s="38">
        <v>18</v>
      </c>
      <c r="V56" s="38">
        <v>5</v>
      </c>
      <c r="W56" s="38">
        <v>20</v>
      </c>
      <c r="X56" s="38">
        <v>30</v>
      </c>
      <c r="Y56" s="38">
        <v>37</v>
      </c>
      <c r="Z56" s="38">
        <v>35</v>
      </c>
      <c r="AA56" s="38">
        <v>28</v>
      </c>
    </row>
    <row r="57" spans="3:27" x14ac:dyDescent="0.2">
      <c r="C57" s="16" t="s">
        <v>36</v>
      </c>
      <c r="D57" s="24" cm="1">
        <f t="array" ref="D57:AA57" xml:space="preserve"> _xlfn.LET(
  _xlpm.array, $D$11:$AA$11,
  _xlpm._alpha, D50,
  _xlpm._init, D51,
  _xlpm._end, D52,
  _xlpm._optn, D53,
  _xlpm._arr, _xlfn.TOROW(_xlpm.array),
  _xlpm._cols, COLUMNS(_xlpm._arr),
  _xlpm._rev, IF(_xlpm._optn &lt;&gt; 0, INDEX(_xlpm._arr, 1, _xlfn.SEQUENCE(1, _xlpm._cols, _xlpm._cols, -1)), 0),
  _xlpm._fwd, IF(_xlpm._optn &gt;= 0, _xlfn.SCAN(_xlpm._init, _xlpm._arr,
    _xlfn.LAMBDA(_xlpm._acc,_xlpm._val, _xlpm._val * _xlpm._alpha + (1 - _xlpm._alpha) * _xlpm._acc)
  ), 0),
  _xlpm._bck, IF(_xlpm._optn &lt;&gt; 0, _xlfn.LET(
    _xlpm._bArr, _xlfn.SCAN(_xlpm._end, _xlpm._rev,
      _xlfn.LAMBDA(_xlpm._acc,_xlpm._val, _xlpm._val * _xlpm._alpha + (1 - _xlpm._alpha) * _xlpm._acc)
    ),
    _xlpm._bCols, COLUMNS(_xlpm._bArr),
    INDEX(_xlpm._bArr, 1, _xlfn.SEQUENCE(1, _xlpm._bCols, _xlpm._bCols, -1))
  ), 0),
  _xlpm._rtn, CHOOSE(_xlpm._optn + 2,
    _xlpm._bck,
    _xlpm._fwd,
    _xlfn.MAP(
      _xlfn.SEQUENCE(1, _xlpm._cols), _xlpm._fwd, _xlpm._bck,
      _xlfn.LAMBDA(_xlpm._idx,_xlpm._vF,_xlpm._vB, IF(_xlpm._idx = 1, _xlpm._init, IF(_xlpm._idx = _xlpm._cols,_xlpm._end, AVERAGE(_xlpm._vF, _xlpm._vB))))
    )
  ),
  _xlpm._rtn
)</f>
        <v>28</v>
      </c>
      <c r="E57" s="24">
        <v>33.352613568305969</v>
      </c>
      <c r="F57" s="24">
        <v>26.955227136611938</v>
      </c>
      <c r="G57" s="24">
        <v>29.535454273223877</v>
      </c>
      <c r="H57" s="24">
        <v>23.633408546447754</v>
      </c>
      <c r="I57" s="24">
        <v>22.298067092895508</v>
      </c>
      <c r="J57" s="24">
        <v>24.111759185791016</v>
      </c>
      <c r="K57" s="24">
        <v>39.981330871582031</v>
      </c>
      <c r="L57" s="24">
        <v>32.341567993164063</v>
      </c>
      <c r="M57" s="24">
        <v>31.872589111328125</v>
      </c>
      <c r="N57" s="24">
        <v>35.58990478515625</v>
      </c>
      <c r="O57" s="24">
        <v>33.8521728515625</v>
      </c>
      <c r="P57" s="24">
        <v>32.29052734375</v>
      </c>
      <c r="Q57" s="24">
        <v>33.8741455078125</v>
      </c>
      <c r="R57" s="24">
        <v>38.39483642578125</v>
      </c>
      <c r="S57" s="24">
        <v>25.612945556640625</v>
      </c>
      <c r="T57" s="24">
        <v>24.387527465820313</v>
      </c>
      <c r="U57" s="24">
        <v>19.855873107910156</v>
      </c>
      <c r="V57" s="24">
        <v>14.752155303955078</v>
      </c>
      <c r="W57" s="24">
        <v>21.524515151977539</v>
      </c>
      <c r="X57" s="24">
        <v>27.80913257598877</v>
      </c>
      <c r="Y57" s="24">
        <v>32.248316287994385</v>
      </c>
      <c r="Z57" s="24">
        <v>32.061658143997192</v>
      </c>
      <c r="AA57" s="24">
        <v>28</v>
      </c>
    </row>
    <row r="58" spans="3:27" x14ac:dyDescent="0.2">
      <c r="D58" s="26" t="str" cm="1">
        <f t="array" aca="1" ref="D58:D86" ca="1" xml:space="preserve"> _xlfn.TEXTSPLIT( _xlfn.FORMULATEXT(D57), , CHAR(10))</f>
        <v>= LET(</v>
      </c>
    </row>
    <row r="59" spans="3:27" x14ac:dyDescent="0.2">
      <c r="D59" s="26" t="str">
        <f ca="1"/>
        <v xml:space="preserve">  array, $D$11:$AA$11,</v>
      </c>
    </row>
    <row r="60" spans="3:27" x14ac:dyDescent="0.2">
      <c r="D60" s="26" t="str">
        <f ca="1"/>
        <v xml:space="preserve">  _alpha, D50,</v>
      </c>
    </row>
    <row r="61" spans="3:27" x14ac:dyDescent="0.2">
      <c r="D61" s="26" t="str">
        <f ca="1"/>
        <v xml:space="preserve">  _init, D51,</v>
      </c>
    </row>
    <row r="62" spans="3:27" x14ac:dyDescent="0.2">
      <c r="D62" s="26" t="str">
        <f ca="1"/>
        <v xml:space="preserve">  _end, D52,</v>
      </c>
    </row>
    <row r="63" spans="3:27" x14ac:dyDescent="0.2">
      <c r="D63" s="26" t="str">
        <f ca="1"/>
        <v xml:space="preserve">  _optn, D53,</v>
      </c>
    </row>
    <row r="64" spans="3:27" x14ac:dyDescent="0.2">
      <c r="D64" s="26" t="str">
        <f ca="1"/>
        <v xml:space="preserve">  _arr, TOROW(array),</v>
      </c>
    </row>
    <row r="65" spans="4:4" x14ac:dyDescent="0.2">
      <c r="D65" s="26" t="str">
        <f ca="1"/>
        <v xml:space="preserve">  _cols, COLUMNS(_arr),</v>
      </c>
    </row>
    <row r="66" spans="4:4" x14ac:dyDescent="0.2">
      <c r="D66" s="26" t="str">
        <f ca="1"/>
        <v xml:space="preserve">  _rev, IF(_optn &lt;&gt; 0, INDEX(_arr, 1, SEQUENCE(1, _cols, _cols, -1)), 0),</v>
      </c>
    </row>
    <row r="67" spans="4:4" x14ac:dyDescent="0.2">
      <c r="D67" s="26" t="str">
        <f ca="1"/>
        <v xml:space="preserve">  _fwd, IF(_optn &gt;= 0, SCAN(_init, _arr,</v>
      </c>
    </row>
    <row r="68" spans="4:4" x14ac:dyDescent="0.2">
      <c r="D68" s="26" t="str">
        <f ca="1"/>
        <v xml:space="preserve">    LAMBDA(_acc,_val, _val * _alpha + (1 - _alpha) * _acc)</v>
      </c>
    </row>
    <row r="69" spans="4:4" x14ac:dyDescent="0.2">
      <c r="D69" s="26" t="str">
        <f ca="1"/>
        <v xml:space="preserve">  ), 0),</v>
      </c>
    </row>
    <row r="70" spans="4:4" x14ac:dyDescent="0.2">
      <c r="D70" s="26" t="str">
        <f ca="1"/>
        <v xml:space="preserve">  _bck, IF(_optn &lt;&gt; 0, LET(</v>
      </c>
    </row>
    <row r="71" spans="4:4" x14ac:dyDescent="0.2">
      <c r="D71" s="26" t="str">
        <f ca="1"/>
        <v xml:space="preserve">    _bArr, SCAN(_end, _rev,</v>
      </c>
    </row>
    <row r="72" spans="4:4" x14ac:dyDescent="0.2">
      <c r="D72" s="26" t="str">
        <f ca="1"/>
        <v xml:space="preserve">      LAMBDA(_acc,_val, _val * _alpha + (1 - _alpha) * _acc)</v>
      </c>
    </row>
    <row r="73" spans="4:4" x14ac:dyDescent="0.2">
      <c r="D73" s="26" t="str">
        <f ca="1"/>
        <v xml:space="preserve">    ),</v>
      </c>
    </row>
    <row r="74" spans="4:4" x14ac:dyDescent="0.2">
      <c r="D74" s="26" t="str">
        <f ca="1"/>
        <v xml:space="preserve">    _bCols, COLUMNS(_bArr),</v>
      </c>
    </row>
    <row r="75" spans="4:4" x14ac:dyDescent="0.2">
      <c r="D75" s="26" t="str">
        <f ca="1"/>
        <v xml:space="preserve">    INDEX(_bArr, 1, SEQUENCE(1, _bCols, _bCols, -1))</v>
      </c>
    </row>
    <row r="76" spans="4:4" x14ac:dyDescent="0.2">
      <c r="D76" s="26" t="str">
        <f ca="1"/>
        <v xml:space="preserve">  ), 0),</v>
      </c>
    </row>
    <row r="77" spans="4:4" x14ac:dyDescent="0.2">
      <c r="D77" s="26" t="str">
        <f ca="1"/>
        <v xml:space="preserve">  _rtn, CHOOSE(_optn + 2,</v>
      </c>
    </row>
    <row r="78" spans="4:4" x14ac:dyDescent="0.2">
      <c r="D78" s="26" t="str">
        <f ca="1"/>
        <v xml:space="preserve">    _bck,</v>
      </c>
    </row>
    <row r="79" spans="4:4" x14ac:dyDescent="0.2">
      <c r="D79" s="26" t="str">
        <f ca="1"/>
        <v xml:space="preserve">    _fwd,</v>
      </c>
    </row>
    <row r="80" spans="4:4" x14ac:dyDescent="0.2">
      <c r="D80" s="26" t="str">
        <f ca="1"/>
        <v xml:space="preserve">    MAP(</v>
      </c>
    </row>
    <row r="81" spans="2:27" x14ac:dyDescent="0.2">
      <c r="D81" s="26" t="str">
        <f ca="1"/>
        <v xml:space="preserve">      SEQUENCE(1, _cols), _fwd, _bck,</v>
      </c>
    </row>
    <row r="82" spans="2:27" x14ac:dyDescent="0.2">
      <c r="D82" s="26" t="str">
        <f ca="1"/>
        <v xml:space="preserve">      LAMBDA(_idx,_vF,_vB, IF(_idx = 1, _init, IF(_idx = _cols,_end, AVERAGE(_vF, _vB))))</v>
      </c>
    </row>
    <row r="83" spans="2:27" x14ac:dyDescent="0.2">
      <c r="D83" s="26" t="str">
        <f ca="1"/>
        <v xml:space="preserve">    )</v>
      </c>
    </row>
    <row r="84" spans="2:27" x14ac:dyDescent="0.2">
      <c r="D84" s="26" t="str">
        <f ca="1"/>
        <v xml:space="preserve">  ),</v>
      </c>
    </row>
    <row r="85" spans="2:27" x14ac:dyDescent="0.2">
      <c r="D85" s="26" t="str">
        <f ca="1"/>
        <v xml:space="preserve">  _rtn</v>
      </c>
    </row>
    <row r="86" spans="2:27" x14ac:dyDescent="0.2">
      <c r="D86" s="26" t="str">
        <f ca="1"/>
        <v>)</v>
      </c>
    </row>
    <row r="87" spans="2:27" x14ac:dyDescent="0.2">
      <c r="D87" s="26"/>
    </row>
    <row r="88" spans="2:27" x14ac:dyDescent="0.2">
      <c r="B88" s="10" t="str" cm="1">
        <f t="array" ref="B88" xml:space="preserve"> "(" &amp; _xlfn.UNICHAR( 65 + SUMPRODUCT(--(_xlfn.REGEXTEST(B$1:B87, "^\([A-Z]\)$")))) &amp; ")"</f>
        <v>(C)</v>
      </c>
      <c r="C88" s="3" t="s">
        <v>81</v>
      </c>
    </row>
    <row r="90" spans="2:27" x14ac:dyDescent="0.2">
      <c r="C90" s="16" t="s">
        <v>70</v>
      </c>
      <c r="D90" s="36">
        <v>0.5</v>
      </c>
    </row>
    <row r="91" spans="2:27" x14ac:dyDescent="0.2">
      <c r="C91" s="16" t="s">
        <v>73</v>
      </c>
      <c r="D91" s="25">
        <f xml:space="preserve"> $D$11</f>
        <v>28</v>
      </c>
      <c r="E91" s="43" t="s">
        <v>62</v>
      </c>
      <c r="F91" s="40" t="s">
        <v>74</v>
      </c>
    </row>
    <row r="92" spans="2:27" x14ac:dyDescent="0.2">
      <c r="C92" s="16" t="s">
        <v>72</v>
      </c>
      <c r="D92" s="25">
        <f xml:space="preserve"> $AA$11</f>
        <v>28</v>
      </c>
      <c r="E92" s="43" t="s">
        <v>63</v>
      </c>
      <c r="F92" s="40" t="s">
        <v>75</v>
      </c>
    </row>
    <row r="93" spans="2:27" x14ac:dyDescent="0.2">
      <c r="C93" s="16" t="s">
        <v>77</v>
      </c>
      <c r="D93" s="25">
        <v>1</v>
      </c>
      <c r="E93" s="43" t="s">
        <v>61</v>
      </c>
      <c r="F93" s="40" t="s">
        <v>76</v>
      </c>
    </row>
    <row r="95" spans="2:27" x14ac:dyDescent="0.2">
      <c r="D95" s="42" cm="1">
        <f t="array" ref="D95:AA95" xml:space="preserve"> $D$9:$AA$9</f>
        <v>1</v>
      </c>
      <c r="E95" s="42">
        <v>2</v>
      </c>
      <c r="F95" s="42">
        <v>3</v>
      </c>
      <c r="G95" s="42">
        <v>4</v>
      </c>
      <c r="H95" s="42">
        <v>5</v>
      </c>
      <c r="I95" s="42">
        <v>6</v>
      </c>
      <c r="J95" s="42">
        <v>7</v>
      </c>
      <c r="K95" s="42">
        <v>8</v>
      </c>
      <c r="L95" s="42">
        <v>9</v>
      </c>
      <c r="M95" s="42">
        <v>10</v>
      </c>
      <c r="N95" s="42">
        <v>11</v>
      </c>
      <c r="O95" s="42">
        <v>12</v>
      </c>
      <c r="P95" s="42">
        <v>13</v>
      </c>
      <c r="Q95" s="42">
        <v>14</v>
      </c>
      <c r="R95" s="42">
        <v>15</v>
      </c>
      <c r="S95" s="42">
        <v>16</v>
      </c>
      <c r="T95" s="42">
        <v>17</v>
      </c>
      <c r="U95" s="42">
        <v>18</v>
      </c>
      <c r="V95" s="42">
        <v>19</v>
      </c>
      <c r="W95" s="42">
        <v>20</v>
      </c>
      <c r="X95" s="42">
        <v>21</v>
      </c>
      <c r="Y95" s="42">
        <v>22</v>
      </c>
      <c r="Z95" s="42">
        <v>23</v>
      </c>
      <c r="AA95" s="42">
        <v>24</v>
      </c>
    </row>
    <row r="96" spans="2:27" x14ac:dyDescent="0.2">
      <c r="C96" s="16" t="s">
        <v>59</v>
      </c>
      <c r="D96" s="38" cm="1">
        <f t="array" ref="D96:AA96" xml:space="preserve"> $D$11:$AA$11</f>
        <v>28</v>
      </c>
      <c r="E96" s="38">
        <v>40</v>
      </c>
      <c r="F96" s="38">
        <v>23</v>
      </c>
      <c r="G96" s="38">
        <v>34</v>
      </c>
      <c r="H96" s="38">
        <v>20</v>
      </c>
      <c r="I96" s="38">
        <v>17</v>
      </c>
      <c r="J96" s="38">
        <v>16</v>
      </c>
      <c r="K96" s="38">
        <v>55</v>
      </c>
      <c r="L96" s="38">
        <v>30</v>
      </c>
      <c r="M96" s="38">
        <v>29</v>
      </c>
      <c r="N96" s="38">
        <v>39</v>
      </c>
      <c r="O96" s="38">
        <v>34</v>
      </c>
      <c r="P96" s="38">
        <v>30</v>
      </c>
      <c r="Q96" s="38">
        <v>34</v>
      </c>
      <c r="R96" s="38">
        <v>50</v>
      </c>
      <c r="S96" s="38">
        <v>20</v>
      </c>
      <c r="T96" s="38">
        <v>25</v>
      </c>
      <c r="U96" s="38">
        <v>18</v>
      </c>
      <c r="V96" s="38">
        <v>5</v>
      </c>
      <c r="W96" s="38">
        <v>20</v>
      </c>
      <c r="X96" s="38">
        <v>30</v>
      </c>
      <c r="Y96" s="38">
        <v>37</v>
      </c>
      <c r="Z96" s="38">
        <v>35</v>
      </c>
      <c r="AA96" s="38">
        <v>28</v>
      </c>
    </row>
    <row r="97" spans="3:27" x14ac:dyDescent="0.2">
      <c r="C97" s="16" t="s">
        <v>36</v>
      </c>
      <c r="D97" s="24" cm="1">
        <f t="array" ref="D97:AA97" xml:space="preserve"> _xlfn.LET(
  _xlpm.array, $D$11:$AA$11,
  _xlpm._alpha, D90,
  _xlpm._init, D91,
  _xlpm._end, D92,
  _xlpm._optn, D93,
  _xlpm._vrt, (ROWS(_xlpm.array) &gt; COLUMNS(_xlpm.array)),
  _xlpm._arr, _xlfn.TOROW(_xlpm.array),
  _xlpm._cols, COLUMNS(_xlpm._arr),
  _xlpm._rev, IF(_xlpm._optn &lt;&gt; 0, INDEX(_xlpm._arr, 1, _xlfn.SEQUENCE(1, _xlpm._cols, _xlpm._cols, -1)), 0),
  _xlpm._fwd, IF(_xlpm._optn &gt;= 0, _xlfn.SCAN(_xlpm._init, _xlpm._arr,
    _xlfn.LAMBDA(_xlpm._acc,_xlpm._val, _xlpm._val * _xlpm._alpha + (1 - _xlpm._alpha) * _xlpm._acc)
  ), 0),
  _xlpm._bck, IF(_xlpm._optn &lt;&gt; 0, _xlfn.LET(
    _xlpm._bArr, _xlfn.SCAN(_xlpm._end, _xlpm._rev,
      _xlfn.LAMBDA(_xlpm._acc,_xlpm._val, _xlpm._val * _xlpm._alpha + (1 - _xlpm._alpha) * _xlpm._acc)
    ),
    _xlpm._bCols, COLUMNS(_xlpm._bArr),
    INDEX(_xlpm._bArr, 1, _xlfn.SEQUENCE(1, _xlpm._bCols, _xlpm._bCols, -1))
  ), 0),
  _xlpm._out, CHOOSE(_xlpm._optn + 2,
    _xlpm._bck,
    _xlpm._fwd,
    _xlfn.MAP(
      _xlfn.SEQUENCE(1, _xlpm._cols), _xlpm._fwd, _xlpm._bck,
      _xlfn.LAMBDA(_xlpm._idx,_xlpm._vF,_xlpm._vB, IF(_xlpm._idx = 1, _xlpm._init, IF(_xlpm._idx = _xlpm._cols, _xlpm._end, AVERAGE(_xlpm._vF, _xlpm._vB))))
    )
  ),
  _xlpm._rtn, IF(_xlpm._vrt, TRANSPOSE(_xlpm._out), _xlpm._out),
  _xlpm._rtn
)</f>
        <v>28</v>
      </c>
      <c r="E97" s="24">
        <v>33.352613568305969</v>
      </c>
      <c r="F97" s="24">
        <v>26.955227136611938</v>
      </c>
      <c r="G97" s="24">
        <v>29.535454273223877</v>
      </c>
      <c r="H97" s="24">
        <v>23.633408546447754</v>
      </c>
      <c r="I97" s="24">
        <v>22.298067092895508</v>
      </c>
      <c r="J97" s="24">
        <v>24.111759185791016</v>
      </c>
      <c r="K97" s="24">
        <v>39.981330871582031</v>
      </c>
      <c r="L97" s="24">
        <v>32.341567993164063</v>
      </c>
      <c r="M97" s="24">
        <v>31.872589111328125</v>
      </c>
      <c r="N97" s="24">
        <v>35.58990478515625</v>
      </c>
      <c r="O97" s="24">
        <v>33.8521728515625</v>
      </c>
      <c r="P97" s="24">
        <v>32.29052734375</v>
      </c>
      <c r="Q97" s="24">
        <v>33.8741455078125</v>
      </c>
      <c r="R97" s="24">
        <v>38.39483642578125</v>
      </c>
      <c r="S97" s="24">
        <v>25.612945556640625</v>
      </c>
      <c r="T97" s="24">
        <v>24.387527465820313</v>
      </c>
      <c r="U97" s="24">
        <v>19.855873107910156</v>
      </c>
      <c r="V97" s="24">
        <v>14.752155303955078</v>
      </c>
      <c r="W97" s="24">
        <v>21.524515151977539</v>
      </c>
      <c r="X97" s="24">
        <v>27.80913257598877</v>
      </c>
      <c r="Y97" s="24">
        <v>32.248316287994385</v>
      </c>
      <c r="Z97" s="24">
        <v>32.061658143997192</v>
      </c>
      <c r="AA97" s="24">
        <v>28</v>
      </c>
    </row>
    <row r="98" spans="3:27" x14ac:dyDescent="0.2">
      <c r="D98" s="26" t="str" cm="1">
        <f t="array" aca="1" ref="D98:D128" ca="1" xml:space="preserve"> _xlfn.TEXTSPLIT( _xlfn.FORMULATEXT(D97), , CHAR(10))</f>
        <v>= LET(</v>
      </c>
    </row>
    <row r="99" spans="3:27" x14ac:dyDescent="0.2">
      <c r="D99" s="26" t="str">
        <f ca="1"/>
        <v xml:space="preserve">  array, $D$11:$AA$11,</v>
      </c>
    </row>
    <row r="100" spans="3:27" x14ac:dyDescent="0.2">
      <c r="D100" s="26" t="str">
        <f ca="1"/>
        <v xml:space="preserve">  _alpha, D90,</v>
      </c>
    </row>
    <row r="101" spans="3:27" x14ac:dyDescent="0.2">
      <c r="D101" s="26" t="str">
        <f ca="1"/>
        <v xml:space="preserve">  _init, D91,</v>
      </c>
    </row>
    <row r="102" spans="3:27" x14ac:dyDescent="0.2">
      <c r="D102" s="26" t="str">
        <f ca="1"/>
        <v xml:space="preserve">  _end, D92,</v>
      </c>
    </row>
    <row r="103" spans="3:27" x14ac:dyDescent="0.2">
      <c r="D103" s="26" t="str">
        <f ca="1"/>
        <v xml:space="preserve">  _optn, D93,</v>
      </c>
    </row>
    <row r="104" spans="3:27" x14ac:dyDescent="0.2">
      <c r="D104" s="26" t="str">
        <f ca="1"/>
        <v xml:space="preserve">  _vrt, (ROWS(array) &gt; COLUMNS(array)),</v>
      </c>
    </row>
    <row r="105" spans="3:27" x14ac:dyDescent="0.2">
      <c r="D105" s="26" t="str">
        <f ca="1"/>
        <v xml:space="preserve">  _arr, TOROW(array),</v>
      </c>
    </row>
    <row r="106" spans="3:27" x14ac:dyDescent="0.2">
      <c r="D106" s="26" t="str">
        <f ca="1"/>
        <v xml:space="preserve">  _cols, COLUMNS(_arr),</v>
      </c>
    </row>
    <row r="107" spans="3:27" x14ac:dyDescent="0.2">
      <c r="D107" s="26" t="str">
        <f ca="1"/>
        <v xml:space="preserve">  _rev, IF(_optn &lt;&gt; 0, INDEX(_arr, 1, SEQUENCE(1, _cols, _cols, -1)), 0),</v>
      </c>
    </row>
    <row r="108" spans="3:27" x14ac:dyDescent="0.2">
      <c r="D108" s="26" t="str">
        <f ca="1"/>
        <v xml:space="preserve">  _fwd, IF(_optn &gt;= 0, SCAN(_init, _arr,</v>
      </c>
    </row>
    <row r="109" spans="3:27" x14ac:dyDescent="0.2">
      <c r="D109" s="26" t="str">
        <f ca="1"/>
        <v xml:space="preserve">    LAMBDA(_acc,_val, _val * _alpha + (1 - _alpha) * _acc)</v>
      </c>
    </row>
    <row r="110" spans="3:27" x14ac:dyDescent="0.2">
      <c r="D110" s="26" t="str">
        <f ca="1"/>
        <v xml:space="preserve">  ), 0),</v>
      </c>
    </row>
    <row r="111" spans="3:27" x14ac:dyDescent="0.2">
      <c r="D111" s="26" t="str">
        <f ca="1"/>
        <v xml:space="preserve">  _bck, IF(_optn &lt;&gt; 0, LET(</v>
      </c>
    </row>
    <row r="112" spans="3:27" x14ac:dyDescent="0.2">
      <c r="D112" s="26" t="str">
        <f ca="1"/>
        <v xml:space="preserve">    _bArr, SCAN(_end, _rev,</v>
      </c>
    </row>
    <row r="113" spans="4:4" x14ac:dyDescent="0.2">
      <c r="D113" s="26" t="str">
        <f ca="1"/>
        <v xml:space="preserve">      LAMBDA(_acc,_val, _val * _alpha + (1 - _alpha) * _acc)</v>
      </c>
    </row>
    <row r="114" spans="4:4" x14ac:dyDescent="0.2">
      <c r="D114" s="26" t="str">
        <f ca="1"/>
        <v xml:space="preserve">    ),</v>
      </c>
    </row>
    <row r="115" spans="4:4" x14ac:dyDescent="0.2">
      <c r="D115" s="26" t="str">
        <f ca="1"/>
        <v xml:space="preserve">    _bCols, COLUMNS(_bArr),</v>
      </c>
    </row>
    <row r="116" spans="4:4" x14ac:dyDescent="0.2">
      <c r="D116" s="26" t="str">
        <f ca="1"/>
        <v xml:space="preserve">    INDEX(_bArr, 1, SEQUENCE(1, _bCols, _bCols, -1))</v>
      </c>
    </row>
    <row r="117" spans="4:4" x14ac:dyDescent="0.2">
      <c r="D117" s="26" t="str">
        <f ca="1"/>
        <v xml:space="preserve">  ), 0),</v>
      </c>
    </row>
    <row r="118" spans="4:4" x14ac:dyDescent="0.2">
      <c r="D118" s="26" t="str">
        <f ca="1"/>
        <v xml:space="preserve">  _out, CHOOSE(_optn + 2,</v>
      </c>
    </row>
    <row r="119" spans="4:4" x14ac:dyDescent="0.2">
      <c r="D119" s="26" t="str">
        <f ca="1"/>
        <v xml:space="preserve">    _bck,</v>
      </c>
    </row>
    <row r="120" spans="4:4" x14ac:dyDescent="0.2">
      <c r="D120" s="26" t="str">
        <f ca="1"/>
        <v xml:space="preserve">    _fwd,</v>
      </c>
    </row>
    <row r="121" spans="4:4" x14ac:dyDescent="0.2">
      <c r="D121" s="26" t="str">
        <f ca="1"/>
        <v xml:space="preserve">    MAP(</v>
      </c>
    </row>
    <row r="122" spans="4:4" x14ac:dyDescent="0.2">
      <c r="D122" s="26" t="str">
        <f ca="1"/>
        <v xml:space="preserve">      SEQUENCE(1, _cols), _fwd, _bck,</v>
      </c>
    </row>
    <row r="123" spans="4:4" x14ac:dyDescent="0.2">
      <c r="D123" s="26" t="str">
        <f ca="1"/>
        <v xml:space="preserve">      LAMBDA(_idx,_vF,_vB, IF(_idx = 1, _init, IF(_idx = _cols, _end, AVERAGE(_vF, _vB))))</v>
      </c>
    </row>
    <row r="124" spans="4:4" x14ac:dyDescent="0.2">
      <c r="D124" s="26" t="str">
        <f ca="1"/>
        <v xml:space="preserve">    )</v>
      </c>
    </row>
    <row r="125" spans="4:4" x14ac:dyDescent="0.2">
      <c r="D125" s="26" t="str">
        <f ca="1"/>
        <v xml:space="preserve">  ),</v>
      </c>
    </row>
    <row r="126" spans="4:4" x14ac:dyDescent="0.2">
      <c r="D126" s="26" t="str">
        <f ca="1"/>
        <v xml:space="preserve">  _rtn, IF(_vrt, TRANSPOSE(_out), _out),</v>
      </c>
    </row>
    <row r="127" spans="4:4" x14ac:dyDescent="0.2">
      <c r="D127" s="26" t="str">
        <f ca="1"/>
        <v xml:space="preserve">  _rtn</v>
      </c>
    </row>
    <row r="128" spans="4:4" x14ac:dyDescent="0.2">
      <c r="D128" s="26" t="str">
        <f ca="1"/>
        <v>)</v>
      </c>
    </row>
    <row r="129" spans="2:27" x14ac:dyDescent="0.2">
      <c r="D129" s="26"/>
    </row>
    <row r="130" spans="2:27" x14ac:dyDescent="0.2">
      <c r="B130" s="10" t="str" cm="1">
        <f t="array" ref="B130" xml:space="preserve"> "(" &amp; _xlfn.UNICHAR( 65 + SUMPRODUCT(--(_xlfn.REGEXTEST(B$1:B129, "^\([A-Z]\)$")))) &amp; ")"</f>
        <v>(D)</v>
      </c>
      <c r="C130" s="3" t="s">
        <v>88</v>
      </c>
    </row>
    <row r="132" spans="2:27" x14ac:dyDescent="0.2">
      <c r="C132" s="16" t="s">
        <v>70</v>
      </c>
      <c r="D132" s="36">
        <v>0.5</v>
      </c>
    </row>
    <row r="133" spans="2:27" x14ac:dyDescent="0.2">
      <c r="C133" s="16" t="s">
        <v>73</v>
      </c>
      <c r="D133" s="25">
        <f xml:space="preserve"> $D$11</f>
        <v>28</v>
      </c>
      <c r="E133" s="43" t="s">
        <v>62</v>
      </c>
      <c r="F133" s="40" t="s">
        <v>74</v>
      </c>
    </row>
    <row r="134" spans="2:27" x14ac:dyDescent="0.2">
      <c r="C134" s="16" t="s">
        <v>72</v>
      </c>
      <c r="D134" s="25">
        <f xml:space="preserve"> $AA$11</f>
        <v>28</v>
      </c>
      <c r="E134" s="43" t="s">
        <v>63</v>
      </c>
      <c r="F134" s="40" t="s">
        <v>75</v>
      </c>
    </row>
    <row r="135" spans="2:27" x14ac:dyDescent="0.2">
      <c r="C135" s="16" t="s">
        <v>77</v>
      </c>
      <c r="D135" s="25">
        <v>1</v>
      </c>
      <c r="E135" s="43" t="s">
        <v>61</v>
      </c>
      <c r="F135" s="40" t="s">
        <v>76</v>
      </c>
    </row>
    <row r="136" spans="2:27" x14ac:dyDescent="0.2">
      <c r="C136" s="16" t="s">
        <v>86</v>
      </c>
      <c r="D136" s="25" t="b">
        <v>1</v>
      </c>
    </row>
    <row r="137" spans="2:27" x14ac:dyDescent="0.2">
      <c r="C137" s="16" t="s">
        <v>87</v>
      </c>
      <c r="D137" s="25" t="b">
        <v>1</v>
      </c>
    </row>
    <row r="139" spans="2:27" x14ac:dyDescent="0.2">
      <c r="D139" s="42" cm="1">
        <f t="array" ref="D139:AA139" xml:space="preserve"> $D$9:$AA$9</f>
        <v>1</v>
      </c>
      <c r="E139" s="42">
        <v>2</v>
      </c>
      <c r="F139" s="42">
        <v>3</v>
      </c>
      <c r="G139" s="42">
        <v>4</v>
      </c>
      <c r="H139" s="42">
        <v>5</v>
      </c>
      <c r="I139" s="42">
        <v>6</v>
      </c>
      <c r="J139" s="42">
        <v>7</v>
      </c>
      <c r="K139" s="42">
        <v>8</v>
      </c>
      <c r="L139" s="42">
        <v>9</v>
      </c>
      <c r="M139" s="42">
        <v>10</v>
      </c>
      <c r="N139" s="42">
        <v>11</v>
      </c>
      <c r="O139" s="42">
        <v>12</v>
      </c>
      <c r="P139" s="42">
        <v>13</v>
      </c>
      <c r="Q139" s="42">
        <v>14</v>
      </c>
      <c r="R139" s="42">
        <v>15</v>
      </c>
      <c r="S139" s="42">
        <v>16</v>
      </c>
      <c r="T139" s="42">
        <v>17</v>
      </c>
      <c r="U139" s="42">
        <v>18</v>
      </c>
      <c r="V139" s="42">
        <v>19</v>
      </c>
      <c r="W139" s="42">
        <v>20</v>
      </c>
      <c r="X139" s="42">
        <v>21</v>
      </c>
      <c r="Y139" s="42">
        <v>22</v>
      </c>
      <c r="Z139" s="42">
        <v>23</v>
      </c>
      <c r="AA139" s="42">
        <v>24</v>
      </c>
    </row>
    <row r="140" spans="2:27" x14ac:dyDescent="0.2">
      <c r="C140" s="16" t="s">
        <v>59</v>
      </c>
      <c r="D140" s="38" cm="1">
        <f t="array" ref="D140:AA140" xml:space="preserve"> $D$12:$AA$12</f>
        <v>28</v>
      </c>
      <c r="E140" s="38">
        <v>40</v>
      </c>
      <c r="F140" s="38">
        <v>23</v>
      </c>
      <c r="G140" s="38">
        <v>34</v>
      </c>
      <c r="H140" s="38">
        <v>0</v>
      </c>
      <c r="I140" s="38">
        <v>17</v>
      </c>
      <c r="J140" s="38">
        <v>16</v>
      </c>
      <c r="K140" s="38">
        <v>55</v>
      </c>
      <c r="L140" s="38">
        <v>30</v>
      </c>
      <c r="M140" s="38">
        <v>29</v>
      </c>
      <c r="N140" s="38">
        <v>0</v>
      </c>
      <c r="O140" s="38">
        <v>34</v>
      </c>
      <c r="P140" s="38">
        <v>30</v>
      </c>
      <c r="Q140" s="38">
        <v>34</v>
      </c>
      <c r="R140" s="38">
        <v>50</v>
      </c>
      <c r="S140" s="38">
        <v>20</v>
      </c>
      <c r="T140" s="38">
        <v>25</v>
      </c>
      <c r="U140" s="38">
        <v>18</v>
      </c>
      <c r="V140" s="38">
        <v>5</v>
      </c>
      <c r="W140" s="38">
        <v>20</v>
      </c>
      <c r="X140" s="38">
        <v>30</v>
      </c>
      <c r="Y140" s="38">
        <v>37</v>
      </c>
      <c r="Z140" s="38" t="e">
        <v>#VALUE!</v>
      </c>
      <c r="AA140" s="38">
        <v>28</v>
      </c>
    </row>
    <row r="141" spans="2:27" x14ac:dyDescent="0.2">
      <c r="C141" s="16" t="s">
        <v>36</v>
      </c>
      <c r="D141" s="24" cm="1">
        <f t="array" ref="D141:AA141" xml:space="preserve"> _xlfn.LET(
  _xlpm.array, $D$12:$AA$12,
  _xlpm._alpha, D132,
  _xlpm._init, D133,
  _xlpm._end, D134,
  _xlpm._optn, D135,
  _xlpm._err, IF(ISLOGICAL(D136), D136, TRUE),
  _xlpm._repE, IF(AND(ISLOGICAL(D136), D136), NA(), D136),
  _xlpm._repB, IF(ISLOGICAL(D137), IF(D137, NA(), 0), D137),
  _xlpm._vrt, (ROWS(_xlpm.array) &gt; COLUMNS(_xlpm.array)),
  _xlpm._arr, _xlfn.MAP(_xlfn.TOROW(_xlpm.array),
    _xlfn.LAMBDA(_xlpm._val, IF(ISERROR(_xlpm._val), IF(_xlpm._err, _xlpm._repE, _xlpm._val), IF(ISBLANK(_xlpm._val), _xlpm._repB, _xlpm._val)))
  ),
  _xlpm._fltr, _xlfn._xlws.FILTER(_xlpm._arr, NOT(ISNA(_xlpm._arr))),
  _xlpm._idx, _xlfn._xlws.FILTER(_xlfn.SEQUENCE(1, COLUMNS(_xlpm._arr)), NOT(ISNA(_xlpm._arr))),
  _xlpm._cols, COLUMNS(_xlpm._fltr),
  _xlpm._rev, IF(_xlpm._optn &lt;&gt; 0, INDEX(_xlpm._fltr, 1, _xlfn.SEQUENCE(1, _xlpm._cols, _xlpm._cols, -1)), 0),
  _xlpm._fwd, IF(_xlpm._optn &gt;= 0, _xlfn.SCAN(_xlpm._init, _xlpm._fltr,
    _xlfn.LAMBDA(_xlpm._acc,_xlpm._val, _xlpm._val * _xlpm._alpha + (1 - _xlpm._alpha) * _xlpm._acc)
  ), 0),
  _xlpm._bck, IF(_xlpm._optn &lt;&gt; 0, _xlfn.LET(
    _xlpm._bArr, _xlfn.SCAN(_xlpm._end, _xlpm._rev,
      _xlfn.LAMBDA(_xlpm._acc,_xlpm._val, _xlpm._val * _xlpm._alpha + (1 - _xlpm._alpha) * _xlpm._acc)
    ),
    _xlpm._bCols, COLUMNS(_xlpm._bArr),
    INDEX(_xlpm._bArr, 1, _xlfn.SEQUENCE(1, _xlpm._bCols, _xlpm._bCols, -1))
  ), 0),
  _xlpm._out, CHOOSE(_xlpm._optn + 2,
    _xlpm._bck,
    _xlpm._fwd,
    _xlfn.MAP(
      _xlfn.SEQUENCE(1, _xlpm._cols), _xlpm._fwd, _xlpm._bck,
      _xlfn.LAMBDA(_xlpm._i,_xlpm._vF,_xlpm._vB, IF(_xlpm._i = 1, _xlpm._init, IF(_xlpm._i = _xlpm._cols, _xlpm._end, AVERAGE(_xlpm._vF, _xlpm._vB))))
    )
  ),
  _xlpm._calc, INDEX(_xlpm._out, 1, _xlfn.XMATCH(_xlfn.SEQUENCE(1, COLUMNS(_xlpm._arr)), _xlpm._idx)),
  _xlpm._rtn, IF(_xlpm._vrt, TRANSPOSE(_xlpm._calc), _xlpm._calc),
  _xlpm._rtn
)</f>
        <v>28</v>
      </c>
      <c r="E141" s="24">
        <v>33.44951343536377</v>
      </c>
      <c r="F141" s="24">
        <v>27.149026870727539</v>
      </c>
      <c r="G141" s="24">
        <v>29.923053741455078</v>
      </c>
      <c r="H141" s="24" t="e">
        <v>#N/A</v>
      </c>
      <c r="I141" s="24">
        <v>23.658607482910156</v>
      </c>
      <c r="J141" s="24">
        <v>24.723464965820313</v>
      </c>
      <c r="K141" s="24">
        <v>40.150054931640625</v>
      </c>
      <c r="L141" s="24">
        <v>32.15167236328125</v>
      </c>
      <c r="M141" s="24">
        <v>31.2291259765625</v>
      </c>
      <c r="N141" s="24" t="e">
        <v>#N/A</v>
      </c>
      <c r="O141" s="24">
        <v>32.921142578125</v>
      </c>
      <c r="P141" s="24">
        <v>31.82373046875</v>
      </c>
      <c r="Q141" s="24">
        <v>33.63818359375</v>
      </c>
      <c r="R141" s="24">
        <v>38.271728515625</v>
      </c>
      <c r="S141" s="24">
        <v>25.5411376953125</v>
      </c>
      <c r="T141" s="24">
        <v>24.33111572265625</v>
      </c>
      <c r="U141" s="24">
        <v>19.786651611328125</v>
      </c>
      <c r="V141" s="24">
        <v>14.635513305664063</v>
      </c>
      <c r="W141" s="24">
        <v>21.302131652832031</v>
      </c>
      <c r="X141" s="24">
        <v>27.369815826416016</v>
      </c>
      <c r="Y141" s="24">
        <v>31.372407913208008</v>
      </c>
      <c r="Z141" s="24" t="e">
        <v>#N/A</v>
      </c>
      <c r="AA141" s="24">
        <v>28</v>
      </c>
    </row>
    <row r="142" spans="2:27" x14ac:dyDescent="0.2">
      <c r="D142" s="26" t="str" cm="1">
        <f t="array" aca="1" ref="D142:D180" ca="1" xml:space="preserve"> _xlfn.TEXTSPLIT( _xlfn.FORMULATEXT(D141), , CHAR(10))</f>
        <v>= LET(</v>
      </c>
    </row>
    <row r="143" spans="2:27" x14ac:dyDescent="0.2">
      <c r="D143" s="26" t="str">
        <f ca="1"/>
        <v xml:space="preserve">  array, $D$12:$AA$12,</v>
      </c>
    </row>
    <row r="144" spans="2:27" x14ac:dyDescent="0.2">
      <c r="D144" s="26" t="str">
        <f ca="1"/>
        <v xml:space="preserve">  _alpha, D132,</v>
      </c>
    </row>
    <row r="145" spans="4:4" x14ac:dyDescent="0.2">
      <c r="D145" s="26" t="str">
        <f ca="1"/>
        <v xml:space="preserve">  _init, D133,</v>
      </c>
    </row>
    <row r="146" spans="4:4" x14ac:dyDescent="0.2">
      <c r="D146" s="26" t="str">
        <f ca="1"/>
        <v xml:space="preserve">  _end, D134,</v>
      </c>
    </row>
    <row r="147" spans="4:4" x14ac:dyDescent="0.2">
      <c r="D147" s="26" t="str">
        <f ca="1"/>
        <v xml:space="preserve">  _optn, D135,</v>
      </c>
    </row>
    <row r="148" spans="4:4" x14ac:dyDescent="0.2">
      <c r="D148" s="26" t="str">
        <f ca="1"/>
        <v xml:space="preserve">  _err, IF(ISLOGICAL(D136), D136, TRUE),</v>
      </c>
    </row>
    <row r="149" spans="4:4" x14ac:dyDescent="0.2">
      <c r="D149" s="26" t="str">
        <f ca="1"/>
        <v xml:space="preserve">  _repE, IF(AND(ISLOGICAL(D136), D136), NA(), D136),</v>
      </c>
    </row>
    <row r="150" spans="4:4" x14ac:dyDescent="0.2">
      <c r="D150" s="26" t="str">
        <f ca="1"/>
        <v xml:space="preserve">  _repB, IF(ISLOGICAL(D137), IF(D137, NA(), 0), D137),</v>
      </c>
    </row>
    <row r="151" spans="4:4" x14ac:dyDescent="0.2">
      <c r="D151" s="26" t="str">
        <f ca="1"/>
        <v xml:space="preserve">  _vrt, (ROWS(array) &gt; COLUMNS(array)),</v>
      </c>
    </row>
    <row r="152" spans="4:4" x14ac:dyDescent="0.2">
      <c r="D152" s="26" t="str">
        <f ca="1"/>
        <v xml:space="preserve">  _arr, MAP(TOROW(array),</v>
      </c>
    </row>
    <row r="153" spans="4:4" x14ac:dyDescent="0.2">
      <c r="D153" s="26" t="str">
        <f ca="1"/>
        <v xml:space="preserve">    LAMBDA(_val, IF(ISERROR(_val), IF(_err, _repE, _val), IF(ISBLANK(_val), _repB, _val)))</v>
      </c>
    </row>
    <row r="154" spans="4:4" x14ac:dyDescent="0.2">
      <c r="D154" s="26" t="str">
        <f ca="1"/>
        <v xml:space="preserve">  ),</v>
      </c>
    </row>
    <row r="155" spans="4:4" x14ac:dyDescent="0.2">
      <c r="D155" s="26" t="str">
        <f ca="1"/>
        <v xml:space="preserve">  _fltr, FILTER(_arr, NOT(ISNA(_arr))),</v>
      </c>
    </row>
    <row r="156" spans="4:4" x14ac:dyDescent="0.2">
      <c r="D156" s="26" t="str">
        <f ca="1"/>
        <v xml:space="preserve">  _idx, FILTER(SEQUENCE(1, COLUMNS(_arr)), NOT(ISNA(_arr))),</v>
      </c>
    </row>
    <row r="157" spans="4:4" x14ac:dyDescent="0.2">
      <c r="D157" s="26" t="str">
        <f ca="1"/>
        <v xml:space="preserve">  _cols, COLUMNS(_fltr),</v>
      </c>
    </row>
    <row r="158" spans="4:4" x14ac:dyDescent="0.2">
      <c r="D158" s="26" t="str">
        <f ca="1"/>
        <v xml:space="preserve">  _rev, IF(_optn &lt;&gt; 0, INDEX(_fltr, 1, SEQUENCE(1, _cols, _cols, -1)), 0),</v>
      </c>
    </row>
    <row r="159" spans="4:4" x14ac:dyDescent="0.2">
      <c r="D159" s="26" t="str">
        <f ca="1"/>
        <v xml:space="preserve">  _fwd, IF(_optn &gt;= 0, SCAN(_init, _fltr,</v>
      </c>
    </row>
    <row r="160" spans="4:4" x14ac:dyDescent="0.2">
      <c r="D160" s="26" t="str">
        <f ca="1"/>
        <v xml:space="preserve">    LAMBDA(_acc,_val, _val * _alpha + (1 - _alpha) * _acc)</v>
      </c>
    </row>
    <row r="161" spans="4:4" x14ac:dyDescent="0.2">
      <c r="D161" s="26" t="str">
        <f ca="1"/>
        <v xml:space="preserve">  ), 0),</v>
      </c>
    </row>
    <row r="162" spans="4:4" x14ac:dyDescent="0.2">
      <c r="D162" s="26" t="str">
        <f ca="1"/>
        <v xml:space="preserve">  _bck, IF(_optn &lt;&gt; 0, LET(</v>
      </c>
    </row>
    <row r="163" spans="4:4" x14ac:dyDescent="0.2">
      <c r="D163" s="26" t="str">
        <f ca="1"/>
        <v xml:space="preserve">    _bArr, SCAN(_end, _rev,</v>
      </c>
    </row>
    <row r="164" spans="4:4" x14ac:dyDescent="0.2">
      <c r="D164" s="26" t="str">
        <f ca="1"/>
        <v xml:space="preserve">      LAMBDA(_acc,_val, _val * _alpha + (1 - _alpha) * _acc)</v>
      </c>
    </row>
    <row r="165" spans="4:4" x14ac:dyDescent="0.2">
      <c r="D165" s="26" t="str">
        <f ca="1"/>
        <v xml:space="preserve">    ),</v>
      </c>
    </row>
    <row r="166" spans="4:4" x14ac:dyDescent="0.2">
      <c r="D166" s="26" t="str">
        <f ca="1"/>
        <v xml:space="preserve">    _bCols, COLUMNS(_bArr),</v>
      </c>
    </row>
    <row r="167" spans="4:4" x14ac:dyDescent="0.2">
      <c r="D167" s="26" t="str">
        <f ca="1"/>
        <v xml:space="preserve">    INDEX(_bArr, 1, SEQUENCE(1, _bCols, _bCols, -1))</v>
      </c>
    </row>
    <row r="168" spans="4:4" x14ac:dyDescent="0.2">
      <c r="D168" s="26" t="str">
        <f ca="1"/>
        <v xml:space="preserve">  ), 0),</v>
      </c>
    </row>
    <row r="169" spans="4:4" x14ac:dyDescent="0.2">
      <c r="D169" s="26" t="str">
        <f ca="1"/>
        <v xml:space="preserve">  _out, CHOOSE(_optn + 2,</v>
      </c>
    </row>
    <row r="170" spans="4:4" x14ac:dyDescent="0.2">
      <c r="D170" s="26" t="str">
        <f ca="1"/>
        <v xml:space="preserve">    _bck,</v>
      </c>
    </row>
    <row r="171" spans="4:4" x14ac:dyDescent="0.2">
      <c r="D171" s="26" t="str">
        <f ca="1"/>
        <v xml:space="preserve">    _fwd,</v>
      </c>
    </row>
    <row r="172" spans="4:4" x14ac:dyDescent="0.2">
      <c r="D172" s="26" t="str">
        <f ca="1"/>
        <v xml:space="preserve">    MAP(</v>
      </c>
    </row>
    <row r="173" spans="4:4" x14ac:dyDescent="0.2">
      <c r="D173" s="26" t="str">
        <f ca="1"/>
        <v xml:space="preserve">      SEQUENCE(1, _cols), _fwd, _bck,</v>
      </c>
    </row>
    <row r="174" spans="4:4" x14ac:dyDescent="0.2">
      <c r="D174" s="26" t="str">
        <f ca="1"/>
        <v xml:space="preserve">      LAMBDA(_i,_vF,_vB, IF(_i = 1, _init, IF(_i = _cols, _end, AVERAGE(_vF, _vB))))</v>
      </c>
    </row>
    <row r="175" spans="4:4" x14ac:dyDescent="0.2">
      <c r="D175" s="26" t="str">
        <f ca="1"/>
        <v xml:space="preserve">    )</v>
      </c>
    </row>
    <row r="176" spans="4:4" x14ac:dyDescent="0.2">
      <c r="D176" s="26" t="str">
        <f ca="1"/>
        <v xml:space="preserve">  ),</v>
      </c>
    </row>
    <row r="177" spans="2:20" x14ac:dyDescent="0.2">
      <c r="D177" s="26" t="str">
        <f ca="1"/>
        <v xml:space="preserve">  _calc, INDEX(_out, 1, XMATCH(SEQUENCE(1, COLUMNS(_arr)), _idx)),</v>
      </c>
    </row>
    <row r="178" spans="2:20" x14ac:dyDescent="0.2">
      <c r="D178" s="26" t="str">
        <f ca="1"/>
        <v xml:space="preserve">  _rtn, IF(_vrt, TRANSPOSE(_calc), _calc),</v>
      </c>
    </row>
    <row r="179" spans="2:20" x14ac:dyDescent="0.2">
      <c r="D179" s="26" t="str">
        <f ca="1"/>
        <v xml:space="preserve">  _rtn</v>
      </c>
    </row>
    <row r="180" spans="2:20" x14ac:dyDescent="0.2">
      <c r="D180" s="26" t="str">
        <f ca="1"/>
        <v>)</v>
      </c>
    </row>
    <row r="183" spans="2:20" x14ac:dyDescent="0.2">
      <c r="B183" s="8" t="s">
        <v>69</v>
      </c>
      <c r="C183" s="7"/>
      <c r="D183" s="7"/>
      <c r="E183" s="7"/>
      <c r="F183" s="7"/>
      <c r="G183" s="7"/>
      <c r="H183" s="7"/>
      <c r="I183" s="7"/>
      <c r="J183" s="7"/>
      <c r="K183" s="7"/>
      <c r="L183" s="7"/>
      <c r="M183" s="7"/>
      <c r="N183" s="7"/>
      <c r="O183" s="7"/>
      <c r="P183" s="7"/>
      <c r="Q183" s="7"/>
      <c r="R183" s="7"/>
      <c r="S183" s="7"/>
      <c r="T183" s="7"/>
    </row>
    <row r="185" spans="2:20" x14ac:dyDescent="0.2">
      <c r="C185" s="9" t="s">
        <v>3</v>
      </c>
    </row>
    <row r="186" spans="2:20" x14ac:dyDescent="0.2">
      <c r="C186" t="s">
        <v>462</v>
      </c>
    </row>
    <row r="187" spans="2:20" x14ac:dyDescent="0.2">
      <c r="C187" t="s">
        <v>463</v>
      </c>
    </row>
    <row r="189" spans="2:20" x14ac:dyDescent="0.2">
      <c r="B189" s="10" t="str" cm="1">
        <f t="array" ref="B189" xml:space="preserve"> "(" &amp; _xlfn.UNICHAR( 65 + SUMPRODUCT(--(_xlfn.REGEXTEST(B$1:B188, "^\([A-Z]\)$")))) &amp; ")"</f>
        <v>(E)</v>
      </c>
      <c r="C189" s="3" t="s">
        <v>321</v>
      </c>
    </row>
    <row r="190" spans="2:20" x14ac:dyDescent="0.2">
      <c r="C190" s="3" t="s">
        <v>322</v>
      </c>
    </row>
    <row r="192" spans="2:20" x14ac:dyDescent="0.2">
      <c r="C192" s="16" t="s">
        <v>70</v>
      </c>
      <c r="D192" s="36">
        <v>0.5</v>
      </c>
    </row>
    <row r="193" spans="3:27" x14ac:dyDescent="0.2">
      <c r="C193" s="16" t="s">
        <v>73</v>
      </c>
      <c r="D193" s="25">
        <f xml:space="preserve"> $D$11</f>
        <v>28</v>
      </c>
      <c r="E193" s="43" t="s">
        <v>62</v>
      </c>
      <c r="F193" s="40" t="s">
        <v>74</v>
      </c>
    </row>
    <row r="194" spans="3:27" x14ac:dyDescent="0.2">
      <c r="C194" s="16" t="s">
        <v>72</v>
      </c>
      <c r="D194" s="25">
        <f xml:space="preserve"> $AA$11</f>
        <v>28</v>
      </c>
      <c r="E194" s="43" t="s">
        <v>63</v>
      </c>
      <c r="F194" s="40" t="s">
        <v>75</v>
      </c>
    </row>
    <row r="195" spans="3:27" x14ac:dyDescent="0.2">
      <c r="C195" s="16" t="s">
        <v>77</v>
      </c>
      <c r="D195" s="25">
        <v>1</v>
      </c>
      <c r="E195" s="43" t="s">
        <v>61</v>
      </c>
      <c r="F195" s="40" t="s">
        <v>76</v>
      </c>
    </row>
    <row r="196" spans="3:27" x14ac:dyDescent="0.2">
      <c r="C196" s="16" t="s">
        <v>86</v>
      </c>
      <c r="D196" s="25" t="b">
        <v>1</v>
      </c>
    </row>
    <row r="197" spans="3:27" x14ac:dyDescent="0.2">
      <c r="C197" s="16" t="s">
        <v>87</v>
      </c>
      <c r="D197" s="25" t="b">
        <v>1</v>
      </c>
    </row>
    <row r="198" spans="3:27" x14ac:dyDescent="0.2">
      <c r="C198" s="16" t="s">
        <v>320</v>
      </c>
      <c r="D198" s="25"/>
      <c r="E198" s="25"/>
      <c r="F198" s="25"/>
      <c r="G198" s="25"/>
      <c r="H198" s="25"/>
      <c r="I198" s="25"/>
      <c r="J198" s="25"/>
      <c r="K198" s="25"/>
      <c r="L198" s="25"/>
      <c r="M198" s="25"/>
    </row>
    <row r="200" spans="3:27" x14ac:dyDescent="0.2">
      <c r="D200" s="42" cm="1">
        <f t="array" ref="D200:AA200" xml:space="preserve"> $D$9:$AA$9</f>
        <v>1</v>
      </c>
      <c r="E200" s="42">
        <v>2</v>
      </c>
      <c r="F200" s="42">
        <v>3</v>
      </c>
      <c r="G200" s="42">
        <v>4</v>
      </c>
      <c r="H200" s="42">
        <v>5</v>
      </c>
      <c r="I200" s="42">
        <v>6</v>
      </c>
      <c r="J200" s="42">
        <v>7</v>
      </c>
      <c r="K200" s="42">
        <v>8</v>
      </c>
      <c r="L200" s="42">
        <v>9</v>
      </c>
      <c r="M200" s="42">
        <v>10</v>
      </c>
      <c r="N200" s="42">
        <v>11</v>
      </c>
      <c r="O200" s="42">
        <v>12</v>
      </c>
      <c r="P200" s="42">
        <v>13</v>
      </c>
      <c r="Q200" s="42">
        <v>14</v>
      </c>
      <c r="R200" s="42">
        <v>15</v>
      </c>
      <c r="S200" s="42">
        <v>16</v>
      </c>
      <c r="T200" s="42">
        <v>17</v>
      </c>
      <c r="U200" s="42">
        <v>18</v>
      </c>
      <c r="V200" s="42">
        <v>19</v>
      </c>
      <c r="W200" s="42">
        <v>20</v>
      </c>
      <c r="X200" s="42">
        <v>21</v>
      </c>
      <c r="Y200" s="42">
        <v>22</v>
      </c>
      <c r="Z200" s="42">
        <v>23</v>
      </c>
      <c r="AA200" s="42">
        <v>24</v>
      </c>
    </row>
    <row r="201" spans="3:27" x14ac:dyDescent="0.2">
      <c r="C201" s="16" t="s">
        <v>59</v>
      </c>
      <c r="D201" s="38" cm="1">
        <f t="array" ref="D201:AA201" xml:space="preserve"> $D$12:$AA$12</f>
        <v>28</v>
      </c>
      <c r="E201" s="38">
        <v>40</v>
      </c>
      <c r="F201" s="38">
        <v>23</v>
      </c>
      <c r="G201" s="38">
        <v>34</v>
      </c>
      <c r="H201" s="38">
        <v>0</v>
      </c>
      <c r="I201" s="38">
        <v>17</v>
      </c>
      <c r="J201" s="38">
        <v>16</v>
      </c>
      <c r="K201" s="38">
        <v>55</v>
      </c>
      <c r="L201" s="38">
        <v>30</v>
      </c>
      <c r="M201" s="38">
        <v>29</v>
      </c>
      <c r="N201" s="38">
        <v>0</v>
      </c>
      <c r="O201" s="38">
        <v>34</v>
      </c>
      <c r="P201" s="38">
        <v>30</v>
      </c>
      <c r="Q201" s="38">
        <v>34</v>
      </c>
      <c r="R201" s="38">
        <v>50</v>
      </c>
      <c r="S201" s="38">
        <v>20</v>
      </c>
      <c r="T201" s="38">
        <v>25</v>
      </c>
      <c r="U201" s="38">
        <v>18</v>
      </c>
      <c r="V201" s="38">
        <v>5</v>
      </c>
      <c r="W201" s="38">
        <v>20</v>
      </c>
      <c r="X201" s="38">
        <v>30</v>
      </c>
      <c r="Y201" s="38">
        <v>37</v>
      </c>
      <c r="Z201" s="38" t="e">
        <v>#VALUE!</v>
      </c>
      <c r="AA201" s="38">
        <v>28</v>
      </c>
    </row>
    <row r="202" spans="3:27" x14ac:dyDescent="0.2">
      <c r="C202" s="16" t="s">
        <v>36</v>
      </c>
      <c r="D202" s="24" cm="1">
        <f t="array" ref="D202:AA202" xml:space="preserve"> _xlfn.LET(
  _xlpm.array, $D$12:$AA$12,
  _xlpm._alpha, D192,
  _xlpm._init, D193,
  _xlpm._end, D194,
  _xlpm._optn, D195,
  _xlpm._exc, D198:M198,
  _xlpm._err, IF(ISLOGICAL(D196), D196, TRUE),
  _xlpm._repE, IF(AND(ISLOGICAL(D196), D196), NA(), D196),
  _xlpm._repB, IF(ISLOGICAL(D197), IF(D197, NA(), 0), D197),
  _xlpm._vrt, (ROWS(_xlpm.array) &gt; COLUMNS(_xlpm.array)),
  _xlpm._arr, _xlfn.MAP(_xlfn.TOROW(_xlpm.array),
    _xlfn.LAMBDA(_xlpm._val, IF(ISERROR(_xlpm._val), IF(_xlpm._err, _xlpm._repE, _xlpm._val), IF(ISBLANK(_xlpm._val), _xlpm._repB, _xlpm._val)))
  ),
  _xlpm._fltr, _xlfn._xlws.FILTER(_xlpm._arr, NOT(ISNA(_xlpm._arr))),
  _xlpm._idx, _xlfn._xlws.FILTER(_xlfn.SEQUENCE(1, COLUMNS(_xlpm._arr)), NOT(ISNA(_xlpm._arr))),
  _xlpm._cols, COLUMNS(_xlpm._fltr),
  _xlpm._fwd, IF(_xlpm._optn &gt;= 0, _xlfn.SCAN(_xlpm._init, _xlpm._idx, _xlfn.LAMBDA(_xlpm._prev,_xlpm._v,
    IF(ISNUMBER(_xlfn.XMATCH(_xlpm._v, _xlpm._exc)),
      INDEX(_xlpm._arr, 1, _xlpm._v),
      INDEX(_xlpm._arr, 1, _xlpm._v) * _xlpm._alpha + (1 - _xlpm._alpha) * _xlpm._prev
    )
  )), 0),
  _xlpm._bck, IF(_xlpm._optn &lt;&gt; 0, _xlfn.LET(
    _xlpm._bIdx, INDEX(_xlpm._idx, 1, _xlfn.SEQUENCE(1, _xlpm._cols, _xlpm._cols, -1)),
    _xlpm._bArr, _xlfn.SCAN(_xlpm._end, _xlpm._bIdx, _xlfn.LAMBDA(_xlpm._prev,_xlpm._v,
      IF(ISNUMBER(_xlfn.XMATCH(_xlpm._v, _xlpm._exc)),
        INDEX(_xlpm._arr, 1, _xlpm._v),
        INDEX(_xlpm._arr, 1, _xlpm._v) * _xlpm._alpha + (1 - _xlpm._alpha) * _xlpm._prev
      )
    )),
    INDEX(_xlpm._bArr, 1, _xlfn.SEQUENCE(1, _xlpm._cols, _xlpm._cols, -1))
  ), 0),
  _xlpm._out, CHOOSE(_xlpm._optn + 2,
    _xlpm._bck,
    _xlpm._fwd,
    _xlfn.MAP(
      _xlfn.SEQUENCE(1, _xlpm._cols), _xlpm._fwd, _xlpm._bck,
      _xlfn.LAMBDA(_xlpm._i,_xlpm._vF,_xlpm._vB, IF(_xlpm._i = 1, _xlpm._init, IF(_xlpm._i = _xlpm._cols, _xlpm._end, AVERAGE(_xlpm._vF, _xlpm._vB))))
    )
  ),
  _xlpm._calc, INDEX(_xlpm._out, 1, _xlfn.XMATCH(_xlfn.SEQUENCE(1, COLUMNS(_xlpm._arr)), _xlpm._idx)),
  _xlpm._rtn, IF(_xlpm._vrt, TRANSPOSE(_xlpm._calc), _xlpm._calc),
  _xlpm._rtn
)</f>
        <v>28</v>
      </c>
      <c r="E202" s="24">
        <v>33.44951343536377</v>
      </c>
      <c r="F202" s="24">
        <v>27.149026870727539</v>
      </c>
      <c r="G202" s="24">
        <v>29.923053741455078</v>
      </c>
      <c r="H202" s="24" t="e">
        <v>#N/A</v>
      </c>
      <c r="I202" s="24">
        <v>23.658607482910156</v>
      </c>
      <c r="J202" s="24">
        <v>24.723464965820313</v>
      </c>
      <c r="K202" s="24">
        <v>40.150054931640625</v>
      </c>
      <c r="L202" s="24">
        <v>32.15167236328125</v>
      </c>
      <c r="M202" s="24">
        <v>31.2291259765625</v>
      </c>
      <c r="N202" s="24" t="e">
        <v>#N/A</v>
      </c>
      <c r="O202" s="24">
        <v>32.921142578125</v>
      </c>
      <c r="P202" s="24">
        <v>31.82373046875</v>
      </c>
      <c r="Q202" s="24">
        <v>33.63818359375</v>
      </c>
      <c r="R202" s="24">
        <v>38.271728515625</v>
      </c>
      <c r="S202" s="24">
        <v>25.5411376953125</v>
      </c>
      <c r="T202" s="24">
        <v>24.33111572265625</v>
      </c>
      <c r="U202" s="24">
        <v>19.786651611328125</v>
      </c>
      <c r="V202" s="24">
        <v>14.635513305664063</v>
      </c>
      <c r="W202" s="24">
        <v>21.302131652832031</v>
      </c>
      <c r="X202" s="24">
        <v>27.369815826416016</v>
      </c>
      <c r="Y202" s="24">
        <v>31.372407913208008</v>
      </c>
      <c r="Z202" s="24" t="e">
        <v>#N/A</v>
      </c>
      <c r="AA202" s="24">
        <v>28</v>
      </c>
    </row>
    <row r="203" spans="3:27" x14ac:dyDescent="0.2">
      <c r="D203" s="26" t="str" cm="1">
        <f t="array" aca="1" ref="D203:D247" ca="1" xml:space="preserve"> _xlfn.TEXTSPLIT( _xlfn.FORMULATEXT(D202), , CHAR(10))</f>
        <v>= LET(</v>
      </c>
    </row>
    <row r="204" spans="3:27" x14ac:dyDescent="0.2">
      <c r="D204" s="26" t="str">
        <f ca="1"/>
        <v xml:space="preserve">  array, $D$12:$AA$12,</v>
      </c>
    </row>
    <row r="205" spans="3:27" x14ac:dyDescent="0.2">
      <c r="D205" s="26" t="str">
        <f ca="1"/>
        <v xml:space="preserve">  _alpha, D192,</v>
      </c>
    </row>
    <row r="206" spans="3:27" x14ac:dyDescent="0.2">
      <c r="D206" s="26" t="str">
        <f ca="1"/>
        <v xml:space="preserve">  _init, D193,</v>
      </c>
    </row>
    <row r="207" spans="3:27" x14ac:dyDescent="0.2">
      <c r="D207" s="26" t="str">
        <f ca="1"/>
        <v xml:space="preserve">  _end, D194,</v>
      </c>
    </row>
    <row r="208" spans="3:27" x14ac:dyDescent="0.2">
      <c r="D208" s="26" t="str">
        <f ca="1"/>
        <v xml:space="preserve">  _optn, D195,</v>
      </c>
    </row>
    <row r="209" spans="4:4" x14ac:dyDescent="0.2">
      <c r="D209" s="26" t="str">
        <f ca="1"/>
        <v xml:space="preserve">  _exc, D198:M198,</v>
      </c>
    </row>
    <row r="210" spans="4:4" x14ac:dyDescent="0.2">
      <c r="D210" s="26" t="str">
        <f ca="1"/>
        <v xml:space="preserve">  _err, IF(ISLOGICAL(D196), D196, TRUE),</v>
      </c>
    </row>
    <row r="211" spans="4:4" x14ac:dyDescent="0.2">
      <c r="D211" s="26" t="str">
        <f ca="1"/>
        <v xml:space="preserve">  _repE, IF(AND(ISLOGICAL(D196), D196), NA(), D196),</v>
      </c>
    </row>
    <row r="212" spans="4:4" x14ac:dyDescent="0.2">
      <c r="D212" s="26" t="str">
        <f ca="1"/>
        <v xml:space="preserve">  _repB, IF(ISLOGICAL(D197), IF(D197, NA(), 0), D197),</v>
      </c>
    </row>
    <row r="213" spans="4:4" x14ac:dyDescent="0.2">
      <c r="D213" s="26" t="str">
        <f ca="1"/>
        <v xml:space="preserve">  _vrt, (ROWS(array) &gt; COLUMNS(array)),</v>
      </c>
    </row>
    <row r="214" spans="4:4" x14ac:dyDescent="0.2">
      <c r="D214" s="26" t="str">
        <f ca="1"/>
        <v xml:space="preserve">  _arr, MAP(TOROW(array),</v>
      </c>
    </row>
    <row r="215" spans="4:4" x14ac:dyDescent="0.2">
      <c r="D215" s="26" t="str">
        <f ca="1"/>
        <v xml:space="preserve">    LAMBDA(_val, IF(ISERROR(_val), IF(_err, _repE, _val), IF(ISBLANK(_val), _repB, _val)))</v>
      </c>
    </row>
    <row r="216" spans="4:4" x14ac:dyDescent="0.2">
      <c r="D216" s="26" t="str">
        <f ca="1"/>
        <v xml:space="preserve">  ),</v>
      </c>
    </row>
    <row r="217" spans="4:4" x14ac:dyDescent="0.2">
      <c r="D217" s="26" t="str">
        <f ca="1"/>
        <v xml:space="preserve">  _fltr, FILTER(_arr, NOT(ISNA(_arr))),</v>
      </c>
    </row>
    <row r="218" spans="4:4" x14ac:dyDescent="0.2">
      <c r="D218" s="26" t="str">
        <f ca="1"/>
        <v xml:space="preserve">  _idx, FILTER(SEQUENCE(1, COLUMNS(_arr)), NOT(ISNA(_arr))),</v>
      </c>
    </row>
    <row r="219" spans="4:4" x14ac:dyDescent="0.2">
      <c r="D219" s="26" t="str">
        <f ca="1"/>
        <v xml:space="preserve">  _cols, COLUMNS(_fltr),</v>
      </c>
    </row>
    <row r="220" spans="4:4" x14ac:dyDescent="0.2">
      <c r="D220" s="26" t="str">
        <f ca="1"/>
        <v xml:space="preserve">  _fwd, IF(_optn &gt;= 0, SCAN(_init, _idx, LAMBDA(_prev,_v,</v>
      </c>
    </row>
    <row r="221" spans="4:4" x14ac:dyDescent="0.2">
      <c r="D221" s="26" t="str">
        <f ca="1"/>
        <v xml:space="preserve">    IF(ISNUMBER(XMATCH(_v, _exc)),</v>
      </c>
    </row>
    <row r="222" spans="4:4" x14ac:dyDescent="0.2">
      <c r="D222" s="26" t="str">
        <f ca="1"/>
        <v xml:space="preserve">      INDEX(_arr, 1, _v),</v>
      </c>
    </row>
    <row r="223" spans="4:4" x14ac:dyDescent="0.2">
      <c r="D223" s="26" t="str">
        <f ca="1"/>
        <v xml:space="preserve">      INDEX(_arr, 1, _v) * _alpha + (1 - _alpha) * _prev</v>
      </c>
    </row>
    <row r="224" spans="4:4" x14ac:dyDescent="0.2">
      <c r="D224" s="26" t="str">
        <f ca="1"/>
        <v xml:space="preserve">    )</v>
      </c>
    </row>
    <row r="225" spans="4:4" x14ac:dyDescent="0.2">
      <c r="D225" s="26" t="str">
        <f ca="1"/>
        <v xml:space="preserve">  )), 0),</v>
      </c>
    </row>
    <row r="226" spans="4:4" x14ac:dyDescent="0.2">
      <c r="D226" s="26" t="str">
        <f ca="1"/>
        <v xml:space="preserve">  _bck, IF(_optn &lt;&gt; 0, LET(</v>
      </c>
    </row>
    <row r="227" spans="4:4" x14ac:dyDescent="0.2">
      <c r="D227" s="26" t="str">
        <f ca="1"/>
        <v xml:space="preserve">    _bIdx, INDEX(_idx, 1, SEQUENCE(1, _cols, _cols, -1)),</v>
      </c>
    </row>
    <row r="228" spans="4:4" x14ac:dyDescent="0.2">
      <c r="D228" s="26" t="str">
        <f ca="1"/>
        <v xml:space="preserve">    _bArr, SCAN(_end, _bIdx, LAMBDA(_prev,_v,</v>
      </c>
    </row>
    <row r="229" spans="4:4" x14ac:dyDescent="0.2">
      <c r="D229" s="26" t="str">
        <f ca="1"/>
        <v xml:space="preserve">      IF(ISNUMBER(XMATCH(_v, _exc)),</v>
      </c>
    </row>
    <row r="230" spans="4:4" x14ac:dyDescent="0.2">
      <c r="D230" s="26" t="str">
        <f ca="1"/>
        <v xml:space="preserve">        INDEX(_arr, 1, _v),</v>
      </c>
    </row>
    <row r="231" spans="4:4" x14ac:dyDescent="0.2">
      <c r="D231" s="26" t="str">
        <f ca="1"/>
        <v xml:space="preserve">        INDEX(_arr, 1, _v) * _alpha + (1 - _alpha) * _prev</v>
      </c>
    </row>
    <row r="232" spans="4:4" x14ac:dyDescent="0.2">
      <c r="D232" s="26" t="str">
        <f ca="1"/>
        <v xml:space="preserve">      )</v>
      </c>
    </row>
    <row r="233" spans="4:4" x14ac:dyDescent="0.2">
      <c r="D233" s="26" t="str">
        <f ca="1"/>
        <v xml:space="preserve">    )),</v>
      </c>
    </row>
    <row r="234" spans="4:4" x14ac:dyDescent="0.2">
      <c r="D234" s="26" t="str">
        <f ca="1"/>
        <v xml:space="preserve">    INDEX(_bArr, 1, SEQUENCE(1, _cols, _cols, -1))</v>
      </c>
    </row>
    <row r="235" spans="4:4" x14ac:dyDescent="0.2">
      <c r="D235" s="26" t="str">
        <f ca="1"/>
        <v xml:space="preserve">  ), 0),</v>
      </c>
    </row>
    <row r="236" spans="4:4" x14ac:dyDescent="0.2">
      <c r="D236" s="26" t="str">
        <f ca="1"/>
        <v xml:space="preserve">  _out, CHOOSE(_optn + 2,</v>
      </c>
    </row>
    <row r="237" spans="4:4" x14ac:dyDescent="0.2">
      <c r="D237" s="26" t="str">
        <f ca="1"/>
        <v xml:space="preserve">    _bck,</v>
      </c>
    </row>
    <row r="238" spans="4:4" x14ac:dyDescent="0.2">
      <c r="D238" s="26" t="str">
        <f ca="1"/>
        <v xml:space="preserve">    _fwd,</v>
      </c>
    </row>
    <row r="239" spans="4:4" x14ac:dyDescent="0.2">
      <c r="D239" s="26" t="str">
        <f ca="1"/>
        <v xml:space="preserve">    MAP(</v>
      </c>
    </row>
    <row r="240" spans="4:4" x14ac:dyDescent="0.2">
      <c r="D240" s="26" t="str">
        <f ca="1"/>
        <v xml:space="preserve">      SEQUENCE(1, _cols), _fwd, _bck,</v>
      </c>
    </row>
    <row r="241" spans="2:20" x14ac:dyDescent="0.2">
      <c r="D241" s="26" t="str">
        <f ca="1"/>
        <v xml:space="preserve">      LAMBDA(_i,_vF,_vB, IF(_i = 1, _init, IF(_i = _cols, _end, AVERAGE(_vF, _vB))))</v>
      </c>
    </row>
    <row r="242" spans="2:20" x14ac:dyDescent="0.2">
      <c r="D242" s="26" t="str">
        <f ca="1"/>
        <v xml:space="preserve">    )</v>
      </c>
    </row>
    <row r="243" spans="2:20" x14ac:dyDescent="0.2">
      <c r="D243" s="26" t="str">
        <f ca="1"/>
        <v xml:space="preserve">  ),</v>
      </c>
    </row>
    <row r="244" spans="2:20" x14ac:dyDescent="0.2">
      <c r="D244" s="26" t="str">
        <f ca="1"/>
        <v xml:space="preserve">  _calc, INDEX(_out, 1, XMATCH(SEQUENCE(1, COLUMNS(_arr)), _idx)),</v>
      </c>
    </row>
    <row r="245" spans="2:20" x14ac:dyDescent="0.2">
      <c r="D245" s="26" t="str">
        <f ca="1"/>
        <v xml:space="preserve">  _rtn, IF(_vrt, TRANSPOSE(_calc), _calc),</v>
      </c>
    </row>
    <row r="246" spans="2:20" x14ac:dyDescent="0.2">
      <c r="D246" s="26" t="str">
        <f ca="1"/>
        <v xml:space="preserve">  _rtn</v>
      </c>
    </row>
    <row r="247" spans="2:20" x14ac:dyDescent="0.2">
      <c r="D247" s="26" t="str">
        <f ca="1"/>
        <v>)</v>
      </c>
    </row>
    <row r="250" spans="2:20" x14ac:dyDescent="0.2">
      <c r="B250" s="8" t="s">
        <v>38</v>
      </c>
      <c r="C250" s="7"/>
      <c r="D250" s="7"/>
      <c r="E250" s="7"/>
      <c r="F250" s="7"/>
      <c r="G250" s="7"/>
      <c r="H250" s="7"/>
      <c r="I250" s="7"/>
      <c r="J250" s="7"/>
      <c r="K250" s="7"/>
      <c r="L250" s="7"/>
      <c r="M250" s="7"/>
      <c r="N250" s="7"/>
      <c r="O250" s="7"/>
      <c r="P250" s="7"/>
      <c r="Q250" s="7"/>
      <c r="R250" s="7"/>
      <c r="S250" s="7"/>
      <c r="T250" s="7"/>
    </row>
    <row r="252" spans="2:20" x14ac:dyDescent="0.2">
      <c r="B252" s="10" t="str" cm="1">
        <f t="array" ref="B252" xml:space="preserve"> "(" &amp; _xlfn.UNICHAR( 65 + SUMPRODUCT(--(_xlfn.REGEXTEST(B$1:B251, "^\([A-Z]\)$")))) &amp; ")"</f>
        <v>(F)</v>
      </c>
      <c r="C252" s="3" t="s">
        <v>39</v>
      </c>
    </row>
    <row r="254" spans="2:20" x14ac:dyDescent="0.2">
      <c r="D254" s="10" t="s">
        <v>82</v>
      </c>
      <c r="E254" s="10" t="s">
        <v>83</v>
      </c>
    </row>
    <row r="255" spans="2:20" x14ac:dyDescent="0.2">
      <c r="C255" s="16" t="s">
        <v>202</v>
      </c>
      <c r="D255" s="52"/>
      <c r="E255" s="71" t="str" cm="1">
        <f t="array" ref="E255:E262" xml:space="preserve"> _xlfn.LAMBDA(_xlpm.array,_xlpm.alpha_value,_xlop.start_value,_xlop.end_value,_xlop.output,_xlop.exclude_periods,_xlop.replace_errors,_xlop.replace_blanks,
  _xlfn.LET(
    _xlpm._arr, _xlfn.TOROW(_xlpm.array),
    _xlpm._cols, COLUMNS(_xlpm._arr),
    _xlpm._alpha, _xlpm.alpha_value,
    _xlpm._init, IF(_xlfn.ISOMITTED(_xlpm.start_value), INDEX(_xlpm._arr, 1, 1), _xlpm.start_value),
    _xlpm._end, IF(_xlfn.ISOMITTED(_xlpm.end_value), INDEX(_xlpm._arr, 1, _xlpm._cols), _xlpm.end_value),
    _xlpm._optn, IF(_xlfn.ISOMITTED(_xlpm.output), 0, INT(_xlpm.output)),
    _xlpm._exc, _xlpm.exclude_periods,
    _xlpm._err, IF(_xlfn.ISOMITTED(_xlpm.replace_errors), FALSE, IF(ISLOGICAL(_xlpm.replace_errors), _xlpm.replace_errors, TRUE)),
    _xlpm._repE, IF(ISLOGICAL(_xlpm.replace_errors), NA(), _xlpm.replace_errors),
    _xlpm._blnk, IF(_xlfn.ISOMITTED(_xlpm.replace_blanks), FALSE, _xlpm.replace_blanks),
    _xlpm._repB, IF(ISLOGICAL(_xlpm._blnk), IF(_xlpm._blnk, NA(), 0), _xlpm._blnk),
    _xlpm._inpChk, IF(
      OR(
        AND(ROWS(_xlpm.array) &lt;= 1, COLUMNS(_xlpm.array) &lt;= 1),
        AND(ROWS(_xlpm.array) &gt; 1, COLUMNS(_xlpm.array) &gt; 1)
      ), 2, IF(
      OR(
        NOT(ISNUMBER(_xlpm._alpha)), _xlpm._alpha &lt; 0, _xlpm._alpha &gt; 1,
        NOT(ISNUMBER(_xlpm._init)), NOT(ISNUMBER(_xlpm._end)),
        NOT(ISNUMBER(_xlpm._optn)), _xlpm._optn &lt; -1, _xlpm._optn &gt; 1,
        ISTEXT(_xlpm._repE), ISTEXT(_xlpm._repB)
      ), 3, 1)
    ),
    _xlpm._rtn, _xlfn.VSTACK("OK", _xlpm._alpha, _xlpm._init, _xlpm._end, _xlpm._optn, _xlpm._err, _xlpm._blnk, "OK"),
    CHOOSE(_xlpm._inpChk, _xlpm._rtn, _xlfn.LAMBDA(0), #VALUE!)
  )
)(D11:AA11, D256, D257, D258, D259, , D260, D261)</f>
        <v>OK</v>
      </c>
      <c r="F255" s="26" t="str" cm="1">
        <f t="array" aca="1" ref="F255:F283" ca="1" xml:space="preserve"> _xlfn.TEXTSPLIT( _xlfn.FORMULATEXT(E255), , CHAR(10))</f>
        <v>= LAMBDA(array,alpha_value,[start_value],[end_value],[output],[exclude_periods],[replace_errors],[replace_blanks],</v>
      </c>
    </row>
    <row r="256" spans="2:20" x14ac:dyDescent="0.2">
      <c r="C256" s="16" t="s">
        <v>323</v>
      </c>
      <c r="D256" s="36">
        <v>0.5</v>
      </c>
      <c r="E256" s="65">
        <v>0.5</v>
      </c>
      <c r="F256" s="26" t="str">
        <f ca="1"/>
        <v xml:space="preserve">  LET(</v>
      </c>
    </row>
    <row r="257" spans="3:6" x14ac:dyDescent="0.2">
      <c r="C257" s="16" t="s">
        <v>324</v>
      </c>
      <c r="D257" s="25">
        <v>28</v>
      </c>
      <c r="E257" s="64">
        <v>28</v>
      </c>
      <c r="F257" s="26" t="str">
        <f ca="1"/>
        <v xml:space="preserve">    _arr, TOROW(array),</v>
      </c>
    </row>
    <row r="258" spans="3:6" x14ac:dyDescent="0.2">
      <c r="C258" s="16" t="s">
        <v>325</v>
      </c>
      <c r="D258" s="25">
        <v>28</v>
      </c>
      <c r="E258" s="64">
        <v>28</v>
      </c>
      <c r="F258" s="26" t="str">
        <f ca="1"/>
        <v xml:space="preserve">    _cols, COLUMNS(_arr),</v>
      </c>
    </row>
    <row r="259" spans="3:6" x14ac:dyDescent="0.2">
      <c r="C259" s="16" t="s">
        <v>326</v>
      </c>
      <c r="D259" s="25">
        <v>0</v>
      </c>
      <c r="E259" s="64">
        <v>0</v>
      </c>
      <c r="F259" s="26" t="str">
        <f ca="1"/>
        <v xml:space="preserve">    _alpha, alpha_value,</v>
      </c>
    </row>
    <row r="260" spans="3:6" x14ac:dyDescent="0.2">
      <c r="C260" s="16" t="s">
        <v>205</v>
      </c>
      <c r="D260" s="30" t="b">
        <v>1</v>
      </c>
      <c r="E260" s="64" t="b">
        <v>1</v>
      </c>
      <c r="F260" s="26" t="str">
        <f ca="1"/>
        <v xml:space="preserve">    _init, IF(ISOMITTED(start_value), INDEX(_arr, 1, 1), start_value),</v>
      </c>
    </row>
    <row r="261" spans="3:6" x14ac:dyDescent="0.2">
      <c r="C261" s="16" t="s">
        <v>206</v>
      </c>
      <c r="D261" s="30" t="b">
        <v>1</v>
      </c>
      <c r="E261" s="64" t="b">
        <v>1</v>
      </c>
      <c r="F261" s="26" t="str">
        <f ca="1"/>
        <v xml:space="preserve">    _end, IF(ISOMITTED(end_value), INDEX(_arr, 1, _cols), end_value),</v>
      </c>
    </row>
    <row r="262" spans="3:6" x14ac:dyDescent="0.2">
      <c r="C262" s="16" t="s">
        <v>201</v>
      </c>
      <c r="D262" s="52"/>
      <c r="E262" s="64" t="str">
        <v>OK</v>
      </c>
      <c r="F262" s="26" t="str">
        <f ca="1"/>
        <v xml:space="preserve">    _optn, IF(ISOMITTED(output), 0, INT(output)),</v>
      </c>
    </row>
    <row r="263" spans="3:6" x14ac:dyDescent="0.2">
      <c r="F263" s="26" t="str">
        <f ca="1"/>
        <v xml:space="preserve">    _exc, exclude_periods,</v>
      </c>
    </row>
    <row r="264" spans="3:6" x14ac:dyDescent="0.2">
      <c r="F264" s="26" t="str">
        <f ca="1"/>
        <v xml:space="preserve">    _err, IF(ISOMITTED(replace_errors), FALSE, IF(ISLOGICAL(replace_errors), replace_errors, TRUE)),</v>
      </c>
    </row>
    <row r="265" spans="3:6" x14ac:dyDescent="0.2">
      <c r="F265" s="26" t="str">
        <f ca="1"/>
        <v xml:space="preserve">    _repE, IF(ISLOGICAL(replace_errors), NA(), replace_errors),</v>
      </c>
    </row>
    <row r="266" spans="3:6" x14ac:dyDescent="0.2">
      <c r="F266" s="26" t="str">
        <f ca="1"/>
        <v xml:space="preserve">    _blnk, IF(ISOMITTED(replace_blanks), FALSE, replace_blanks),</v>
      </c>
    </row>
    <row r="267" spans="3:6" x14ac:dyDescent="0.2">
      <c r="F267" s="26" t="str">
        <f ca="1"/>
        <v xml:space="preserve">    _repB, IF(ISLOGICAL(_blnk), IF(_blnk, NA(), 0), _blnk),</v>
      </c>
    </row>
    <row r="268" spans="3:6" x14ac:dyDescent="0.2">
      <c r="F268" s="26" t="str">
        <f ca="1"/>
        <v xml:space="preserve">    _inpChk, IF(</v>
      </c>
    </row>
    <row r="269" spans="3:6" x14ac:dyDescent="0.2">
      <c r="F269" s="26" t="str">
        <f ca="1"/>
        <v xml:space="preserve">      OR(</v>
      </c>
    </row>
    <row r="270" spans="3:6" x14ac:dyDescent="0.2">
      <c r="F270" s="26" t="str">
        <f ca="1"/>
        <v xml:space="preserve">        AND(ROWS(array) &lt;= 1, COLUMNS(array) &lt;= 1),</v>
      </c>
    </row>
    <row r="271" spans="3:6" x14ac:dyDescent="0.2">
      <c r="F271" s="26" t="str">
        <f ca="1"/>
        <v xml:space="preserve">        AND(ROWS(array) &gt; 1, COLUMNS(array) &gt; 1)</v>
      </c>
    </row>
    <row r="272" spans="3:6" x14ac:dyDescent="0.2">
      <c r="F272" s="26" t="str">
        <f ca="1"/>
        <v xml:space="preserve">      ), 2, IF(</v>
      </c>
    </row>
    <row r="273" spans="2:6" x14ac:dyDescent="0.2">
      <c r="F273" s="26" t="str">
        <f ca="1"/>
        <v xml:space="preserve">      OR(</v>
      </c>
    </row>
    <row r="274" spans="2:6" x14ac:dyDescent="0.2">
      <c r="F274" s="26" t="str">
        <f ca="1"/>
        <v xml:space="preserve">        NOT(ISNUMBER(_alpha)), _alpha &lt; 0, _alpha &gt; 1,</v>
      </c>
    </row>
    <row r="275" spans="2:6" x14ac:dyDescent="0.2">
      <c r="F275" s="26" t="str">
        <f ca="1"/>
        <v xml:space="preserve">        NOT(ISNUMBER(_init)), NOT(ISNUMBER(_end)),</v>
      </c>
    </row>
    <row r="276" spans="2:6" x14ac:dyDescent="0.2">
      <c r="F276" s="26" t="str">
        <f ca="1"/>
        <v xml:space="preserve">        NOT(ISNUMBER(_optn)), _optn &lt; -1, _optn &gt; 1,</v>
      </c>
    </row>
    <row r="277" spans="2:6" x14ac:dyDescent="0.2">
      <c r="F277" s="26" t="str">
        <f ca="1"/>
        <v xml:space="preserve">        ISTEXT(_repE), ISTEXT(_repB)</v>
      </c>
    </row>
    <row r="278" spans="2:6" x14ac:dyDescent="0.2">
      <c r="F278" s="26" t="str">
        <f ca="1"/>
        <v xml:space="preserve">      ), 3, 1)</v>
      </c>
    </row>
    <row r="279" spans="2:6" x14ac:dyDescent="0.2">
      <c r="F279" s="26" t="str">
        <f ca="1"/>
        <v xml:space="preserve">    ),</v>
      </c>
    </row>
    <row r="280" spans="2:6" x14ac:dyDescent="0.2">
      <c r="F280" s="26" t="str">
        <f ca="1"/>
        <v xml:space="preserve">    _rtn, VSTACK("OK", _alpha, _init, _end, _optn, _err, _blnk, "OK"),</v>
      </c>
    </row>
    <row r="281" spans="2:6" x14ac:dyDescent="0.2">
      <c r="F281" s="26" t="str">
        <f ca="1"/>
        <v xml:space="preserve">    CHOOSE(_inpChk, _rtn, LAMBDA(0), #VALUE!)</v>
      </c>
    </row>
    <row r="282" spans="2:6" x14ac:dyDescent="0.2">
      <c r="F282" s="26" t="str">
        <f ca="1"/>
        <v xml:space="preserve">  )</v>
      </c>
    </row>
    <row r="283" spans="2:6" x14ac:dyDescent="0.2">
      <c r="F283" s="26" t="str">
        <f ca="1"/>
        <v>)(D11:AA11, D256, D257, D258, D259, , D260, D261)</v>
      </c>
    </row>
    <row r="285" spans="2:6" x14ac:dyDescent="0.2">
      <c r="B285" s="10" t="str" cm="1">
        <f t="array" ref="B285" xml:space="preserve"> "(" &amp; _xlfn.UNICHAR( 65 + SUMPRODUCT(--(_xlfn.REGEXTEST(B$1:B284, "^\([A-Z]\)$")))) &amp; ")"</f>
        <v>(G)</v>
      </c>
      <c r="C285" s="3" t="s">
        <v>327</v>
      </c>
    </row>
    <row r="287" spans="2:6" x14ac:dyDescent="0.2">
      <c r="C287" s="16" t="s">
        <v>70</v>
      </c>
      <c r="D287" s="36">
        <v>0.5</v>
      </c>
    </row>
    <row r="288" spans="2:6" x14ac:dyDescent="0.2">
      <c r="C288" s="16" t="s">
        <v>73</v>
      </c>
      <c r="D288" s="25">
        <f xml:space="preserve"> $D$11</f>
        <v>28</v>
      </c>
      <c r="E288" s="43" t="s">
        <v>62</v>
      </c>
      <c r="F288" s="40" t="s">
        <v>74</v>
      </c>
    </row>
    <row r="289" spans="3:27" x14ac:dyDescent="0.2">
      <c r="C289" s="16" t="s">
        <v>72</v>
      </c>
      <c r="D289" s="25">
        <f xml:space="preserve"> $AA$11</f>
        <v>28</v>
      </c>
      <c r="E289" s="43" t="s">
        <v>63</v>
      </c>
      <c r="F289" s="40" t="s">
        <v>75</v>
      </c>
    </row>
    <row r="290" spans="3:27" x14ac:dyDescent="0.2">
      <c r="C290" s="16" t="s">
        <v>77</v>
      </c>
      <c r="D290" s="25">
        <v>1</v>
      </c>
      <c r="E290" s="43" t="s">
        <v>61</v>
      </c>
      <c r="F290" s="40" t="s">
        <v>76</v>
      </c>
    </row>
    <row r="291" spans="3:27" x14ac:dyDescent="0.2">
      <c r="C291" s="16" t="s">
        <v>86</v>
      </c>
      <c r="D291" s="25" t="b">
        <v>1</v>
      </c>
    </row>
    <row r="292" spans="3:27" x14ac:dyDescent="0.2">
      <c r="C292" s="16" t="s">
        <v>87</v>
      </c>
      <c r="D292" s="25" t="b">
        <v>0</v>
      </c>
    </row>
    <row r="293" spans="3:27" x14ac:dyDescent="0.2">
      <c r="C293" s="16" t="s">
        <v>320</v>
      </c>
      <c r="D293" s="25">
        <v>1</v>
      </c>
      <c r="E293" s="25">
        <v>2</v>
      </c>
      <c r="F293" s="25">
        <v>3</v>
      </c>
      <c r="G293" s="25">
        <v>4</v>
      </c>
      <c r="H293" s="25">
        <v>5</v>
      </c>
      <c r="I293" s="25"/>
      <c r="J293" s="25"/>
      <c r="K293" s="25"/>
      <c r="L293" s="25"/>
      <c r="M293" s="25"/>
    </row>
    <row r="295" spans="3:27" x14ac:dyDescent="0.2">
      <c r="D295" s="42" cm="1">
        <f t="array" ref="D295:AA295" xml:space="preserve"> $D$9:$AA$9</f>
        <v>1</v>
      </c>
      <c r="E295" s="42">
        <v>2</v>
      </c>
      <c r="F295" s="42">
        <v>3</v>
      </c>
      <c r="G295" s="42">
        <v>4</v>
      </c>
      <c r="H295" s="42">
        <v>5</v>
      </c>
      <c r="I295" s="42">
        <v>6</v>
      </c>
      <c r="J295" s="42">
        <v>7</v>
      </c>
      <c r="K295" s="42">
        <v>8</v>
      </c>
      <c r="L295" s="42">
        <v>9</v>
      </c>
      <c r="M295" s="42">
        <v>10</v>
      </c>
      <c r="N295" s="42">
        <v>11</v>
      </c>
      <c r="O295" s="42">
        <v>12</v>
      </c>
      <c r="P295" s="42">
        <v>13</v>
      </c>
      <c r="Q295" s="42">
        <v>14</v>
      </c>
      <c r="R295" s="42">
        <v>15</v>
      </c>
      <c r="S295" s="42">
        <v>16</v>
      </c>
      <c r="T295" s="42">
        <v>17</v>
      </c>
      <c r="U295" s="42">
        <v>18</v>
      </c>
      <c r="V295" s="42">
        <v>19</v>
      </c>
      <c r="W295" s="42">
        <v>20</v>
      </c>
      <c r="X295" s="42">
        <v>21</v>
      </c>
      <c r="Y295" s="42">
        <v>22</v>
      </c>
      <c r="Z295" s="42">
        <v>23</v>
      </c>
      <c r="AA295" s="42">
        <v>24</v>
      </c>
    </row>
    <row r="296" spans="3:27" x14ac:dyDescent="0.2">
      <c r="C296" s="16" t="s">
        <v>59</v>
      </c>
      <c r="D296" s="38" cm="1">
        <f t="array" ref="D296:AA296" xml:space="preserve"> $D$12:$AA$12</f>
        <v>28</v>
      </c>
      <c r="E296" s="38">
        <v>40</v>
      </c>
      <c r="F296" s="38">
        <v>23</v>
      </c>
      <c r="G296" s="38">
        <v>34</v>
      </c>
      <c r="H296" s="38">
        <v>0</v>
      </c>
      <c r="I296" s="38">
        <v>17</v>
      </c>
      <c r="J296" s="38">
        <v>16</v>
      </c>
      <c r="K296" s="38">
        <v>55</v>
      </c>
      <c r="L296" s="38">
        <v>30</v>
      </c>
      <c r="M296" s="38">
        <v>29</v>
      </c>
      <c r="N296" s="38">
        <v>0</v>
      </c>
      <c r="O296" s="38">
        <v>34</v>
      </c>
      <c r="P296" s="38">
        <v>30</v>
      </c>
      <c r="Q296" s="38">
        <v>34</v>
      </c>
      <c r="R296" s="38">
        <v>50</v>
      </c>
      <c r="S296" s="38">
        <v>20</v>
      </c>
      <c r="T296" s="38">
        <v>25</v>
      </c>
      <c r="U296" s="38">
        <v>18</v>
      </c>
      <c r="V296" s="38">
        <v>5</v>
      </c>
      <c r="W296" s="38">
        <v>20</v>
      </c>
      <c r="X296" s="38">
        <v>30</v>
      </c>
      <c r="Y296" s="38">
        <v>37</v>
      </c>
      <c r="Z296" s="38" t="e">
        <v>#VALUE!</v>
      </c>
      <c r="AA296" s="38">
        <v>28</v>
      </c>
    </row>
    <row r="297" spans="3:27" x14ac:dyDescent="0.2">
      <c r="C297" s="16" t="s">
        <v>36</v>
      </c>
      <c r="D297" s="24" cm="1">
        <f t="array" ref="D297:AA297" xml:space="preserve"> _xlfn.LAMBDA(_xlpm.array,_xlpm.alpha_value,_xlop.start_value,_xlop.end_value,_xlop.output,_xlop.exclude_periods,_xlop.replace_errors,_xlop.replace_blanks,
  _xlfn.LET(
    _xlpm._alpha, N(_xlpm.alpha_value),
    _xlpm._init, IF(_xlfn.ISOMITTED(_xlpm.start_value), INDEX(_xlpm.array, 1, 1), _xlpm.start_value),
    _xlpm._end, IF(_xlfn.ISOMITTED(_xlpm.end_value), INDEX(_xlpm.array, ROWS(_xlpm.array), COLUMNS(_xlpm.array)), _xlpm.end_value),
    _xlpm._optn, IF(_xlfn.ISOMITTED(_xlpm.output), 0, INT(_xlpm.output)),
    _xlpm._exc, IF(_xlfn.ISOMITTED(_xlpm.exclude_periods), 0, _xlpm.exclude_periods),
    _xlpm._err, IF(_xlfn.ISOMITTED(_xlpm.replace_errors), FALSE, IF(ISLOGICAL(_xlpm.replace_errors), _xlpm.replace_errors, TRUE)),
    _xlpm._repE, IF(ISLOGICAL(_xlpm.replace_errors), NA(), _xlpm.replace_errors),
    _xlpm._blnk, IF(_xlfn.ISOMITTED(_xlpm.replace_blanks), FALSE, _xlpm.replace_blanks),
    _xlpm._repB, IF(ISLOGICAL(_xlpm._blnk), IF(_xlpm._blnk, NA(), 0), _xlpm._blnk),
    _xlpm._inpChk, IF(
      OR(
        AND(ROWS(_xlpm.array) &lt;= 1, COLUMNS(_xlpm.array) &lt;= 1),
        AND(ROWS(_xlpm.array) &gt; 1, COLUMNS(_xlpm.array) &gt; 1)
      ), 2, IF(
      OR(
        NOT(ISNUMBER(_xlpm._alpha)), _xlpm._alpha &lt; 0, _xlpm._alpha &gt; 1,
        NOT(ISNUMBER(_xlpm._init)), NOT(ISNUMBER(_xlpm._end)),
        NOT(ISNUMBER(_xlpm._optn)), _xlpm._optn &lt; -1, _xlpm._optn &gt; 1,
        ISTEXT(_xlpm._repE), ISTEXT(_xlpm._repB)
      ), 3, 1)
    ),
    _xlpm._vrt, (ROWS(_xlpm.array) &gt; COLUMNS(_xlpm.array)),
    _xlpm._arr, _xlfn.MAP(_xlfn.TOROW(_xlpm.array),
      _xlfn.LAMBDA(_xlpm._val, IF(ISERROR(_xlpm._val), IF(_xlpm._err, _xlpm._repE, _xlpm._val), IF(ISBLANK(_xlpm._val), _xlpm._repB, _xlpm._val)))
    ),
    _xlpm._fltr, _xlfn._xlws.FILTER(_xlpm._arr, NOT(ISNA(_xlpm._arr))),
    _xlpm._idx, _xlfn._xlws.FILTER(_xlfn.SEQUENCE(1, COLUMNS(_xlpm._arr)), NOT(ISNA(_xlpm._arr))),
    _xlpm._cols, COLUMNS(_xlpm._fltr),
    _xlpm._fwd, IF(_xlpm._optn &gt;= 0, _xlfn.SCAN(_xlpm._init, _xlpm._idx, _xlfn.LAMBDA(_xlpm._prev,_xlpm._v,
      IF(ISNUMBER(_xlfn.XMATCH(_xlpm._v, _xlpm._exc)),
        INDEX(_xlpm._arr, 1, _xlpm._v),
        INDEX(_xlpm._arr, 1, _xlpm._v) * _xlpm._alpha + (1 - _xlpm._alpha) * _xlpm._prev
      )
    )), 0),
    _xlpm._bck, IF(_xlpm._optn &lt;&gt; 0, _xlfn.LET(
      _xlpm._bIdx, INDEX(_xlpm._idx, 1, _xlfn.SEQUENCE(1, _xlpm._cols, _xlpm._cols, -1)),
      _xlpm._bArr, _xlfn.SCAN(_xlpm._end, _xlpm._bIdx, _xlfn.LAMBDA(_xlpm._prev,_xlpm._v,
        IF(ISNUMBER(_xlfn.XMATCH(_xlpm._v, _xlpm._exc)),
          INDEX(_xlpm._arr, 1, _xlpm._v),
          INDEX(_xlpm._arr, 1, _xlpm._v) * _xlpm._alpha + (1 - _xlpm._alpha) * _xlpm._prev
        )
      )),
      INDEX(_xlpm._bArr, 1, _xlfn.SEQUENCE(1, _xlpm._cols, _xlpm._cols, -1))
    ), 0),
    _xlpm._out, CHOOSE(_xlpm._optn + 2,
      _xlpm._bck,
      _xlpm._fwd,
      _xlfn.MAP(
        _xlfn.SEQUENCE(1, _xlpm._cols), _xlpm._fwd, _xlpm._bck,
        _xlfn.LAMBDA(_xlpm._i,_xlpm._vF,_xlpm._vB, IF(_xlpm._i = 1, _xlpm._init, IF(_xlpm._i = _xlpm._cols, _xlpm._end, AVERAGE(_xlpm._vF, _xlpm._vB))))
      )
    ),
    _xlpm._calc, INDEX(_xlpm._out, 1, _xlfn.XMATCH(_xlfn.SEQUENCE(1, COLUMNS(_xlpm._arr)), _xlpm._idx)),
    _xlpm._rtn, IF(_xlpm._vrt, TRANSPOSE(_xlpm._calc), _xlpm._calc),
    CHOOSE(_xlpm._inpChk, _xlpm._rtn, _xlfn.LAMBDA(0), #VALUE!)
  )
)($D$12:$AA$12, D287, D288, D289, D290, D293:M293, D291, D292)</f>
        <v>28</v>
      </c>
      <c r="E297" s="24">
        <v>40</v>
      </c>
      <c r="F297" s="24">
        <v>23</v>
      </c>
      <c r="G297" s="24">
        <v>34</v>
      </c>
      <c r="H297" s="24">
        <v>0</v>
      </c>
      <c r="I297" s="24">
        <v>15.587116241455078</v>
      </c>
      <c r="J297" s="24">
        <v>20.299232482910156</v>
      </c>
      <c r="K297" s="24">
        <v>37.160964965820313</v>
      </c>
      <c r="L297" s="24">
        <v>29.103179931640625</v>
      </c>
      <c r="M297" s="24">
        <v>26.59698486328125</v>
      </c>
      <c r="N297" s="24">
        <v>15.8892822265625</v>
      </c>
      <c r="O297" s="24">
        <v>28.876220703125</v>
      </c>
      <c r="P297" s="24">
        <v>29.80126953125</v>
      </c>
      <c r="Q297" s="24">
        <v>32.626953125</v>
      </c>
      <c r="R297" s="24">
        <v>37.76611328125</v>
      </c>
      <c r="S297" s="24">
        <v>25.288330078125</v>
      </c>
      <c r="T297" s="24">
        <v>24.2047119140625</v>
      </c>
      <c r="U297" s="24">
        <v>19.72344970703125</v>
      </c>
      <c r="V297" s="24">
        <v>14.603912353515625</v>
      </c>
      <c r="W297" s="24">
        <v>21.286331176757813</v>
      </c>
      <c r="X297" s="24">
        <v>27.361915588378906</v>
      </c>
      <c r="Y297" s="24">
        <v>31.368457794189453</v>
      </c>
      <c r="Z297" s="24" t="e">
        <v>#N/A</v>
      </c>
      <c r="AA297" s="24">
        <v>28</v>
      </c>
    </row>
    <row r="298" spans="3:27" x14ac:dyDescent="0.2">
      <c r="D298" s="26" t="str" cm="1">
        <f t="array" aca="1" ref="D298:D356" ca="1" xml:space="preserve"> _xlfn.TEXTSPLIT( _xlfn.FORMULATEXT(D297), , CHAR(10))</f>
        <v>= LAMBDA(array,alpha_value,[start_value],[end_value],[output],[exclude_periods],[replace_errors],[replace_blanks],</v>
      </c>
    </row>
    <row r="299" spans="3:27" x14ac:dyDescent="0.2">
      <c r="D299" s="26" t="str">
        <f ca="1"/>
        <v xml:space="preserve">  LET(</v>
      </c>
    </row>
    <row r="300" spans="3:27" x14ac:dyDescent="0.2">
      <c r="D300" s="26" t="str">
        <f ca="1"/>
        <v xml:space="preserve">    _alpha, N(alpha_value),</v>
      </c>
    </row>
    <row r="301" spans="3:27" x14ac:dyDescent="0.2">
      <c r="D301" s="26" t="str">
        <f ca="1"/>
        <v xml:space="preserve">    _init, IF(ISOMITTED(start_value), INDEX(array, 1, 1), start_value),</v>
      </c>
    </row>
    <row r="302" spans="3:27" x14ac:dyDescent="0.2">
      <c r="D302" s="26" t="str">
        <f ca="1"/>
        <v xml:space="preserve">    _end, IF(ISOMITTED(end_value), INDEX(array, ROWS(array), COLUMNS(array)), end_value),</v>
      </c>
    </row>
    <row r="303" spans="3:27" x14ac:dyDescent="0.2">
      <c r="D303" s="26" t="str">
        <f ca="1"/>
        <v xml:space="preserve">    _optn, IF(ISOMITTED(output), 0, INT(output)),</v>
      </c>
    </row>
    <row r="304" spans="3:27" x14ac:dyDescent="0.2">
      <c r="D304" s="26" t="str">
        <f ca="1"/>
        <v xml:space="preserve">    _exc, IF(ISOMITTED(exclude_periods), 0, exclude_periods),</v>
      </c>
    </row>
    <row r="305" spans="4:4" x14ac:dyDescent="0.2">
      <c r="D305" s="26" t="str">
        <f ca="1"/>
        <v xml:space="preserve">    _err, IF(ISOMITTED(replace_errors), FALSE, IF(ISLOGICAL(replace_errors), replace_errors, TRUE)),</v>
      </c>
    </row>
    <row r="306" spans="4:4" x14ac:dyDescent="0.2">
      <c r="D306" s="26" t="str">
        <f ca="1"/>
        <v xml:space="preserve">    _repE, IF(ISLOGICAL(replace_errors), NA(), replace_errors),</v>
      </c>
    </row>
    <row r="307" spans="4:4" x14ac:dyDescent="0.2">
      <c r="D307" s="26" t="str">
        <f ca="1"/>
        <v xml:space="preserve">    _blnk, IF(ISOMITTED(replace_blanks), FALSE, replace_blanks),</v>
      </c>
    </row>
    <row r="308" spans="4:4" x14ac:dyDescent="0.2">
      <c r="D308" s="26" t="str">
        <f ca="1"/>
        <v xml:space="preserve">    _repB, IF(ISLOGICAL(_blnk), IF(_blnk, NA(), 0), _blnk),</v>
      </c>
    </row>
    <row r="309" spans="4:4" x14ac:dyDescent="0.2">
      <c r="D309" s="26" t="str">
        <f ca="1"/>
        <v xml:space="preserve">    _inpChk, IF(</v>
      </c>
    </row>
    <row r="310" spans="4:4" x14ac:dyDescent="0.2">
      <c r="D310" s="26" t="str">
        <f ca="1"/>
        <v xml:space="preserve">      OR(</v>
      </c>
    </row>
    <row r="311" spans="4:4" x14ac:dyDescent="0.2">
      <c r="D311" s="26" t="str">
        <f ca="1"/>
        <v xml:space="preserve">        AND(ROWS(array) &lt;= 1, COLUMNS(array) &lt;= 1),</v>
      </c>
    </row>
    <row r="312" spans="4:4" x14ac:dyDescent="0.2">
      <c r="D312" s="26" t="str">
        <f ca="1"/>
        <v xml:space="preserve">        AND(ROWS(array) &gt; 1, COLUMNS(array) &gt; 1)</v>
      </c>
    </row>
    <row r="313" spans="4:4" x14ac:dyDescent="0.2">
      <c r="D313" s="26" t="str">
        <f ca="1"/>
        <v xml:space="preserve">      ), 2, IF(</v>
      </c>
    </row>
    <row r="314" spans="4:4" x14ac:dyDescent="0.2">
      <c r="D314" s="26" t="str">
        <f ca="1"/>
        <v xml:space="preserve">      OR(</v>
      </c>
    </row>
    <row r="315" spans="4:4" x14ac:dyDescent="0.2">
      <c r="D315" s="26" t="str">
        <f ca="1"/>
        <v xml:space="preserve">        NOT(ISNUMBER(_alpha)), _alpha &lt; 0, _alpha &gt; 1,</v>
      </c>
    </row>
    <row r="316" spans="4:4" x14ac:dyDescent="0.2">
      <c r="D316" s="26" t="str">
        <f ca="1"/>
        <v xml:space="preserve">        NOT(ISNUMBER(_init)), NOT(ISNUMBER(_end)),</v>
      </c>
    </row>
    <row r="317" spans="4:4" x14ac:dyDescent="0.2">
      <c r="D317" s="26" t="str">
        <f ca="1"/>
        <v xml:space="preserve">        NOT(ISNUMBER(_optn)), _optn &lt; -1, _optn &gt; 1,</v>
      </c>
    </row>
    <row r="318" spans="4:4" x14ac:dyDescent="0.2">
      <c r="D318" s="26" t="str">
        <f ca="1"/>
        <v xml:space="preserve">        ISTEXT(_repE), ISTEXT(_repB)</v>
      </c>
    </row>
    <row r="319" spans="4:4" x14ac:dyDescent="0.2">
      <c r="D319" s="26" t="str">
        <f ca="1"/>
        <v xml:space="preserve">      ), 3, 1)</v>
      </c>
    </row>
    <row r="320" spans="4:4" x14ac:dyDescent="0.2">
      <c r="D320" s="26" t="str">
        <f ca="1"/>
        <v xml:space="preserve">    ),</v>
      </c>
    </row>
    <row r="321" spans="4:4" x14ac:dyDescent="0.2">
      <c r="D321" s="26" t="str">
        <f ca="1"/>
        <v xml:space="preserve">    _vrt, (ROWS(array) &gt; COLUMNS(array)),</v>
      </c>
    </row>
    <row r="322" spans="4:4" x14ac:dyDescent="0.2">
      <c r="D322" s="26" t="str">
        <f ca="1"/>
        <v xml:space="preserve">    _arr, MAP(TOROW(array),</v>
      </c>
    </row>
    <row r="323" spans="4:4" x14ac:dyDescent="0.2">
      <c r="D323" s="26" t="str">
        <f ca="1"/>
        <v xml:space="preserve">      LAMBDA(_val, IF(ISERROR(_val), IF(_err, _repE, _val), IF(ISBLANK(_val), _repB, _val)))</v>
      </c>
    </row>
    <row r="324" spans="4:4" x14ac:dyDescent="0.2">
      <c r="D324" s="26" t="str">
        <f ca="1"/>
        <v xml:space="preserve">    ),</v>
      </c>
    </row>
    <row r="325" spans="4:4" x14ac:dyDescent="0.2">
      <c r="D325" s="26" t="str">
        <f ca="1"/>
        <v xml:space="preserve">    _fltr, FILTER(_arr, NOT(ISNA(_arr))),</v>
      </c>
    </row>
    <row r="326" spans="4:4" x14ac:dyDescent="0.2">
      <c r="D326" s="26" t="str">
        <f ca="1"/>
        <v xml:space="preserve">    _idx, FILTER(SEQUENCE(1, COLUMNS(_arr)), NOT(ISNA(_arr))),</v>
      </c>
    </row>
    <row r="327" spans="4:4" x14ac:dyDescent="0.2">
      <c r="D327" s="26" t="str">
        <f ca="1"/>
        <v xml:space="preserve">    _cols, COLUMNS(_fltr),</v>
      </c>
    </row>
    <row r="328" spans="4:4" x14ac:dyDescent="0.2">
      <c r="D328" s="26" t="str">
        <f ca="1"/>
        <v xml:space="preserve">    _fwd, IF(_optn &gt;= 0, SCAN(_init, _idx, LAMBDA(_prev,_v,</v>
      </c>
    </row>
    <row r="329" spans="4:4" x14ac:dyDescent="0.2">
      <c r="D329" s="26" t="str">
        <f ca="1"/>
        <v xml:space="preserve">      IF(ISNUMBER(XMATCH(_v, _exc)),</v>
      </c>
    </row>
    <row r="330" spans="4:4" x14ac:dyDescent="0.2">
      <c r="D330" s="26" t="str">
        <f ca="1"/>
        <v xml:space="preserve">        INDEX(_arr, 1, _v),</v>
      </c>
    </row>
    <row r="331" spans="4:4" x14ac:dyDescent="0.2">
      <c r="D331" s="26" t="str">
        <f ca="1"/>
        <v xml:space="preserve">        INDEX(_arr, 1, _v) * _alpha + (1 - _alpha) * _prev</v>
      </c>
    </row>
    <row r="332" spans="4:4" x14ac:dyDescent="0.2">
      <c r="D332" s="26" t="str">
        <f ca="1"/>
        <v xml:space="preserve">      )</v>
      </c>
    </row>
    <row r="333" spans="4:4" x14ac:dyDescent="0.2">
      <c r="D333" s="26" t="str">
        <f ca="1"/>
        <v xml:space="preserve">    )), 0),</v>
      </c>
    </row>
    <row r="334" spans="4:4" x14ac:dyDescent="0.2">
      <c r="D334" s="26" t="str">
        <f ca="1"/>
        <v xml:space="preserve">    _bck, IF(_optn &lt;&gt; 0, LET(</v>
      </c>
    </row>
    <row r="335" spans="4:4" x14ac:dyDescent="0.2">
      <c r="D335" s="26" t="str">
        <f ca="1"/>
        <v xml:space="preserve">      _bIdx, INDEX(_idx, 1, SEQUENCE(1, _cols, _cols, -1)),</v>
      </c>
    </row>
    <row r="336" spans="4:4" x14ac:dyDescent="0.2">
      <c r="D336" s="26" t="str">
        <f ca="1"/>
        <v xml:space="preserve">      _bArr, SCAN(_end, _bIdx, LAMBDA(_prev,_v,</v>
      </c>
    </row>
    <row r="337" spans="4:4" x14ac:dyDescent="0.2">
      <c r="D337" s="26" t="str">
        <f ca="1"/>
        <v xml:space="preserve">        IF(ISNUMBER(XMATCH(_v, _exc)),</v>
      </c>
    </row>
    <row r="338" spans="4:4" x14ac:dyDescent="0.2">
      <c r="D338" s="26" t="str">
        <f ca="1"/>
        <v xml:space="preserve">          INDEX(_arr, 1, _v),</v>
      </c>
    </row>
    <row r="339" spans="4:4" x14ac:dyDescent="0.2">
      <c r="D339" s="26" t="str">
        <f ca="1"/>
        <v xml:space="preserve">          INDEX(_arr, 1, _v) * _alpha + (1 - _alpha) * _prev</v>
      </c>
    </row>
    <row r="340" spans="4:4" x14ac:dyDescent="0.2">
      <c r="D340" s="26" t="str">
        <f ca="1"/>
        <v xml:space="preserve">        )</v>
      </c>
    </row>
    <row r="341" spans="4:4" x14ac:dyDescent="0.2">
      <c r="D341" s="26" t="str">
        <f ca="1"/>
        <v xml:space="preserve">      )),</v>
      </c>
    </row>
    <row r="342" spans="4:4" x14ac:dyDescent="0.2">
      <c r="D342" s="26" t="str">
        <f ca="1"/>
        <v xml:space="preserve">      INDEX(_bArr, 1, SEQUENCE(1, _cols, _cols, -1))</v>
      </c>
    </row>
    <row r="343" spans="4:4" x14ac:dyDescent="0.2">
      <c r="D343" s="26" t="str">
        <f ca="1"/>
        <v xml:space="preserve">    ), 0),</v>
      </c>
    </row>
    <row r="344" spans="4:4" x14ac:dyDescent="0.2">
      <c r="D344" s="26" t="str">
        <f ca="1"/>
        <v xml:space="preserve">    _out, CHOOSE(_optn + 2,</v>
      </c>
    </row>
    <row r="345" spans="4:4" x14ac:dyDescent="0.2">
      <c r="D345" s="26" t="str">
        <f ca="1"/>
        <v xml:space="preserve">      _bck,</v>
      </c>
    </row>
    <row r="346" spans="4:4" x14ac:dyDescent="0.2">
      <c r="D346" s="26" t="str">
        <f ca="1"/>
        <v xml:space="preserve">      _fwd,</v>
      </c>
    </row>
    <row r="347" spans="4:4" x14ac:dyDescent="0.2">
      <c r="D347" s="26" t="str">
        <f ca="1"/>
        <v xml:space="preserve">      MAP(</v>
      </c>
    </row>
    <row r="348" spans="4:4" x14ac:dyDescent="0.2">
      <c r="D348" s="26" t="str">
        <f ca="1"/>
        <v xml:space="preserve">        SEQUENCE(1, _cols), _fwd, _bck,</v>
      </c>
    </row>
    <row r="349" spans="4:4" x14ac:dyDescent="0.2">
      <c r="D349" s="26" t="str">
        <f ca="1"/>
        <v xml:space="preserve">        LAMBDA(_i,_vF,_vB, IF(_i = 1, _init, IF(_i = _cols, _end, AVERAGE(_vF, _vB))))</v>
      </c>
    </row>
    <row r="350" spans="4:4" x14ac:dyDescent="0.2">
      <c r="D350" s="26" t="str">
        <f ca="1"/>
        <v xml:space="preserve">      )</v>
      </c>
    </row>
    <row r="351" spans="4:4" x14ac:dyDescent="0.2">
      <c r="D351" s="26" t="str">
        <f ca="1"/>
        <v xml:space="preserve">    ),</v>
      </c>
    </row>
    <row r="352" spans="4:4" x14ac:dyDescent="0.2">
      <c r="D352" s="26" t="str">
        <f ca="1"/>
        <v xml:space="preserve">    _calc, INDEX(_out, 1, XMATCH(SEQUENCE(1, COLUMNS(_arr)), _idx)),</v>
      </c>
    </row>
    <row r="353" spans="2:4" x14ac:dyDescent="0.2">
      <c r="D353" s="26" t="str">
        <f ca="1"/>
        <v xml:space="preserve">    _rtn, IF(_vrt, TRANSPOSE(_calc), _calc),</v>
      </c>
    </row>
    <row r="354" spans="2:4" x14ac:dyDescent="0.2">
      <c r="D354" s="26" t="str">
        <f ca="1"/>
        <v xml:space="preserve">    CHOOSE(_inpChk, _rtn, LAMBDA(0), #VALUE!)</v>
      </c>
    </row>
    <row r="355" spans="2:4" x14ac:dyDescent="0.2">
      <c r="D355" s="26" t="str">
        <f ca="1"/>
        <v xml:space="preserve">  )</v>
      </c>
    </row>
    <row r="356" spans="2:4" x14ac:dyDescent="0.2">
      <c r="D356" s="26" t="str">
        <f ca="1"/>
        <v>)($D$12:$AA$12, D287, D288, D289, D290, D293:M293, D291, D292)</v>
      </c>
    </row>
    <row r="359" spans="2:4" s="5" customFormat="1" ht="16.5" thickBot="1" x14ac:dyDescent="0.3">
      <c r="B359" s="6">
        <f xml:space="preserve"> MAX(B$1:B358) + 1</f>
        <v>2</v>
      </c>
      <c r="C359" s="5" t="s">
        <v>4</v>
      </c>
    </row>
    <row r="361" spans="2:4" x14ac:dyDescent="0.2">
      <c r="B361" s="3" t="s">
        <v>6</v>
      </c>
    </row>
    <row r="362" spans="2:4" x14ac:dyDescent="0.2">
      <c r="C362" t="s">
        <v>428</v>
      </c>
    </row>
    <row r="363" spans="2:4" x14ac:dyDescent="0.2">
      <c r="C363" t="s">
        <v>426</v>
      </c>
    </row>
    <row r="364" spans="2:4" x14ac:dyDescent="0.2">
      <c r="C364" t="s">
        <v>427</v>
      </c>
    </row>
    <row r="366" spans="2:4" x14ac:dyDescent="0.2">
      <c r="C366" s="29" t="s">
        <v>42</v>
      </c>
      <c r="D366" s="28" t="s">
        <v>466</v>
      </c>
    </row>
    <row r="368" spans="2:4" x14ac:dyDescent="0.2">
      <c r="B368" s="3" t="s">
        <v>7</v>
      </c>
    </row>
    <row r="369" spans="3:8" x14ac:dyDescent="0.2">
      <c r="C369" s="12" t="s">
        <v>242</v>
      </c>
      <c r="E369" s="14" t="s">
        <v>11</v>
      </c>
      <c r="F369" t="s">
        <v>405</v>
      </c>
    </row>
    <row r="370" spans="3:8" x14ac:dyDescent="0.2">
      <c r="C370" s="12" t="s">
        <v>368</v>
      </c>
      <c r="E370" s="14" t="s">
        <v>11</v>
      </c>
      <c r="F370" t="s">
        <v>404</v>
      </c>
    </row>
    <row r="371" spans="3:8" x14ac:dyDescent="0.2">
      <c r="G371" s="73" t="s">
        <v>397</v>
      </c>
      <c r="H371" s="66" t="s">
        <v>403</v>
      </c>
    </row>
    <row r="372" spans="3:8" x14ac:dyDescent="0.2">
      <c r="G372" s="73" t="s">
        <v>398</v>
      </c>
      <c r="H372" s="66" t="s">
        <v>399</v>
      </c>
    </row>
    <row r="373" spans="3:8" x14ac:dyDescent="0.2">
      <c r="G373" s="73"/>
      <c r="H373" s="74" t="s">
        <v>401</v>
      </c>
    </row>
    <row r="374" spans="3:8" x14ac:dyDescent="0.2">
      <c r="G374" s="73"/>
      <c r="H374" s="74" t="s">
        <v>400</v>
      </c>
    </row>
    <row r="375" spans="3:8" x14ac:dyDescent="0.2">
      <c r="G375" s="73"/>
      <c r="H375" s="74" t="s">
        <v>402</v>
      </c>
    </row>
    <row r="376" spans="3:8" x14ac:dyDescent="0.2">
      <c r="C376" s="12" t="s">
        <v>369</v>
      </c>
      <c r="E376" s="15" t="s">
        <v>12</v>
      </c>
      <c r="F376" t="s">
        <v>395</v>
      </c>
    </row>
    <row r="377" spans="3:8" x14ac:dyDescent="0.2">
      <c r="F377" s="60" t="s">
        <v>507</v>
      </c>
    </row>
    <row r="378" spans="3:8" x14ac:dyDescent="0.2">
      <c r="C378" s="12" t="s">
        <v>370</v>
      </c>
      <c r="E378" s="15" t="s">
        <v>12</v>
      </c>
      <c r="F378" t="s">
        <v>396</v>
      </c>
    </row>
    <row r="379" spans="3:8" x14ac:dyDescent="0.2">
      <c r="F379" s="60" t="s">
        <v>508</v>
      </c>
    </row>
    <row r="380" spans="3:8" x14ac:dyDescent="0.2">
      <c r="C380" s="12" t="s">
        <v>371</v>
      </c>
      <c r="E380" s="15" t="s">
        <v>12</v>
      </c>
      <c r="F380" t="s">
        <v>391</v>
      </c>
    </row>
    <row r="381" spans="3:8" x14ac:dyDescent="0.2">
      <c r="G381" s="73" t="s">
        <v>62</v>
      </c>
      <c r="H381" s="66" t="s">
        <v>392</v>
      </c>
    </row>
    <row r="382" spans="3:8" x14ac:dyDescent="0.2">
      <c r="G382" s="73" t="s">
        <v>63</v>
      </c>
      <c r="H382" s="66" t="s">
        <v>393</v>
      </c>
    </row>
    <row r="383" spans="3:8" x14ac:dyDescent="0.2">
      <c r="G383" s="73" t="s">
        <v>61</v>
      </c>
      <c r="H383" s="66" t="s">
        <v>394</v>
      </c>
    </row>
    <row r="384" spans="3:8" x14ac:dyDescent="0.2">
      <c r="F384" s="60" t="s">
        <v>506</v>
      </c>
    </row>
    <row r="385" spans="2:8" x14ac:dyDescent="0.2">
      <c r="C385" s="12" t="s">
        <v>247</v>
      </c>
      <c r="E385" s="15" t="s">
        <v>12</v>
      </c>
      <c r="F385" t="s">
        <v>415</v>
      </c>
    </row>
    <row r="386" spans="2:8" x14ac:dyDescent="0.2">
      <c r="C386" s="12" t="s">
        <v>245</v>
      </c>
      <c r="E386" s="15" t="s">
        <v>12</v>
      </c>
      <c r="F386" t="s">
        <v>406</v>
      </c>
    </row>
    <row r="387" spans="2:8" x14ac:dyDescent="0.2">
      <c r="F387" s="60" t="s">
        <v>407</v>
      </c>
    </row>
    <row r="388" spans="2:8" x14ac:dyDescent="0.2">
      <c r="F388" s="60" t="s">
        <v>409</v>
      </c>
    </row>
    <row r="389" spans="2:8" x14ac:dyDescent="0.2">
      <c r="G389" s="69" t="b">
        <v>1</v>
      </c>
      <c r="H389" s="66" t="s">
        <v>412</v>
      </c>
    </row>
    <row r="390" spans="2:8" x14ac:dyDescent="0.2">
      <c r="G390" s="69" t="b">
        <v>0</v>
      </c>
      <c r="H390" s="66" t="s">
        <v>414</v>
      </c>
    </row>
    <row r="391" spans="2:8" x14ac:dyDescent="0.2">
      <c r="F391" s="60" t="s">
        <v>442</v>
      </c>
    </row>
    <row r="392" spans="2:8" x14ac:dyDescent="0.2">
      <c r="C392" s="12" t="s">
        <v>246</v>
      </c>
      <c r="E392" s="15" t="s">
        <v>12</v>
      </c>
      <c r="F392" t="s">
        <v>410</v>
      </c>
    </row>
    <row r="393" spans="2:8" x14ac:dyDescent="0.2">
      <c r="F393" s="60" t="s">
        <v>408</v>
      </c>
    </row>
    <row r="394" spans="2:8" x14ac:dyDescent="0.2">
      <c r="F394" s="60" t="s">
        <v>409</v>
      </c>
    </row>
    <row r="395" spans="2:8" x14ac:dyDescent="0.2">
      <c r="G395" s="69" t="b">
        <v>1</v>
      </c>
      <c r="H395" s="66" t="s">
        <v>411</v>
      </c>
    </row>
    <row r="396" spans="2:8" x14ac:dyDescent="0.2">
      <c r="G396" s="69" t="b">
        <v>0</v>
      </c>
      <c r="H396" s="66" t="s">
        <v>413</v>
      </c>
    </row>
    <row r="397" spans="2:8" x14ac:dyDescent="0.2">
      <c r="F397" s="60" t="s">
        <v>442</v>
      </c>
    </row>
    <row r="399" spans="2:8" x14ac:dyDescent="0.2">
      <c r="B399" s="3" t="s">
        <v>8</v>
      </c>
    </row>
    <row r="400" spans="2:8" x14ac:dyDescent="0.2">
      <c r="C400" s="13" t="e">
        <v>#VALUE!</v>
      </c>
      <c r="E400" t="s">
        <v>386</v>
      </c>
    </row>
    <row r="401" spans="2:5" x14ac:dyDescent="0.2">
      <c r="C401" s="13" t="e" vm="1">
        <v>#VALUE!</v>
      </c>
      <c r="E401" t="s">
        <v>387</v>
      </c>
    </row>
    <row r="402" spans="2:5" x14ac:dyDescent="0.2">
      <c r="E402" s="60" t="s">
        <v>188</v>
      </c>
    </row>
    <row r="403" spans="2:5" x14ac:dyDescent="0.2">
      <c r="C403" s="13" t="e">
        <v>#VALUE!</v>
      </c>
      <c r="E403" t="s">
        <v>388</v>
      </c>
    </row>
    <row r="404" spans="2:5" x14ac:dyDescent="0.2">
      <c r="C404" s="13" t="e">
        <v>#VALUE!</v>
      </c>
      <c r="E404" t="s">
        <v>389</v>
      </c>
    </row>
    <row r="405" spans="2:5" x14ac:dyDescent="0.2">
      <c r="C405" s="13" t="e">
        <v>#VALUE!</v>
      </c>
      <c r="E405" t="s">
        <v>390</v>
      </c>
    </row>
    <row r="406" spans="2:5" x14ac:dyDescent="0.2">
      <c r="C406" s="13" t="e">
        <v>#VALUE!</v>
      </c>
      <c r="E406" t="s">
        <v>416</v>
      </c>
    </row>
    <row r="408" spans="2:5" x14ac:dyDescent="0.2">
      <c r="B408" s="3" t="s">
        <v>9</v>
      </c>
    </row>
    <row r="409" spans="2:5" x14ac:dyDescent="0.2">
      <c r="C409" s="27" t="s">
        <v>41</v>
      </c>
    </row>
    <row r="410" spans="2:5" x14ac:dyDescent="0.2">
      <c r="C410" s="61" t="s">
        <v>176</v>
      </c>
    </row>
    <row r="411" spans="2:5" x14ac:dyDescent="0.2">
      <c r="C411" s="56" t="s">
        <v>236</v>
      </c>
    </row>
    <row r="412" spans="2:5" x14ac:dyDescent="0.2">
      <c r="C412" s="56" t="s">
        <v>361</v>
      </c>
    </row>
    <row r="413" spans="2:5" x14ac:dyDescent="0.2">
      <c r="C413" s="56" t="s">
        <v>362</v>
      </c>
    </row>
    <row r="414" spans="2:5" x14ac:dyDescent="0.2">
      <c r="C414" s="56" t="s">
        <v>363</v>
      </c>
    </row>
    <row r="415" spans="2:5" x14ac:dyDescent="0.2">
      <c r="C415" s="56" t="s">
        <v>364</v>
      </c>
    </row>
    <row r="416" spans="2:5" x14ac:dyDescent="0.2">
      <c r="C416" s="56" t="s">
        <v>241</v>
      </c>
    </row>
    <row r="417" spans="3:3" x14ac:dyDescent="0.2">
      <c r="C417" s="56" t="s">
        <v>239</v>
      </c>
    </row>
    <row r="418" spans="3:3" x14ac:dyDescent="0.2">
      <c r="C418" s="56" t="s">
        <v>240</v>
      </c>
    </row>
    <row r="419" spans="3:3" x14ac:dyDescent="0.2">
      <c r="C419" s="61" t="s">
        <v>304</v>
      </c>
    </row>
    <row r="420" spans="3:3" x14ac:dyDescent="0.2">
      <c r="C420" s="56" t="s">
        <v>114</v>
      </c>
    </row>
    <row r="421" spans="3:3" x14ac:dyDescent="0.2">
      <c r="C421" s="57" t="s">
        <v>328</v>
      </c>
    </row>
    <row r="422" spans="3:3" x14ac:dyDescent="0.2">
      <c r="C422" s="62" t="s">
        <v>308</v>
      </c>
    </row>
    <row r="423" spans="3:3" x14ac:dyDescent="0.2">
      <c r="C423" s="57" t="s">
        <v>329</v>
      </c>
    </row>
    <row r="424" spans="3:3" x14ac:dyDescent="0.2">
      <c r="C424" s="57" t="s">
        <v>330</v>
      </c>
    </row>
    <row r="425" spans="3:3" x14ac:dyDescent="0.2">
      <c r="C425" s="57" t="s">
        <v>331</v>
      </c>
    </row>
    <row r="426" spans="3:3" x14ac:dyDescent="0.2">
      <c r="C426" s="57" t="s">
        <v>365</v>
      </c>
    </row>
    <row r="427" spans="3:3" x14ac:dyDescent="0.2">
      <c r="C427" s="57" t="s">
        <v>332</v>
      </c>
    </row>
    <row r="428" spans="3:3" x14ac:dyDescent="0.2">
      <c r="C428" s="57" t="s">
        <v>333</v>
      </c>
    </row>
    <row r="429" spans="3:3" x14ac:dyDescent="0.2">
      <c r="C429" s="57" t="s">
        <v>212</v>
      </c>
    </row>
    <row r="430" spans="3:3" x14ac:dyDescent="0.2">
      <c r="C430" s="57" t="s">
        <v>213</v>
      </c>
    </row>
    <row r="431" spans="3:3" x14ac:dyDescent="0.2">
      <c r="C431" s="62" t="s">
        <v>309</v>
      </c>
    </row>
    <row r="432" spans="3:3" x14ac:dyDescent="0.2">
      <c r="C432" s="62" t="s">
        <v>372</v>
      </c>
    </row>
    <row r="433" spans="3:3" x14ac:dyDescent="0.2">
      <c r="C433" s="62" t="s">
        <v>373</v>
      </c>
    </row>
    <row r="434" spans="3:3" x14ac:dyDescent="0.2">
      <c r="C434" s="57" t="s">
        <v>123</v>
      </c>
    </row>
    <row r="435" spans="3:3" x14ac:dyDescent="0.2">
      <c r="C435" s="58" t="s">
        <v>124</v>
      </c>
    </row>
    <row r="436" spans="3:3" x14ac:dyDescent="0.2">
      <c r="C436" s="59" t="s">
        <v>334</v>
      </c>
    </row>
    <row r="437" spans="3:3" x14ac:dyDescent="0.2">
      <c r="C437" s="59" t="s">
        <v>335</v>
      </c>
    </row>
    <row r="438" spans="3:3" x14ac:dyDescent="0.2">
      <c r="C438" s="58" t="s">
        <v>128</v>
      </c>
    </row>
    <row r="439" spans="3:3" x14ac:dyDescent="0.2">
      <c r="C439" s="58" t="s">
        <v>124</v>
      </c>
    </row>
    <row r="440" spans="3:3" x14ac:dyDescent="0.2">
      <c r="C440" s="59" t="s">
        <v>336</v>
      </c>
    </row>
    <row r="441" spans="3:3" x14ac:dyDescent="0.2">
      <c r="C441" s="59" t="s">
        <v>417</v>
      </c>
    </row>
    <row r="442" spans="3:3" x14ac:dyDescent="0.2">
      <c r="C442" s="59" t="s">
        <v>419</v>
      </c>
    </row>
    <row r="443" spans="3:3" x14ac:dyDescent="0.2">
      <c r="C443" s="59" t="s">
        <v>418</v>
      </c>
    </row>
    <row r="444" spans="3:3" x14ac:dyDescent="0.2">
      <c r="C444" s="58" t="s">
        <v>133</v>
      </c>
    </row>
    <row r="445" spans="3:3" x14ac:dyDescent="0.2">
      <c r="C445" s="57" t="s">
        <v>134</v>
      </c>
    </row>
    <row r="446" spans="3:3" x14ac:dyDescent="0.2">
      <c r="C446" s="62" t="s">
        <v>374</v>
      </c>
    </row>
    <row r="447" spans="3:3" x14ac:dyDescent="0.2">
      <c r="C447" s="57" t="s">
        <v>337</v>
      </c>
    </row>
    <row r="448" spans="3:3" x14ac:dyDescent="0.2">
      <c r="C448" s="62" t="s">
        <v>375</v>
      </c>
    </row>
    <row r="449" spans="3:3" x14ac:dyDescent="0.2">
      <c r="C449" s="57" t="s">
        <v>338</v>
      </c>
    </row>
    <row r="450" spans="3:3" x14ac:dyDescent="0.2">
      <c r="C450" s="58" t="s">
        <v>339</v>
      </c>
    </row>
    <row r="451" spans="3:3" x14ac:dyDescent="0.2">
      <c r="C451" s="57" t="s">
        <v>134</v>
      </c>
    </row>
    <row r="452" spans="3:3" x14ac:dyDescent="0.2">
      <c r="C452" s="62" t="s">
        <v>376</v>
      </c>
    </row>
    <row r="453" spans="3:3" x14ac:dyDescent="0.2">
      <c r="C453" s="57" t="s">
        <v>340</v>
      </c>
    </row>
    <row r="454" spans="3:3" x14ac:dyDescent="0.2">
      <c r="C454" s="62" t="s">
        <v>377</v>
      </c>
    </row>
    <row r="455" spans="3:3" x14ac:dyDescent="0.2">
      <c r="C455" s="57" t="s">
        <v>341</v>
      </c>
    </row>
    <row r="456" spans="3:3" x14ac:dyDescent="0.2">
      <c r="C456" s="57" t="s">
        <v>342</v>
      </c>
    </row>
    <row r="457" spans="3:3" x14ac:dyDescent="0.2">
      <c r="C457" s="62" t="s">
        <v>378</v>
      </c>
    </row>
    <row r="458" spans="3:3" x14ac:dyDescent="0.2">
      <c r="C458" s="62" t="s">
        <v>382</v>
      </c>
    </row>
    <row r="459" spans="3:3" x14ac:dyDescent="0.2">
      <c r="C459" s="62" t="s">
        <v>379</v>
      </c>
    </row>
    <row r="460" spans="3:3" x14ac:dyDescent="0.2">
      <c r="C460" s="57" t="s">
        <v>343</v>
      </c>
    </row>
    <row r="461" spans="3:3" x14ac:dyDescent="0.2">
      <c r="C461" s="58" t="s">
        <v>344</v>
      </c>
    </row>
    <row r="462" spans="3:3" x14ac:dyDescent="0.2">
      <c r="C462" s="59" t="s">
        <v>345</v>
      </c>
    </row>
    <row r="463" spans="3:3" x14ac:dyDescent="0.2">
      <c r="C463" s="59" t="s">
        <v>346</v>
      </c>
    </row>
    <row r="464" spans="3:3" x14ac:dyDescent="0.2">
      <c r="C464" s="58" t="s">
        <v>40</v>
      </c>
    </row>
    <row r="465" spans="3:3" x14ac:dyDescent="0.2">
      <c r="C465" s="57" t="s">
        <v>347</v>
      </c>
    </row>
    <row r="466" spans="3:3" x14ac:dyDescent="0.2">
      <c r="C466" s="62" t="s">
        <v>380</v>
      </c>
    </row>
    <row r="467" spans="3:3" x14ac:dyDescent="0.2">
      <c r="C467" s="62" t="s">
        <v>381</v>
      </c>
    </row>
    <row r="468" spans="3:3" x14ac:dyDescent="0.2">
      <c r="C468" s="62" t="s">
        <v>382</v>
      </c>
    </row>
    <row r="469" spans="3:3" x14ac:dyDescent="0.2">
      <c r="C469" s="62" t="s">
        <v>379</v>
      </c>
    </row>
    <row r="470" spans="3:3" x14ac:dyDescent="0.2">
      <c r="C470" s="62" t="s">
        <v>383</v>
      </c>
    </row>
    <row r="471" spans="3:3" x14ac:dyDescent="0.2">
      <c r="C471" s="57" t="s">
        <v>348</v>
      </c>
    </row>
    <row r="472" spans="3:3" x14ac:dyDescent="0.2">
      <c r="C472" s="58" t="s">
        <v>349</v>
      </c>
    </row>
    <row r="473" spans="3:3" x14ac:dyDescent="0.2">
      <c r="C473" s="58" t="s">
        <v>350</v>
      </c>
    </row>
    <row r="474" spans="3:3" x14ac:dyDescent="0.2">
      <c r="C474" s="59" t="s">
        <v>344</v>
      </c>
    </row>
    <row r="475" spans="3:3" x14ac:dyDescent="0.2">
      <c r="C475" s="72" t="s">
        <v>345</v>
      </c>
    </row>
    <row r="476" spans="3:3" x14ac:dyDescent="0.2">
      <c r="C476" s="72" t="s">
        <v>346</v>
      </c>
    </row>
    <row r="477" spans="3:3" x14ac:dyDescent="0.2">
      <c r="C477" s="59" t="s">
        <v>40</v>
      </c>
    </row>
    <row r="478" spans="3:3" x14ac:dyDescent="0.2">
      <c r="C478" s="58" t="s">
        <v>122</v>
      </c>
    </row>
    <row r="479" spans="3:3" x14ac:dyDescent="0.2">
      <c r="C479" s="58" t="s">
        <v>351</v>
      </c>
    </row>
    <row r="480" spans="3:3" x14ac:dyDescent="0.2">
      <c r="C480" s="57" t="s">
        <v>352</v>
      </c>
    </row>
    <row r="481" spans="3:3" x14ac:dyDescent="0.2">
      <c r="C481" s="62" t="s">
        <v>384</v>
      </c>
    </row>
    <row r="482" spans="3:3" x14ac:dyDescent="0.2">
      <c r="C482" s="62" t="s">
        <v>385</v>
      </c>
    </row>
    <row r="483" spans="3:3" x14ac:dyDescent="0.2">
      <c r="C483" s="57" t="s">
        <v>353</v>
      </c>
    </row>
    <row r="484" spans="3:3" x14ac:dyDescent="0.2">
      <c r="C484" s="58" t="s">
        <v>354</v>
      </c>
    </row>
    <row r="485" spans="3:3" x14ac:dyDescent="0.2">
      <c r="C485" s="58" t="s">
        <v>355</v>
      </c>
    </row>
    <row r="486" spans="3:3" x14ac:dyDescent="0.2">
      <c r="C486" s="58" t="s">
        <v>356</v>
      </c>
    </row>
    <row r="487" spans="3:3" x14ac:dyDescent="0.2">
      <c r="C487" s="59" t="s">
        <v>357</v>
      </c>
    </row>
    <row r="488" spans="3:3" x14ac:dyDescent="0.2">
      <c r="C488" s="59" t="s">
        <v>358</v>
      </c>
    </row>
    <row r="489" spans="3:3" x14ac:dyDescent="0.2">
      <c r="C489" s="58" t="s">
        <v>40</v>
      </c>
    </row>
    <row r="490" spans="3:3" x14ac:dyDescent="0.2">
      <c r="C490" s="57" t="s">
        <v>134</v>
      </c>
    </row>
    <row r="491" spans="3:3" x14ac:dyDescent="0.2">
      <c r="C491" s="62" t="s">
        <v>367</v>
      </c>
    </row>
    <row r="492" spans="3:3" x14ac:dyDescent="0.2">
      <c r="C492" s="57" t="s">
        <v>359</v>
      </c>
    </row>
    <row r="493" spans="3:3" x14ac:dyDescent="0.2">
      <c r="C493" s="62" t="s">
        <v>366</v>
      </c>
    </row>
    <row r="494" spans="3:3" x14ac:dyDescent="0.2">
      <c r="C494" s="57" t="s">
        <v>360</v>
      </c>
    </row>
    <row r="495" spans="3:3" x14ac:dyDescent="0.2">
      <c r="C495" s="62" t="s">
        <v>179</v>
      </c>
    </row>
    <row r="496" spans="3:3" x14ac:dyDescent="0.2">
      <c r="C496" s="57" t="s">
        <v>175</v>
      </c>
    </row>
    <row r="497" spans="2:3" x14ac:dyDescent="0.2">
      <c r="C497" s="56" t="s">
        <v>40</v>
      </c>
    </row>
    <row r="498" spans="2:3" x14ac:dyDescent="0.2">
      <c r="C498" s="31" t="s">
        <v>40</v>
      </c>
    </row>
    <row r="500" spans="2:3" x14ac:dyDescent="0.2">
      <c r="C500" s="3" t="s">
        <v>10</v>
      </c>
    </row>
    <row r="501" spans="2:3" x14ac:dyDescent="0.2">
      <c r="C501" s="27" t="s">
        <v>420</v>
      </c>
    </row>
    <row r="503" spans="2:3" ht="13.5" thickBot="1" x14ac:dyDescent="0.25"/>
    <row r="504" spans="2:3" s="11" customFormat="1" x14ac:dyDescent="0.2">
      <c r="B504" s="11" t="s">
        <v>5</v>
      </c>
    </row>
  </sheetData>
  <conditionalFormatting sqref="D31:AA31 D56:AA56 D96:AA96 D140:AA140">
    <cfRule type="expression" dxfId="22" priority="9">
      <formula>ISERR(D31)</formula>
    </cfRule>
    <cfRule type="expression" dxfId="21" priority="10">
      <formula>ISNA(D31)</formula>
    </cfRule>
  </conditionalFormatting>
  <conditionalFormatting sqref="D32:AA32 D57:AA57 D97:AA97 D141:AA141">
    <cfRule type="expression" dxfId="20" priority="11">
      <formula>ISNA(D32)</formula>
    </cfRule>
    <cfRule type="expression" dxfId="19" priority="12">
      <formula>ISERR(D32)</formula>
    </cfRule>
  </conditionalFormatting>
  <conditionalFormatting sqref="D201:AA201">
    <cfRule type="expression" dxfId="18" priority="5">
      <formula>ISERR(D201)</formula>
    </cfRule>
    <cfRule type="expression" dxfId="17" priority="6">
      <formula>ISNA(D201)</formula>
    </cfRule>
  </conditionalFormatting>
  <conditionalFormatting sqref="D202:AA202">
    <cfRule type="expression" dxfId="16" priority="7">
      <formula>ISNA(D202)</formula>
    </cfRule>
    <cfRule type="expression" dxfId="15" priority="8">
      <formula>ISERR(D202)</formula>
    </cfRule>
  </conditionalFormatting>
  <conditionalFormatting sqref="D296:AA296">
    <cfRule type="expression" dxfId="14" priority="1">
      <formula>ISERR(D296)</formula>
    </cfRule>
    <cfRule type="expression" dxfId="13" priority="2">
      <formula>ISNA(D296)</formula>
    </cfRule>
  </conditionalFormatting>
  <conditionalFormatting sqref="D297:AA297">
    <cfRule type="expression" dxfId="12" priority="3">
      <formula>ISNA(D297)</formula>
    </cfRule>
    <cfRule type="expression" dxfId="11" priority="4">
      <formula>ISERR(D297)</formula>
    </cfRule>
  </conditionalFormatting>
  <dataValidations disablePrompts="1" count="1">
    <dataValidation type="list" allowBlank="1" showInputMessage="1" showErrorMessage="1" sqref="D53 D93 D135 D195 D290" xr:uid="{76A7A3A2-4B7C-4568-BAAC-C1BA5F1B0FBE}">
      <formula1>"0,-1,+1"</formula1>
    </dataValidation>
  </dataValidations>
  <hyperlinks>
    <hyperlink ref="D366" r:id="rId1" xr:uid="{700A5C73-2E55-4DAB-AD22-0725D444DD93}"/>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B4D2-70ED-4AD5-878E-A71D9FE9A834}">
  <sheetPr codeName="Sheet6"/>
  <dimension ref="B1:AA745"/>
  <sheetViews>
    <sheetView showGridLines="0" workbookViewId="0">
      <pane ySplit="1" topLeftCell="A2" activePane="bottomLeft" state="frozen"/>
      <selection pane="bottomLeft"/>
    </sheetView>
  </sheetViews>
  <sheetFormatPr defaultRowHeight="12.75" x14ac:dyDescent="0.2"/>
  <cols>
    <col min="1" max="2" width="4.28515625" customWidth="1"/>
    <col min="3" max="3" width="9.140625" customWidth="1"/>
    <col min="4" max="27" width="9.28515625" customWidth="1"/>
  </cols>
  <sheetData>
    <row r="1" spans="2:27" s="1" customFormat="1" ht="30" customHeight="1" x14ac:dyDescent="0.25">
      <c r="C1" s="2" t="s">
        <v>71</v>
      </c>
    </row>
    <row r="3" spans="2:27" x14ac:dyDescent="0.2">
      <c r="B3" s="4" t="s">
        <v>0</v>
      </c>
    </row>
    <row r="4" spans="2:27" x14ac:dyDescent="0.2">
      <c r="C4" t="s">
        <v>294</v>
      </c>
    </row>
    <row r="5" spans="2:27" x14ac:dyDescent="0.2">
      <c r="C5" t="s">
        <v>295</v>
      </c>
    </row>
    <row r="6" spans="2:27" x14ac:dyDescent="0.2">
      <c r="C6" t="s">
        <v>296</v>
      </c>
    </row>
    <row r="8" spans="2:27" x14ac:dyDescent="0.2">
      <c r="B8" s="4" t="s">
        <v>1</v>
      </c>
      <c r="K8" s="55"/>
    </row>
    <row r="9" spans="2:27" x14ac:dyDescent="0.2">
      <c r="C9" s="16" t="s">
        <v>51</v>
      </c>
      <c r="D9" s="25">
        <v>1</v>
      </c>
      <c r="E9" s="25">
        <v>2</v>
      </c>
      <c r="F9" s="25">
        <v>4</v>
      </c>
      <c r="G9" s="25">
        <v>5</v>
      </c>
      <c r="H9" s="25">
        <v>9</v>
      </c>
      <c r="I9" s="25">
        <v>12</v>
      </c>
      <c r="K9" s="25">
        <v>1</v>
      </c>
      <c r="L9" s="25">
        <v>2</v>
      </c>
      <c r="M9" s="25">
        <v>4</v>
      </c>
      <c r="N9" s="25">
        <v>5</v>
      </c>
      <c r="O9" s="25">
        <v>9</v>
      </c>
      <c r="P9" s="25">
        <v>10</v>
      </c>
      <c r="Q9" s="25">
        <v>12</v>
      </c>
    </row>
    <row r="10" spans="2:27" x14ac:dyDescent="0.2">
      <c r="C10" s="16" t="s">
        <v>50</v>
      </c>
      <c r="D10" s="25">
        <v>100</v>
      </c>
      <c r="E10" s="25">
        <v>200</v>
      </c>
      <c r="F10" s="25">
        <v>400</v>
      </c>
      <c r="G10" s="25">
        <v>500</v>
      </c>
      <c r="H10" s="25">
        <v>900</v>
      </c>
      <c r="I10" s="25">
        <v>1200</v>
      </c>
      <c r="K10" s="25">
        <v>100</v>
      </c>
      <c r="L10" s="25">
        <v>200</v>
      </c>
      <c r="M10" s="25">
        <v>400</v>
      </c>
      <c r="N10" s="25">
        <v>500</v>
      </c>
      <c r="O10" s="25">
        <v>900</v>
      </c>
      <c r="P10" s="25" t="e">
        <v>#REF!</v>
      </c>
      <c r="Q10" s="25">
        <v>1200</v>
      </c>
    </row>
    <row r="12" spans="2:27" x14ac:dyDescent="0.2">
      <c r="C12" s="16" t="s">
        <v>51</v>
      </c>
      <c r="D12" s="25">
        <v>1</v>
      </c>
      <c r="E12" s="25">
        <v>2</v>
      </c>
      <c r="F12" s="25">
        <v>4</v>
      </c>
      <c r="G12" s="25">
        <v>5</v>
      </c>
      <c r="H12" s="25">
        <v>8</v>
      </c>
      <c r="I12" s="25">
        <v>9</v>
      </c>
      <c r="J12" s="25">
        <v>11</v>
      </c>
      <c r="K12" s="25">
        <v>12</v>
      </c>
      <c r="L12" s="25">
        <v>15</v>
      </c>
      <c r="M12" s="25">
        <v>16</v>
      </c>
      <c r="N12" s="25">
        <v>17</v>
      </c>
      <c r="O12" s="25">
        <v>21</v>
      </c>
      <c r="P12" s="25">
        <v>23</v>
      </c>
    </row>
    <row r="13" spans="2:27" x14ac:dyDescent="0.2">
      <c r="C13" s="16" t="s">
        <v>50</v>
      </c>
      <c r="D13" s="25">
        <v>100</v>
      </c>
      <c r="E13" s="25">
        <v>200</v>
      </c>
      <c r="F13" s="25">
        <v>400</v>
      </c>
      <c r="G13" s="25">
        <v>500</v>
      </c>
      <c r="H13" s="25">
        <v>800</v>
      </c>
      <c r="I13" s="25">
        <v>900</v>
      </c>
      <c r="J13" s="25">
        <v>1100</v>
      </c>
      <c r="K13" s="25">
        <v>1200</v>
      </c>
      <c r="L13" s="25">
        <v>900</v>
      </c>
      <c r="M13" s="25">
        <v>800</v>
      </c>
      <c r="N13" s="25">
        <v>700</v>
      </c>
      <c r="O13" s="25">
        <v>300</v>
      </c>
      <c r="P13" s="25">
        <v>100</v>
      </c>
    </row>
    <row r="15" spans="2:27" x14ac:dyDescent="0.2">
      <c r="C15" s="16" t="s">
        <v>51</v>
      </c>
      <c r="D15" s="25">
        <v>1</v>
      </c>
      <c r="E15" s="25">
        <v>2</v>
      </c>
      <c r="F15" s="25">
        <v>3</v>
      </c>
      <c r="G15" s="25">
        <v>4</v>
      </c>
      <c r="H15" s="25">
        <v>5</v>
      </c>
      <c r="I15" s="25">
        <v>6</v>
      </c>
      <c r="J15" s="25">
        <v>7</v>
      </c>
      <c r="K15" s="25">
        <v>8</v>
      </c>
      <c r="L15" s="25">
        <v>9</v>
      </c>
      <c r="M15" s="25">
        <v>10</v>
      </c>
      <c r="N15" s="25">
        <v>11</v>
      </c>
      <c r="O15" s="25">
        <v>12</v>
      </c>
      <c r="P15" s="25">
        <v>13</v>
      </c>
      <c r="Q15" s="25">
        <v>14</v>
      </c>
      <c r="R15" s="25">
        <v>15</v>
      </c>
      <c r="S15" s="25">
        <v>16</v>
      </c>
      <c r="T15" s="25">
        <v>17</v>
      </c>
      <c r="U15" s="25">
        <v>18</v>
      </c>
      <c r="V15" s="25">
        <v>19</v>
      </c>
      <c r="W15" s="25">
        <v>20</v>
      </c>
      <c r="X15" s="25">
        <v>21</v>
      </c>
      <c r="Y15" s="25">
        <v>22</v>
      </c>
      <c r="Z15" s="25">
        <v>23</v>
      </c>
      <c r="AA15" s="25">
        <v>24</v>
      </c>
    </row>
    <row r="16" spans="2:27" x14ac:dyDescent="0.2">
      <c r="C16" s="16" t="s">
        <v>49</v>
      </c>
      <c r="D16" s="33">
        <v>45292</v>
      </c>
      <c r="E16" s="33">
        <v>45323</v>
      </c>
      <c r="F16" s="33">
        <v>45352</v>
      </c>
      <c r="G16" s="33">
        <v>45383</v>
      </c>
      <c r="H16" s="33">
        <v>45413</v>
      </c>
      <c r="I16" s="33">
        <v>45444</v>
      </c>
      <c r="J16" s="33">
        <v>45474</v>
      </c>
      <c r="K16" s="33">
        <v>45505</v>
      </c>
      <c r="L16" s="33">
        <v>45536</v>
      </c>
      <c r="M16" s="33">
        <v>45566</v>
      </c>
      <c r="N16" s="33">
        <v>45597</v>
      </c>
      <c r="O16" s="33">
        <v>45627</v>
      </c>
      <c r="P16" s="33">
        <v>45658</v>
      </c>
      <c r="Q16" s="33">
        <v>45689</v>
      </c>
      <c r="R16" s="33">
        <v>45717</v>
      </c>
      <c r="S16" s="33">
        <v>45748</v>
      </c>
      <c r="T16" s="33">
        <v>45778</v>
      </c>
      <c r="U16" s="33">
        <v>45809</v>
      </c>
      <c r="V16" s="33">
        <v>45839</v>
      </c>
      <c r="W16" s="33">
        <v>45870</v>
      </c>
      <c r="X16" s="33">
        <v>45901</v>
      </c>
      <c r="Y16" s="33">
        <v>45931</v>
      </c>
      <c r="Z16" s="33">
        <v>45962</v>
      </c>
      <c r="AA16" s="33">
        <v>45992</v>
      </c>
    </row>
    <row r="17" spans="2:27" x14ac:dyDescent="0.2">
      <c r="C17" s="16" t="s">
        <v>50</v>
      </c>
      <c r="D17" s="25">
        <v>28</v>
      </c>
      <c r="E17" s="25">
        <v>40</v>
      </c>
      <c r="F17" s="25"/>
      <c r="G17" s="25">
        <v>34</v>
      </c>
      <c r="H17" s="25">
        <v>20</v>
      </c>
      <c r="I17" s="25"/>
      <c r="J17" s="25"/>
      <c r="K17" s="25">
        <v>55</v>
      </c>
      <c r="L17" s="25">
        <v>30</v>
      </c>
      <c r="M17" s="25"/>
      <c r="N17" s="25">
        <v>39</v>
      </c>
      <c r="O17" s="25">
        <v>34</v>
      </c>
      <c r="P17" s="25">
        <v>30</v>
      </c>
      <c r="Q17" s="25">
        <v>34</v>
      </c>
      <c r="R17" s="25">
        <v>50</v>
      </c>
      <c r="S17" s="25">
        <v>20</v>
      </c>
      <c r="T17" s="25">
        <v>25</v>
      </c>
      <c r="U17" s="25"/>
      <c r="V17" s="25"/>
      <c r="W17" s="25"/>
      <c r="X17" s="25">
        <v>30</v>
      </c>
      <c r="Y17" s="25">
        <v>37</v>
      </c>
      <c r="Z17" s="25">
        <v>35</v>
      </c>
      <c r="AA17" s="25">
        <v>28</v>
      </c>
    </row>
    <row r="19" spans="2:27" x14ac:dyDescent="0.2">
      <c r="C19" s="16" t="s">
        <v>51</v>
      </c>
      <c r="D19" s="25">
        <v>1</v>
      </c>
      <c r="E19" s="25">
        <v>2</v>
      </c>
      <c r="F19" s="25">
        <v>4</v>
      </c>
      <c r="G19" s="25">
        <v>5</v>
      </c>
      <c r="H19" s="25">
        <v>8</v>
      </c>
      <c r="I19" s="25">
        <v>9</v>
      </c>
      <c r="J19" s="25">
        <v>11</v>
      </c>
      <c r="K19" s="25">
        <v>12</v>
      </c>
      <c r="L19" s="25">
        <v>13</v>
      </c>
      <c r="M19" s="25">
        <v>14</v>
      </c>
      <c r="N19" s="25">
        <v>15</v>
      </c>
      <c r="O19" s="25">
        <v>16</v>
      </c>
      <c r="P19" s="25">
        <v>17</v>
      </c>
      <c r="Q19" s="25">
        <v>21</v>
      </c>
      <c r="R19" s="25">
        <v>22</v>
      </c>
      <c r="S19" s="25">
        <v>23</v>
      </c>
      <c r="T19" s="25">
        <v>24</v>
      </c>
    </row>
    <row r="20" spans="2:27" x14ac:dyDescent="0.2">
      <c r="C20" s="16" t="s">
        <v>50</v>
      </c>
      <c r="D20" s="25">
        <v>28</v>
      </c>
      <c r="E20" s="25">
        <v>40</v>
      </c>
      <c r="F20" s="25">
        <v>34</v>
      </c>
      <c r="G20" s="25">
        <v>20</v>
      </c>
      <c r="H20" s="25">
        <v>55</v>
      </c>
      <c r="I20" s="25">
        <v>30</v>
      </c>
      <c r="J20" s="25">
        <v>39</v>
      </c>
      <c r="K20" s="25">
        <v>34</v>
      </c>
      <c r="L20" s="25">
        <v>30</v>
      </c>
      <c r="M20" s="25">
        <v>34</v>
      </c>
      <c r="N20" s="25">
        <v>50</v>
      </c>
      <c r="O20" s="25">
        <v>20</v>
      </c>
      <c r="P20" s="25">
        <v>25</v>
      </c>
      <c r="Q20" s="25">
        <v>30</v>
      </c>
      <c r="R20" s="25">
        <v>37</v>
      </c>
      <c r="S20" s="25">
        <v>35</v>
      </c>
      <c r="T20" s="25">
        <v>28</v>
      </c>
    </row>
    <row r="23" spans="2:27" s="5" customFormat="1" ht="16.5" thickBot="1" x14ac:dyDescent="0.3">
      <c r="B23" s="6">
        <f xml:space="preserve"> MAX(B$1:B22) + 1</f>
        <v>1</v>
      </c>
      <c r="C23" s="5" t="s">
        <v>2</v>
      </c>
    </row>
    <row r="25" spans="2:27" x14ac:dyDescent="0.2">
      <c r="B25" s="8" t="s">
        <v>37</v>
      </c>
      <c r="C25" s="7"/>
      <c r="D25" s="7"/>
      <c r="E25" s="7"/>
      <c r="F25" s="7"/>
      <c r="G25" s="7"/>
      <c r="H25" s="7"/>
      <c r="I25" s="7"/>
      <c r="J25" s="7"/>
      <c r="K25" s="7"/>
      <c r="L25" s="7"/>
      <c r="M25" s="7"/>
      <c r="N25" s="7"/>
      <c r="O25" s="7"/>
      <c r="P25" s="7"/>
      <c r="Q25" s="7"/>
      <c r="R25" s="7"/>
      <c r="S25" s="7"/>
      <c r="T25" s="7"/>
    </row>
    <row r="27" spans="2:27" x14ac:dyDescent="0.2">
      <c r="C27" s="9" t="s">
        <v>3</v>
      </c>
    </row>
    <row r="28" spans="2:27" x14ac:dyDescent="0.2">
      <c r="C28" t="s">
        <v>297</v>
      </c>
    </row>
    <row r="29" spans="2:27" x14ac:dyDescent="0.2">
      <c r="C29" t="s">
        <v>251</v>
      </c>
    </row>
    <row r="30" spans="2:27" x14ac:dyDescent="0.2">
      <c r="C30" s="67" t="s">
        <v>252</v>
      </c>
    </row>
    <row r="31" spans="2:27" x14ac:dyDescent="0.2">
      <c r="G31" s="67" t="s">
        <v>253</v>
      </c>
    </row>
    <row r="32" spans="2:27" x14ac:dyDescent="0.2">
      <c r="G32" s="23" t="s">
        <v>258</v>
      </c>
    </row>
    <row r="33" spans="2:15" x14ac:dyDescent="0.2">
      <c r="C33" t="s">
        <v>259</v>
      </c>
    </row>
    <row r="34" spans="2:15" x14ac:dyDescent="0.2">
      <c r="C34" t="s">
        <v>254</v>
      </c>
    </row>
    <row r="35" spans="2:15" x14ac:dyDescent="0.2">
      <c r="C35" s="23" t="s">
        <v>255</v>
      </c>
    </row>
    <row r="36" spans="2:15" x14ac:dyDescent="0.2">
      <c r="C36" s="23" t="s">
        <v>260</v>
      </c>
    </row>
    <row r="37" spans="2:15" x14ac:dyDescent="0.2">
      <c r="C37" s="23" t="s">
        <v>256</v>
      </c>
    </row>
    <row r="38" spans="2:15" x14ac:dyDescent="0.2">
      <c r="C38" s="60" t="s">
        <v>257</v>
      </c>
    </row>
    <row r="40" spans="2:15" x14ac:dyDescent="0.2">
      <c r="B40" s="10" t="str" cm="1">
        <f t="array" ref="B40" xml:space="preserve"> "(" &amp; _xlfn.UNICHAR( 65 + SUMPRODUCT(--(_xlfn.REGEXTEST(B$1:B38, "^\([A-Z]\)$")))) &amp; ")"</f>
        <v>(A)</v>
      </c>
      <c r="C40" s="3" t="s">
        <v>93</v>
      </c>
    </row>
    <row r="42" spans="2:15" x14ac:dyDescent="0.2">
      <c r="C42" s="16" t="s">
        <v>91</v>
      </c>
      <c r="D42" s="25">
        <v>1</v>
      </c>
    </row>
    <row r="43" spans="2:15" x14ac:dyDescent="0.2">
      <c r="C43" s="16" t="s">
        <v>92</v>
      </c>
      <c r="D43" s="46" cm="1">
        <f t="array" ref="D43:O43" xml:space="preserve"> _xlfn.SEQUENCE(1, COLUMNS(_xlfn.ANCHORARRAY(D44)))</f>
        <v>1</v>
      </c>
      <c r="E43" s="46">
        <v>2</v>
      </c>
      <c r="F43" s="46">
        <v>3</v>
      </c>
      <c r="G43" s="46">
        <v>4</v>
      </c>
      <c r="H43" s="46">
        <v>5</v>
      </c>
      <c r="I43" s="46">
        <v>6</v>
      </c>
      <c r="J43" s="46">
        <v>7</v>
      </c>
      <c r="K43" s="46">
        <v>8</v>
      </c>
      <c r="L43" s="46">
        <v>9</v>
      </c>
      <c r="M43" s="46">
        <v>10</v>
      </c>
      <c r="N43" s="46">
        <v>11</v>
      </c>
      <c r="O43" s="46">
        <v>12</v>
      </c>
    </row>
    <row r="44" spans="2:15" x14ac:dyDescent="0.2">
      <c r="C44" s="16" t="s">
        <v>36</v>
      </c>
      <c r="D44" s="24" cm="1">
        <f t="array" ref="D44:O44" xml:space="preserve"> _xlfn.LET(
  _xlpm.periods, $D$9:$I$9,
  _xlpm._stp, D42,
  _xlpm._arrP, _xlfn._xlws.SORT(_xlfn.TOROW(_xlpm.periods)),
  _xlpm._bgn, INDEX(_xlpm._arrP, 1, 1),
  _xlpm._end, INDEX(_xlpm._arrP, 1, COLUMNS(_xlpm._arrP)),
  _xlpm._prd, _xlfn.SEQUENCE(1, (_xlpm._end - _xlpm._bgn) + 1, _xlpm._bgn, _xlpm._stp),
  _xlpm._prd
)</f>
        <v>1</v>
      </c>
      <c r="E44" s="24">
        <v>2</v>
      </c>
      <c r="F44" s="24">
        <v>3</v>
      </c>
      <c r="G44" s="24">
        <v>4</v>
      </c>
      <c r="H44" s="24">
        <v>5</v>
      </c>
      <c r="I44" s="24">
        <v>6</v>
      </c>
      <c r="J44" s="24">
        <v>7</v>
      </c>
      <c r="K44" s="24">
        <v>8</v>
      </c>
      <c r="L44" s="24">
        <v>9</v>
      </c>
      <c r="M44" s="24">
        <v>10</v>
      </c>
      <c r="N44" s="24">
        <v>11</v>
      </c>
      <c r="O44" s="24">
        <v>12</v>
      </c>
    </row>
    <row r="45" spans="2:15" x14ac:dyDescent="0.2">
      <c r="D45" s="26" t="str" cm="1">
        <f t="array" aca="1" ref="D45:D53" ca="1" xml:space="preserve"> _xlfn.TEXTSPLIT(_xlfn.FORMULATEXT(D44), , CHAR(10))</f>
        <v>= LET(</v>
      </c>
    </row>
    <row r="46" spans="2:15" x14ac:dyDescent="0.2">
      <c r="D46" s="26" t="str">
        <f ca="1"/>
        <v xml:space="preserve">  periods, $D$9:$I$9,</v>
      </c>
    </row>
    <row r="47" spans="2:15" x14ac:dyDescent="0.2">
      <c r="D47" s="26" t="str">
        <f ca="1"/>
        <v xml:space="preserve">  _stp, D42,</v>
      </c>
    </row>
    <row r="48" spans="2:15" x14ac:dyDescent="0.2">
      <c r="D48" s="26" t="str">
        <f ca="1"/>
        <v xml:space="preserve">  _arrP, SORT(TOROW(periods)),</v>
      </c>
    </row>
    <row r="49" spans="2:15" x14ac:dyDescent="0.2">
      <c r="D49" s="26" t="str">
        <f ca="1"/>
        <v xml:space="preserve">  _bgn, INDEX(_arrP, 1, 1),</v>
      </c>
    </row>
    <row r="50" spans="2:15" x14ac:dyDescent="0.2">
      <c r="D50" s="26" t="str">
        <f ca="1"/>
        <v xml:space="preserve">  _end, INDEX(_arrP, 1, COLUMNS(_arrP)),</v>
      </c>
    </row>
    <row r="51" spans="2:15" x14ac:dyDescent="0.2">
      <c r="D51" s="26" t="str">
        <f ca="1"/>
        <v xml:space="preserve">  _prd, SEQUENCE(1, (_end - _bgn) + 1, _bgn, _stp),</v>
      </c>
    </row>
    <row r="52" spans="2:15" x14ac:dyDescent="0.2">
      <c r="D52" s="26" t="str">
        <f ca="1"/>
        <v xml:space="preserve">  _prd</v>
      </c>
    </row>
    <row r="53" spans="2:15" x14ac:dyDescent="0.2">
      <c r="D53" s="26" t="str">
        <f ca="1"/>
        <v>)</v>
      </c>
    </row>
    <row r="55" spans="2:15" x14ac:dyDescent="0.2">
      <c r="B55" s="10" t="str" cm="1">
        <f t="array" ref="B55" xml:space="preserve"> "(" &amp; _xlfn.UNICHAR( 65 + SUMPRODUCT(--(_xlfn.REGEXTEST(B$1:B54, "^\([A-Z]\)$")))) &amp; ")"</f>
        <v>(B)</v>
      </c>
      <c r="C55" s="3" t="s">
        <v>261</v>
      </c>
    </row>
    <row r="57" spans="2:15" x14ac:dyDescent="0.2">
      <c r="C57" s="16" t="s">
        <v>91</v>
      </c>
      <c r="D57" s="25">
        <v>1</v>
      </c>
    </row>
    <row r="58" spans="2:15" x14ac:dyDescent="0.2">
      <c r="C58" s="16" t="s">
        <v>92</v>
      </c>
      <c r="D58" s="46" cm="1">
        <f t="array" ref="D58:O58">_xlfn.ANCHORARRAY( D43)</f>
        <v>1</v>
      </c>
      <c r="E58" s="46">
        <v>2</v>
      </c>
      <c r="F58" s="46">
        <v>3</v>
      </c>
      <c r="G58" s="46">
        <v>4</v>
      </c>
      <c r="H58" s="46">
        <v>5</v>
      </c>
      <c r="I58" s="46">
        <v>6</v>
      </c>
      <c r="J58" s="46">
        <v>7</v>
      </c>
      <c r="K58" s="46">
        <v>8</v>
      </c>
      <c r="L58" s="46">
        <v>9</v>
      </c>
      <c r="M58" s="46">
        <v>10</v>
      </c>
      <c r="N58" s="46">
        <v>11</v>
      </c>
      <c r="O58" s="46">
        <v>12</v>
      </c>
    </row>
    <row r="59" spans="2:15" x14ac:dyDescent="0.2">
      <c r="C59" s="16" t="s">
        <v>36</v>
      </c>
      <c r="D59" s="24" cm="1">
        <f t="array" ref="D59:O59" xml:space="preserve"> _xlfn.LET(
  _xlpm.periods, $D$9:$I$9,
  _xlpm.values, $D$10:$I$10,
  _xlpm._stp, D57,
  _xlpm._arrP, _xlfn._xlws.SORT(_xlfn.TOROW(_xlpm.periods)),
  _xlpm._arrV, _xlfn.TOROW(_xlpm.values),
  _xlpm._bgn, INDEX(_xlpm._arrP, 1, 1),
  _xlpm._end, INDEX(_xlpm._arrP, 1, COLUMNS(_xlpm._arrP)),
  _xlpm._prd, _xlfn.SEQUENCE(1, (_xlpm._end - _xlpm._bgn) + 1, _xlpm._bgn, _xlpm._stp),
  _xlpm._map, _xlfn.MAP(_xlpm._prd, _xlfn.LAMBDA(_xlpm._i, INDEX(_xlpm._arrV, 1, _xlfn.XMATCH(_xlpm._i, _xlpm._arrP)))),
  _xlpm._map
)</f>
        <v>100</v>
      </c>
      <c r="E59" s="24">
        <v>200</v>
      </c>
      <c r="F59" s="24" t="e">
        <v>#N/A</v>
      </c>
      <c r="G59" s="24">
        <v>400</v>
      </c>
      <c r="H59" s="24">
        <v>500</v>
      </c>
      <c r="I59" s="24" t="e">
        <v>#N/A</v>
      </c>
      <c r="J59" s="24" t="e">
        <v>#N/A</v>
      </c>
      <c r="K59" s="24" t="e">
        <v>#N/A</v>
      </c>
      <c r="L59" s="24">
        <v>900</v>
      </c>
      <c r="M59" s="24" t="e">
        <v>#N/A</v>
      </c>
      <c r="N59" s="24" t="e">
        <v>#N/A</v>
      </c>
      <c r="O59" s="24">
        <v>1200</v>
      </c>
    </row>
    <row r="60" spans="2:15" x14ac:dyDescent="0.2">
      <c r="D60" s="26" t="str" cm="1">
        <f t="array" aca="1" ref="D60:D71" ca="1" xml:space="preserve"> _xlfn.TEXTSPLIT(_xlfn.FORMULATEXT(D59), , CHAR(10))</f>
        <v>= LET(</v>
      </c>
    </row>
    <row r="61" spans="2:15" x14ac:dyDescent="0.2">
      <c r="D61" s="26" t="str">
        <f ca="1"/>
        <v xml:space="preserve">  periods, $D$9:$I$9,</v>
      </c>
    </row>
    <row r="62" spans="2:15" x14ac:dyDescent="0.2">
      <c r="D62" s="26" t="str">
        <f ca="1"/>
        <v xml:space="preserve">  values, $D$10:$I$10,</v>
      </c>
    </row>
    <row r="63" spans="2:15" x14ac:dyDescent="0.2">
      <c r="D63" s="26" t="str">
        <f ca="1"/>
        <v xml:space="preserve">  _stp, D57,</v>
      </c>
    </row>
    <row r="64" spans="2:15" x14ac:dyDescent="0.2">
      <c r="D64" s="26" t="str">
        <f ca="1"/>
        <v xml:space="preserve">  _arrP, SORT(TOROW(periods)),</v>
      </c>
    </row>
    <row r="65" spans="2:15" x14ac:dyDescent="0.2">
      <c r="D65" s="26" t="str">
        <f ca="1"/>
        <v xml:space="preserve">  _arrV, TOROW(values),</v>
      </c>
    </row>
    <row r="66" spans="2:15" x14ac:dyDescent="0.2">
      <c r="D66" s="26" t="str">
        <f ca="1"/>
        <v xml:space="preserve">  _bgn, INDEX(_arrP, 1, 1),</v>
      </c>
    </row>
    <row r="67" spans="2:15" x14ac:dyDescent="0.2">
      <c r="D67" s="26" t="str">
        <f ca="1"/>
        <v xml:space="preserve">  _end, INDEX(_arrP, 1, COLUMNS(_arrP)),</v>
      </c>
    </row>
    <row r="68" spans="2:15" x14ac:dyDescent="0.2">
      <c r="D68" s="26" t="str">
        <f ca="1"/>
        <v xml:space="preserve">  _prd, SEQUENCE(1, (_end - _bgn) + 1, _bgn, _stp),</v>
      </c>
    </row>
    <row r="69" spans="2:15" x14ac:dyDescent="0.2">
      <c r="D69" s="26" t="str">
        <f ca="1"/>
        <v xml:space="preserve">  _map, MAP(_prd, LAMBDA(_i, INDEX(_arrV, 1, XMATCH(_i, _arrP)))),</v>
      </c>
    </row>
    <row r="70" spans="2:15" x14ac:dyDescent="0.2">
      <c r="D70" s="26" t="str">
        <f ca="1"/>
        <v xml:space="preserve">  _map</v>
      </c>
    </row>
    <row r="71" spans="2:15" x14ac:dyDescent="0.2">
      <c r="D71" s="26" t="str">
        <f ca="1"/>
        <v>)</v>
      </c>
    </row>
    <row r="75" spans="2:15" x14ac:dyDescent="0.2">
      <c r="B75" s="10" t="str" cm="1">
        <f t="array" ref="B75" xml:space="preserve"> "(" &amp; _xlfn.UNICHAR( 65 + SUMPRODUCT(--(_xlfn.REGEXTEST(B$1:B74, "^\([A-Z]\)$")))) &amp; ")"</f>
        <v>(C)</v>
      </c>
      <c r="C75" s="3" t="s">
        <v>94</v>
      </c>
    </row>
    <row r="77" spans="2:15" x14ac:dyDescent="0.2">
      <c r="C77" s="16" t="s">
        <v>91</v>
      </c>
      <c r="D77" s="25">
        <v>1</v>
      </c>
    </row>
    <row r="78" spans="2:15" x14ac:dyDescent="0.2">
      <c r="C78" s="16" t="s">
        <v>92</v>
      </c>
      <c r="D78" s="46" cm="1">
        <f t="array" ref="D78:O78">_xlfn.ANCHORARRAY( D$43)</f>
        <v>1</v>
      </c>
      <c r="E78" s="46">
        <v>2</v>
      </c>
      <c r="F78" s="46">
        <v>3</v>
      </c>
      <c r="G78" s="46">
        <v>4</v>
      </c>
      <c r="H78" s="46">
        <v>5</v>
      </c>
      <c r="I78" s="46">
        <v>6</v>
      </c>
      <c r="J78" s="46">
        <v>7</v>
      </c>
      <c r="K78" s="46">
        <v>8</v>
      </c>
      <c r="L78" s="46">
        <v>9</v>
      </c>
      <c r="M78" s="46">
        <v>10</v>
      </c>
      <c r="N78" s="46">
        <v>11</v>
      </c>
      <c r="O78" s="46">
        <v>12</v>
      </c>
    </row>
    <row r="79" spans="2:15" x14ac:dyDescent="0.2">
      <c r="C79" s="16" t="s">
        <v>96</v>
      </c>
      <c r="D79" s="38" cm="1">
        <f t="array" ref="D79:O79">_xlfn.ANCHORARRAY( D$59)</f>
        <v>100</v>
      </c>
      <c r="E79" s="38">
        <v>200</v>
      </c>
      <c r="F79" s="38" t="e">
        <v>#N/A</v>
      </c>
      <c r="G79" s="38">
        <v>400</v>
      </c>
      <c r="H79" s="38">
        <v>500</v>
      </c>
      <c r="I79" s="38" t="e">
        <v>#N/A</v>
      </c>
      <c r="J79" s="38" t="e">
        <v>#N/A</v>
      </c>
      <c r="K79" s="38" t="e">
        <v>#N/A</v>
      </c>
      <c r="L79" s="38">
        <v>900</v>
      </c>
      <c r="M79" s="38" t="e">
        <v>#N/A</v>
      </c>
      <c r="N79" s="38" t="e">
        <v>#N/A</v>
      </c>
      <c r="O79" s="38">
        <v>1200</v>
      </c>
    </row>
    <row r="80" spans="2:15" x14ac:dyDescent="0.2">
      <c r="C80" s="16" t="s">
        <v>36</v>
      </c>
      <c r="D80" s="24" cm="1">
        <f t="array" ref="D80:O80" xml:space="preserve"> _xlfn.LET(
  _xlpm.periods, $D$9:$I$9,
  _xlpm.values, $D$10:$I$10,
  _xlpm._stp, D77,
  _xlpm._arrP, _xlfn._xlws.SORT(_xlfn.TOROW(_xlpm.periods)),
  _xlpm._arrV, _xlfn.TOROW(_xlpm.values),
  _xlpm._bgn, INDEX(_xlpm._arrP, 1, 1),
  _xlpm._end, INDEX(_xlpm._arrP, 1, COLUMNS(_xlpm._arrP)),
  _xlpm._prd, _xlfn.SEQUENCE(1, (_xlpm._end - _xlpm._bgn) + 1, _xlpm._bgn, _xlpm._stp),
  _xlpm._map, _xlfn.MAP(_xlpm._prd, _xlfn.LAMBDA(_xlpm._i, INDEX(_xlpm._arrV, 1, _xlfn.XMATCH(_xlpm._i, _xlpm._arrP)))),
  _xlpm._scn, _xlfn.SCAN(0, _xlpm._map, _xlfn.LAMBDA(_xlpm._p,_xlpm._c,
    IF(ISNA(_xlpm._c),
    _xlpm._p,
    _xlpm._c
  ))),
  _xlpm._scn
)</f>
        <v>100</v>
      </c>
      <c r="E80" s="24">
        <v>200</v>
      </c>
      <c r="F80" s="24">
        <v>200</v>
      </c>
      <c r="G80" s="24">
        <v>400</v>
      </c>
      <c r="H80" s="24">
        <v>500</v>
      </c>
      <c r="I80" s="24">
        <v>500</v>
      </c>
      <c r="J80" s="24">
        <v>500</v>
      </c>
      <c r="K80" s="24">
        <v>500</v>
      </c>
      <c r="L80" s="24">
        <v>900</v>
      </c>
      <c r="M80" s="24">
        <v>900</v>
      </c>
      <c r="N80" s="24">
        <v>900</v>
      </c>
      <c r="O80" s="24">
        <v>1200</v>
      </c>
    </row>
    <row r="81" spans="4:4" x14ac:dyDescent="0.2">
      <c r="D81" s="26" t="str" cm="1">
        <f t="array" aca="1" ref="D81:D97" ca="1" xml:space="preserve"> _xlfn.TEXTSPLIT(_xlfn.FORMULATEXT(D80), , CHAR(10))</f>
        <v>= LET(</v>
      </c>
    </row>
    <row r="82" spans="4:4" x14ac:dyDescent="0.2">
      <c r="D82" s="26" t="str">
        <f ca="1"/>
        <v xml:space="preserve">  periods, $D$9:$I$9,</v>
      </c>
    </row>
    <row r="83" spans="4:4" x14ac:dyDescent="0.2">
      <c r="D83" s="26" t="str">
        <f ca="1"/>
        <v xml:space="preserve">  values, $D$10:$I$10,</v>
      </c>
    </row>
    <row r="84" spans="4:4" x14ac:dyDescent="0.2">
      <c r="D84" s="26" t="str">
        <f ca="1"/>
        <v xml:space="preserve">  _stp, D77,</v>
      </c>
    </row>
    <row r="85" spans="4:4" x14ac:dyDescent="0.2">
      <c r="D85" s="26" t="str">
        <f ca="1"/>
        <v xml:space="preserve">  _arrP, SORT(TOROW(periods)),</v>
      </c>
    </row>
    <row r="86" spans="4:4" x14ac:dyDescent="0.2">
      <c r="D86" s="26" t="str">
        <f ca="1"/>
        <v xml:space="preserve">  _arrV, TOROW(values),</v>
      </c>
    </row>
    <row r="87" spans="4:4" x14ac:dyDescent="0.2">
      <c r="D87" s="26" t="str">
        <f ca="1"/>
        <v xml:space="preserve">  _bgn, INDEX(_arrP, 1, 1),</v>
      </c>
    </row>
    <row r="88" spans="4:4" x14ac:dyDescent="0.2">
      <c r="D88" s="26" t="str">
        <f ca="1"/>
        <v xml:space="preserve">  _end, INDEX(_arrP, 1, COLUMNS(_arrP)),</v>
      </c>
    </row>
    <row r="89" spans="4:4" x14ac:dyDescent="0.2">
      <c r="D89" s="26" t="str">
        <f ca="1"/>
        <v xml:space="preserve">  _prd, SEQUENCE(1, (_end - _bgn) + 1, _bgn, _stp),</v>
      </c>
    </row>
    <row r="90" spans="4:4" x14ac:dyDescent="0.2">
      <c r="D90" s="26" t="str">
        <f ca="1"/>
        <v xml:space="preserve">  _map, MAP(_prd, LAMBDA(_i, INDEX(_arrV, 1, XMATCH(_i, _arrP)))),</v>
      </c>
    </row>
    <row r="91" spans="4:4" x14ac:dyDescent="0.2">
      <c r="D91" s="26" t="str">
        <f ca="1"/>
        <v xml:space="preserve">  _scn, SCAN(0, _map, LAMBDA(_p,_c,</v>
      </c>
    </row>
    <row r="92" spans="4:4" x14ac:dyDescent="0.2">
      <c r="D92" s="26" t="str">
        <f ca="1"/>
        <v xml:space="preserve">    IF(ISNA(_c),</v>
      </c>
    </row>
    <row r="93" spans="4:4" x14ac:dyDescent="0.2">
      <c r="D93" s="26" t="str">
        <f ca="1"/>
        <v xml:space="preserve">    _p,</v>
      </c>
    </row>
    <row r="94" spans="4:4" x14ac:dyDescent="0.2">
      <c r="D94" s="26" t="str">
        <f ca="1"/>
        <v xml:space="preserve">    _c</v>
      </c>
    </row>
    <row r="95" spans="4:4" x14ac:dyDescent="0.2">
      <c r="D95" s="26" t="str">
        <f ca="1"/>
        <v xml:space="preserve">  ))),</v>
      </c>
    </row>
    <row r="96" spans="4:4" x14ac:dyDescent="0.2">
      <c r="D96" s="26" t="str">
        <f ca="1"/>
        <v xml:space="preserve">  _scn</v>
      </c>
    </row>
    <row r="97" spans="2:15" x14ac:dyDescent="0.2">
      <c r="D97" s="26" t="str">
        <f ca="1"/>
        <v>)</v>
      </c>
    </row>
    <row r="99" spans="2:15" x14ac:dyDescent="0.2">
      <c r="B99" s="10" t="str" cm="1">
        <f t="array" ref="B99" xml:space="preserve"> "(" &amp; _xlfn.UNICHAR( 65 + SUMPRODUCT(--(_xlfn.REGEXTEST(B$1:B98, "^\([A-Z]\)$")))) &amp; ")"</f>
        <v>(D)</v>
      </c>
      <c r="C99" s="3" t="s">
        <v>95</v>
      </c>
    </row>
    <row r="101" spans="2:15" x14ac:dyDescent="0.2">
      <c r="C101" s="16" t="s">
        <v>91</v>
      </c>
      <c r="D101" s="25">
        <v>1</v>
      </c>
    </row>
    <row r="102" spans="2:15" x14ac:dyDescent="0.2">
      <c r="C102" s="16" t="s">
        <v>92</v>
      </c>
      <c r="D102" s="46" cm="1">
        <f t="array" ref="D102:O102">_xlfn.ANCHORARRAY( D$43)</f>
        <v>1</v>
      </c>
      <c r="E102" s="46">
        <v>2</v>
      </c>
      <c r="F102" s="46">
        <v>3</v>
      </c>
      <c r="G102" s="46">
        <v>4</v>
      </c>
      <c r="H102" s="46">
        <v>5</v>
      </c>
      <c r="I102" s="46">
        <v>6</v>
      </c>
      <c r="J102" s="46">
        <v>7</v>
      </c>
      <c r="K102" s="46">
        <v>8</v>
      </c>
      <c r="L102" s="46">
        <v>9</v>
      </c>
      <c r="M102" s="46">
        <v>10</v>
      </c>
      <c r="N102" s="46">
        <v>11</v>
      </c>
      <c r="O102" s="46">
        <v>12</v>
      </c>
    </row>
    <row r="103" spans="2:15" x14ac:dyDescent="0.2">
      <c r="C103" s="16" t="s">
        <v>96</v>
      </c>
      <c r="D103" s="38" cm="1">
        <f t="array" ref="D103:O103">_xlfn.ANCHORARRAY( D$59)</f>
        <v>100</v>
      </c>
      <c r="E103" s="38">
        <v>200</v>
      </c>
      <c r="F103" s="38" t="e">
        <v>#N/A</v>
      </c>
      <c r="G103" s="38">
        <v>400</v>
      </c>
      <c r="H103" s="38">
        <v>500</v>
      </c>
      <c r="I103" s="38" t="e">
        <v>#N/A</v>
      </c>
      <c r="J103" s="38" t="e">
        <v>#N/A</v>
      </c>
      <c r="K103" s="38" t="e">
        <v>#N/A</v>
      </c>
      <c r="L103" s="38">
        <v>900</v>
      </c>
      <c r="M103" s="38" t="e">
        <v>#N/A</v>
      </c>
      <c r="N103" s="38" t="e">
        <v>#N/A</v>
      </c>
      <c r="O103" s="38">
        <v>1200</v>
      </c>
    </row>
    <row r="104" spans="2:15" x14ac:dyDescent="0.2">
      <c r="C104" s="16" t="s">
        <v>36</v>
      </c>
      <c r="D104" s="24" cm="1">
        <f t="array" ref="D104:O104" xml:space="preserve"> _xlfn.LET(
  _xlpm.periods, $D$9:$I$9,
  _xlpm.values, $D$10:$I$10,
  _xlpm._stp, D101,
  _xlpm._arrP, _xlfn._xlws.SORT(_xlfn.TOROW(_xlpm.periods)),
  _xlpm._arrV, _xlfn.TOROW(_xlpm.values),
  _xlpm._bgn, INDEX(_xlpm._arrP, 1, 1),
  _xlpm._end, INDEX(_xlpm._arrP, 1, COLUMNS(_xlpm._arrP)),
  _xlpm._prd, _xlfn.SEQUENCE(1, (_xlpm._end - _xlpm._bgn)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_xlpm._nxt
    ),
    INDEX(_xlpm._map, 1, _xlpm._c)
  ))),
  _xlpm._scn
)</f>
        <v>100</v>
      </c>
      <c r="E104" s="24">
        <v>200</v>
      </c>
      <c r="F104" s="24">
        <v>400</v>
      </c>
      <c r="G104" s="24">
        <v>400</v>
      </c>
      <c r="H104" s="24">
        <v>500</v>
      </c>
      <c r="I104" s="24">
        <v>900</v>
      </c>
      <c r="J104" s="24">
        <v>900</v>
      </c>
      <c r="K104" s="24">
        <v>900</v>
      </c>
      <c r="L104" s="24">
        <v>900</v>
      </c>
      <c r="M104" s="24">
        <v>1200</v>
      </c>
      <c r="N104" s="24">
        <v>1200</v>
      </c>
      <c r="O104" s="24">
        <v>1200</v>
      </c>
    </row>
    <row r="105" spans="2:15" x14ac:dyDescent="0.2">
      <c r="D105" s="26" t="str" cm="1">
        <f t="array" aca="1" ref="D105:D127" ca="1" xml:space="preserve"> _xlfn.TEXTSPLIT(_xlfn.FORMULATEXT(D104), , CHAR(10))</f>
        <v>= LET(</v>
      </c>
    </row>
    <row r="106" spans="2:15" x14ac:dyDescent="0.2">
      <c r="D106" s="26" t="str">
        <f ca="1"/>
        <v xml:space="preserve">  periods, $D$9:$I$9,</v>
      </c>
    </row>
    <row r="107" spans="2:15" x14ac:dyDescent="0.2">
      <c r="D107" s="26" t="str">
        <f ca="1"/>
        <v xml:space="preserve">  values, $D$10:$I$10,</v>
      </c>
    </row>
    <row r="108" spans="2:15" x14ac:dyDescent="0.2">
      <c r="D108" s="26" t="str">
        <f ca="1"/>
        <v xml:space="preserve">  _stp, D101,</v>
      </c>
    </row>
    <row r="109" spans="2:15" x14ac:dyDescent="0.2">
      <c r="D109" s="26" t="str">
        <f ca="1"/>
        <v xml:space="preserve">  _arrP, SORT(TOROW(periods)),</v>
      </c>
    </row>
    <row r="110" spans="2:15" x14ac:dyDescent="0.2">
      <c r="D110" s="26" t="str">
        <f ca="1"/>
        <v xml:space="preserve">  _arrV, TOROW(values),</v>
      </c>
    </row>
    <row r="111" spans="2:15" x14ac:dyDescent="0.2">
      <c r="D111" s="26" t="str">
        <f ca="1"/>
        <v xml:space="preserve">  _bgn, INDEX(_arrP, 1, 1),</v>
      </c>
    </row>
    <row r="112" spans="2:15" x14ac:dyDescent="0.2">
      <c r="D112" s="26" t="str">
        <f ca="1"/>
        <v xml:space="preserve">  _end, INDEX(_arrP, 1, COLUMNS(_arrP)),</v>
      </c>
    </row>
    <row r="113" spans="4:4" x14ac:dyDescent="0.2">
      <c r="D113" s="26" t="str">
        <f ca="1"/>
        <v xml:space="preserve">  _prd, SEQUENCE(1, (_end - _bgn) + 1, _bgn, _stp),</v>
      </c>
    </row>
    <row r="114" spans="4:4" x14ac:dyDescent="0.2">
      <c r="D114" s="26" t="str">
        <f ca="1"/>
        <v xml:space="preserve">  _idx, SEQUENCE(1, COLUMNS(_prd)),</v>
      </c>
    </row>
    <row r="115" spans="4:4" x14ac:dyDescent="0.2">
      <c r="D115" s="26" t="str">
        <f ca="1"/>
        <v xml:space="preserve">  _map, MAP(_prd, LAMBDA(_p, INDEX(_arrV, 1, XMATCH(_p, _arrP)))),</v>
      </c>
    </row>
    <row r="116" spans="4:4" x14ac:dyDescent="0.2">
      <c r="D116" s="26" t="str">
        <f ca="1"/>
        <v xml:space="preserve">  _scn, SCAN(0, _idx, LAMBDA(_prv,_c,</v>
      </c>
    </row>
    <row r="117" spans="4:4" x14ac:dyDescent="0.2">
      <c r="D117" s="26" t="str">
        <f ca="1"/>
        <v xml:space="preserve">    IF(ISNA(INDEX(_map, 1, _c)),</v>
      </c>
    </row>
    <row r="118" spans="4:4" x14ac:dyDescent="0.2">
      <c r="D118" s="26" t="str">
        <f ca="1"/>
        <v xml:space="preserve">    LET(</v>
      </c>
    </row>
    <row r="119" spans="4:4" x14ac:dyDescent="0.2">
      <c r="D119" s="26" t="str">
        <f ca="1"/>
        <v xml:space="preserve">      _arr, FILTER(DROP(_idx, , _c), NOT(ISNA(DROP(_map, , _c)))),</v>
      </c>
    </row>
    <row r="120" spans="4:4" x14ac:dyDescent="0.2">
      <c r="D120" s="26" t="str">
        <f ca="1"/>
        <v xml:space="preserve">      _i, INDEX(_arr, 1, 1),</v>
      </c>
    </row>
    <row r="121" spans="4:4" x14ac:dyDescent="0.2">
      <c r="D121" s="26" t="str">
        <f ca="1"/>
        <v xml:space="preserve">      _nxt, INDEX(_map, 1, _i),</v>
      </c>
    </row>
    <row r="122" spans="4:4" x14ac:dyDescent="0.2">
      <c r="D122" s="26" t="str">
        <f ca="1"/>
        <v xml:space="preserve">      _nxt</v>
      </c>
    </row>
    <row r="123" spans="4:4" x14ac:dyDescent="0.2">
      <c r="D123" s="26" t="str">
        <f ca="1"/>
        <v xml:space="preserve">    ),</v>
      </c>
    </row>
    <row r="124" spans="4:4" x14ac:dyDescent="0.2">
      <c r="D124" s="26" t="str">
        <f ca="1"/>
        <v xml:space="preserve">    INDEX(_map, 1, _c)</v>
      </c>
    </row>
    <row r="125" spans="4:4" x14ac:dyDescent="0.2">
      <c r="D125" s="26" t="str">
        <f ca="1"/>
        <v xml:space="preserve">  ))),</v>
      </c>
    </row>
    <row r="126" spans="4:4" x14ac:dyDescent="0.2">
      <c r="D126" s="26" t="str">
        <f ca="1"/>
        <v xml:space="preserve">  _scn</v>
      </c>
    </row>
    <row r="127" spans="4:4" x14ac:dyDescent="0.2">
      <c r="D127" s="26" t="str">
        <f ca="1"/>
        <v>)</v>
      </c>
    </row>
    <row r="129" spans="2:15" x14ac:dyDescent="0.2">
      <c r="B129" s="10" t="str" cm="1">
        <f t="array" ref="B129" xml:space="preserve"> "(" &amp; _xlfn.UNICHAR( 65 + SUMPRODUCT(--(_xlfn.REGEXTEST(B$1:B128, "^\([A-Z]\)$")))) &amp; ")"</f>
        <v>(E)</v>
      </c>
      <c r="C129" s="3" t="s">
        <v>97</v>
      </c>
    </row>
    <row r="131" spans="2:15" x14ac:dyDescent="0.2">
      <c r="C131" s="16" t="s">
        <v>91</v>
      </c>
      <c r="D131" s="25">
        <v>1</v>
      </c>
    </row>
    <row r="132" spans="2:15" x14ac:dyDescent="0.2">
      <c r="C132" s="16" t="s">
        <v>92</v>
      </c>
      <c r="D132" s="46" cm="1">
        <f t="array" ref="D132:O132">_xlfn.ANCHORARRAY( D$43)</f>
        <v>1</v>
      </c>
      <c r="E132" s="46">
        <v>2</v>
      </c>
      <c r="F132" s="46">
        <v>3</v>
      </c>
      <c r="G132" s="46">
        <v>4</v>
      </c>
      <c r="H132" s="46">
        <v>5</v>
      </c>
      <c r="I132" s="46">
        <v>6</v>
      </c>
      <c r="J132" s="46">
        <v>7</v>
      </c>
      <c r="K132" s="46">
        <v>8</v>
      </c>
      <c r="L132" s="46">
        <v>9</v>
      </c>
      <c r="M132" s="46">
        <v>10</v>
      </c>
      <c r="N132" s="46">
        <v>11</v>
      </c>
      <c r="O132" s="46">
        <v>12</v>
      </c>
    </row>
    <row r="133" spans="2:15" x14ac:dyDescent="0.2">
      <c r="C133" s="16" t="s">
        <v>96</v>
      </c>
      <c r="D133" s="38" cm="1">
        <f t="array" ref="D133:O133">_xlfn.ANCHORARRAY( D$59)</f>
        <v>100</v>
      </c>
      <c r="E133" s="38">
        <v>200</v>
      </c>
      <c r="F133" s="38" t="e">
        <v>#N/A</v>
      </c>
      <c r="G133" s="38">
        <v>400</v>
      </c>
      <c r="H133" s="38">
        <v>500</v>
      </c>
      <c r="I133" s="38" t="e">
        <v>#N/A</v>
      </c>
      <c r="J133" s="38" t="e">
        <v>#N/A</v>
      </c>
      <c r="K133" s="38" t="e">
        <v>#N/A</v>
      </c>
      <c r="L133" s="38">
        <v>900</v>
      </c>
      <c r="M133" s="38" t="e">
        <v>#N/A</v>
      </c>
      <c r="N133" s="38" t="e">
        <v>#N/A</v>
      </c>
      <c r="O133" s="38">
        <v>1200</v>
      </c>
    </row>
    <row r="134" spans="2:15" x14ac:dyDescent="0.2">
      <c r="C134" s="16" t="s">
        <v>36</v>
      </c>
      <c r="D134" s="24" cm="1">
        <f t="array" ref="D134:O134" xml:space="preserve"> _xlfn.LET(
  _xlpm.periods, $D$9:$I$9,
  _xlpm.values, $D$10:$I$10,
  _xlpm._stp, D131,
  _xlpm._arrP, _xlfn._xlws.SORT(_xlfn.TOROW(_xlpm.periods)),
  _xlpm._arrV, _xlfn.TOROW(_xlpm.values),
  _xlpm._bgn, INDEX(_xlpm._arrP, 1, 1),
  _xlpm._end, INDEX(_xlpm._arrP, 1, COLUMNS(_xlpm._arrP)),
  _xlpm._prd, _xlfn.SEQUENCE(1, (_xlpm._end - _xlpm._bgn)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_xlpm._scn
)</f>
        <v>100</v>
      </c>
      <c r="E134" s="24">
        <v>200</v>
      </c>
      <c r="F134" s="24">
        <v>300</v>
      </c>
      <c r="G134" s="24">
        <v>400</v>
      </c>
      <c r="H134" s="24">
        <v>500</v>
      </c>
      <c r="I134" s="24">
        <v>600</v>
      </c>
      <c r="J134" s="24">
        <v>700</v>
      </c>
      <c r="K134" s="24">
        <v>800</v>
      </c>
      <c r="L134" s="24">
        <v>900</v>
      </c>
      <c r="M134" s="24">
        <v>1000</v>
      </c>
      <c r="N134" s="24">
        <v>1100</v>
      </c>
      <c r="O134" s="24">
        <v>1200</v>
      </c>
    </row>
    <row r="135" spans="2:15" x14ac:dyDescent="0.2">
      <c r="D135" s="26" t="str" cm="1">
        <f t="array" aca="1" ref="D135:D158" ca="1" xml:space="preserve"> _xlfn.TEXTSPLIT(_xlfn.FORMULATEXT(D134), , CHAR(10))</f>
        <v>= LET(</v>
      </c>
    </row>
    <row r="136" spans="2:15" x14ac:dyDescent="0.2">
      <c r="D136" s="26" t="str">
        <f ca="1"/>
        <v xml:space="preserve">  periods, $D$9:$I$9,</v>
      </c>
    </row>
    <row r="137" spans="2:15" x14ac:dyDescent="0.2">
      <c r="D137" s="26" t="str">
        <f ca="1"/>
        <v xml:space="preserve">  values, $D$10:$I$10,</v>
      </c>
    </row>
    <row r="138" spans="2:15" x14ac:dyDescent="0.2">
      <c r="D138" s="26" t="str">
        <f ca="1"/>
        <v xml:space="preserve">  _stp, D131,</v>
      </c>
    </row>
    <row r="139" spans="2:15" x14ac:dyDescent="0.2">
      <c r="D139" s="26" t="str">
        <f ca="1"/>
        <v xml:space="preserve">  _arrP, SORT(TOROW(periods)),</v>
      </c>
    </row>
    <row r="140" spans="2:15" x14ac:dyDescent="0.2">
      <c r="D140" s="26" t="str">
        <f ca="1"/>
        <v xml:space="preserve">  _arrV, TOROW(values),</v>
      </c>
    </row>
    <row r="141" spans="2:15" x14ac:dyDescent="0.2">
      <c r="D141" s="26" t="str">
        <f ca="1"/>
        <v xml:space="preserve">  _bgn, INDEX(_arrP, 1, 1),</v>
      </c>
    </row>
    <row r="142" spans="2:15" x14ac:dyDescent="0.2">
      <c r="D142" s="26" t="str">
        <f ca="1"/>
        <v xml:space="preserve">  _end, INDEX(_arrP, 1, COLUMNS(_arrP)),</v>
      </c>
    </row>
    <row r="143" spans="2:15" x14ac:dyDescent="0.2">
      <c r="D143" s="26" t="str">
        <f ca="1"/>
        <v xml:space="preserve">  _prd, SEQUENCE(1, (_end - _bgn) + 1, _bgn, _stp),</v>
      </c>
    </row>
    <row r="144" spans="2:15" x14ac:dyDescent="0.2">
      <c r="D144" s="26" t="str">
        <f ca="1"/>
        <v xml:space="preserve">  _idx, SEQUENCE(1, COLUMNS(_prd)),</v>
      </c>
    </row>
    <row r="145" spans="2:4" x14ac:dyDescent="0.2">
      <c r="D145" s="26" t="str">
        <f ca="1"/>
        <v xml:space="preserve">  _map, MAP(_prd, LAMBDA(_p, INDEX(_arrV, 1, XMATCH(_p, _arrP)))),</v>
      </c>
    </row>
    <row r="146" spans="2:4" x14ac:dyDescent="0.2">
      <c r="D146" s="26" t="str">
        <f ca="1"/>
        <v xml:space="preserve">  _scn, SCAN(0, _idx, LAMBDA(_prv,_c,</v>
      </c>
    </row>
    <row r="147" spans="2:4" x14ac:dyDescent="0.2">
      <c r="D147" s="26" t="str">
        <f ca="1"/>
        <v xml:space="preserve">    IF(ISNA(INDEX(_map, 1, _c)),</v>
      </c>
    </row>
    <row r="148" spans="2:4" x14ac:dyDescent="0.2">
      <c r="D148" s="26" t="str">
        <f ca="1"/>
        <v xml:space="preserve">    LET(</v>
      </c>
    </row>
    <row r="149" spans="2:4" x14ac:dyDescent="0.2">
      <c r="D149" s="26" t="str">
        <f ca="1"/>
        <v xml:space="preserve">      _arr, FILTER(DROP(_idx, , _c), NOT(ISNA(DROP(_map, , _c)))),</v>
      </c>
    </row>
    <row r="150" spans="2:4" x14ac:dyDescent="0.2">
      <c r="D150" s="26" t="str">
        <f ca="1"/>
        <v xml:space="preserve">      _i, INDEX(_arr, 1, 1),</v>
      </c>
    </row>
    <row r="151" spans="2:4" x14ac:dyDescent="0.2">
      <c r="D151" s="26" t="str">
        <f ca="1"/>
        <v xml:space="preserve">      _nxt, INDEX(_map, 1, _i),</v>
      </c>
    </row>
    <row r="152" spans="2:4" x14ac:dyDescent="0.2">
      <c r="D152" s="26" t="str">
        <f ca="1"/>
        <v xml:space="preserve">      _inc, (_nxt - _prv) / (_i - _c + 1),</v>
      </c>
    </row>
    <row r="153" spans="2:4" x14ac:dyDescent="0.2">
      <c r="D153" s="26" t="str">
        <f ca="1"/>
        <v xml:space="preserve">      _prv + _inc</v>
      </c>
    </row>
    <row r="154" spans="2:4" x14ac:dyDescent="0.2">
      <c r="D154" s="26" t="str">
        <f ca="1"/>
        <v xml:space="preserve">    ),</v>
      </c>
    </row>
    <row r="155" spans="2:4" x14ac:dyDescent="0.2">
      <c r="D155" s="26" t="str">
        <f ca="1"/>
        <v xml:space="preserve">    INDEX(_map, 1, _c)</v>
      </c>
    </row>
    <row r="156" spans="2:4" x14ac:dyDescent="0.2">
      <c r="D156" s="26" t="str">
        <f ca="1"/>
        <v xml:space="preserve">  ))),</v>
      </c>
    </row>
    <row r="157" spans="2:4" x14ac:dyDescent="0.2">
      <c r="D157" s="26" t="str">
        <f ca="1"/>
        <v xml:space="preserve">  _scn</v>
      </c>
    </row>
    <row r="158" spans="2:4" x14ac:dyDescent="0.2">
      <c r="D158" s="26" t="str">
        <f ca="1"/>
        <v>)</v>
      </c>
    </row>
    <row r="160" spans="2:4" x14ac:dyDescent="0.2">
      <c r="B160" s="10" t="str" cm="1">
        <f t="array" ref="B160" xml:space="preserve"> "(" &amp; _xlfn.UNICHAR( 65 + SUMPRODUCT(--(_xlfn.REGEXTEST(B$1:B159, "^\([A-Z]\)$")))) &amp; ")"</f>
        <v>(F)</v>
      </c>
      <c r="C160" s="3" t="s">
        <v>262</v>
      </c>
    </row>
    <row r="162" spans="3:15" x14ac:dyDescent="0.2">
      <c r="C162" s="16" t="s">
        <v>91</v>
      </c>
      <c r="D162" s="25">
        <v>1</v>
      </c>
    </row>
    <row r="163" spans="3:15" x14ac:dyDescent="0.2">
      <c r="C163" s="16" t="s">
        <v>92</v>
      </c>
      <c r="D163" s="46" cm="1">
        <f t="array" ref="D163:O163" xml:space="preserve"> _xlfn.SEQUENCE(1, COLUMNS(_xlfn.ANCHORARRAY(D165)))</f>
        <v>1</v>
      </c>
      <c r="E163" s="46">
        <v>2</v>
      </c>
      <c r="F163" s="46">
        <v>3</v>
      </c>
      <c r="G163" s="46">
        <v>4</v>
      </c>
      <c r="H163" s="46">
        <v>5</v>
      </c>
      <c r="I163" s="46">
        <v>6</v>
      </c>
      <c r="J163" s="46">
        <v>7</v>
      </c>
      <c r="K163" s="46">
        <v>8</v>
      </c>
      <c r="L163" s="46">
        <v>9</v>
      </c>
      <c r="M163" s="46">
        <v>10</v>
      </c>
      <c r="N163" s="46">
        <v>11</v>
      </c>
      <c r="O163" s="46">
        <v>12</v>
      </c>
    </row>
    <row r="164" spans="3:15" x14ac:dyDescent="0.2">
      <c r="C164" s="16" t="s">
        <v>96</v>
      </c>
      <c r="D164" s="38" cm="1">
        <f t="array" ref="D164:O164">_xlfn.ANCHORARRAY( D$59)</f>
        <v>100</v>
      </c>
      <c r="E164" s="38">
        <v>200</v>
      </c>
      <c r="F164" s="38" t="e">
        <v>#N/A</v>
      </c>
      <c r="G164" s="38">
        <v>400</v>
      </c>
      <c r="H164" s="38">
        <v>500</v>
      </c>
      <c r="I164" s="38" t="e">
        <v>#N/A</v>
      </c>
      <c r="J164" s="38" t="e">
        <v>#N/A</v>
      </c>
      <c r="K164" s="38" t="e">
        <v>#N/A</v>
      </c>
      <c r="L164" s="38">
        <v>900</v>
      </c>
      <c r="M164" s="38" t="e">
        <v>#N/A</v>
      </c>
      <c r="N164" s="38" t="e">
        <v>#N/A</v>
      </c>
      <c r="O164" s="38">
        <v>1200</v>
      </c>
    </row>
    <row r="165" spans="3:15" x14ac:dyDescent="0.2">
      <c r="C165" s="16" t="s">
        <v>36</v>
      </c>
      <c r="D165" s="24" cm="1">
        <f t="array" ref="D165:O166" xml:space="preserve"> _xlfn.LET(
  _xlpm.periods, $D$9:$I$9,
  _xlpm.values, $D$10:$I$10,
  _xlpm._stp, D162,
  _xlpm._arrP, _xlfn._xlws.SORT(_xlfn.TOROW(_xlpm.periods)),
  _xlpm._arrV, _xlfn.TOROW(_xlpm.values),
  _xlpm._bgn, INDEX(_xlpm._arrP, 1, 1),
  _xlpm._end, INDEX(_xlpm._arrP, 1, COLUMNS(_xlpm._arrP)),
  _xlpm._prd, _xlfn.SEQUENCE(1, (_xlpm._end - _xlpm._bgn)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_xlfn.VSTACK(_xlpm._prd, _xlpm._scn)
)</f>
        <v>1</v>
      </c>
      <c r="E165" s="24">
        <v>2</v>
      </c>
      <c r="F165" s="24">
        <v>3</v>
      </c>
      <c r="G165" s="24">
        <v>4</v>
      </c>
      <c r="H165" s="24">
        <v>5</v>
      </c>
      <c r="I165" s="24">
        <v>6</v>
      </c>
      <c r="J165" s="24">
        <v>7</v>
      </c>
      <c r="K165" s="24">
        <v>8</v>
      </c>
      <c r="L165" s="24">
        <v>9</v>
      </c>
      <c r="M165" s="24">
        <v>10</v>
      </c>
      <c r="N165" s="24">
        <v>11</v>
      </c>
      <c r="O165" s="24">
        <v>12</v>
      </c>
    </row>
    <row r="166" spans="3:15" x14ac:dyDescent="0.2">
      <c r="D166" s="24">
        <v>100</v>
      </c>
      <c r="E166" s="24">
        <v>200</v>
      </c>
      <c r="F166" s="24">
        <v>300</v>
      </c>
      <c r="G166" s="24">
        <v>400</v>
      </c>
      <c r="H166" s="24">
        <v>500</v>
      </c>
      <c r="I166" s="24">
        <v>600</v>
      </c>
      <c r="J166" s="24">
        <v>700</v>
      </c>
      <c r="K166" s="24">
        <v>800</v>
      </c>
      <c r="L166" s="24">
        <v>900</v>
      </c>
      <c r="M166" s="24">
        <v>1000</v>
      </c>
      <c r="N166" s="24">
        <v>1100</v>
      </c>
      <c r="O166" s="24">
        <v>1200</v>
      </c>
    </row>
    <row r="167" spans="3:15" x14ac:dyDescent="0.2">
      <c r="D167" s="26" t="str" cm="1">
        <f t="array" aca="1" ref="D167:D190" ca="1" xml:space="preserve"> _xlfn.TEXTSPLIT(_xlfn.FORMULATEXT(D165), , CHAR(10))</f>
        <v>= LET(</v>
      </c>
    </row>
    <row r="168" spans="3:15" x14ac:dyDescent="0.2">
      <c r="D168" s="26" t="str">
        <f ca="1"/>
        <v xml:space="preserve">  periods, $D$9:$I$9,</v>
      </c>
    </row>
    <row r="169" spans="3:15" x14ac:dyDescent="0.2">
      <c r="D169" s="26" t="str">
        <f ca="1"/>
        <v xml:space="preserve">  values, $D$10:$I$10,</v>
      </c>
    </row>
    <row r="170" spans="3:15" x14ac:dyDescent="0.2">
      <c r="D170" s="26" t="str">
        <f ca="1"/>
        <v xml:space="preserve">  _stp, D162,</v>
      </c>
    </row>
    <row r="171" spans="3:15" x14ac:dyDescent="0.2">
      <c r="D171" s="26" t="str">
        <f ca="1"/>
        <v xml:space="preserve">  _arrP, SORT(TOROW(periods)),</v>
      </c>
    </row>
    <row r="172" spans="3:15" x14ac:dyDescent="0.2">
      <c r="D172" s="26" t="str">
        <f ca="1"/>
        <v xml:space="preserve">  _arrV, TOROW(values),</v>
      </c>
    </row>
    <row r="173" spans="3:15" x14ac:dyDescent="0.2">
      <c r="D173" s="26" t="str">
        <f ca="1"/>
        <v xml:space="preserve">  _bgn, INDEX(_arrP, 1, 1),</v>
      </c>
    </row>
    <row r="174" spans="3:15" x14ac:dyDescent="0.2">
      <c r="D174" s="26" t="str">
        <f ca="1"/>
        <v xml:space="preserve">  _end, INDEX(_arrP, 1, COLUMNS(_arrP)),</v>
      </c>
    </row>
    <row r="175" spans="3:15" x14ac:dyDescent="0.2">
      <c r="D175" s="26" t="str">
        <f ca="1"/>
        <v xml:space="preserve">  _prd, SEQUENCE(1, (_end - _bgn) + 1, _bgn, _stp),</v>
      </c>
    </row>
    <row r="176" spans="3:15" x14ac:dyDescent="0.2">
      <c r="D176" s="26" t="str">
        <f ca="1"/>
        <v xml:space="preserve">  _idx, SEQUENCE(1, COLUMNS(_prd)),</v>
      </c>
    </row>
    <row r="177" spans="2:4" x14ac:dyDescent="0.2">
      <c r="D177" s="26" t="str">
        <f ca="1"/>
        <v xml:space="preserve">  _map, MAP(_prd, LAMBDA(_p, INDEX(_arrV, 1, XMATCH(_p, _arrP)))),</v>
      </c>
    </row>
    <row r="178" spans="2:4" x14ac:dyDescent="0.2">
      <c r="D178" s="26" t="str">
        <f ca="1"/>
        <v xml:space="preserve">  _scn, SCAN(0, _idx, LAMBDA(_prv,_c,</v>
      </c>
    </row>
    <row r="179" spans="2:4" x14ac:dyDescent="0.2">
      <c r="D179" s="26" t="str">
        <f ca="1"/>
        <v xml:space="preserve">    IF(ISNA(INDEX(_map, 1, _c)),</v>
      </c>
    </row>
    <row r="180" spans="2:4" x14ac:dyDescent="0.2">
      <c r="D180" s="26" t="str">
        <f ca="1"/>
        <v xml:space="preserve">    LET(</v>
      </c>
    </row>
    <row r="181" spans="2:4" x14ac:dyDescent="0.2">
      <c r="D181" s="26" t="str">
        <f ca="1"/>
        <v xml:space="preserve">      _arr, FILTER(DROP(_idx, , _c), NOT(ISNA(DROP(_map, , _c)))),</v>
      </c>
    </row>
    <row r="182" spans="2:4" x14ac:dyDescent="0.2">
      <c r="D182" s="26" t="str">
        <f ca="1"/>
        <v xml:space="preserve">      _i, INDEX(_arr, 1, 1),</v>
      </c>
    </row>
    <row r="183" spans="2:4" x14ac:dyDescent="0.2">
      <c r="D183" s="26" t="str">
        <f ca="1"/>
        <v xml:space="preserve">      _nxt, INDEX(_map, 1, _i),</v>
      </c>
    </row>
    <row r="184" spans="2:4" x14ac:dyDescent="0.2">
      <c r="D184" s="26" t="str">
        <f ca="1"/>
        <v xml:space="preserve">      _inc, (_nxt - _prv) / (_i - _c + 1),</v>
      </c>
    </row>
    <row r="185" spans="2:4" x14ac:dyDescent="0.2">
      <c r="D185" s="26" t="str">
        <f ca="1"/>
        <v xml:space="preserve">      _prv + _inc</v>
      </c>
    </row>
    <row r="186" spans="2:4" x14ac:dyDescent="0.2">
      <c r="D186" s="26" t="str">
        <f ca="1"/>
        <v xml:space="preserve">    ),</v>
      </c>
    </row>
    <row r="187" spans="2:4" x14ac:dyDescent="0.2">
      <c r="D187" s="26" t="str">
        <f ca="1"/>
        <v xml:space="preserve">    INDEX(_map, 1, _c)</v>
      </c>
    </row>
    <row r="188" spans="2:4" x14ac:dyDescent="0.2">
      <c r="D188" s="26" t="str">
        <f ca="1"/>
        <v xml:space="preserve">  ))),</v>
      </c>
    </row>
    <row r="189" spans="2:4" x14ac:dyDescent="0.2">
      <c r="D189" s="26" t="str">
        <f ca="1"/>
        <v xml:space="preserve">  VSTACK(_prd, _scn)</v>
      </c>
    </row>
    <row r="190" spans="2:4" x14ac:dyDescent="0.2">
      <c r="D190" s="26" t="str">
        <f ca="1"/>
        <v>)</v>
      </c>
    </row>
    <row r="192" spans="2:4" x14ac:dyDescent="0.2">
      <c r="B192" s="10" t="str" cm="1">
        <f t="array" ref="B192" xml:space="preserve"> "(" &amp; _xlfn.UNICHAR( 65 + SUMPRODUCT(--(_xlfn.REGEXTEST(B$1:B191, "^\([A-Z]\)$")))) &amp; ")"</f>
        <v>(G)</v>
      </c>
      <c r="C192" s="3" t="s">
        <v>98</v>
      </c>
    </row>
    <row r="194" spans="3:26" x14ac:dyDescent="0.2">
      <c r="C194" s="16" t="s">
        <v>91</v>
      </c>
      <c r="D194" s="45">
        <v>0.5</v>
      </c>
    </row>
    <row r="195" spans="3:26" x14ac:dyDescent="0.2">
      <c r="C195" s="16" t="s">
        <v>92</v>
      </c>
      <c r="D195" s="46" cm="1">
        <f t="array" ref="D195:Z195" xml:space="preserve"> _xlfn.SEQUENCE(1, COLUMNS(_xlfn.ANCHORARRAY(D196)))</f>
        <v>1</v>
      </c>
      <c r="E195" s="46">
        <v>2</v>
      </c>
      <c r="F195" s="46">
        <v>3</v>
      </c>
      <c r="G195" s="46">
        <v>4</v>
      </c>
      <c r="H195" s="46">
        <v>5</v>
      </c>
      <c r="I195" s="46">
        <v>6</v>
      </c>
      <c r="J195" s="46">
        <v>7</v>
      </c>
      <c r="K195" s="46">
        <v>8</v>
      </c>
      <c r="L195" s="46">
        <v>9</v>
      </c>
      <c r="M195" s="46">
        <v>10</v>
      </c>
      <c r="N195" s="46">
        <v>11</v>
      </c>
      <c r="O195" s="46">
        <v>12</v>
      </c>
      <c r="P195" s="46">
        <v>13</v>
      </c>
      <c r="Q195" s="46">
        <v>14</v>
      </c>
      <c r="R195" s="46">
        <v>15</v>
      </c>
      <c r="S195" s="46">
        <v>16</v>
      </c>
      <c r="T195" s="46">
        <v>17</v>
      </c>
      <c r="U195" s="46">
        <v>18</v>
      </c>
      <c r="V195" s="46">
        <v>19</v>
      </c>
      <c r="W195" s="46">
        <v>20</v>
      </c>
      <c r="X195" s="46">
        <v>21</v>
      </c>
      <c r="Y195" s="46">
        <v>22</v>
      </c>
      <c r="Z195" s="46">
        <v>23</v>
      </c>
    </row>
    <row r="196" spans="3:26" x14ac:dyDescent="0.2">
      <c r="C196" s="16" t="s">
        <v>36</v>
      </c>
      <c r="D196" s="47" cm="1">
        <f t="array" ref="D196:Z197" xml:space="preserve"> _xlfn.LET(
  _xlpm.periods, $D$9:$I$9,
  _xlpm.values, $D$10:$I$10,
  _xlpm._stp, D194,
  _xlpm._arrP, _xlfn._xlws.SORT(_xlfn.TOROW(_xlpm.periods)),
  _xlpm._arrV, _xlfn.TOROW(_xlpm.values),
  _xlpm._bgn, INDEX(_xlpm._arrP, 1, 1),
  _xlpm._end, INDEX(_xlpm._arrP, 1, COLUMNS(_xlpm._arrP)),
  _xlpm._prd,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_xlfn.VSTACK(_xlpm._prd, _xlpm._scn)
)</f>
        <v>1</v>
      </c>
      <c r="E196" s="47">
        <v>1.5</v>
      </c>
      <c r="F196" s="47">
        <v>2</v>
      </c>
      <c r="G196" s="47">
        <v>2.5</v>
      </c>
      <c r="H196" s="47">
        <v>3</v>
      </c>
      <c r="I196" s="47">
        <v>3.5</v>
      </c>
      <c r="J196" s="47">
        <v>4</v>
      </c>
      <c r="K196" s="47">
        <v>4.5</v>
      </c>
      <c r="L196" s="47">
        <v>5</v>
      </c>
      <c r="M196" s="47">
        <v>5.5</v>
      </c>
      <c r="N196" s="47">
        <v>6</v>
      </c>
      <c r="O196" s="47">
        <v>6.5</v>
      </c>
      <c r="P196" s="47">
        <v>7</v>
      </c>
      <c r="Q196" s="47">
        <v>7.5</v>
      </c>
      <c r="R196" s="47">
        <v>8</v>
      </c>
      <c r="S196" s="47">
        <v>8.5</v>
      </c>
      <c r="T196" s="47">
        <v>9</v>
      </c>
      <c r="U196" s="47">
        <v>9.5</v>
      </c>
      <c r="V196" s="47">
        <v>10</v>
      </c>
      <c r="W196" s="47">
        <v>10.5</v>
      </c>
      <c r="X196" s="47">
        <v>11</v>
      </c>
      <c r="Y196" s="47">
        <v>11.5</v>
      </c>
      <c r="Z196" s="47">
        <v>12</v>
      </c>
    </row>
    <row r="197" spans="3:26" x14ac:dyDescent="0.2">
      <c r="D197" s="24">
        <v>100</v>
      </c>
      <c r="E197" s="24">
        <v>150</v>
      </c>
      <c r="F197" s="24">
        <v>200</v>
      </c>
      <c r="G197" s="24">
        <v>250</v>
      </c>
      <c r="H197" s="24">
        <v>300</v>
      </c>
      <c r="I197" s="24">
        <v>350</v>
      </c>
      <c r="J197" s="24">
        <v>400</v>
      </c>
      <c r="K197" s="24">
        <v>450</v>
      </c>
      <c r="L197" s="24">
        <v>500</v>
      </c>
      <c r="M197" s="24">
        <v>550</v>
      </c>
      <c r="N197" s="24">
        <v>600</v>
      </c>
      <c r="O197" s="24">
        <v>650</v>
      </c>
      <c r="P197" s="24">
        <v>700</v>
      </c>
      <c r="Q197" s="24">
        <v>750</v>
      </c>
      <c r="R197" s="24">
        <v>800</v>
      </c>
      <c r="S197" s="24">
        <v>850</v>
      </c>
      <c r="T197" s="24">
        <v>900</v>
      </c>
      <c r="U197" s="24">
        <v>950</v>
      </c>
      <c r="V197" s="24">
        <v>1000</v>
      </c>
      <c r="W197" s="24">
        <v>1050</v>
      </c>
      <c r="X197" s="24">
        <v>1100</v>
      </c>
      <c r="Y197" s="24">
        <v>1150</v>
      </c>
      <c r="Z197" s="24">
        <v>1200</v>
      </c>
    </row>
    <row r="198" spans="3:26" x14ac:dyDescent="0.2">
      <c r="D198" s="26" t="str" cm="1">
        <f t="array" aca="1" ref="D198:D221" ca="1" xml:space="preserve"> _xlfn.TEXTSPLIT(_xlfn.FORMULATEXT(D196), , CHAR(10))</f>
        <v>= LET(</v>
      </c>
    </row>
    <row r="199" spans="3:26" x14ac:dyDescent="0.2">
      <c r="D199" s="26" t="str">
        <f ca="1"/>
        <v xml:space="preserve">  periods, $D$9:$I$9,</v>
      </c>
    </row>
    <row r="200" spans="3:26" x14ac:dyDescent="0.2">
      <c r="D200" s="26" t="str">
        <f ca="1"/>
        <v xml:space="preserve">  values, $D$10:$I$10,</v>
      </c>
    </row>
    <row r="201" spans="3:26" x14ac:dyDescent="0.2">
      <c r="D201" s="26" t="str">
        <f ca="1"/>
        <v xml:space="preserve">  _stp, D194,</v>
      </c>
    </row>
    <row r="202" spans="3:26" x14ac:dyDescent="0.2">
      <c r="D202" s="26" t="str">
        <f ca="1"/>
        <v xml:space="preserve">  _arrP, SORT(TOROW(periods)),</v>
      </c>
    </row>
    <row r="203" spans="3:26" x14ac:dyDescent="0.2">
      <c r="D203" s="26" t="str">
        <f ca="1"/>
        <v xml:space="preserve">  _arrV, TOROW(values),</v>
      </c>
    </row>
    <row r="204" spans="3:26" x14ac:dyDescent="0.2">
      <c r="D204" s="26" t="str">
        <f ca="1"/>
        <v xml:space="preserve">  _bgn, INDEX(_arrP, 1, 1),</v>
      </c>
    </row>
    <row r="205" spans="3:26" x14ac:dyDescent="0.2">
      <c r="D205" s="26" t="str">
        <f ca="1"/>
        <v xml:space="preserve">  _end, INDEX(_arrP, 1, COLUMNS(_arrP)),</v>
      </c>
    </row>
    <row r="206" spans="3:26" x14ac:dyDescent="0.2">
      <c r="D206" s="26" t="str">
        <f ca="1"/>
        <v xml:space="preserve">  _prd, SEQUENCE(1, ((_end - _bgn) / _stp) + 1, _bgn, _stp),</v>
      </c>
    </row>
    <row r="207" spans="3:26" x14ac:dyDescent="0.2">
      <c r="D207" s="26" t="str">
        <f ca="1"/>
        <v xml:space="preserve">  _idx, SEQUENCE(1, COLUMNS(_prd)),</v>
      </c>
    </row>
    <row r="208" spans="3:26" x14ac:dyDescent="0.2">
      <c r="D208" s="26" t="str">
        <f ca="1"/>
        <v xml:space="preserve">  _map, MAP(_prd, LAMBDA(_p, INDEX(_arrV, 1, XMATCH(_p, _arrP)))),</v>
      </c>
    </row>
    <row r="209" spans="2:4" x14ac:dyDescent="0.2">
      <c r="D209" s="26" t="str">
        <f ca="1"/>
        <v xml:space="preserve">  _scn, SCAN(0, _idx, LAMBDA(_prv,_c,</v>
      </c>
    </row>
    <row r="210" spans="2:4" x14ac:dyDescent="0.2">
      <c r="D210" s="26" t="str">
        <f ca="1"/>
        <v xml:space="preserve">    IF(ISNA(INDEX(_map, 1, _c)),</v>
      </c>
    </row>
    <row r="211" spans="2:4" x14ac:dyDescent="0.2">
      <c r="D211" s="26" t="str">
        <f ca="1"/>
        <v xml:space="preserve">    LET(</v>
      </c>
    </row>
    <row r="212" spans="2:4" x14ac:dyDescent="0.2">
      <c r="D212" s="26" t="str">
        <f ca="1"/>
        <v xml:space="preserve">      _arr, FILTER(DROP(_idx, , _c), NOT(ISNA(DROP(_map, , _c)))),</v>
      </c>
    </row>
    <row r="213" spans="2:4" x14ac:dyDescent="0.2">
      <c r="D213" s="26" t="str">
        <f ca="1"/>
        <v xml:space="preserve">      _i, INDEX(_arr, 1, 1),</v>
      </c>
    </row>
    <row r="214" spans="2:4" x14ac:dyDescent="0.2">
      <c r="D214" s="26" t="str">
        <f ca="1"/>
        <v xml:space="preserve">      _nxt, INDEX(_map, 1, _i),</v>
      </c>
    </row>
    <row r="215" spans="2:4" x14ac:dyDescent="0.2">
      <c r="D215" s="26" t="str">
        <f ca="1"/>
        <v xml:space="preserve">      _inc, (_nxt - _prv) / (_i - _c + 1),</v>
      </c>
    </row>
    <row r="216" spans="2:4" x14ac:dyDescent="0.2">
      <c r="D216" s="26" t="str">
        <f ca="1"/>
        <v xml:space="preserve">      _prv + _inc</v>
      </c>
    </row>
    <row r="217" spans="2:4" x14ac:dyDescent="0.2">
      <c r="D217" s="26" t="str">
        <f ca="1"/>
        <v xml:space="preserve">    ),</v>
      </c>
    </row>
    <row r="218" spans="2:4" x14ac:dyDescent="0.2">
      <c r="D218" s="26" t="str">
        <f ca="1"/>
        <v xml:space="preserve">    INDEX(_map, 1, _c)</v>
      </c>
    </row>
    <row r="219" spans="2:4" x14ac:dyDescent="0.2">
      <c r="D219" s="26" t="str">
        <f ca="1"/>
        <v xml:space="preserve">  ))),</v>
      </c>
    </row>
    <row r="220" spans="2:4" x14ac:dyDescent="0.2">
      <c r="D220" s="26" t="str">
        <f ca="1"/>
        <v xml:space="preserve">  VSTACK(_prd, _scn)</v>
      </c>
    </row>
    <row r="221" spans="2:4" x14ac:dyDescent="0.2">
      <c r="D221" s="26" t="str">
        <f ca="1"/>
        <v>)</v>
      </c>
    </row>
    <row r="223" spans="2:4" x14ac:dyDescent="0.2">
      <c r="B223" s="10" t="str" cm="1">
        <f t="array" ref="B223" xml:space="preserve"> "(" &amp; _xlfn.UNICHAR( 65 + SUMPRODUCT(--(_xlfn.REGEXTEST(B$1:B222, "^\([A-Z]\)$")))) &amp; ")"</f>
        <v>(H)</v>
      </c>
      <c r="C223" s="3" t="s">
        <v>99</v>
      </c>
    </row>
    <row r="225" spans="3:26" x14ac:dyDescent="0.2">
      <c r="C225" s="16" t="s">
        <v>91</v>
      </c>
      <c r="D225" s="45">
        <v>1</v>
      </c>
    </row>
    <row r="226" spans="3:26" x14ac:dyDescent="0.2">
      <c r="C226" s="16" t="s">
        <v>92</v>
      </c>
      <c r="D226" s="46" cm="1">
        <f t="array" ref="D226:Z226" xml:space="preserve"> _xlfn.SEQUENCE(1, COLUMNS(_xlfn.ANCHORARRAY(D228)))</f>
        <v>1</v>
      </c>
      <c r="E226" s="46">
        <v>2</v>
      </c>
      <c r="F226" s="46">
        <v>3</v>
      </c>
      <c r="G226" s="46">
        <v>4</v>
      </c>
      <c r="H226" s="46">
        <v>5</v>
      </c>
      <c r="I226" s="46">
        <v>6</v>
      </c>
      <c r="J226" s="46">
        <v>7</v>
      </c>
      <c r="K226" s="46">
        <v>8</v>
      </c>
      <c r="L226" s="46">
        <v>9</v>
      </c>
      <c r="M226" s="46">
        <v>10</v>
      </c>
      <c r="N226" s="46">
        <v>11</v>
      </c>
      <c r="O226" s="46">
        <v>12</v>
      </c>
      <c r="P226" s="46">
        <v>13</v>
      </c>
      <c r="Q226" s="46">
        <v>14</v>
      </c>
      <c r="R226" s="46">
        <v>15</v>
      </c>
      <c r="S226" s="46">
        <v>16</v>
      </c>
      <c r="T226" s="46">
        <v>17</v>
      </c>
      <c r="U226" s="46">
        <v>18</v>
      </c>
      <c r="V226" s="46">
        <v>19</v>
      </c>
      <c r="W226" s="46">
        <v>20</v>
      </c>
      <c r="X226" s="46">
        <v>21</v>
      </c>
      <c r="Y226" s="46">
        <v>22</v>
      </c>
      <c r="Z226" s="46">
        <v>23</v>
      </c>
    </row>
    <row r="227" spans="3:26" x14ac:dyDescent="0.2">
      <c r="C227" s="16" t="s">
        <v>96</v>
      </c>
      <c r="D227" s="38" cm="1">
        <f t="array" ref="D227:Z227" xml:space="preserve"> _xlfn.LET(
  _xlpm.periods, $D$12:$P$12,
  _xlpm.values, $D$13:$P$13,
  _xlpm._stp, D225,
  _xlpm._arrP, _xlfn._xlws.SORT(_xlfn.TOROW(_xlpm.periods)),
  _xlpm._arrV, _xlfn.TOROW(_xlpm.values),
  _xlpm._bgn, INDEX(_xlpm._arrP, 1, 1),
  _xlpm._end, INDEX(_xlpm._arrP, 1, COLUMNS(_xlpm._arrP)),
  _xlpm._prd, _xlfn.SEQUENCE(1, (_xlpm._end - _xlpm._bgn) + 1, _xlpm._bgn, _xlpm._stp),
  _xlpm._map, _xlfn.MAP(_xlpm._prd, _xlfn.LAMBDA(_xlpm._i, INDEX(_xlpm._arrV, 1, _xlfn.XMATCH(_xlpm._i, _xlpm._arrP)))),
  _xlpm._map
)</f>
        <v>100</v>
      </c>
      <c r="E227" s="38">
        <v>200</v>
      </c>
      <c r="F227" s="38" t="e">
        <v>#N/A</v>
      </c>
      <c r="G227" s="38">
        <v>400</v>
      </c>
      <c r="H227" s="38">
        <v>500</v>
      </c>
      <c r="I227" s="38" t="e">
        <v>#N/A</v>
      </c>
      <c r="J227" s="38" t="e">
        <v>#N/A</v>
      </c>
      <c r="K227" s="38">
        <v>800</v>
      </c>
      <c r="L227" s="38">
        <v>900</v>
      </c>
      <c r="M227" s="38" t="e">
        <v>#N/A</v>
      </c>
      <c r="N227" s="38">
        <v>1100</v>
      </c>
      <c r="O227" s="38">
        <v>1200</v>
      </c>
      <c r="P227" s="38" t="e">
        <v>#N/A</v>
      </c>
      <c r="Q227" s="38" t="e">
        <v>#N/A</v>
      </c>
      <c r="R227" s="38">
        <v>900</v>
      </c>
      <c r="S227" s="38">
        <v>800</v>
      </c>
      <c r="T227" s="38">
        <v>700</v>
      </c>
      <c r="U227" s="38" t="e">
        <v>#N/A</v>
      </c>
      <c r="V227" s="38" t="e">
        <v>#N/A</v>
      </c>
      <c r="W227" s="38" t="e">
        <v>#N/A</v>
      </c>
      <c r="X227" s="38">
        <v>300</v>
      </c>
      <c r="Y227" s="38" t="e">
        <v>#N/A</v>
      </c>
      <c r="Z227" s="38">
        <v>100</v>
      </c>
    </row>
    <row r="228" spans="3:26" x14ac:dyDescent="0.2">
      <c r="C228" s="16" t="s">
        <v>36</v>
      </c>
      <c r="D228" s="24" cm="1">
        <f t="array" ref="D228:Z229" xml:space="preserve"> _xlfn.LET(
  _xlpm.periods, $D$12:$P$12,
  _xlpm.values, $D$13:$P$13,
  _xlpm._stp, D225,
  _xlpm._arrP, _xlfn._xlws.SORT(_xlfn.TOROW(_xlpm.periods)),
  _xlpm._arrV, _xlfn.TOROW(_xlpm.values),
  _xlpm._bgn, INDEX(_xlpm._arrP, 1, 1),
  _xlpm._end, INDEX(_xlpm._arrP, 1, COLUMNS(_xlpm._arrP)),
  _xlpm._prd,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_xlfn.VSTACK(_xlpm._prd, _xlpm._scn)
)</f>
        <v>1</v>
      </c>
      <c r="E228" s="24">
        <v>2</v>
      </c>
      <c r="F228" s="24">
        <v>3</v>
      </c>
      <c r="G228" s="24">
        <v>4</v>
      </c>
      <c r="H228" s="24">
        <v>5</v>
      </c>
      <c r="I228" s="24">
        <v>6</v>
      </c>
      <c r="J228" s="24">
        <v>7</v>
      </c>
      <c r="K228" s="24">
        <v>8</v>
      </c>
      <c r="L228" s="24">
        <v>9</v>
      </c>
      <c r="M228" s="24">
        <v>10</v>
      </c>
      <c r="N228" s="24">
        <v>11</v>
      </c>
      <c r="O228" s="24">
        <v>12</v>
      </c>
      <c r="P228" s="24">
        <v>13</v>
      </c>
      <c r="Q228" s="24">
        <v>14</v>
      </c>
      <c r="R228" s="24">
        <v>15</v>
      </c>
      <c r="S228" s="24">
        <v>16</v>
      </c>
      <c r="T228" s="24">
        <v>17</v>
      </c>
      <c r="U228" s="24">
        <v>18</v>
      </c>
      <c r="V228" s="24">
        <v>19</v>
      </c>
      <c r="W228" s="24">
        <v>20</v>
      </c>
      <c r="X228" s="24">
        <v>21</v>
      </c>
      <c r="Y228" s="24">
        <v>22</v>
      </c>
      <c r="Z228" s="24">
        <v>23</v>
      </c>
    </row>
    <row r="229" spans="3:26" x14ac:dyDescent="0.2">
      <c r="D229" s="24">
        <v>100</v>
      </c>
      <c r="E229" s="24">
        <v>200</v>
      </c>
      <c r="F229" s="24">
        <v>300</v>
      </c>
      <c r="G229" s="24">
        <v>400</v>
      </c>
      <c r="H229" s="24">
        <v>500</v>
      </c>
      <c r="I229" s="24">
        <v>600</v>
      </c>
      <c r="J229" s="24">
        <v>700</v>
      </c>
      <c r="K229" s="24">
        <v>800</v>
      </c>
      <c r="L229" s="24">
        <v>900</v>
      </c>
      <c r="M229" s="24">
        <v>1000</v>
      </c>
      <c r="N229" s="24">
        <v>1100</v>
      </c>
      <c r="O229" s="24">
        <v>1200</v>
      </c>
      <c r="P229" s="24">
        <v>1100</v>
      </c>
      <c r="Q229" s="24">
        <v>1000</v>
      </c>
      <c r="R229" s="24">
        <v>900</v>
      </c>
      <c r="S229" s="24">
        <v>800</v>
      </c>
      <c r="T229" s="24">
        <v>700</v>
      </c>
      <c r="U229" s="24">
        <v>600</v>
      </c>
      <c r="V229" s="24">
        <v>500</v>
      </c>
      <c r="W229" s="24">
        <v>400</v>
      </c>
      <c r="X229" s="24">
        <v>300</v>
      </c>
      <c r="Y229" s="24">
        <v>200</v>
      </c>
      <c r="Z229" s="24">
        <v>100</v>
      </c>
    </row>
    <row r="230" spans="3:26" x14ac:dyDescent="0.2">
      <c r="D230" s="26" t="str" cm="1">
        <f t="array" aca="1" ref="D230:D253" ca="1" xml:space="preserve"> _xlfn.TEXTSPLIT(_xlfn.FORMULATEXT(D228), , CHAR(10))</f>
        <v>= LET(</v>
      </c>
    </row>
    <row r="231" spans="3:26" x14ac:dyDescent="0.2">
      <c r="D231" s="26" t="str">
        <f ca="1"/>
        <v xml:space="preserve">  periods, $D$12:$P$12,</v>
      </c>
    </row>
    <row r="232" spans="3:26" x14ac:dyDescent="0.2">
      <c r="D232" s="26" t="str">
        <f ca="1"/>
        <v xml:space="preserve">  values, $D$13:$P$13,</v>
      </c>
    </row>
    <row r="233" spans="3:26" x14ac:dyDescent="0.2">
      <c r="D233" s="26" t="str">
        <f ca="1"/>
        <v xml:space="preserve">  _stp, D225,</v>
      </c>
    </row>
    <row r="234" spans="3:26" x14ac:dyDescent="0.2">
      <c r="D234" s="26" t="str">
        <f ca="1"/>
        <v xml:space="preserve">  _arrP, SORT(TOROW(periods)),</v>
      </c>
    </row>
    <row r="235" spans="3:26" x14ac:dyDescent="0.2">
      <c r="D235" s="26" t="str">
        <f ca="1"/>
        <v xml:space="preserve">  _arrV, TOROW(values),</v>
      </c>
    </row>
    <row r="236" spans="3:26" x14ac:dyDescent="0.2">
      <c r="D236" s="26" t="str">
        <f ca="1"/>
        <v xml:space="preserve">  _bgn, INDEX(_arrP, 1, 1),</v>
      </c>
    </row>
    <row r="237" spans="3:26" x14ac:dyDescent="0.2">
      <c r="D237" s="26" t="str">
        <f ca="1"/>
        <v xml:space="preserve">  _end, INDEX(_arrP, 1, COLUMNS(_arrP)),</v>
      </c>
    </row>
    <row r="238" spans="3:26" x14ac:dyDescent="0.2">
      <c r="D238" s="26" t="str">
        <f ca="1"/>
        <v xml:space="preserve">  _prd, SEQUENCE(1, ((_end - _bgn) / _stp) + 1, _bgn, _stp),</v>
      </c>
    </row>
    <row r="239" spans="3:26" x14ac:dyDescent="0.2">
      <c r="D239" s="26" t="str">
        <f ca="1"/>
        <v xml:space="preserve">  _idx, SEQUENCE(1, COLUMNS(_prd)),</v>
      </c>
    </row>
    <row r="240" spans="3:26" x14ac:dyDescent="0.2">
      <c r="D240" s="26" t="str">
        <f ca="1"/>
        <v xml:space="preserve">  _map, MAP(_prd, LAMBDA(_p, INDEX(_arrV, 1, XMATCH(_p, _arrP)))),</v>
      </c>
    </row>
    <row r="241" spans="2:4" x14ac:dyDescent="0.2">
      <c r="D241" s="26" t="str">
        <f ca="1"/>
        <v xml:space="preserve">  _scn, SCAN(0, _idx, LAMBDA(_prv,_c,</v>
      </c>
    </row>
    <row r="242" spans="2:4" x14ac:dyDescent="0.2">
      <c r="D242" s="26" t="str">
        <f ca="1"/>
        <v xml:space="preserve">    IF(ISNA(INDEX(_map, 1, _c)),</v>
      </c>
    </row>
    <row r="243" spans="2:4" x14ac:dyDescent="0.2">
      <c r="D243" s="26" t="str">
        <f ca="1"/>
        <v xml:space="preserve">    LET(</v>
      </c>
    </row>
    <row r="244" spans="2:4" x14ac:dyDescent="0.2">
      <c r="D244" s="26" t="str">
        <f ca="1"/>
        <v xml:space="preserve">      _arr, FILTER(DROP(_idx, , _c), NOT(ISNA(DROP(_map, , _c)))),</v>
      </c>
    </row>
    <row r="245" spans="2:4" x14ac:dyDescent="0.2">
      <c r="D245" s="26" t="str">
        <f ca="1"/>
        <v xml:space="preserve">      _i, INDEX(_arr, 1, 1),</v>
      </c>
    </row>
    <row r="246" spans="2:4" x14ac:dyDescent="0.2">
      <c r="D246" s="26" t="str">
        <f ca="1"/>
        <v xml:space="preserve">      _nxt, INDEX(_map, 1, _i),</v>
      </c>
    </row>
    <row r="247" spans="2:4" x14ac:dyDescent="0.2">
      <c r="D247" s="26" t="str">
        <f ca="1"/>
        <v xml:space="preserve">      _inc, (_nxt - _prv) / (_i - _c + 1),</v>
      </c>
    </row>
    <row r="248" spans="2:4" x14ac:dyDescent="0.2">
      <c r="D248" s="26" t="str">
        <f ca="1"/>
        <v xml:space="preserve">      _prv + _inc</v>
      </c>
    </row>
    <row r="249" spans="2:4" x14ac:dyDescent="0.2">
      <c r="D249" s="26" t="str">
        <f ca="1"/>
        <v xml:space="preserve">    ),</v>
      </c>
    </row>
    <row r="250" spans="2:4" x14ac:dyDescent="0.2">
      <c r="D250" s="26" t="str">
        <f ca="1"/>
        <v xml:space="preserve">    INDEX(_map, 1, _c)</v>
      </c>
    </row>
    <row r="251" spans="2:4" x14ac:dyDescent="0.2">
      <c r="D251" s="26" t="str">
        <f ca="1"/>
        <v xml:space="preserve">  ))),</v>
      </c>
    </row>
    <row r="252" spans="2:4" x14ac:dyDescent="0.2">
      <c r="D252" s="26" t="str">
        <f ca="1"/>
        <v xml:space="preserve">  VSTACK(_prd, _scn)</v>
      </c>
    </row>
    <row r="253" spans="2:4" x14ac:dyDescent="0.2">
      <c r="D253" s="26" t="str">
        <f ca="1"/>
        <v>)</v>
      </c>
    </row>
    <row r="255" spans="2:4" x14ac:dyDescent="0.2">
      <c r="B255" s="10" t="str" cm="1">
        <f t="array" ref="B255" xml:space="preserve"> "(" &amp; _xlfn.UNICHAR( 65 + SUMPRODUCT(--(_xlfn.REGEXTEST(B$1:B254, "^\([A-Z]\)$")))) &amp; ")"</f>
        <v>(I)</v>
      </c>
      <c r="C255" s="3" t="s">
        <v>167</v>
      </c>
    </row>
    <row r="257" spans="3:27" x14ac:dyDescent="0.2">
      <c r="C257" s="16" t="s">
        <v>91</v>
      </c>
      <c r="D257" s="45">
        <v>1</v>
      </c>
    </row>
    <row r="258" spans="3:27" x14ac:dyDescent="0.2">
      <c r="C258" s="16" t="s">
        <v>92</v>
      </c>
      <c r="D258" s="42" cm="1">
        <f t="array" ref="D258:AA258" xml:space="preserve"> D15:AA15</f>
        <v>1</v>
      </c>
      <c r="E258" s="42">
        <v>2</v>
      </c>
      <c r="F258" s="42">
        <v>3</v>
      </c>
      <c r="G258" s="42">
        <v>4</v>
      </c>
      <c r="H258" s="42">
        <v>5</v>
      </c>
      <c r="I258" s="42">
        <v>6</v>
      </c>
      <c r="J258" s="42">
        <v>7</v>
      </c>
      <c r="K258" s="42">
        <v>8</v>
      </c>
      <c r="L258" s="42">
        <v>9</v>
      </c>
      <c r="M258" s="42">
        <v>10</v>
      </c>
      <c r="N258" s="42">
        <v>11</v>
      </c>
      <c r="O258" s="42">
        <v>12</v>
      </c>
      <c r="P258" s="42">
        <v>13</v>
      </c>
      <c r="Q258" s="42">
        <v>14</v>
      </c>
      <c r="R258" s="42">
        <v>15</v>
      </c>
      <c r="S258" s="42">
        <v>16</v>
      </c>
      <c r="T258" s="42">
        <v>17</v>
      </c>
      <c r="U258" s="42">
        <v>18</v>
      </c>
      <c r="V258" s="42">
        <v>19</v>
      </c>
      <c r="W258" s="42">
        <v>20</v>
      </c>
      <c r="X258" s="42">
        <v>21</v>
      </c>
      <c r="Y258" s="42">
        <v>22</v>
      </c>
      <c r="Z258" s="42">
        <v>23</v>
      </c>
      <c r="AA258" s="42">
        <v>24</v>
      </c>
    </row>
    <row r="259" spans="3:27" x14ac:dyDescent="0.2">
      <c r="C259" s="16" t="s">
        <v>59</v>
      </c>
      <c r="D259" s="38" cm="1">
        <f t="array" ref="D259:AA259" xml:space="preserve"> IF(ISBLANK(D17:AA17), NA(), D17:AA17)</f>
        <v>28</v>
      </c>
      <c r="E259" s="38">
        <v>40</v>
      </c>
      <c r="F259" s="38" t="e">
        <v>#N/A</v>
      </c>
      <c r="G259" s="38">
        <v>34</v>
      </c>
      <c r="H259" s="38">
        <v>20</v>
      </c>
      <c r="I259" s="38" t="e">
        <v>#N/A</v>
      </c>
      <c r="J259" s="38" t="e">
        <v>#N/A</v>
      </c>
      <c r="K259" s="38">
        <v>55</v>
      </c>
      <c r="L259" s="38">
        <v>30</v>
      </c>
      <c r="M259" s="38" t="e">
        <v>#N/A</v>
      </c>
      <c r="N259" s="38">
        <v>39</v>
      </c>
      <c r="O259" s="38">
        <v>34</v>
      </c>
      <c r="P259" s="38">
        <v>30</v>
      </c>
      <c r="Q259" s="38">
        <v>34</v>
      </c>
      <c r="R259" s="38">
        <v>50</v>
      </c>
      <c r="S259" s="38">
        <v>20</v>
      </c>
      <c r="T259" s="38">
        <v>25</v>
      </c>
      <c r="U259" s="38" t="e">
        <v>#N/A</v>
      </c>
      <c r="V259" s="38" t="e">
        <v>#N/A</v>
      </c>
      <c r="W259" s="38" t="e">
        <v>#N/A</v>
      </c>
      <c r="X259" s="38">
        <v>30</v>
      </c>
      <c r="Y259" s="38">
        <v>37</v>
      </c>
      <c r="Z259" s="38">
        <v>35</v>
      </c>
      <c r="AA259" s="38">
        <v>28</v>
      </c>
    </row>
    <row r="260" spans="3:27" x14ac:dyDescent="0.2">
      <c r="C260" s="16" t="s">
        <v>36</v>
      </c>
      <c r="D260" s="24" cm="1">
        <f t="array" ref="D260:AA261" xml:space="preserve"> _xlfn.LET(
  _xlpm.periods, $D$15:$AA$15,
  _xlpm.values, $D$17:$AA$17,
  _xlpm._stp, D257,
  _xlpm._arrP, _xlfn._xlws.SORT(_xlfn.TOROW(_xlpm.periods)),
  _xlpm._arrV, _xlfn.MAP(_xlfn.TOROW(_xlpm.values), _xlfn.LAMBDA(_xlpm._v, IF(OR(ISERROR(_xlpm._v), ISBLANK(_xlpm._v)), NA(), _xlpm._v))),
  _xlpm._bgn, INDEX(_xlpm._arrP, 1, 1),
  _xlpm._end, INDEX(_xlpm._arrP, 1, COLUMNS(_xlpm._arrP)),
  _xlpm._prd,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_xlfn.VSTACK(_xlpm._prd, _xlpm._scn)
)</f>
        <v>1</v>
      </c>
      <c r="E260" s="24">
        <v>2</v>
      </c>
      <c r="F260" s="24">
        <v>3</v>
      </c>
      <c r="G260" s="24">
        <v>4</v>
      </c>
      <c r="H260" s="24">
        <v>5</v>
      </c>
      <c r="I260" s="24">
        <v>6</v>
      </c>
      <c r="J260" s="24">
        <v>7</v>
      </c>
      <c r="K260" s="24">
        <v>8</v>
      </c>
      <c r="L260" s="24">
        <v>9</v>
      </c>
      <c r="M260" s="24">
        <v>10</v>
      </c>
      <c r="N260" s="24">
        <v>11</v>
      </c>
      <c r="O260" s="24">
        <v>12</v>
      </c>
      <c r="P260" s="24">
        <v>13</v>
      </c>
      <c r="Q260" s="24">
        <v>14</v>
      </c>
      <c r="R260" s="24">
        <v>15</v>
      </c>
      <c r="S260" s="24">
        <v>16</v>
      </c>
      <c r="T260" s="24">
        <v>17</v>
      </c>
      <c r="U260" s="24">
        <v>18</v>
      </c>
      <c r="V260" s="24">
        <v>19</v>
      </c>
      <c r="W260" s="24">
        <v>20</v>
      </c>
      <c r="X260" s="24">
        <v>21</v>
      </c>
      <c r="Y260" s="24">
        <v>22</v>
      </c>
      <c r="Z260" s="24">
        <v>23</v>
      </c>
      <c r="AA260" s="24">
        <v>24</v>
      </c>
    </row>
    <row r="261" spans="3:27" x14ac:dyDescent="0.2">
      <c r="C261" s="16"/>
      <c r="D261" s="24">
        <v>28</v>
      </c>
      <c r="E261" s="24">
        <v>40</v>
      </c>
      <c r="F261" s="24">
        <v>37</v>
      </c>
      <c r="G261" s="24">
        <v>34</v>
      </c>
      <c r="H261" s="24">
        <v>20</v>
      </c>
      <c r="I261" s="24">
        <v>31.666666666666664</v>
      </c>
      <c r="J261" s="24">
        <v>43.333333333333329</v>
      </c>
      <c r="K261" s="24">
        <v>55</v>
      </c>
      <c r="L261" s="24">
        <v>30</v>
      </c>
      <c r="M261" s="24">
        <v>34.5</v>
      </c>
      <c r="N261" s="24">
        <v>39</v>
      </c>
      <c r="O261" s="24">
        <v>34</v>
      </c>
      <c r="P261" s="24">
        <v>30</v>
      </c>
      <c r="Q261" s="24">
        <v>34</v>
      </c>
      <c r="R261" s="24">
        <v>50</v>
      </c>
      <c r="S261" s="24">
        <v>20</v>
      </c>
      <c r="T261" s="24">
        <v>25</v>
      </c>
      <c r="U261" s="24">
        <v>26.25</v>
      </c>
      <c r="V261" s="24">
        <v>27.5</v>
      </c>
      <c r="W261" s="24">
        <v>28.75</v>
      </c>
      <c r="X261" s="24">
        <v>30</v>
      </c>
      <c r="Y261" s="24">
        <v>37</v>
      </c>
      <c r="Z261" s="24">
        <v>35</v>
      </c>
      <c r="AA261" s="24">
        <v>28</v>
      </c>
    </row>
    <row r="262" spans="3:27" x14ac:dyDescent="0.2">
      <c r="D262" s="26" t="str" cm="1">
        <f t="array" aca="1" ref="D262:D285" ca="1" xml:space="preserve"> _xlfn.TEXTSPLIT(_xlfn.FORMULATEXT(D260), , CHAR(10))</f>
        <v>= LET(</v>
      </c>
    </row>
    <row r="263" spans="3:27" x14ac:dyDescent="0.2">
      <c r="D263" s="26" t="str">
        <f ca="1"/>
        <v xml:space="preserve">  periods, $D$15:$AA$15,</v>
      </c>
    </row>
    <row r="264" spans="3:27" x14ac:dyDescent="0.2">
      <c r="D264" s="26" t="str">
        <f ca="1"/>
        <v xml:space="preserve">  values, $D$17:$AA$17,</v>
      </c>
    </row>
    <row r="265" spans="3:27" x14ac:dyDescent="0.2">
      <c r="D265" s="26" t="str">
        <f ca="1"/>
        <v xml:space="preserve">  _stp, D257,</v>
      </c>
    </row>
    <row r="266" spans="3:27" x14ac:dyDescent="0.2">
      <c r="D266" s="26" t="str">
        <f ca="1"/>
        <v xml:space="preserve">  _arrP, SORT(TOROW(periods)),</v>
      </c>
    </row>
    <row r="267" spans="3:27" x14ac:dyDescent="0.2">
      <c r="D267" s="26" t="str">
        <f ca="1"/>
        <v xml:space="preserve">  _arrV, MAP(TOROW(values), LAMBDA(_v, IF(OR(ISERROR(_v), ISBLANK(_v)), NA(), _v))),</v>
      </c>
    </row>
    <row r="268" spans="3:27" x14ac:dyDescent="0.2">
      <c r="D268" s="26" t="str">
        <f ca="1"/>
        <v xml:space="preserve">  _bgn, INDEX(_arrP, 1, 1),</v>
      </c>
    </row>
    <row r="269" spans="3:27" x14ac:dyDescent="0.2">
      <c r="D269" s="26" t="str">
        <f ca="1"/>
        <v xml:space="preserve">  _end, INDEX(_arrP, 1, COLUMNS(_arrP)),</v>
      </c>
    </row>
    <row r="270" spans="3:27" x14ac:dyDescent="0.2">
      <c r="D270" s="26" t="str">
        <f ca="1"/>
        <v xml:space="preserve">  _prd, SEQUENCE(1, ((_end - _bgn) / _stp) + 1, _bgn, _stp),</v>
      </c>
    </row>
    <row r="271" spans="3:27" x14ac:dyDescent="0.2">
      <c r="D271" s="26" t="str">
        <f ca="1"/>
        <v xml:space="preserve">  _idx, SEQUENCE(1, COLUMNS(_prd)),</v>
      </c>
    </row>
    <row r="272" spans="3:27" x14ac:dyDescent="0.2">
      <c r="D272" s="26" t="str">
        <f ca="1"/>
        <v xml:space="preserve">  _map, MAP(_prd, LAMBDA(_p, INDEX(_arrV, 1, XMATCH(_p, _arrP)))),</v>
      </c>
    </row>
    <row r="273" spans="2:4" x14ac:dyDescent="0.2">
      <c r="D273" s="26" t="str">
        <f ca="1"/>
        <v xml:space="preserve">  _scn, SCAN(0, _idx, LAMBDA(_prv,_c,</v>
      </c>
    </row>
    <row r="274" spans="2:4" x14ac:dyDescent="0.2">
      <c r="D274" s="26" t="str">
        <f ca="1"/>
        <v xml:space="preserve">    IF(ISNA(INDEX(_map, 1, _c)),</v>
      </c>
    </row>
    <row r="275" spans="2:4" x14ac:dyDescent="0.2">
      <c r="D275" s="26" t="str">
        <f ca="1"/>
        <v xml:space="preserve">    LET(</v>
      </c>
    </row>
    <row r="276" spans="2:4" x14ac:dyDescent="0.2">
      <c r="D276" s="26" t="str">
        <f ca="1"/>
        <v xml:space="preserve">      _arr, FILTER(DROP(_idx, , _c), NOT(ISNA(DROP(_map, , _c)))),</v>
      </c>
    </row>
    <row r="277" spans="2:4" x14ac:dyDescent="0.2">
      <c r="D277" s="26" t="str">
        <f ca="1"/>
        <v xml:space="preserve">      _i, INDEX(_arr, 1, 1),</v>
      </c>
    </row>
    <row r="278" spans="2:4" x14ac:dyDescent="0.2">
      <c r="D278" s="26" t="str">
        <f ca="1"/>
        <v xml:space="preserve">      _nxt, INDEX(_map, 1, _i),</v>
      </c>
    </row>
    <row r="279" spans="2:4" x14ac:dyDescent="0.2">
      <c r="D279" s="26" t="str">
        <f ca="1"/>
        <v xml:space="preserve">      _inc, (_nxt - _prv) / (_i - _c + 1),</v>
      </c>
    </row>
    <row r="280" spans="2:4" x14ac:dyDescent="0.2">
      <c r="D280" s="26" t="str">
        <f ca="1"/>
        <v xml:space="preserve">      _prv + _inc</v>
      </c>
    </row>
    <row r="281" spans="2:4" x14ac:dyDescent="0.2">
      <c r="D281" s="26" t="str">
        <f ca="1"/>
        <v xml:space="preserve">    ),</v>
      </c>
    </row>
    <row r="282" spans="2:4" x14ac:dyDescent="0.2">
      <c r="D282" s="26" t="str">
        <f ca="1"/>
        <v xml:space="preserve">    INDEX(_map, 1, _c)</v>
      </c>
    </row>
    <row r="283" spans="2:4" x14ac:dyDescent="0.2">
      <c r="D283" s="26" t="str">
        <f ca="1"/>
        <v xml:space="preserve">  ))),</v>
      </c>
    </row>
    <row r="284" spans="2:4" x14ac:dyDescent="0.2">
      <c r="D284" s="26" t="str">
        <f ca="1"/>
        <v xml:space="preserve">  VSTACK(_prd, _scn)</v>
      </c>
    </row>
    <row r="285" spans="2:4" x14ac:dyDescent="0.2">
      <c r="D285" s="26" t="str">
        <f ca="1"/>
        <v>)</v>
      </c>
    </row>
    <row r="287" spans="2:4" x14ac:dyDescent="0.2">
      <c r="B287" s="10" t="str" cm="1">
        <f t="array" ref="B287" xml:space="preserve"> "(" &amp; _xlfn.UNICHAR( 65 + SUMPRODUCT(--(_xlfn.REGEXTEST(B$1:B286, "^\([A-Z]\)$")))) &amp; ")"</f>
        <v>(J)</v>
      </c>
      <c r="C287" s="3" t="s">
        <v>102</v>
      </c>
    </row>
    <row r="289" spans="3:27" x14ac:dyDescent="0.2">
      <c r="C289" s="16" t="s">
        <v>59</v>
      </c>
      <c r="D289" s="48" t="s">
        <v>100</v>
      </c>
    </row>
    <row r="290" spans="3:27" x14ac:dyDescent="0.2">
      <c r="C290" s="16" t="s">
        <v>91</v>
      </c>
      <c r="D290" s="45">
        <v>0</v>
      </c>
    </row>
    <row r="291" spans="3:27" x14ac:dyDescent="0.2">
      <c r="D291" s="42" cm="1">
        <f t="array" ref="D291:AA291" xml:space="preserve"> _xlfn.SEQUENCE(1, COLUMNS(_xlfn.ANCHORARRAY(D292)))</f>
        <v>1</v>
      </c>
      <c r="E291" s="42">
        <v>2</v>
      </c>
      <c r="F291" s="42">
        <v>3</v>
      </c>
      <c r="G291" s="42">
        <v>4</v>
      </c>
      <c r="H291" s="42">
        <v>5</v>
      </c>
      <c r="I291" s="42">
        <v>6</v>
      </c>
      <c r="J291" s="42">
        <v>7</v>
      </c>
      <c r="K291" s="42">
        <v>8</v>
      </c>
      <c r="L291" s="42">
        <v>9</v>
      </c>
      <c r="M291" s="42">
        <v>10</v>
      </c>
      <c r="N291" s="42">
        <v>11</v>
      </c>
      <c r="O291" s="42">
        <v>12</v>
      </c>
      <c r="P291" s="42">
        <v>13</v>
      </c>
      <c r="Q291" s="42">
        <v>14</v>
      </c>
      <c r="R291" s="42">
        <v>15</v>
      </c>
      <c r="S291" s="42">
        <v>16</v>
      </c>
      <c r="T291" s="42">
        <v>17</v>
      </c>
      <c r="U291" s="42">
        <v>18</v>
      </c>
      <c r="V291" s="42">
        <v>19</v>
      </c>
      <c r="W291" s="42">
        <v>20</v>
      </c>
      <c r="X291" s="42">
        <v>21</v>
      </c>
      <c r="Y291" s="42">
        <v>22</v>
      </c>
      <c r="Z291" s="42">
        <v>23</v>
      </c>
      <c r="AA291" s="42">
        <v>24</v>
      </c>
    </row>
    <row r="292" spans="3:27" x14ac:dyDescent="0.2">
      <c r="C292" s="16" t="s">
        <v>101</v>
      </c>
      <c r="D292" s="38" cm="1">
        <f t="array" ref="D292:AA292" xml:space="preserve"> IF(D289 = "No Blanks", $D$19:$T$19, $D$15:$AA$15)</f>
        <v>1</v>
      </c>
      <c r="E292" s="38">
        <v>2</v>
      </c>
      <c r="F292" s="38">
        <v>3</v>
      </c>
      <c r="G292" s="38">
        <v>4</v>
      </c>
      <c r="H292" s="38">
        <v>5</v>
      </c>
      <c r="I292" s="38">
        <v>6</v>
      </c>
      <c r="J292" s="38">
        <v>7</v>
      </c>
      <c r="K292" s="38">
        <v>8</v>
      </c>
      <c r="L292" s="38">
        <v>9</v>
      </c>
      <c r="M292" s="38">
        <v>10</v>
      </c>
      <c r="N292" s="38">
        <v>11</v>
      </c>
      <c r="O292" s="38">
        <v>12</v>
      </c>
      <c r="P292" s="38">
        <v>13</v>
      </c>
      <c r="Q292" s="38">
        <v>14</v>
      </c>
      <c r="R292" s="38">
        <v>15</v>
      </c>
      <c r="S292" s="38">
        <v>16</v>
      </c>
      <c r="T292" s="38">
        <v>17</v>
      </c>
      <c r="U292" s="38">
        <v>18</v>
      </c>
      <c r="V292" s="38">
        <v>19</v>
      </c>
      <c r="W292" s="38">
        <v>20</v>
      </c>
      <c r="X292" s="38">
        <v>21</v>
      </c>
      <c r="Y292" s="38">
        <v>22</v>
      </c>
      <c r="Z292" s="38">
        <v>23</v>
      </c>
      <c r="AA292" s="38">
        <v>24</v>
      </c>
    </row>
    <row r="293" spans="3:27" x14ac:dyDescent="0.2">
      <c r="C293" s="16" t="s">
        <v>59</v>
      </c>
      <c r="D293" s="38" cm="1">
        <f t="array" ref="D293:AA293" xml:space="preserve"> _xlfn.LET(
  _xlpm._arr, IF(D289 = "No Blanks", $D$20:$T$20, $D$17:$AA$17),
  _xlpm._rtn, _xlfn.MAP(_xlpm._arr, _xlfn.LAMBDA(_xlpm._v, IF(OR(ISERROR(_xlpm._v), ISBLANK(_xlpm._v)), NA(), _xlpm._v))),
  _xlpm._rtn
)</f>
        <v>28</v>
      </c>
      <c r="E293" s="38">
        <v>40</v>
      </c>
      <c r="F293" s="38" t="e">
        <v>#N/A</v>
      </c>
      <c r="G293" s="38">
        <v>34</v>
      </c>
      <c r="H293" s="38">
        <v>20</v>
      </c>
      <c r="I293" s="38" t="e">
        <v>#N/A</v>
      </c>
      <c r="J293" s="38" t="e">
        <v>#N/A</v>
      </c>
      <c r="K293" s="38">
        <v>55</v>
      </c>
      <c r="L293" s="38">
        <v>30</v>
      </c>
      <c r="M293" s="38" t="e">
        <v>#N/A</v>
      </c>
      <c r="N293" s="38">
        <v>39</v>
      </c>
      <c r="O293" s="38">
        <v>34</v>
      </c>
      <c r="P293" s="38">
        <v>30</v>
      </c>
      <c r="Q293" s="38">
        <v>34</v>
      </c>
      <c r="R293" s="38">
        <v>50</v>
      </c>
      <c r="S293" s="38">
        <v>20</v>
      </c>
      <c r="T293" s="38">
        <v>25</v>
      </c>
      <c r="U293" s="38" t="e">
        <v>#N/A</v>
      </c>
      <c r="V293" s="38" t="e">
        <v>#N/A</v>
      </c>
      <c r="W293" s="38" t="e">
        <v>#N/A</v>
      </c>
      <c r="X293" s="38">
        <v>30</v>
      </c>
      <c r="Y293" s="38">
        <v>37</v>
      </c>
      <c r="Z293" s="38">
        <v>35</v>
      </c>
      <c r="AA293" s="38">
        <v>28</v>
      </c>
    </row>
    <row r="294" spans="3:27" x14ac:dyDescent="0.2">
      <c r="C294" s="16" t="s">
        <v>36</v>
      </c>
      <c r="D294" s="24" cm="1">
        <f t="array" ref="D294:AA295" xml:space="preserve"> _xlfn.LET(
  _xlpm.periods, IF(D289 = "No Blanks", $D$19:$T$19, $D$15:$AA$15),
  _xlpm.values, IF(D289 = "No Blanks", $D$20:$T$20, $D$17:$AA$17),
  _xlpm._stp, D290,
  _xlpm._arrP, _xlfn._xlws.SORT(_xlfn.TOROW(_xlpm.periods)),
  _xlpm._arrV, _xlfn.MAP(_xlfn.TOROW(_xlpm.values), _xlfn.LAMBDA(_xlpm._v, IF(OR(ISERROR(_xlpm._v), ISBLANK(_xlpm._v)), NA(), _xlpm._v))),
  _xlpm._bgn, INDEX(_xlpm._arrP, 1, 1),
  _xlpm._end, INDEX(_xlpm._arrP, 1, COLUMNS(_xlpm._arrP)),
  _xlpm._prd, IF(_xlpm._stp = 0, _xlpm._arrP,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_xlpm._rtn, _xlfn.VSTACK(_xlpm._prd, _xlpm._scn),
  _xlpm._rtn
)</f>
        <v>1</v>
      </c>
      <c r="E294" s="24">
        <v>2</v>
      </c>
      <c r="F294" s="24">
        <v>3</v>
      </c>
      <c r="G294" s="24">
        <v>4</v>
      </c>
      <c r="H294" s="24">
        <v>5</v>
      </c>
      <c r="I294" s="24">
        <v>6</v>
      </c>
      <c r="J294" s="24">
        <v>7</v>
      </c>
      <c r="K294" s="24">
        <v>8</v>
      </c>
      <c r="L294" s="24">
        <v>9</v>
      </c>
      <c r="M294" s="24">
        <v>10</v>
      </c>
      <c r="N294" s="24">
        <v>11</v>
      </c>
      <c r="O294" s="24">
        <v>12</v>
      </c>
      <c r="P294" s="24">
        <v>13</v>
      </c>
      <c r="Q294" s="24">
        <v>14</v>
      </c>
      <c r="R294" s="24">
        <v>15</v>
      </c>
      <c r="S294" s="24">
        <v>16</v>
      </c>
      <c r="T294" s="24">
        <v>17</v>
      </c>
      <c r="U294" s="24">
        <v>18</v>
      </c>
      <c r="V294" s="24">
        <v>19</v>
      </c>
      <c r="W294" s="24">
        <v>20</v>
      </c>
      <c r="X294" s="24">
        <v>21</v>
      </c>
      <c r="Y294" s="24">
        <v>22</v>
      </c>
      <c r="Z294" s="24">
        <v>23</v>
      </c>
      <c r="AA294" s="24">
        <v>24</v>
      </c>
    </row>
    <row r="295" spans="3:27" x14ac:dyDescent="0.2">
      <c r="D295" s="24">
        <v>28</v>
      </c>
      <c r="E295" s="24">
        <v>40</v>
      </c>
      <c r="F295" s="24">
        <v>37</v>
      </c>
      <c r="G295" s="24">
        <v>34</v>
      </c>
      <c r="H295" s="24">
        <v>20</v>
      </c>
      <c r="I295" s="24">
        <v>31.666666666666664</v>
      </c>
      <c r="J295" s="24">
        <v>43.333333333333329</v>
      </c>
      <c r="K295" s="24">
        <v>55</v>
      </c>
      <c r="L295" s="24">
        <v>30</v>
      </c>
      <c r="M295" s="24">
        <v>34.5</v>
      </c>
      <c r="N295" s="24">
        <v>39</v>
      </c>
      <c r="O295" s="24">
        <v>34</v>
      </c>
      <c r="P295" s="24">
        <v>30</v>
      </c>
      <c r="Q295" s="24">
        <v>34</v>
      </c>
      <c r="R295" s="24">
        <v>50</v>
      </c>
      <c r="S295" s="24">
        <v>20</v>
      </c>
      <c r="T295" s="24">
        <v>25</v>
      </c>
      <c r="U295" s="24">
        <v>26.25</v>
      </c>
      <c r="V295" s="24">
        <v>27.5</v>
      </c>
      <c r="W295" s="24">
        <v>28.75</v>
      </c>
      <c r="X295" s="24">
        <v>30</v>
      </c>
      <c r="Y295" s="24">
        <v>37</v>
      </c>
      <c r="Z295" s="24">
        <v>35</v>
      </c>
      <c r="AA295" s="24">
        <v>28</v>
      </c>
    </row>
    <row r="296" spans="3:27" x14ac:dyDescent="0.2">
      <c r="D296" s="26" t="str" cm="1">
        <f t="array" aca="1" ref="D296:D320" ca="1" xml:space="preserve"> _xlfn.TEXTSPLIT(_xlfn.FORMULATEXT(D294), , CHAR(10))</f>
        <v>= LET(</v>
      </c>
    </row>
    <row r="297" spans="3:27" x14ac:dyDescent="0.2">
      <c r="D297" s="26" t="str">
        <f ca="1"/>
        <v xml:space="preserve">  periods, IF(D289 = "No Blanks", $D$19:$T$19, $D$15:$AA$15),</v>
      </c>
    </row>
    <row r="298" spans="3:27" x14ac:dyDescent="0.2">
      <c r="D298" s="26" t="str">
        <f ca="1"/>
        <v xml:space="preserve">  values, IF(D289 = "No Blanks", $D$20:$T$20, $D$17:$AA$17),</v>
      </c>
    </row>
    <row r="299" spans="3:27" x14ac:dyDescent="0.2">
      <c r="D299" s="26" t="str">
        <f ca="1"/>
        <v xml:space="preserve">  _stp, D290,</v>
      </c>
    </row>
    <row r="300" spans="3:27" x14ac:dyDescent="0.2">
      <c r="D300" s="26" t="str">
        <f ca="1"/>
        <v xml:space="preserve">  _arrP, SORT(TOROW(periods)),</v>
      </c>
    </row>
    <row r="301" spans="3:27" x14ac:dyDescent="0.2">
      <c r="D301" s="26" t="str">
        <f ca="1"/>
        <v xml:space="preserve">  _arrV, MAP(TOROW(values), LAMBDA(_v, IF(OR(ISERROR(_v), ISBLANK(_v)), NA(), _v))),</v>
      </c>
    </row>
    <row r="302" spans="3:27" x14ac:dyDescent="0.2">
      <c r="D302" s="26" t="str">
        <f ca="1"/>
        <v xml:space="preserve">  _bgn, INDEX(_arrP, 1, 1),</v>
      </c>
    </row>
    <row r="303" spans="3:27" x14ac:dyDescent="0.2">
      <c r="D303" s="26" t="str">
        <f ca="1"/>
        <v xml:space="preserve">  _end, INDEX(_arrP, 1, COLUMNS(_arrP)),</v>
      </c>
    </row>
    <row r="304" spans="3:27" x14ac:dyDescent="0.2">
      <c r="D304" s="26" t="str">
        <f ca="1"/>
        <v xml:space="preserve">  _prd, IF(_stp = 0, _arrP, SEQUENCE(1, ((_end - _bgn) / _stp) + 1, _bgn, _stp)),</v>
      </c>
    </row>
    <row r="305" spans="4:4" x14ac:dyDescent="0.2">
      <c r="D305" s="26" t="str">
        <f ca="1"/>
        <v xml:space="preserve">  _idx, SEQUENCE(1, COLUMNS(_prd)),</v>
      </c>
    </row>
    <row r="306" spans="4:4" x14ac:dyDescent="0.2">
      <c r="D306" s="26" t="str">
        <f ca="1"/>
        <v xml:space="preserve">  _map, MAP(_prd, LAMBDA(_p, INDEX(_arrV, 1, XMATCH(_p, _arrP)))),</v>
      </c>
    </row>
    <row r="307" spans="4:4" x14ac:dyDescent="0.2">
      <c r="D307" s="26" t="str">
        <f ca="1"/>
        <v xml:space="preserve">  _scn, SCAN(0, _idx, LAMBDA(_prv,_c,</v>
      </c>
    </row>
    <row r="308" spans="4:4" x14ac:dyDescent="0.2">
      <c r="D308" s="26" t="str">
        <f ca="1"/>
        <v xml:space="preserve">    IF(ISNA(INDEX(_map, 1, _c)),</v>
      </c>
    </row>
    <row r="309" spans="4:4" x14ac:dyDescent="0.2">
      <c r="D309" s="26" t="str">
        <f ca="1"/>
        <v xml:space="preserve">    LET(</v>
      </c>
    </row>
    <row r="310" spans="4:4" x14ac:dyDescent="0.2">
      <c r="D310" s="26" t="str">
        <f ca="1"/>
        <v xml:space="preserve">      _arr, FILTER(DROP(_idx, , _c), NOT(ISNA(DROP(_map, , _c)))),</v>
      </c>
    </row>
    <row r="311" spans="4:4" x14ac:dyDescent="0.2">
      <c r="D311" s="26" t="str">
        <f ca="1"/>
        <v xml:space="preserve">      _i, INDEX(_arr, 1, 1),</v>
      </c>
    </row>
    <row r="312" spans="4:4" x14ac:dyDescent="0.2">
      <c r="D312" s="26" t="str">
        <f ca="1"/>
        <v xml:space="preserve">      _nxt, INDEX(_map, 1, _i),</v>
      </c>
    </row>
    <row r="313" spans="4:4" x14ac:dyDescent="0.2">
      <c r="D313" s="26" t="str">
        <f ca="1"/>
        <v xml:space="preserve">      _inc, (_nxt - _prv) / (_i - _c + 1),</v>
      </c>
    </row>
    <row r="314" spans="4:4" x14ac:dyDescent="0.2">
      <c r="D314" s="26" t="str">
        <f ca="1"/>
        <v xml:space="preserve">      _prv + _inc</v>
      </c>
    </row>
    <row r="315" spans="4:4" x14ac:dyDescent="0.2">
      <c r="D315" s="26" t="str">
        <f ca="1"/>
        <v xml:space="preserve">    ),</v>
      </c>
    </row>
    <row r="316" spans="4:4" x14ac:dyDescent="0.2">
      <c r="D316" s="26" t="str">
        <f ca="1"/>
        <v xml:space="preserve">    INDEX(_map, 1, _c)</v>
      </c>
    </row>
    <row r="317" spans="4:4" x14ac:dyDescent="0.2">
      <c r="D317" s="26" t="str">
        <f ca="1"/>
        <v xml:space="preserve">  ))),</v>
      </c>
    </row>
    <row r="318" spans="4:4" x14ac:dyDescent="0.2">
      <c r="D318" s="26" t="str">
        <f ca="1"/>
        <v xml:space="preserve">  _rtn, VSTACK(_prd, _scn),</v>
      </c>
    </row>
    <row r="319" spans="4:4" x14ac:dyDescent="0.2">
      <c r="D319" s="26" t="str">
        <f ca="1"/>
        <v xml:space="preserve">  _rtn</v>
      </c>
    </row>
    <row r="320" spans="4:4" x14ac:dyDescent="0.2">
      <c r="D320" s="26" t="str">
        <f ca="1"/>
        <v>)</v>
      </c>
    </row>
    <row r="322" spans="2:27" x14ac:dyDescent="0.2">
      <c r="B322" s="10" t="str" cm="1">
        <f t="array" ref="B322" xml:space="preserve"> "(" &amp; _xlfn.UNICHAR( 65 + SUMPRODUCT(--(_xlfn.REGEXTEST(B$1:B321, "^\([A-Z]\)$")))) &amp; ")"</f>
        <v>(K)</v>
      </c>
      <c r="C322" s="3" t="s">
        <v>103</v>
      </c>
    </row>
    <row r="324" spans="2:27" x14ac:dyDescent="0.2">
      <c r="C324" s="16" t="s">
        <v>59</v>
      </c>
      <c r="D324" s="48" t="s">
        <v>100</v>
      </c>
    </row>
    <row r="325" spans="2:27" x14ac:dyDescent="0.2">
      <c r="C325" s="16" t="s">
        <v>91</v>
      </c>
      <c r="D325" s="45">
        <v>1</v>
      </c>
    </row>
    <row r="326" spans="2:27" x14ac:dyDescent="0.2">
      <c r="C326" s="16" t="s">
        <v>107</v>
      </c>
      <c r="D326" s="49">
        <v>1</v>
      </c>
    </row>
    <row r="327" spans="2:27" x14ac:dyDescent="0.2">
      <c r="D327" s="42" cm="1">
        <f t="array" ref="D327:AA327" xml:space="preserve"> _xlfn.SEQUENCE(1, COLUMNS(_xlfn.ANCHORARRAY(D328)))</f>
        <v>1</v>
      </c>
      <c r="E327" s="42">
        <v>2</v>
      </c>
      <c r="F327" s="42">
        <v>3</v>
      </c>
      <c r="G327" s="42">
        <v>4</v>
      </c>
      <c r="H327" s="42">
        <v>5</v>
      </c>
      <c r="I327" s="42">
        <v>6</v>
      </c>
      <c r="J327" s="42">
        <v>7</v>
      </c>
      <c r="K327" s="42">
        <v>8</v>
      </c>
      <c r="L327" s="42">
        <v>9</v>
      </c>
      <c r="M327" s="42">
        <v>10</v>
      </c>
      <c r="N327" s="42">
        <v>11</v>
      </c>
      <c r="O327" s="42">
        <v>12</v>
      </c>
      <c r="P327" s="42">
        <v>13</v>
      </c>
      <c r="Q327" s="42">
        <v>14</v>
      </c>
      <c r="R327" s="42">
        <v>15</v>
      </c>
      <c r="S327" s="42">
        <v>16</v>
      </c>
      <c r="T327" s="42">
        <v>17</v>
      </c>
      <c r="U327" s="42">
        <v>18</v>
      </c>
      <c r="V327" s="42">
        <v>19</v>
      </c>
      <c r="W327" s="42">
        <v>20</v>
      </c>
      <c r="X327" s="42">
        <v>21</v>
      </c>
      <c r="Y327" s="42">
        <v>22</v>
      </c>
      <c r="Z327" s="42">
        <v>23</v>
      </c>
      <c r="AA327" s="42">
        <v>24</v>
      </c>
    </row>
    <row r="328" spans="2:27" x14ac:dyDescent="0.2">
      <c r="C328" s="16" t="s">
        <v>36</v>
      </c>
      <c r="D328" s="24" cm="1">
        <f t="array" ref="D328:AA329" xml:space="preserve"> _xlfn.LET(
  _xlpm.periods, IF(D324 = "No Blanks", $D$19:$T$19, $D$15:$AA$15),
  _xlpm.values, IF(D324 = "No Blanks", $D$20:$T$20, $D$17:$AA$17),
  _xlpm._stp, D325,
  _xlpm._inpP, D326,
  _xlpm._arrP, _xlfn._xlws.SORT(_xlfn.TOROW(_xlpm.periods)),
  _xlpm._arrV, _xlfn.MAP(_xlfn.TOROW(_xlpm.values), _xlfn.LAMBDA(_xlpm._v, IF(OR(ISERROR(_xlpm._v), ISBLANK(_xlpm._v)), NA(), _xlpm._v))),
  _xlpm._bgn, INDEX(_xlpm._arrP, 1, 1),
  _xlpm._end, INDEX(_xlpm._arrP, 1, COLUMNS(_xlpm._arrP)),
  _xlpm._prd, IF(_xlpm._stp = 0, _xlpm._arrP,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_xlpm._rtn, IF(_xlpm._inpP, _xlfn.VSTACK(_xlpm._prd, _xlpm._scn), _xlpm._scn),
  _xlpm._rtn
)</f>
        <v>1</v>
      </c>
      <c r="E328" s="24">
        <v>2</v>
      </c>
      <c r="F328" s="24">
        <v>3</v>
      </c>
      <c r="G328" s="24">
        <v>4</v>
      </c>
      <c r="H328" s="24">
        <v>5</v>
      </c>
      <c r="I328" s="24">
        <v>6</v>
      </c>
      <c r="J328" s="24">
        <v>7</v>
      </c>
      <c r="K328" s="24">
        <v>8</v>
      </c>
      <c r="L328" s="24">
        <v>9</v>
      </c>
      <c r="M328" s="24">
        <v>10</v>
      </c>
      <c r="N328" s="24">
        <v>11</v>
      </c>
      <c r="O328" s="24">
        <v>12</v>
      </c>
      <c r="P328" s="24">
        <v>13</v>
      </c>
      <c r="Q328" s="24">
        <v>14</v>
      </c>
      <c r="R328" s="24">
        <v>15</v>
      </c>
      <c r="S328" s="24">
        <v>16</v>
      </c>
      <c r="T328" s="24">
        <v>17</v>
      </c>
      <c r="U328" s="24">
        <v>18</v>
      </c>
      <c r="V328" s="24">
        <v>19</v>
      </c>
      <c r="W328" s="24">
        <v>20</v>
      </c>
      <c r="X328" s="24">
        <v>21</v>
      </c>
      <c r="Y328" s="24">
        <v>22</v>
      </c>
      <c r="Z328" s="24">
        <v>23</v>
      </c>
      <c r="AA328" s="24">
        <v>24</v>
      </c>
    </row>
    <row r="329" spans="2:27" x14ac:dyDescent="0.2">
      <c r="D329" s="24">
        <v>28</v>
      </c>
      <c r="E329" s="24">
        <v>40</v>
      </c>
      <c r="F329" s="24">
        <v>37</v>
      </c>
      <c r="G329" s="24">
        <v>34</v>
      </c>
      <c r="H329" s="24">
        <v>20</v>
      </c>
      <c r="I329" s="24">
        <v>31.666666666666664</v>
      </c>
      <c r="J329" s="24">
        <v>43.333333333333329</v>
      </c>
      <c r="K329" s="24">
        <v>55</v>
      </c>
      <c r="L329" s="24">
        <v>30</v>
      </c>
      <c r="M329" s="24">
        <v>34.5</v>
      </c>
      <c r="N329" s="24">
        <v>39</v>
      </c>
      <c r="O329" s="24">
        <v>34</v>
      </c>
      <c r="P329" s="24">
        <v>30</v>
      </c>
      <c r="Q329" s="24">
        <v>34</v>
      </c>
      <c r="R329" s="24">
        <v>50</v>
      </c>
      <c r="S329" s="24">
        <v>20</v>
      </c>
      <c r="T329" s="24">
        <v>25</v>
      </c>
      <c r="U329" s="24">
        <v>26.25</v>
      </c>
      <c r="V329" s="24">
        <v>27.5</v>
      </c>
      <c r="W329" s="24">
        <v>28.75</v>
      </c>
      <c r="X329" s="24">
        <v>30</v>
      </c>
      <c r="Y329" s="24">
        <v>37</v>
      </c>
      <c r="Z329" s="24">
        <v>35</v>
      </c>
      <c r="AA329" s="24">
        <v>28</v>
      </c>
    </row>
    <row r="330" spans="2:27" x14ac:dyDescent="0.2">
      <c r="D330" s="26" t="str" cm="1">
        <f t="array" aca="1" ref="D330:D355" ca="1" xml:space="preserve"> _xlfn.TEXTSPLIT(_xlfn.FORMULATEXT(D328), , CHAR(10))</f>
        <v>= LET(</v>
      </c>
    </row>
    <row r="331" spans="2:27" x14ac:dyDescent="0.2">
      <c r="D331" s="26" t="str">
        <f ca="1"/>
        <v xml:space="preserve">  periods, IF(D324 = "No Blanks", $D$19:$T$19, $D$15:$AA$15),</v>
      </c>
    </row>
    <row r="332" spans="2:27" x14ac:dyDescent="0.2">
      <c r="D332" s="26" t="str">
        <f ca="1"/>
        <v xml:space="preserve">  values, IF(D324 = "No Blanks", $D$20:$T$20, $D$17:$AA$17),</v>
      </c>
    </row>
    <row r="333" spans="2:27" x14ac:dyDescent="0.2">
      <c r="D333" s="26" t="str">
        <f ca="1"/>
        <v xml:space="preserve">  _stp, D325,</v>
      </c>
    </row>
    <row r="334" spans="2:27" x14ac:dyDescent="0.2">
      <c r="D334" s="26" t="str">
        <f ca="1"/>
        <v xml:space="preserve">  _inpP, D326,</v>
      </c>
    </row>
    <row r="335" spans="2:27" x14ac:dyDescent="0.2">
      <c r="D335" s="26" t="str">
        <f ca="1"/>
        <v xml:space="preserve">  _arrP, SORT(TOROW(periods)),</v>
      </c>
    </row>
    <row r="336" spans="2:27" x14ac:dyDescent="0.2">
      <c r="D336" s="26" t="str">
        <f ca="1"/>
        <v xml:space="preserve">  _arrV, MAP(TOROW(values), LAMBDA(_v, IF(OR(ISERROR(_v), ISBLANK(_v)), NA(), _v))),</v>
      </c>
    </row>
    <row r="337" spans="4:4" x14ac:dyDescent="0.2">
      <c r="D337" s="26" t="str">
        <f ca="1"/>
        <v xml:space="preserve">  _bgn, INDEX(_arrP, 1, 1),</v>
      </c>
    </row>
    <row r="338" spans="4:4" x14ac:dyDescent="0.2">
      <c r="D338" s="26" t="str">
        <f ca="1"/>
        <v xml:space="preserve">  _end, INDEX(_arrP, 1, COLUMNS(_arrP)),</v>
      </c>
    </row>
    <row r="339" spans="4:4" x14ac:dyDescent="0.2">
      <c r="D339" s="26" t="str">
        <f ca="1"/>
        <v xml:space="preserve">  _prd, IF(_stp = 0, _arrP, SEQUENCE(1, ((_end - _bgn) / _stp) + 1, _bgn, _stp)),</v>
      </c>
    </row>
    <row r="340" spans="4:4" x14ac:dyDescent="0.2">
      <c r="D340" s="26" t="str">
        <f ca="1"/>
        <v xml:space="preserve">  _idx, SEQUENCE(1, COLUMNS(_prd)),</v>
      </c>
    </row>
    <row r="341" spans="4:4" x14ac:dyDescent="0.2">
      <c r="D341" s="26" t="str">
        <f ca="1"/>
        <v xml:space="preserve">  _map, MAP(_prd, LAMBDA(_p, INDEX(_arrV, 1, XMATCH(_p, _arrP)))),</v>
      </c>
    </row>
    <row r="342" spans="4:4" x14ac:dyDescent="0.2">
      <c r="D342" s="26" t="str">
        <f ca="1"/>
        <v xml:space="preserve">  _scn, SCAN(0, _idx, LAMBDA(_prv,_c,</v>
      </c>
    </row>
    <row r="343" spans="4:4" x14ac:dyDescent="0.2">
      <c r="D343" s="26" t="str">
        <f ca="1"/>
        <v xml:space="preserve">    IF(ISNA(INDEX(_map, 1, _c)),</v>
      </c>
    </row>
    <row r="344" spans="4:4" x14ac:dyDescent="0.2">
      <c r="D344" s="26" t="str">
        <f ca="1"/>
        <v xml:space="preserve">    LET(</v>
      </c>
    </row>
    <row r="345" spans="4:4" x14ac:dyDescent="0.2">
      <c r="D345" s="26" t="str">
        <f ca="1"/>
        <v xml:space="preserve">      _arr, FILTER(DROP(_idx, , _c), NOT(ISNA(DROP(_map, , _c)))),</v>
      </c>
    </row>
    <row r="346" spans="4:4" x14ac:dyDescent="0.2">
      <c r="D346" s="26" t="str">
        <f ca="1"/>
        <v xml:space="preserve">      _i, INDEX(_arr, 1, 1),</v>
      </c>
    </row>
    <row r="347" spans="4:4" x14ac:dyDescent="0.2">
      <c r="D347" s="26" t="str">
        <f ca="1"/>
        <v xml:space="preserve">      _nxt, INDEX(_map, 1, _i),</v>
      </c>
    </row>
    <row r="348" spans="4:4" x14ac:dyDescent="0.2">
      <c r="D348" s="26" t="str">
        <f ca="1"/>
        <v xml:space="preserve">      _inc, (_nxt - _prv) / (_i - _c + 1),</v>
      </c>
    </row>
    <row r="349" spans="4:4" x14ac:dyDescent="0.2">
      <c r="D349" s="26" t="str">
        <f ca="1"/>
        <v xml:space="preserve">      _prv + _inc</v>
      </c>
    </row>
    <row r="350" spans="4:4" x14ac:dyDescent="0.2">
      <c r="D350" s="26" t="str">
        <f ca="1"/>
        <v xml:space="preserve">    ),</v>
      </c>
    </row>
    <row r="351" spans="4:4" x14ac:dyDescent="0.2">
      <c r="D351" s="50" t="str">
        <f ca="1"/>
        <v xml:space="preserve">    INDEX(_map, 1, _c)</v>
      </c>
    </row>
    <row r="352" spans="4:4" x14ac:dyDescent="0.2">
      <c r="D352" s="26" t="str">
        <f ca="1"/>
        <v xml:space="preserve">  ))),</v>
      </c>
    </row>
    <row r="353" spans="2:15" x14ac:dyDescent="0.2">
      <c r="D353" s="26" t="str">
        <f ca="1"/>
        <v xml:space="preserve">  _rtn, IF(_inpP, VSTACK(_prd, _scn), _scn),</v>
      </c>
    </row>
    <row r="354" spans="2:15" x14ac:dyDescent="0.2">
      <c r="D354" s="26" t="str">
        <f ca="1"/>
        <v xml:space="preserve">  _rtn</v>
      </c>
    </row>
    <row r="355" spans="2:15" x14ac:dyDescent="0.2">
      <c r="D355" s="26" t="str">
        <f ca="1"/>
        <v>)</v>
      </c>
    </row>
    <row r="357" spans="2:15" x14ac:dyDescent="0.2">
      <c r="B357" s="10" t="str" cm="1">
        <f t="array" ref="B357" xml:space="preserve"> "(" &amp; _xlfn.UNICHAR( 65 + SUMPRODUCT(--(_xlfn.REGEXTEST(B$1:B356, "^\([A-Z]\)$")))) &amp; ")"</f>
        <v>(L)</v>
      </c>
      <c r="C357" s="3" t="s">
        <v>104</v>
      </c>
    </row>
    <row r="358" spans="2:15" x14ac:dyDescent="0.2">
      <c r="C358" s="3" t="s">
        <v>105</v>
      </c>
    </row>
    <row r="360" spans="2:15" x14ac:dyDescent="0.2">
      <c r="C360" s="16" t="s">
        <v>91</v>
      </c>
      <c r="D360" s="45">
        <v>1</v>
      </c>
    </row>
    <row r="361" spans="2:15" x14ac:dyDescent="0.2">
      <c r="C361" s="16" t="s">
        <v>107</v>
      </c>
      <c r="D361" s="49">
        <v>1</v>
      </c>
    </row>
    <row r="362" spans="2:15" x14ac:dyDescent="0.2">
      <c r="C362" s="16" t="s">
        <v>108</v>
      </c>
      <c r="D362" s="49">
        <v>1</v>
      </c>
    </row>
    <row r="363" spans="2:15" x14ac:dyDescent="0.2">
      <c r="D363" s="42" cm="1">
        <f t="array" ref="D363:E363" xml:space="preserve"> _xlfn.SEQUENCE(1, COLUMNS(_xlfn.ANCHORARRAY(D364)))</f>
        <v>1</v>
      </c>
      <c r="E363" s="42">
        <v>2</v>
      </c>
      <c r="F363" s="42"/>
      <c r="G363" s="42"/>
      <c r="H363" s="42"/>
      <c r="I363" s="42"/>
      <c r="J363" s="42"/>
      <c r="K363" s="42"/>
      <c r="L363" s="42"/>
      <c r="M363" s="42"/>
      <c r="N363" s="42"/>
      <c r="O363" s="42"/>
    </row>
    <row r="364" spans="2:15" x14ac:dyDescent="0.2">
      <c r="C364" s="16" t="s">
        <v>36</v>
      </c>
      <c r="D364" s="24" cm="1">
        <f t="array" ref="D364:E375" xml:space="preserve"> _xlfn.LET(
  _xlpm.periods, $K$9:$Q$9,
  _xlpm.values, $K$10:$Q$10,
  _xlpm._stp, D360,
  _xlpm._inpP, D361,
  _xlpm._inpV, D362,
  _xlpm._arrP, _xlfn._xlws.SORT(_xlfn.TOROW(_xlpm.periods)),
  _xlpm._vrt, (ROWS(_xlpm.values) &gt; COLUMNS(_xlpm.values)),
  _xlpm._arrV, _xlfn.MAP(_xlfn.TOROW(_xlpm.values), _xlfn.LAMBDA(_xlpm._v, IF(OR(ISERROR(_xlpm._v), ISBLANK(_xlpm._v)), NA(), _xlpm._v))),
  _xlpm._bgn, INDEX(_xlpm._arrP, 1, 1),
  _xlpm._end, INDEX(_xlpm._arrP, 1, COLUMNS(_xlpm._arrP)),
  _xlpm._prd, IF(_xlpm._stp = 0, _xlpm._arrP,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_xlpm._out, IF(_xlpm._inpP, _xlfn.VSTACK(_xlpm._prd, _xlpm._scn), _xlpm._scn),
  _xlpm._rtn, IF(OR(_xlpm._vrt, _xlpm._inpV), TRANSPOSE(_xlpm._out), _xlpm._out),
  _xlpm._rtn
)</f>
        <v>1</v>
      </c>
      <c r="E364" s="24">
        <v>100</v>
      </c>
      <c r="F364" s="24"/>
      <c r="G364" s="24"/>
      <c r="H364" s="24"/>
      <c r="I364" s="24"/>
      <c r="J364" s="24"/>
      <c r="K364" s="24"/>
      <c r="L364" s="24"/>
      <c r="M364" s="24"/>
      <c r="N364" s="24"/>
      <c r="O364" s="24"/>
    </row>
    <row r="365" spans="2:15" x14ac:dyDescent="0.2">
      <c r="C365" s="42" cm="1">
        <f t="array" ref="C365:C375" xml:space="preserve"> IF(ROWS(_xlfn.ANCHORARRAY(D364)) &gt; 1, _xlfn.SEQUENCE(ROWS(_xlfn.ANCHORARRAY(D364)) - 1, 1, 2), "")</f>
        <v>2</v>
      </c>
      <c r="D365" s="24">
        <v>2</v>
      </c>
      <c r="E365" s="24">
        <v>200</v>
      </c>
      <c r="F365" s="24"/>
      <c r="G365" s="24"/>
      <c r="H365" s="24"/>
      <c r="I365" s="24"/>
      <c r="J365" s="24"/>
      <c r="K365" s="24"/>
      <c r="L365" s="24"/>
      <c r="M365" s="24"/>
      <c r="N365" s="24"/>
      <c r="O365" s="24"/>
    </row>
    <row r="366" spans="2:15" x14ac:dyDescent="0.2">
      <c r="C366" s="42">
        <v>3</v>
      </c>
      <c r="D366" s="24">
        <v>3</v>
      </c>
      <c r="E366" s="24">
        <v>300</v>
      </c>
      <c r="F366" s="26" t="str" cm="1">
        <f t="array" aca="1" ref="F366:F394" ca="1" xml:space="preserve"> _xlfn.TEXTSPLIT(_xlfn.FORMULATEXT(D364), , CHAR(10))</f>
        <v>= LET(</v>
      </c>
    </row>
    <row r="367" spans="2:15" x14ac:dyDescent="0.2">
      <c r="C367" s="42">
        <v>4</v>
      </c>
      <c r="D367" s="24">
        <v>4</v>
      </c>
      <c r="E367" s="24">
        <v>400</v>
      </c>
      <c r="F367" s="26" t="str">
        <f ca="1"/>
        <v xml:space="preserve">  periods, $K$9:$Q$9,</v>
      </c>
    </row>
    <row r="368" spans="2:15" x14ac:dyDescent="0.2">
      <c r="C368" s="42">
        <v>5</v>
      </c>
      <c r="D368" s="24">
        <v>5</v>
      </c>
      <c r="E368" s="24">
        <v>500</v>
      </c>
      <c r="F368" s="26" t="str">
        <f ca="1"/>
        <v xml:space="preserve">  values, $K$10:$Q$10,</v>
      </c>
    </row>
    <row r="369" spans="3:6" x14ac:dyDescent="0.2">
      <c r="C369" s="42">
        <v>6</v>
      </c>
      <c r="D369" s="24">
        <v>6</v>
      </c>
      <c r="E369" s="24">
        <v>600</v>
      </c>
      <c r="F369" s="26" t="str">
        <f ca="1"/>
        <v xml:space="preserve">  _stp, D360,</v>
      </c>
    </row>
    <row r="370" spans="3:6" x14ac:dyDescent="0.2">
      <c r="C370" s="42">
        <v>7</v>
      </c>
      <c r="D370" s="24">
        <v>7</v>
      </c>
      <c r="E370" s="24">
        <v>700</v>
      </c>
      <c r="F370" s="26" t="str">
        <f ca="1"/>
        <v xml:space="preserve">  _inpP, D361,</v>
      </c>
    </row>
    <row r="371" spans="3:6" x14ac:dyDescent="0.2">
      <c r="C371" s="42">
        <v>8</v>
      </c>
      <c r="D371" s="24">
        <v>8</v>
      </c>
      <c r="E371" s="24">
        <v>800</v>
      </c>
      <c r="F371" s="26" t="str">
        <f ca="1"/>
        <v xml:space="preserve">  _inpV, D362,</v>
      </c>
    </row>
    <row r="372" spans="3:6" x14ac:dyDescent="0.2">
      <c r="C372" s="42">
        <v>9</v>
      </c>
      <c r="D372" s="24">
        <v>9</v>
      </c>
      <c r="E372" s="24">
        <v>900</v>
      </c>
      <c r="F372" s="26" t="str">
        <f ca="1"/>
        <v xml:space="preserve">  _arrP, SORT(TOROW(periods)),</v>
      </c>
    </row>
    <row r="373" spans="3:6" x14ac:dyDescent="0.2">
      <c r="C373" s="42">
        <v>10</v>
      </c>
      <c r="D373" s="24">
        <v>10</v>
      </c>
      <c r="E373" s="24">
        <v>1000</v>
      </c>
      <c r="F373" s="26" t="str">
        <f ca="1"/>
        <v xml:space="preserve">  _vrt, (ROWS(values) &gt; COLUMNS(values)),</v>
      </c>
    </row>
    <row r="374" spans="3:6" x14ac:dyDescent="0.2">
      <c r="C374" s="42">
        <v>11</v>
      </c>
      <c r="D374" s="24">
        <v>11</v>
      </c>
      <c r="E374" s="24">
        <v>1100</v>
      </c>
      <c r="F374" s="26" t="str">
        <f ca="1"/>
        <v xml:space="preserve">  _arrV, MAP(TOROW(values), LAMBDA(_v, IF(OR(ISERROR(_v), ISBLANK(_v)), NA(), _v))),</v>
      </c>
    </row>
    <row r="375" spans="3:6" x14ac:dyDescent="0.2">
      <c r="C375" s="42">
        <v>12</v>
      </c>
      <c r="D375" s="24">
        <v>12</v>
      </c>
      <c r="E375" s="24">
        <v>1200</v>
      </c>
      <c r="F375" s="26" t="str">
        <f ca="1"/>
        <v xml:space="preserve">  _bgn, INDEX(_arrP, 1, 1),</v>
      </c>
    </row>
    <row r="376" spans="3:6" x14ac:dyDescent="0.2">
      <c r="F376" s="26" t="str">
        <f ca="1"/>
        <v xml:space="preserve">  _end, INDEX(_arrP, 1, COLUMNS(_arrP)),</v>
      </c>
    </row>
    <row r="377" spans="3:6" x14ac:dyDescent="0.2">
      <c r="F377" s="26" t="str">
        <f ca="1"/>
        <v xml:space="preserve">  _prd, IF(_stp = 0, _arrP, SEQUENCE(1, ((_end - _bgn) / _stp) + 1, _bgn, _stp)),</v>
      </c>
    </row>
    <row r="378" spans="3:6" x14ac:dyDescent="0.2">
      <c r="F378" s="26" t="str">
        <f ca="1"/>
        <v xml:space="preserve">  _idx, SEQUENCE(1, COLUMNS(_prd)),</v>
      </c>
    </row>
    <row r="379" spans="3:6" x14ac:dyDescent="0.2">
      <c r="F379" s="26" t="str">
        <f ca="1"/>
        <v xml:space="preserve">  _map, MAP(_prd, LAMBDA(_p, INDEX(_arrV, 1, XMATCH(_p, _arrP)))),</v>
      </c>
    </row>
    <row r="380" spans="3:6" x14ac:dyDescent="0.2">
      <c r="F380" s="26" t="str">
        <f ca="1"/>
        <v xml:space="preserve">  _scn, SCAN(0, _idx, LAMBDA(_prv,_c,</v>
      </c>
    </row>
    <row r="381" spans="3:6" x14ac:dyDescent="0.2">
      <c r="F381" s="26" t="str">
        <f ca="1"/>
        <v xml:space="preserve">    IF(ISNA(INDEX(_map, 1, _c)),</v>
      </c>
    </row>
    <row r="382" spans="3:6" x14ac:dyDescent="0.2">
      <c r="F382" s="26" t="str">
        <f ca="1"/>
        <v xml:space="preserve">    LET(</v>
      </c>
    </row>
    <row r="383" spans="3:6" x14ac:dyDescent="0.2">
      <c r="F383" s="26" t="str">
        <f ca="1"/>
        <v xml:space="preserve">      _arr, FILTER(DROP(_idx, , _c), NOT(ISNA(DROP(_map, , _c)))),</v>
      </c>
    </row>
    <row r="384" spans="3:6" x14ac:dyDescent="0.2">
      <c r="F384" s="26" t="str">
        <f ca="1"/>
        <v xml:space="preserve">      _i, INDEX(_arr, 1, 1),</v>
      </c>
    </row>
    <row r="385" spans="2:6" x14ac:dyDescent="0.2">
      <c r="F385" s="26" t="str">
        <f ca="1"/>
        <v xml:space="preserve">      _nxt, INDEX(_map, 1, _i),</v>
      </c>
    </row>
    <row r="386" spans="2:6" x14ac:dyDescent="0.2">
      <c r="F386" s="26" t="str">
        <f ca="1"/>
        <v xml:space="preserve">      _inc, (_nxt - _prv) / (_i - _c + 1),</v>
      </c>
    </row>
    <row r="387" spans="2:6" x14ac:dyDescent="0.2">
      <c r="F387" s="26" t="str">
        <f ca="1"/>
        <v xml:space="preserve">      _prv + _inc</v>
      </c>
    </row>
    <row r="388" spans="2:6" x14ac:dyDescent="0.2">
      <c r="F388" s="26" t="str">
        <f ca="1"/>
        <v xml:space="preserve">    ),</v>
      </c>
    </row>
    <row r="389" spans="2:6" x14ac:dyDescent="0.2">
      <c r="F389" s="26" t="str">
        <f ca="1"/>
        <v xml:space="preserve">    INDEX(_map, 1, _c)</v>
      </c>
    </row>
    <row r="390" spans="2:6" x14ac:dyDescent="0.2">
      <c r="F390" s="26" t="str">
        <f ca="1"/>
        <v xml:space="preserve">  ))),</v>
      </c>
    </row>
    <row r="391" spans="2:6" x14ac:dyDescent="0.2">
      <c r="F391" s="26" t="str">
        <f ca="1"/>
        <v xml:space="preserve">  _out, IF(_inpP, VSTACK(_prd, _scn), _scn),</v>
      </c>
    </row>
    <row r="392" spans="2:6" x14ac:dyDescent="0.2">
      <c r="F392" s="26" t="str">
        <f ca="1"/>
        <v xml:space="preserve">  _rtn, IF(OR(_vrt, _inpV), TRANSPOSE(_out), _out),</v>
      </c>
    </row>
    <row r="393" spans="2:6" x14ac:dyDescent="0.2">
      <c r="F393" s="26" t="str">
        <f ca="1"/>
        <v xml:space="preserve">  _rtn</v>
      </c>
    </row>
    <row r="394" spans="2:6" x14ac:dyDescent="0.2">
      <c r="F394" s="26" t="str">
        <f ca="1"/>
        <v>)</v>
      </c>
    </row>
    <row r="396" spans="2:6" x14ac:dyDescent="0.2">
      <c r="B396" s="10" t="str" cm="1">
        <f t="array" ref="B396" xml:space="preserve"> "(" &amp; _xlfn.UNICHAR( 65 + SUMPRODUCT(--(_xlfn.REGEXTEST(B$1:B395, "^\([A-Z]\)$")))) &amp; ")"</f>
        <v>(M)</v>
      </c>
      <c r="C396" s="3" t="s">
        <v>106</v>
      </c>
    </row>
    <row r="398" spans="2:6" x14ac:dyDescent="0.2">
      <c r="C398" s="16" t="s">
        <v>91</v>
      </c>
      <c r="D398" s="45">
        <v>1</v>
      </c>
    </row>
    <row r="399" spans="2:6" x14ac:dyDescent="0.2">
      <c r="C399" s="16" t="s">
        <v>109</v>
      </c>
      <c r="D399" s="49">
        <v>1</v>
      </c>
    </row>
    <row r="400" spans="2:6" x14ac:dyDescent="0.2">
      <c r="C400" s="16" t="s">
        <v>107</v>
      </c>
      <c r="D400" s="49">
        <v>1</v>
      </c>
    </row>
    <row r="401" spans="3:15" x14ac:dyDescent="0.2">
      <c r="C401" s="16" t="s">
        <v>108</v>
      </c>
      <c r="D401" s="49">
        <v>0</v>
      </c>
    </row>
    <row r="402" spans="3:15" x14ac:dyDescent="0.2">
      <c r="D402" s="42" cm="1">
        <f t="array" ref="D402:O402" xml:space="preserve"> _xlfn.SEQUENCE(1, COLUMNS(_xlfn.ANCHORARRAY(D403)))</f>
        <v>1</v>
      </c>
      <c r="E402" s="42">
        <v>2</v>
      </c>
      <c r="F402" s="42">
        <v>3</v>
      </c>
      <c r="G402" s="42">
        <v>4</v>
      </c>
      <c r="H402" s="42">
        <v>5</v>
      </c>
      <c r="I402" s="42">
        <v>6</v>
      </c>
      <c r="J402" s="42">
        <v>7</v>
      </c>
      <c r="K402" s="42">
        <v>8</v>
      </c>
      <c r="L402" s="42">
        <v>9</v>
      </c>
      <c r="M402" s="42">
        <v>10</v>
      </c>
      <c r="N402" s="42">
        <v>11</v>
      </c>
      <c r="O402" s="42">
        <v>12</v>
      </c>
    </row>
    <row r="403" spans="3:15" x14ac:dyDescent="0.2">
      <c r="C403" s="16" t="s">
        <v>36</v>
      </c>
      <c r="D403" s="24" cm="1">
        <f t="array" ref="D403:O404" xml:space="preserve"> _xlfn.LET(
  _xlpm.periods, $K$9:$Q$9,
  _xlpm.values, $K$10:$Q$10,
  _xlpm._stp, D398,
  _xlpm._inpE, D399,
  _xlpm._inpP, D400,
  _xlpm._inpV, D401,
  _xlpm._arrP, _xlfn._xlws.SORT(_xlfn.TOROW(_xlpm.periods)),
  _xlpm._vrt, (ROWS(_xlpm.values) &gt; COLUMNS(_xlpm.values)),
  _xlpm._arrV, _xlfn.MAP(_xlfn.TOROW(_xlpm.values), _xlfn.LAMBDA(_xlpm._v,
    IF(AND(ISERROR(_xlpm._v), _xlpm._inpE), NA(), IF(ISBLANK(_xlpm._v), NA(), _xlpm._v))
  )),
  _xlpm._bgn, INDEX(_xlpm._arrP, 1, 1),
  _xlpm._end, INDEX(_xlpm._arrP, 1, COLUMNS(_xlpm._arrP)),
  _xlpm._prd, IF(_xlpm._stp = 0, _xlpm._arrP,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_xlpm._out, IF(_xlpm._inpP, _xlfn.VSTACK(_xlpm._prd, _xlpm._scn), _xlpm._scn),
  _xlpm._rtn, IF(OR(_xlpm._vrt, _xlpm._inpV), TRANSPOSE(_xlpm._out), _xlpm._out),
  _xlpm._rtn
)</f>
        <v>1</v>
      </c>
      <c r="E403" s="24">
        <v>2</v>
      </c>
      <c r="F403" s="24">
        <v>3</v>
      </c>
      <c r="G403" s="24">
        <v>4</v>
      </c>
      <c r="H403" s="24">
        <v>5</v>
      </c>
      <c r="I403" s="24">
        <v>6</v>
      </c>
      <c r="J403" s="24">
        <v>7</v>
      </c>
      <c r="K403" s="24">
        <v>8</v>
      </c>
      <c r="L403" s="24">
        <v>9</v>
      </c>
      <c r="M403" s="24">
        <v>10</v>
      </c>
      <c r="N403" s="24">
        <v>11</v>
      </c>
      <c r="O403" s="24">
        <v>12</v>
      </c>
    </row>
    <row r="404" spans="3:15" x14ac:dyDescent="0.2">
      <c r="C404" s="42" cm="1">
        <f t="array" ref="C404" xml:space="preserve"> IF(ROWS(_xlfn.ANCHORARRAY(D403)) &gt; 1, _xlfn.SEQUENCE(ROWS(_xlfn.ANCHORARRAY(D403)) - 1, 1, 2), "")</f>
        <v>2</v>
      </c>
      <c r="D404" s="24">
        <v>100</v>
      </c>
      <c r="E404" s="24">
        <v>200</v>
      </c>
      <c r="F404" s="24">
        <v>300</v>
      </c>
      <c r="G404" s="24">
        <v>400</v>
      </c>
      <c r="H404" s="24">
        <v>500</v>
      </c>
      <c r="I404" s="24">
        <v>600</v>
      </c>
      <c r="J404" s="24">
        <v>700</v>
      </c>
      <c r="K404" s="24">
        <v>800</v>
      </c>
      <c r="L404" s="24">
        <v>900</v>
      </c>
      <c r="M404" s="24">
        <v>1000</v>
      </c>
      <c r="N404" s="24">
        <v>1100</v>
      </c>
      <c r="O404" s="24">
        <v>1200</v>
      </c>
    </row>
    <row r="405" spans="3:15" x14ac:dyDescent="0.2">
      <c r="C405" s="42"/>
      <c r="D405" s="24"/>
      <c r="E405" s="24"/>
      <c r="F405" s="26" t="str" cm="1">
        <f t="array" aca="1" ref="F405:F436" ca="1" xml:space="preserve"> _xlfn.TEXTSPLIT(_xlfn.FORMULATEXT(D403), , CHAR(10))</f>
        <v>= LET(</v>
      </c>
    </row>
    <row r="406" spans="3:15" x14ac:dyDescent="0.2">
      <c r="C406" s="42"/>
      <c r="D406" s="24"/>
      <c r="E406" s="24"/>
      <c r="F406" s="26" t="str">
        <f ca="1"/>
        <v xml:space="preserve">  periods, $K$9:$Q$9,</v>
      </c>
    </row>
    <row r="407" spans="3:15" x14ac:dyDescent="0.2">
      <c r="C407" s="42"/>
      <c r="D407" s="24"/>
      <c r="E407" s="24"/>
      <c r="F407" s="26" t="str">
        <f ca="1"/>
        <v xml:space="preserve">  values, $K$10:$Q$10,</v>
      </c>
    </row>
    <row r="408" spans="3:15" x14ac:dyDescent="0.2">
      <c r="C408" s="42"/>
      <c r="D408" s="24"/>
      <c r="E408" s="24"/>
      <c r="F408" s="26" t="str">
        <f ca="1"/>
        <v xml:space="preserve">  _stp, D398,</v>
      </c>
    </row>
    <row r="409" spans="3:15" x14ac:dyDescent="0.2">
      <c r="C409" s="42"/>
      <c r="D409" s="24"/>
      <c r="E409" s="24"/>
      <c r="F409" s="26" t="str">
        <f ca="1"/>
        <v xml:space="preserve">  _inpE, D399,</v>
      </c>
    </row>
    <row r="410" spans="3:15" x14ac:dyDescent="0.2">
      <c r="C410" s="42"/>
      <c r="D410" s="24"/>
      <c r="E410" s="24"/>
      <c r="F410" s="26" t="str">
        <f ca="1"/>
        <v xml:space="preserve">  _inpP, D400,</v>
      </c>
    </row>
    <row r="411" spans="3:15" x14ac:dyDescent="0.2">
      <c r="C411" s="42"/>
      <c r="D411" s="24"/>
      <c r="E411" s="24"/>
      <c r="F411" s="26" t="str">
        <f ca="1"/>
        <v xml:space="preserve">  _inpV, D401,</v>
      </c>
    </row>
    <row r="412" spans="3:15" x14ac:dyDescent="0.2">
      <c r="C412" s="42"/>
      <c r="D412" s="24"/>
      <c r="E412" s="24"/>
      <c r="F412" s="26" t="str">
        <f ca="1"/>
        <v xml:space="preserve">  _arrP, SORT(TOROW(periods)),</v>
      </c>
    </row>
    <row r="413" spans="3:15" x14ac:dyDescent="0.2">
      <c r="C413" s="42"/>
      <c r="D413" s="24"/>
      <c r="E413" s="24"/>
      <c r="F413" s="26" t="str">
        <f ca="1"/>
        <v xml:space="preserve">  _vrt, (ROWS(values) &gt; COLUMNS(values)),</v>
      </c>
    </row>
    <row r="414" spans="3:15" x14ac:dyDescent="0.2">
      <c r="C414" s="42"/>
      <c r="D414" s="24"/>
      <c r="E414" s="24"/>
      <c r="F414" s="26" t="str">
        <f ca="1"/>
        <v xml:space="preserve">  _arrV, MAP(TOROW(values), LAMBDA(_v,</v>
      </c>
    </row>
    <row r="415" spans="3:15" x14ac:dyDescent="0.2">
      <c r="F415" s="26" t="str">
        <f ca="1"/>
        <v xml:space="preserve">    IF(AND(ISERROR(_v), _inpE), NA(), IF(ISBLANK(_v), NA(), _v))</v>
      </c>
    </row>
    <row r="416" spans="3:15" x14ac:dyDescent="0.2">
      <c r="F416" s="26" t="str">
        <f ca="1"/>
        <v xml:space="preserve">  )),</v>
      </c>
    </row>
    <row r="417" spans="6:6" x14ac:dyDescent="0.2">
      <c r="F417" s="26" t="str">
        <f ca="1"/>
        <v xml:space="preserve">  _bgn, INDEX(_arrP, 1, 1),</v>
      </c>
    </row>
    <row r="418" spans="6:6" x14ac:dyDescent="0.2">
      <c r="F418" s="26" t="str">
        <f ca="1"/>
        <v xml:space="preserve">  _end, INDEX(_arrP, 1, COLUMNS(_arrP)),</v>
      </c>
    </row>
    <row r="419" spans="6:6" x14ac:dyDescent="0.2">
      <c r="F419" s="26" t="str">
        <f ca="1"/>
        <v xml:space="preserve">  _prd, IF(_stp = 0, _arrP, SEQUENCE(1, ((_end - _bgn) / _stp) + 1, _bgn, _stp)),</v>
      </c>
    </row>
    <row r="420" spans="6:6" x14ac:dyDescent="0.2">
      <c r="F420" s="26" t="str">
        <f ca="1"/>
        <v xml:space="preserve">  _idx, SEQUENCE(1, COLUMNS(_prd)),</v>
      </c>
    </row>
    <row r="421" spans="6:6" x14ac:dyDescent="0.2">
      <c r="F421" s="26" t="str">
        <f ca="1"/>
        <v xml:space="preserve">  _map, MAP(_prd, LAMBDA(_p, INDEX(_arrV, 1, XMATCH(_p, _arrP)))),</v>
      </c>
    </row>
    <row r="422" spans="6:6" x14ac:dyDescent="0.2">
      <c r="F422" s="26" t="str">
        <f ca="1"/>
        <v xml:space="preserve">  _scn, SCAN(0, _idx, LAMBDA(_prv,_c,</v>
      </c>
    </row>
    <row r="423" spans="6:6" x14ac:dyDescent="0.2">
      <c r="F423" s="26" t="str">
        <f ca="1"/>
        <v xml:space="preserve">    IF(ISNA(INDEX(_map, 1, _c)),</v>
      </c>
    </row>
    <row r="424" spans="6:6" x14ac:dyDescent="0.2">
      <c r="F424" s="26" t="str">
        <f ca="1"/>
        <v xml:space="preserve">    LET(</v>
      </c>
    </row>
    <row r="425" spans="6:6" x14ac:dyDescent="0.2">
      <c r="F425" s="26" t="str">
        <f ca="1"/>
        <v xml:space="preserve">      _arr, FILTER(DROP(_idx, , _c), NOT(ISNA(DROP(_map, , _c)))),</v>
      </c>
    </row>
    <row r="426" spans="6:6" x14ac:dyDescent="0.2">
      <c r="F426" s="26" t="str">
        <f ca="1"/>
        <v xml:space="preserve">      _i, INDEX(_arr, 1, 1),</v>
      </c>
    </row>
    <row r="427" spans="6:6" x14ac:dyDescent="0.2">
      <c r="F427" s="26" t="str">
        <f ca="1"/>
        <v xml:space="preserve">      _nxt, INDEX(_map, 1, _i),</v>
      </c>
    </row>
    <row r="428" spans="6:6" x14ac:dyDescent="0.2">
      <c r="F428" s="26" t="str">
        <f ca="1"/>
        <v xml:space="preserve">      _inc, (_nxt - _prv) / (_i - _c + 1),</v>
      </c>
    </row>
    <row r="429" spans="6:6" x14ac:dyDescent="0.2">
      <c r="F429" s="26" t="str">
        <f ca="1"/>
        <v xml:space="preserve">      _prv + _inc</v>
      </c>
    </row>
    <row r="430" spans="6:6" x14ac:dyDescent="0.2">
      <c r="F430" s="26" t="str">
        <f ca="1"/>
        <v xml:space="preserve">    ),</v>
      </c>
    </row>
    <row r="431" spans="6:6" x14ac:dyDescent="0.2">
      <c r="F431" s="26" t="str">
        <f ca="1"/>
        <v xml:space="preserve">    INDEX(_map, 1, _c)</v>
      </c>
    </row>
    <row r="432" spans="6:6" x14ac:dyDescent="0.2">
      <c r="F432" s="26" t="str">
        <f ca="1"/>
        <v xml:space="preserve">  ))),</v>
      </c>
    </row>
    <row r="433" spans="2:20" x14ac:dyDescent="0.2">
      <c r="F433" s="26" t="str">
        <f ca="1"/>
        <v xml:space="preserve">  _out, IF(_inpP, VSTACK(_prd, _scn), _scn),</v>
      </c>
    </row>
    <row r="434" spans="2:20" x14ac:dyDescent="0.2">
      <c r="F434" s="26" t="str">
        <f ca="1"/>
        <v xml:space="preserve">  _rtn, IF(OR(_vrt, _inpV), TRANSPOSE(_out), _out),</v>
      </c>
    </row>
    <row r="435" spans="2:20" x14ac:dyDescent="0.2">
      <c r="F435" s="26" t="str">
        <f ca="1"/>
        <v xml:space="preserve">  _rtn</v>
      </c>
    </row>
    <row r="436" spans="2:20" x14ac:dyDescent="0.2">
      <c r="F436" s="26" t="str">
        <f ca="1"/>
        <v>)</v>
      </c>
    </row>
    <row r="438" spans="2:20" x14ac:dyDescent="0.2">
      <c r="B438" s="8" t="s">
        <v>38</v>
      </c>
      <c r="C438" s="7"/>
      <c r="D438" s="7"/>
      <c r="E438" s="7"/>
      <c r="F438" s="7"/>
      <c r="G438" s="7"/>
      <c r="H438" s="7"/>
      <c r="I438" s="7"/>
      <c r="J438" s="7"/>
      <c r="K438" s="7"/>
      <c r="L438" s="7"/>
      <c r="M438" s="7"/>
      <c r="N438" s="7"/>
      <c r="O438" s="7"/>
      <c r="P438" s="7"/>
      <c r="Q438" s="7"/>
      <c r="R438" s="7"/>
      <c r="S438" s="7"/>
      <c r="T438" s="7"/>
    </row>
    <row r="440" spans="2:20" x14ac:dyDescent="0.2">
      <c r="B440" s="10" t="str" cm="1">
        <f t="array" ref="B440" xml:space="preserve"> "(" &amp; _xlfn.UNICHAR( 65 + SUMPRODUCT(--(_xlfn.REGEXTEST(B$1:B439, "^\([A-Z]\)$")))) &amp; ")"</f>
        <v>(N)</v>
      </c>
      <c r="C440" s="3" t="s">
        <v>165</v>
      </c>
    </row>
    <row r="442" spans="2:20" x14ac:dyDescent="0.2">
      <c r="D442" s="10" t="s">
        <v>82</v>
      </c>
      <c r="E442" s="10" t="s">
        <v>83</v>
      </c>
    </row>
    <row r="443" spans="2:20" x14ac:dyDescent="0.2">
      <c r="C443" s="16" t="s">
        <v>50</v>
      </c>
      <c r="D443" s="52"/>
      <c r="E443" s="64" t="str" cm="1">
        <f t="array" ref="E443:E448" xml:space="preserve"> _xlfn.LET(
  _xlpm.periods, K9:Q9,
  _xlpm.values, K10:Q10,
  _xlpm.step, D445,
  _xlpm.ignore_errors, D446,
  _xlpm.output_periods, D447,
  _xlpm.output_vertical, D448,
  _xlpm._stp, IF(INDEX(_xlpm.step, 1, 1) = 0, 0, INDEX(_xlpm.step, 1, 1)),
  _xlpm._inpE, IF(_xlpm.ignore_errors = 0, 0, INT(_xlpm.ignore_errors)),
  _xlpm._inpP, IF(_xlpm.output_periods = 0, 0, INT(_xlpm.output_periods)),
  _xlpm._inpV, IF(_xlpm.output_vertical = 0, 0, INT(_xlpm.output_vertical)),
  _xlpm._arrP, _xlfn.TOROW(_xlpm.periods),
  _xlpm._arrV, _xlfn.MAP(_xlfn.TOROW(_xlpm.values), _xlfn.LAMBDA(_xlpm._v,
    IF(AND(ISERROR(_xlpm._v), _xlpm._inpE), NA(), IF(ISBLANK(_xlpm._v), NA(), _xlpm._v))
  )),
  _xlpm._inpChk, IF(
    OR(
      AND(ROWS(_xlpm.periods) &gt; 1, COLUMNS(_xlpm.periods) &gt; 1),
      AND(ROWS(_xlpm.values) &gt; 1, COLUMNS(_xlpm.values) &gt; 1),
      COLUMNS(_xlpm._arrP) &lt;&gt; COLUMNS(_xlpm._arrV),
      COLUMNS(_xlpm._arrV) &lt; 2
    ), 2, IF(
    OR(
      NOT(ISNUMBER(_xlpm.step)), _xlpm._stp &lt; 0,
      ISTEXT(_xlpm.ignore_errors), _xlpm._inpE &lt; 0, _xlpm._inpE &gt; 1,
      ISTEXT(_xlpm.output_periods), _xlpm._inpP &lt; 0, _xlpm._inpP &gt; 1,
      ISTEXT(_xlpm.output_vertical), _xlpm._inpV &lt; 0, _xlpm._inpV &gt; 1
    ), 3, 1)
  ),
  _xlpm._rtn, _xlfn.VSTACK("OK", "OK", _xlpm._stp, _xlpm._inpE, _xlpm._inpP, _xlpm._inpV),
  CHOOSE(_xlpm._inpChk, _xlpm._rtn, _xlfn.LAMBDA(0), #VALUE!)
)</f>
        <v>OK</v>
      </c>
      <c r="F443" s="26" t="str" cm="1">
        <f t="array" aca="1" ref="F443:F474" ca="1" xml:space="preserve"> _xlfn.TEXTSPLIT(_xlfn.FORMULATEXT(E443), , CHAR(10))</f>
        <v>= LET(</v>
      </c>
    </row>
    <row r="444" spans="2:20" x14ac:dyDescent="0.2">
      <c r="C444" s="16" t="s">
        <v>101</v>
      </c>
      <c r="D444" s="52"/>
      <c r="E444" s="64" t="str">
        <v>OK</v>
      </c>
      <c r="F444" s="26" t="str">
        <f ca="1"/>
        <v xml:space="preserve">  periods, K9:Q9,</v>
      </c>
    </row>
    <row r="445" spans="2:20" x14ac:dyDescent="0.2">
      <c r="C445" s="16" t="s">
        <v>91</v>
      </c>
      <c r="D445" s="54">
        <v>1</v>
      </c>
      <c r="E445" s="65">
        <v>1</v>
      </c>
      <c r="F445" s="26" t="str">
        <f ca="1"/>
        <v xml:space="preserve">  values, K10:Q10,</v>
      </c>
    </row>
    <row r="446" spans="2:20" x14ac:dyDescent="0.2">
      <c r="C446" s="16" t="s">
        <v>109</v>
      </c>
      <c r="D446" s="53" t="b">
        <v>1</v>
      </c>
      <c r="E446" s="64">
        <v>1</v>
      </c>
      <c r="F446" s="26" t="str">
        <f ca="1"/>
        <v xml:space="preserve">  step, D445,</v>
      </c>
    </row>
    <row r="447" spans="2:20" x14ac:dyDescent="0.2">
      <c r="C447" s="16" t="s">
        <v>107</v>
      </c>
      <c r="D447" s="25" t="b">
        <v>0</v>
      </c>
      <c r="E447" s="64">
        <v>0</v>
      </c>
      <c r="F447" s="26" t="str">
        <f ca="1"/>
        <v xml:space="preserve">  ignore_errors, D446,</v>
      </c>
    </row>
    <row r="448" spans="2:20" x14ac:dyDescent="0.2">
      <c r="C448" s="16" t="s">
        <v>108</v>
      </c>
      <c r="D448" s="25" t="b">
        <v>0</v>
      </c>
      <c r="E448" s="64">
        <v>0</v>
      </c>
      <c r="F448" s="26" t="str">
        <f ca="1"/>
        <v xml:space="preserve">  output_periods, D447,</v>
      </c>
    </row>
    <row r="449" spans="6:6" x14ac:dyDescent="0.2">
      <c r="F449" s="26" t="str">
        <f ca="1"/>
        <v xml:space="preserve">  output_vertical, D448,</v>
      </c>
    </row>
    <row r="450" spans="6:6" x14ac:dyDescent="0.2">
      <c r="F450" s="26" t="str">
        <f ca="1"/>
        <v xml:space="preserve">  _stp, IF(INDEX(step, 1, 1) = 0, 0, INDEX(step, 1, 1)),</v>
      </c>
    </row>
    <row r="451" spans="6:6" x14ac:dyDescent="0.2">
      <c r="F451" s="26" t="str">
        <f ca="1"/>
        <v xml:space="preserve">  _inpE, IF(ignore_errors = 0, 0, INT(ignore_errors)),</v>
      </c>
    </row>
    <row r="452" spans="6:6" x14ac:dyDescent="0.2">
      <c r="F452" s="26" t="str">
        <f ca="1"/>
        <v xml:space="preserve">  _inpP, IF(output_periods = 0, 0, INT(output_periods)),</v>
      </c>
    </row>
    <row r="453" spans="6:6" x14ac:dyDescent="0.2">
      <c r="F453" s="26" t="str">
        <f ca="1"/>
        <v xml:space="preserve">  _inpV, IF(output_vertical = 0, 0, INT(output_vertical)),</v>
      </c>
    </row>
    <row r="454" spans="6:6" x14ac:dyDescent="0.2">
      <c r="F454" s="26" t="str">
        <f ca="1"/>
        <v xml:space="preserve">  _arrP, TOROW(periods),</v>
      </c>
    </row>
    <row r="455" spans="6:6" x14ac:dyDescent="0.2">
      <c r="F455" s="26" t="str">
        <f ca="1"/>
        <v xml:space="preserve">  _arrV, MAP(TOROW(values), LAMBDA(_v,</v>
      </c>
    </row>
    <row r="456" spans="6:6" x14ac:dyDescent="0.2">
      <c r="F456" s="26" t="str">
        <f ca="1"/>
        <v xml:space="preserve">    IF(AND(ISERROR(_v), _inpE), NA(), IF(ISBLANK(_v), NA(), _v))</v>
      </c>
    </row>
    <row r="457" spans="6:6" x14ac:dyDescent="0.2">
      <c r="F457" s="26" t="str">
        <f ca="1"/>
        <v xml:space="preserve">  )),</v>
      </c>
    </row>
    <row r="458" spans="6:6" x14ac:dyDescent="0.2">
      <c r="F458" s="26" t="str">
        <f ca="1"/>
        <v xml:space="preserve">  _inpChk, IF(</v>
      </c>
    </row>
    <row r="459" spans="6:6" x14ac:dyDescent="0.2">
      <c r="F459" s="26" t="str">
        <f ca="1"/>
        <v xml:space="preserve">    OR(</v>
      </c>
    </row>
    <row r="460" spans="6:6" x14ac:dyDescent="0.2">
      <c r="F460" s="26" t="str">
        <f ca="1"/>
        <v xml:space="preserve">      AND(ROWS(periods) &gt; 1, COLUMNS(periods) &gt; 1),</v>
      </c>
    </row>
    <row r="461" spans="6:6" x14ac:dyDescent="0.2">
      <c r="F461" s="26" t="str">
        <f ca="1"/>
        <v xml:space="preserve">      AND(ROWS(values) &gt; 1, COLUMNS(values) &gt; 1),</v>
      </c>
    </row>
    <row r="462" spans="6:6" x14ac:dyDescent="0.2">
      <c r="F462" s="26" t="str">
        <f ca="1"/>
        <v xml:space="preserve">      COLUMNS(_arrP) &lt;&gt; COLUMNS(_arrV),</v>
      </c>
    </row>
    <row r="463" spans="6:6" x14ac:dyDescent="0.2">
      <c r="F463" s="26" t="str">
        <f ca="1"/>
        <v xml:space="preserve">      COLUMNS(_arrV) &lt; 2</v>
      </c>
    </row>
    <row r="464" spans="6:6" x14ac:dyDescent="0.2">
      <c r="F464" s="26" t="str">
        <f ca="1"/>
        <v xml:space="preserve">    ), 2, IF(</v>
      </c>
    </row>
    <row r="465" spans="2:6" x14ac:dyDescent="0.2">
      <c r="F465" s="26" t="str">
        <f ca="1"/>
        <v xml:space="preserve">    OR(</v>
      </c>
    </row>
    <row r="466" spans="2:6" x14ac:dyDescent="0.2">
      <c r="F466" s="26" t="str">
        <f ca="1"/>
        <v xml:space="preserve">      NOT(ISNUMBER(step)), _stp &lt; 0,</v>
      </c>
    </row>
    <row r="467" spans="2:6" x14ac:dyDescent="0.2">
      <c r="F467" s="26" t="str">
        <f ca="1"/>
        <v xml:space="preserve">      ISTEXT(ignore_errors), _inpE &lt; 0, _inpE &gt; 1,</v>
      </c>
    </row>
    <row r="468" spans="2:6" x14ac:dyDescent="0.2">
      <c r="F468" s="26" t="str">
        <f ca="1"/>
        <v xml:space="preserve">      ISTEXT(output_periods), _inpP &lt; 0, _inpP &gt; 1,</v>
      </c>
    </row>
    <row r="469" spans="2:6" x14ac:dyDescent="0.2">
      <c r="F469" s="26" t="str">
        <f ca="1"/>
        <v xml:space="preserve">      ISTEXT(output_vertical), _inpV &lt; 0, _inpV &gt; 1</v>
      </c>
    </row>
    <row r="470" spans="2:6" x14ac:dyDescent="0.2">
      <c r="F470" s="26" t="str">
        <f ca="1"/>
        <v xml:space="preserve">    ), 3, 1)</v>
      </c>
    </row>
    <row r="471" spans="2:6" x14ac:dyDescent="0.2">
      <c r="F471" s="26" t="str">
        <f ca="1"/>
        <v xml:space="preserve">  ),</v>
      </c>
    </row>
    <row r="472" spans="2:6" x14ac:dyDescent="0.2">
      <c r="F472" s="26" t="str">
        <f ca="1"/>
        <v xml:space="preserve">  _rtn, VSTACK("OK", "OK", _stp, _inpE, _inpP, _inpV),</v>
      </c>
    </row>
    <row r="473" spans="2:6" x14ac:dyDescent="0.2">
      <c r="F473" s="26" t="str">
        <f ca="1"/>
        <v xml:space="preserve">  CHOOSE(_inpChk, _rtn, LAMBDA(0), #VALUE!)</v>
      </c>
    </row>
    <row r="474" spans="2:6" x14ac:dyDescent="0.2">
      <c r="F474" s="26" t="str">
        <f ca="1"/>
        <v>)</v>
      </c>
    </row>
    <row r="476" spans="2:6" x14ac:dyDescent="0.2">
      <c r="B476" s="10" t="str" cm="1">
        <f t="array" ref="B476" xml:space="preserve"> "(" &amp; _xlfn.UNICHAR( 65 + SUMPRODUCT(--(_xlfn.REGEXTEST(B$1:B475, "^\([A-Z]\)$")))) &amp; ")"</f>
        <v>(O)</v>
      </c>
      <c r="C476" s="3" t="s">
        <v>111</v>
      </c>
    </row>
    <row r="478" spans="2:6" x14ac:dyDescent="0.2">
      <c r="C478" s="16" t="s">
        <v>91</v>
      </c>
      <c r="D478" s="45">
        <v>1</v>
      </c>
    </row>
    <row r="479" spans="2:6" x14ac:dyDescent="0.2">
      <c r="C479" s="16" t="s">
        <v>109</v>
      </c>
      <c r="D479" s="49">
        <v>1</v>
      </c>
    </row>
    <row r="480" spans="2:6" x14ac:dyDescent="0.2">
      <c r="C480" s="16" t="s">
        <v>107</v>
      </c>
      <c r="D480" s="49">
        <v>1</v>
      </c>
    </row>
    <row r="481" spans="3:15" x14ac:dyDescent="0.2">
      <c r="C481" s="16" t="s">
        <v>108</v>
      </c>
      <c r="D481" s="49">
        <v>0</v>
      </c>
    </row>
    <row r="482" spans="3:15" x14ac:dyDescent="0.2">
      <c r="D482" s="42" cm="1">
        <f t="array" ref="D482:O482" xml:space="preserve"> _xlfn.SEQUENCE(1, COLUMNS(_xlfn.ANCHORARRAY(D483)))</f>
        <v>1</v>
      </c>
      <c r="E482" s="42">
        <v>2</v>
      </c>
      <c r="F482" s="42">
        <v>3</v>
      </c>
      <c r="G482" s="42">
        <v>4</v>
      </c>
      <c r="H482" s="42">
        <v>5</v>
      </c>
      <c r="I482" s="42">
        <v>6</v>
      </c>
      <c r="J482" s="42">
        <v>7</v>
      </c>
      <c r="K482" s="42">
        <v>8</v>
      </c>
      <c r="L482" s="42">
        <v>9</v>
      </c>
      <c r="M482" s="42">
        <v>10</v>
      </c>
      <c r="N482" s="42">
        <v>11</v>
      </c>
      <c r="O482" s="42">
        <v>12</v>
      </c>
    </row>
    <row r="483" spans="3:15" x14ac:dyDescent="0.2">
      <c r="C483" s="16" t="s">
        <v>36</v>
      </c>
      <c r="D483" s="24" cm="1">
        <f t="array" ref="D483:O484" xml:space="preserve"> _xlfn.LAMBDA(_xlpm.periods,_xlpm.values,_xlop.step,_xlop.ignore_errors,_xlop.output_periods,_xlop.output_vertical,
  _xlfn.LET(
    _xlpm._stp, IF(_xlfn.ISOMITTED(_xlpm.step), 0, INDEX(_xlpm.step, 1, 1)),
    _xlpm._inpE, IF(_xlfn.ISOMITTED(_xlpm.ignore_errors), 0, INT(_xlpm.ignore_errors)),
    _xlpm._inpP, IF(_xlfn.ISOMITTED(_xlpm.output_periods), 0, INT(_xlpm.output_periods)),
    _xlpm._inpV, IF(_xlfn.ISOMITTED(_xlpm.output_vertical), 0, INT(_xlpm.output_vertical)),
    _xlpm._arrP, _xlfn.TOROW(_xlpm.periods),
    _xlpm._arrV, _xlfn.MAP(_xlfn.TOROW(_xlpm.values), _xlfn.LAMBDA(_xlpm._v,
      IF(AND(ISERROR(_xlpm._v), _xlpm._inpE), NA(), IF(ISBLANK(_xlpm._v), NA(), _xlpm._v))
    )),
    _xlpm._inpChk, IF(
      OR(
        AND(ROWS(_xlpm.periods) &gt; 1, COLUMNS(_xlpm.periods) &gt; 1),
        AND(ROWS(_xlpm.values) &gt; 1, COLUMNS(_xlpm.values) &gt; 1),
        COLUMNS(_xlpm._arrP) &lt;&gt; COLUMNS(_xlpm._arrV),
        COLUMNS(_xlpm._arrV) &lt; 2
      ), 2, IF(
      OR(
        NOT(ISNUMBER(_xlpm.step)), _xlpm._stp &lt; 0,
        ISTEXT(_xlpm.ignore_errors), _xlpm._inpE &lt; 0, _xlpm._inpE &gt; 1,
        ISTEXT(_xlpm.output_periods), _xlpm._inpP &lt; 0, _xlpm._inpP &gt; 1,
        ISTEXT(_xlpm.output_vertical), _xlpm._inpV &lt; 0, _xlpm._inpV &gt; 1
      ), 3, 1)
    ),
    _xlpm._vrt, (ROWS(_xlpm.values) &gt; COLUMNS(_xlpm.values)),
    _xlpm._bgn, INDEX(_xlfn._xlws.SORT(_xlpm._arrP), 1, 1),
    _xlpm._end, INDEX(_xlfn._xlws.SORT(_xlpm._arrP), 1, COLUMNS(_xlpm._arrP)),
    _xlpm._prd, IF(_xlpm._stp = 0, _xlfn._xlws.SORT(_xlpm._arrP),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_xlpm._out, IF(_xlpm._inpP, _xlfn.VSTACK(_xlpm._prd, _xlpm._scn), _xlpm._scn),
    _xlpm._rtn, IF(OR(_xlpm._vrt, _xlpm._inpV), TRANSPOSE(_xlpm._out), _xlpm._out),
    CHOOSE(_xlpm._inpChk, _xlpm._rtn, _xlfn.LAMBDA(0), #VALUE!)
  )
)($K$9:$Q$9, $K$10:$Q$10, D478, D479, D480, D481)</f>
        <v>1</v>
      </c>
      <c r="E483" s="24">
        <v>2</v>
      </c>
      <c r="F483" s="24">
        <v>3</v>
      </c>
      <c r="G483" s="24">
        <v>4</v>
      </c>
      <c r="H483" s="24">
        <v>5</v>
      </c>
      <c r="I483" s="24">
        <v>6</v>
      </c>
      <c r="J483" s="24">
        <v>7</v>
      </c>
      <c r="K483" s="24">
        <v>8</v>
      </c>
      <c r="L483" s="24">
        <v>9</v>
      </c>
      <c r="M483" s="24">
        <v>10</v>
      </c>
      <c r="N483" s="24">
        <v>11</v>
      </c>
      <c r="O483" s="24">
        <v>12</v>
      </c>
    </row>
    <row r="484" spans="3:15" x14ac:dyDescent="0.2">
      <c r="C484" s="42" cm="1">
        <f t="array" ref="C484" xml:space="preserve"> IF(ROWS(_xlfn.ANCHORARRAY(D483)) &gt; 1, _xlfn.SEQUENCE(ROWS(_xlfn.ANCHORARRAY(D483)) - 1, 1, 2), "")</f>
        <v>2</v>
      </c>
      <c r="D484" s="24">
        <v>100</v>
      </c>
      <c r="E484" s="24">
        <v>200</v>
      </c>
      <c r="F484" s="24">
        <v>300</v>
      </c>
      <c r="G484" s="24">
        <v>400</v>
      </c>
      <c r="H484" s="24">
        <v>500</v>
      </c>
      <c r="I484" s="24">
        <v>600</v>
      </c>
      <c r="J484" s="24">
        <v>700</v>
      </c>
      <c r="K484" s="24">
        <v>800</v>
      </c>
      <c r="L484" s="24">
        <v>900</v>
      </c>
      <c r="M484" s="24">
        <v>1000</v>
      </c>
      <c r="N484" s="24">
        <v>1100</v>
      </c>
      <c r="O484" s="24">
        <v>1200</v>
      </c>
    </row>
    <row r="485" spans="3:15" x14ac:dyDescent="0.2">
      <c r="C485" s="42"/>
      <c r="D485" s="24"/>
      <c r="E485" s="24"/>
      <c r="F485" s="26" t="str" cm="1">
        <f t="array" aca="1" ref="F485:F530" ca="1" xml:space="preserve"> _xlfn.TEXTSPLIT(_xlfn.FORMULATEXT(D483), , CHAR(10))</f>
        <v>= LAMBDA(periods,values,[step],[ignore_errors],[output_periods],[output_vertical],</v>
      </c>
    </row>
    <row r="486" spans="3:15" x14ac:dyDescent="0.2">
      <c r="C486" s="42"/>
      <c r="D486" s="24"/>
      <c r="E486" s="24"/>
      <c r="F486" s="26" t="str">
        <f ca="1"/>
        <v xml:space="preserve">  LET(</v>
      </c>
    </row>
    <row r="487" spans="3:15" x14ac:dyDescent="0.2">
      <c r="C487" s="42"/>
      <c r="D487" s="24"/>
      <c r="E487" s="24"/>
      <c r="F487" s="26" t="str">
        <f ca="1"/>
        <v xml:space="preserve">    _stp, IF(ISOMITTED(step), 0, INDEX(step, 1, 1)),</v>
      </c>
    </row>
    <row r="488" spans="3:15" x14ac:dyDescent="0.2">
      <c r="C488" s="42"/>
      <c r="D488" s="24"/>
      <c r="E488" s="24"/>
      <c r="F488" s="26" t="str">
        <f ca="1"/>
        <v xml:space="preserve">    _inpE, IF(ISOMITTED(ignore_errors), 0, INT(ignore_errors)),</v>
      </c>
    </row>
    <row r="489" spans="3:15" x14ac:dyDescent="0.2">
      <c r="C489" s="42"/>
      <c r="D489" s="24"/>
      <c r="E489" s="24"/>
      <c r="F489" s="26" t="str">
        <f ca="1"/>
        <v xml:space="preserve">    _inpP, IF(ISOMITTED(output_periods), 0, INT(output_periods)),</v>
      </c>
    </row>
    <row r="490" spans="3:15" x14ac:dyDescent="0.2">
      <c r="C490" s="42"/>
      <c r="D490" s="24"/>
      <c r="E490" s="24"/>
      <c r="F490" s="26" t="str">
        <f ca="1"/>
        <v xml:space="preserve">    _inpV, IF(ISOMITTED(output_vertical), 0, INT(output_vertical)),</v>
      </c>
    </row>
    <row r="491" spans="3:15" x14ac:dyDescent="0.2">
      <c r="C491" s="42"/>
      <c r="D491" s="24"/>
      <c r="E491" s="24"/>
      <c r="F491" s="26" t="str">
        <f ca="1"/>
        <v xml:space="preserve">    _arrP, TOROW(periods),</v>
      </c>
    </row>
    <row r="492" spans="3:15" x14ac:dyDescent="0.2">
      <c r="C492" s="42"/>
      <c r="D492" s="24"/>
      <c r="E492" s="24"/>
      <c r="F492" s="26" t="str">
        <f ca="1"/>
        <v xml:space="preserve">    _arrV, MAP(TOROW(values), LAMBDA(_v,</v>
      </c>
    </row>
    <row r="493" spans="3:15" x14ac:dyDescent="0.2">
      <c r="C493" s="42"/>
      <c r="D493" s="24"/>
      <c r="E493" s="24"/>
      <c r="F493" s="26" t="str">
        <f ca="1"/>
        <v xml:space="preserve">      IF(AND(ISERROR(_v), _inpE), NA(), IF(ISBLANK(_v), NA(), _v))</v>
      </c>
    </row>
    <row r="494" spans="3:15" x14ac:dyDescent="0.2">
      <c r="C494" s="42"/>
      <c r="D494" s="24"/>
      <c r="E494" s="24"/>
      <c r="F494" s="26" t="str">
        <f ca="1"/>
        <v xml:space="preserve">    )),</v>
      </c>
    </row>
    <row r="495" spans="3:15" x14ac:dyDescent="0.2">
      <c r="F495" s="26" t="str">
        <f ca="1"/>
        <v xml:space="preserve">    _inpChk, IF(</v>
      </c>
    </row>
    <row r="496" spans="3:15" x14ac:dyDescent="0.2">
      <c r="F496" s="26" t="str">
        <f ca="1"/>
        <v xml:space="preserve">      OR(</v>
      </c>
    </row>
    <row r="497" spans="6:6" x14ac:dyDescent="0.2">
      <c r="F497" s="26" t="str">
        <f ca="1"/>
        <v xml:space="preserve">        AND(ROWS(periods) &gt; 1, COLUMNS(periods) &gt; 1),</v>
      </c>
    </row>
    <row r="498" spans="6:6" x14ac:dyDescent="0.2">
      <c r="F498" s="26" t="str">
        <f ca="1"/>
        <v xml:space="preserve">        AND(ROWS(values) &gt; 1, COLUMNS(values) &gt; 1),</v>
      </c>
    </row>
    <row r="499" spans="6:6" x14ac:dyDescent="0.2">
      <c r="F499" s="26" t="str">
        <f ca="1"/>
        <v xml:space="preserve">        COLUMNS(_arrP) &lt;&gt; COLUMNS(_arrV),</v>
      </c>
    </row>
    <row r="500" spans="6:6" x14ac:dyDescent="0.2">
      <c r="F500" s="26" t="str">
        <f ca="1"/>
        <v xml:space="preserve">        COLUMNS(_arrV) &lt; 2</v>
      </c>
    </row>
    <row r="501" spans="6:6" x14ac:dyDescent="0.2">
      <c r="F501" s="26" t="str">
        <f ca="1"/>
        <v xml:space="preserve">      ), 2, IF(</v>
      </c>
    </row>
    <row r="502" spans="6:6" x14ac:dyDescent="0.2">
      <c r="F502" s="26" t="str">
        <f ca="1"/>
        <v xml:space="preserve">      OR(</v>
      </c>
    </row>
    <row r="503" spans="6:6" x14ac:dyDescent="0.2">
      <c r="F503" s="26" t="str">
        <f ca="1"/>
        <v xml:space="preserve">        NOT(ISNUMBER(step)), _stp &lt; 0,</v>
      </c>
    </row>
    <row r="504" spans="6:6" x14ac:dyDescent="0.2">
      <c r="F504" s="26" t="str">
        <f ca="1"/>
        <v xml:space="preserve">        ISTEXT(ignore_errors), _inpE &lt; 0, _inpE &gt; 1,</v>
      </c>
    </row>
    <row r="505" spans="6:6" x14ac:dyDescent="0.2">
      <c r="F505" s="26" t="str">
        <f ca="1"/>
        <v xml:space="preserve">        ISTEXT(output_periods), _inpP &lt; 0, _inpP &gt; 1,</v>
      </c>
    </row>
    <row r="506" spans="6:6" x14ac:dyDescent="0.2">
      <c r="F506" s="26" t="str">
        <f ca="1"/>
        <v xml:space="preserve">        ISTEXT(output_vertical), _inpV &lt; 0, _inpV &gt; 1</v>
      </c>
    </row>
    <row r="507" spans="6:6" x14ac:dyDescent="0.2">
      <c r="F507" s="26" t="str">
        <f ca="1"/>
        <v xml:space="preserve">      ), 3, 1)</v>
      </c>
    </row>
    <row r="508" spans="6:6" x14ac:dyDescent="0.2">
      <c r="F508" s="26" t="str">
        <f ca="1"/>
        <v xml:space="preserve">    ),</v>
      </c>
    </row>
    <row r="509" spans="6:6" x14ac:dyDescent="0.2">
      <c r="F509" s="26" t="str">
        <f ca="1"/>
        <v xml:space="preserve">    _vrt, (ROWS(values) &gt; COLUMNS(values)),</v>
      </c>
    </row>
    <row r="510" spans="6:6" x14ac:dyDescent="0.2">
      <c r="F510" s="26" t="str">
        <f ca="1"/>
        <v xml:space="preserve">    _bgn, INDEX(SORT(_arrP), 1, 1),</v>
      </c>
    </row>
    <row r="511" spans="6:6" x14ac:dyDescent="0.2">
      <c r="F511" s="26" t="str">
        <f ca="1"/>
        <v xml:space="preserve">    _end, INDEX(SORT(_arrP), 1, COLUMNS(_arrP)),</v>
      </c>
    </row>
    <row r="512" spans="6:6" x14ac:dyDescent="0.2">
      <c r="F512" s="26" t="str">
        <f ca="1"/>
        <v xml:space="preserve">    _prd, IF(_stp = 0, SORT(_arrP), SEQUENCE(1, ((_end - _bgn) / _stp) + 1, _bgn, _stp)),</v>
      </c>
    </row>
    <row r="513" spans="6:6" x14ac:dyDescent="0.2">
      <c r="F513" s="26" t="str">
        <f ca="1"/>
        <v xml:space="preserve">    _idx, SEQUENCE(1, COLUMNS(_prd)),</v>
      </c>
    </row>
    <row r="514" spans="6:6" x14ac:dyDescent="0.2">
      <c r="F514" s="26" t="str">
        <f ca="1"/>
        <v xml:space="preserve">    _map, MAP(_prd, LAMBDA(_p, INDEX(_arrV, 1, XMATCH(_p, _arrP)))),</v>
      </c>
    </row>
    <row r="515" spans="6:6" x14ac:dyDescent="0.2">
      <c r="F515" s="26" t="str">
        <f ca="1"/>
        <v xml:space="preserve">    _scn, SCAN(0, _idx, LAMBDA(_prv,_c,</v>
      </c>
    </row>
    <row r="516" spans="6:6" x14ac:dyDescent="0.2">
      <c r="F516" s="26" t="str">
        <f ca="1"/>
        <v xml:space="preserve">      IF(ISNA(INDEX(_map, 1, _c)),</v>
      </c>
    </row>
    <row r="517" spans="6:6" x14ac:dyDescent="0.2">
      <c r="F517" s="26" t="str">
        <f ca="1"/>
        <v xml:space="preserve">      LET(</v>
      </c>
    </row>
    <row r="518" spans="6:6" x14ac:dyDescent="0.2">
      <c r="F518" s="26" t="str">
        <f ca="1"/>
        <v xml:space="preserve">        _arr, FILTER(DROP(_idx, , _c), NOT(ISNA(DROP(_map, , _c)))),</v>
      </c>
    </row>
    <row r="519" spans="6:6" x14ac:dyDescent="0.2">
      <c r="F519" s="26" t="str">
        <f ca="1"/>
        <v xml:space="preserve">        _i, INDEX(_arr, 1, 1),</v>
      </c>
    </row>
    <row r="520" spans="6:6" x14ac:dyDescent="0.2">
      <c r="F520" s="26" t="str">
        <f ca="1"/>
        <v xml:space="preserve">        _nxt, INDEX(_map, 1, _i),</v>
      </c>
    </row>
    <row r="521" spans="6:6" x14ac:dyDescent="0.2">
      <c r="F521" s="26" t="str">
        <f ca="1"/>
        <v xml:space="preserve">        _inc, (_nxt - _prv) / (_i - _c + 1),</v>
      </c>
    </row>
    <row r="522" spans="6:6" x14ac:dyDescent="0.2">
      <c r="F522" s="26" t="str">
        <f ca="1"/>
        <v xml:space="preserve">        _prv + _inc</v>
      </c>
    </row>
    <row r="523" spans="6:6" x14ac:dyDescent="0.2">
      <c r="F523" s="26" t="str">
        <f ca="1"/>
        <v xml:space="preserve">      ),</v>
      </c>
    </row>
    <row r="524" spans="6:6" x14ac:dyDescent="0.2">
      <c r="F524" s="26" t="str">
        <f ca="1"/>
        <v xml:space="preserve">      INDEX(_map, 1, _c)</v>
      </c>
    </row>
    <row r="525" spans="6:6" x14ac:dyDescent="0.2">
      <c r="F525" s="26" t="str">
        <f ca="1"/>
        <v xml:space="preserve">    ))),</v>
      </c>
    </row>
    <row r="526" spans="6:6" x14ac:dyDescent="0.2">
      <c r="F526" s="26" t="str">
        <f ca="1"/>
        <v xml:space="preserve">    _out, IF(_inpP, VSTACK(_prd, _scn), _scn),</v>
      </c>
    </row>
    <row r="527" spans="6:6" x14ac:dyDescent="0.2">
      <c r="F527" s="26" t="str">
        <f ca="1"/>
        <v xml:space="preserve">    _rtn, IF(OR(_vrt, _inpV), TRANSPOSE(_out), _out),</v>
      </c>
    </row>
    <row r="528" spans="6:6" x14ac:dyDescent="0.2">
      <c r="F528" s="26" t="str">
        <f ca="1"/>
        <v xml:space="preserve">    CHOOSE(_inpChk, _rtn, LAMBDA(0), #VALUE!)</v>
      </c>
    </row>
    <row r="529" spans="2:20" x14ac:dyDescent="0.2">
      <c r="F529" s="26" t="str">
        <f ca="1"/>
        <v xml:space="preserve">  )</v>
      </c>
    </row>
    <row r="530" spans="2:20" x14ac:dyDescent="0.2">
      <c r="F530" s="26" t="str">
        <f ca="1"/>
        <v>)($K$9:$Q$9, $K$10:$Q$10, D478, D479, D480, D481)</v>
      </c>
    </row>
    <row r="533" spans="2:20" x14ac:dyDescent="0.2">
      <c r="B533" s="8" t="s">
        <v>112</v>
      </c>
      <c r="C533" s="7"/>
      <c r="D533" s="7"/>
      <c r="E533" s="7"/>
      <c r="F533" s="7"/>
      <c r="G533" s="7"/>
      <c r="H533" s="7"/>
      <c r="I533" s="7"/>
      <c r="J533" s="7"/>
      <c r="K533" s="7"/>
      <c r="L533" s="7"/>
      <c r="M533" s="7"/>
      <c r="N533" s="7"/>
      <c r="O533" s="7"/>
      <c r="P533" s="7"/>
      <c r="Q533" s="7"/>
      <c r="R533" s="7"/>
      <c r="S533" s="7"/>
      <c r="T533" s="7"/>
    </row>
    <row r="535" spans="2:20" x14ac:dyDescent="0.2">
      <c r="C535" s="9" t="s">
        <v>3</v>
      </c>
    </row>
    <row r="536" spans="2:20" x14ac:dyDescent="0.2">
      <c r="C536" t="s">
        <v>289</v>
      </c>
    </row>
    <row r="537" spans="2:20" x14ac:dyDescent="0.2">
      <c r="C537" s="23" t="s">
        <v>290</v>
      </c>
    </row>
    <row r="538" spans="2:20" x14ac:dyDescent="0.2">
      <c r="C538" s="23" t="s">
        <v>291</v>
      </c>
    </row>
    <row r="539" spans="2:20" x14ac:dyDescent="0.2">
      <c r="C539" s="23" t="s">
        <v>292</v>
      </c>
    </row>
    <row r="540" spans="2:20" x14ac:dyDescent="0.2">
      <c r="P540" t="s">
        <v>293</v>
      </c>
    </row>
    <row r="541" spans="2:20" x14ac:dyDescent="0.2">
      <c r="B541" s="10" t="str" cm="1">
        <f t="array" ref="B541" xml:space="preserve"> "(" &amp; _xlfn.UNICHAR( 65 + SUMPRODUCT(--(_xlfn.REGEXTEST(B$1:B534, "^\([A-Z]\)$")))) &amp; ")"</f>
        <v>(P)</v>
      </c>
      <c r="C541" s="3" t="s">
        <v>166</v>
      </c>
    </row>
    <row r="542" spans="2:20" x14ac:dyDescent="0.2">
      <c r="C542" s="51" t="s">
        <v>110</v>
      </c>
    </row>
    <row r="544" spans="2:20" x14ac:dyDescent="0.2">
      <c r="C544" s="16" t="s">
        <v>91</v>
      </c>
      <c r="D544" s="45">
        <v>1</v>
      </c>
    </row>
    <row r="545" spans="3:27" x14ac:dyDescent="0.2">
      <c r="C545" s="16" t="s">
        <v>109</v>
      </c>
      <c r="D545" s="49">
        <v>1</v>
      </c>
    </row>
    <row r="546" spans="3:27" x14ac:dyDescent="0.2">
      <c r="C546" s="16" t="s">
        <v>113</v>
      </c>
      <c r="D546" s="49">
        <v>0</v>
      </c>
    </row>
    <row r="547" spans="3:27" x14ac:dyDescent="0.2">
      <c r="C547" s="16" t="s">
        <v>107</v>
      </c>
      <c r="D547" s="49">
        <v>1</v>
      </c>
    </row>
    <row r="548" spans="3:27" x14ac:dyDescent="0.2">
      <c r="C548" s="16" t="s">
        <v>108</v>
      </c>
      <c r="D548" s="49">
        <v>0</v>
      </c>
    </row>
    <row r="549" spans="3:27" x14ac:dyDescent="0.2">
      <c r="D549" s="42" cm="1">
        <f t="array" ref="D549:AA549" xml:space="preserve"> _xlfn.SEQUENCE(1, COLUMNS(_xlfn.ANCHORARRAY(D550)))</f>
        <v>1</v>
      </c>
      <c r="E549" s="42">
        <v>2</v>
      </c>
      <c r="F549" s="42">
        <v>3</v>
      </c>
      <c r="G549" s="42">
        <v>4</v>
      </c>
      <c r="H549" s="42">
        <v>5</v>
      </c>
      <c r="I549" s="42">
        <v>6</v>
      </c>
      <c r="J549" s="42">
        <v>7</v>
      </c>
      <c r="K549" s="42">
        <v>8</v>
      </c>
      <c r="L549" s="42">
        <v>9</v>
      </c>
      <c r="M549" s="42">
        <v>10</v>
      </c>
      <c r="N549" s="42">
        <v>11</v>
      </c>
      <c r="O549" s="42">
        <v>12</v>
      </c>
      <c r="P549" s="42">
        <v>13</v>
      </c>
      <c r="Q549" s="42">
        <v>14</v>
      </c>
      <c r="R549" s="42">
        <v>15</v>
      </c>
      <c r="S549" s="42">
        <v>16</v>
      </c>
      <c r="T549" s="42">
        <v>17</v>
      </c>
      <c r="U549" s="42">
        <v>18</v>
      </c>
      <c r="V549" s="42">
        <v>19</v>
      </c>
      <c r="W549" s="42">
        <v>20</v>
      </c>
      <c r="X549" s="42">
        <v>21</v>
      </c>
      <c r="Y549" s="42">
        <v>22</v>
      </c>
      <c r="Z549" s="42">
        <v>23</v>
      </c>
      <c r="AA549" s="42">
        <v>24</v>
      </c>
    </row>
    <row r="550" spans="3:27" x14ac:dyDescent="0.2">
      <c r="C550" s="16" t="s">
        <v>36</v>
      </c>
      <c r="D550" s="24" cm="1">
        <f t="array" ref="D550:AA551" xml:space="preserve"> _xlfn.LAMBDA(_xlpm.values,_xlpm.periods,_xlop.step,_xlop.ignore_errors,_xlop.rebalance_output,_xlop.output_periods,_xlop.output_vertical,
  _xlfn.LET(
    _xlpm._stp, IF(_xlfn.ISOMITTED(_xlpm.step), 0, INDEX(_xlpm.step, 1, 1)),
    _xlpm._inpE, IF(_xlfn.ISOMITTED(_xlpm.ignore_errors), 0, INT(_xlpm.ignore_errors)),
    _xlpm._inpR, IF(_xlfn.ISOMITTED(_xlpm.rebalance_output), 0, INT(_xlpm.rebalance_output)),
    _xlpm._inpP, IF(_xlfn.ISOMITTED(_xlpm.output_periods), 0, INT(_xlpm.output_periods)),
    _xlpm._inpV, IF(_xlfn.ISOMITTED(_xlpm.output_vertical), 0, INT(_xlpm.output_vertical)),
    _xlpm._arrP, _xlfn.TOROW(_xlpm.periods),
    _xlpm._arrV, _xlfn.MAP(_xlfn.TOROW(_xlpm.values), _xlfn.LAMBDA(_xlpm._v,
      IF(AND(ISERROR(_xlpm._v), _xlpm._inpE), NA(), IF(ISBLANK(_xlpm._v), NA(), _xlpm._v))
    )),
    _xlpm._inpChk, IF(
      OR(
        AND(ROWS(_xlpm.periods) &gt; 1, COLUMNS(_xlpm.periods) &gt; 1),
        AND(ROWS(_xlpm.values) &gt; 1, COLUMNS(_xlpm.values) &gt; 1),
        COLUMNS(_xlpm._arrP) &lt;&gt; COLUMNS(_xlpm._arrV),
        COLUMNS(_xlpm._arrV) &lt; 2
      ), 2, IF(
      OR(
        NOT(ISNUMBER(_xlpm.step)), _xlpm._stp &lt; 0,
        ISTEXT(_xlpm.ignore_errors), _xlpm._inpE &lt; 0, _xlpm._inpE &gt; 1,
        ISTEXT(_xlpm.rebalance_output), _xlpm._inpR &lt; 0, _xlpm._inpR &gt; 1,
        ISTEXT(_xlpm.output_periods), _xlpm._inpP &lt; 0, _xlpm._inpP &gt; 1,
        ISTEXT(_xlpm.output_vertical), _xlpm._inpV &lt; 0, _xlpm._inpV &gt; 1
      ), 3, 1)
    ),
    _xlpm._vrt, (ROWS(_xlpm.values) &gt; COLUMNS(_xlpm.values)),
    _xlpm._bgn, INDEX(_xlfn._xlws.SORT(_xlpm._arrP), 1, 1),
    _xlpm._end, INDEX(_xlfn._xlws.SORT(_xlpm._arrP), 1, COLUMNS(_xlpm._arrP)),
    _xlpm._prd, IF(_xlpm._stp = 0, _xlfn._xlws.SORT(_xlpm._arrP), _xlfn.SEQUENCE(1, ((_xlpm._end - _xlpm._bgn) / _xlpm._stp) + 1, _xlpm._bgn, _xlpm._stp)),
    _xlpm._idx, _xlfn.SEQUENCE(1, COLUMNS(_xlpm._prd)),
    _xlpm._map, _xlfn.MAP(_xlpm._prd, _xlfn.LAMBDA(_xlpm._p, INDEX(_xlpm._arrV, 1, _xlfn.XMATCH(_xlpm._p, _xlpm._arrP)))),
    _xlpm._scn, _xlfn.SCAN(0, _xlpm._idx, _xlfn.LAMBDA(_xlpm._prv,_xlpm._c,
      IF(ISNA(INDEX(_xlpm._map, 1, _xlpm._c)),
      _xlfn.LET(
        _xlpm._arr, _xlfn._xlws.FILTER(_xlfn.DROP(_xlpm._idx, , _xlpm._c), NOT(ISNA(_xlfn.DROP(_xlpm._map, , _xlpm._c)))),
        _xlpm._i, INDEX(_xlpm._arr, 1, 1),
        _xlpm._nxt, INDEX(_xlpm._map, 1, _xlpm._i),
        _xlpm._inc, (_xlpm._nxt - _xlpm._prv) / (_xlpm._i - _xlpm._c + 1),
        _xlpm._prv + _xlpm._inc
      ),
      INDEX(_xlpm._map, 1, _xlpm._c)
    ))),
    _xlpm._calc, IF(_xlpm._inpR,
      _xlfn.LET(
        _xlpm._sumV, SUM(IF(ISERROR(_xlpm._arrV), 0, _xlpm._arrV)),
        _xlpm._sumS, SUM(IF(ISERROR(_xlpm._scn), 0, _xlpm._scn)),
        _xlpm._scn / _xlpm._sumS * _xlpm._sumV
      ), _xlpm._scn
    ),
    _xlpm._out, IF(_xlpm._inpP, _xlfn.VSTACK(_xlpm._prd, _xlpm._calc), _xlpm._calc),
    _xlpm._rtn, IF(OR(_xlpm._vrt, _xlpm._inpV), TRANSPOSE(_xlpm._out), _xlpm._out),
    CHOOSE(_xlpm._inpChk, _xlpm._rtn, _xlfn.LAMBDA(0), #VALUE!)
  )
)($D$20:$T$20, $D$19:$T$19, D544, D545, D546, D547, D548)</f>
        <v>1</v>
      </c>
      <c r="E550" s="24">
        <v>2</v>
      </c>
      <c r="F550" s="24">
        <v>3</v>
      </c>
      <c r="G550" s="24">
        <v>4</v>
      </c>
      <c r="H550" s="24">
        <v>5</v>
      </c>
      <c r="I550" s="24">
        <v>6</v>
      </c>
      <c r="J550" s="24">
        <v>7</v>
      </c>
      <c r="K550" s="24">
        <v>8</v>
      </c>
      <c r="L550" s="24">
        <v>9</v>
      </c>
      <c r="M550" s="24">
        <v>10</v>
      </c>
      <c r="N550" s="24">
        <v>11</v>
      </c>
      <c r="O550" s="24">
        <v>12</v>
      </c>
      <c r="P550" s="24">
        <v>13</v>
      </c>
      <c r="Q550" s="24">
        <v>14</v>
      </c>
      <c r="R550" s="24">
        <v>15</v>
      </c>
      <c r="S550" s="24">
        <v>16</v>
      </c>
      <c r="T550" s="24">
        <v>17</v>
      </c>
      <c r="U550" s="24">
        <v>18</v>
      </c>
      <c r="V550" s="24">
        <v>19</v>
      </c>
      <c r="W550" s="24">
        <v>20</v>
      </c>
      <c r="X550" s="24">
        <v>21</v>
      </c>
      <c r="Y550" s="24">
        <v>22</v>
      </c>
      <c r="Z550" s="24">
        <v>23</v>
      </c>
      <c r="AA550" s="24">
        <v>24</v>
      </c>
    </row>
    <row r="551" spans="3:27" x14ac:dyDescent="0.2">
      <c r="C551" s="42" cm="1">
        <f t="array" ref="C551" xml:space="preserve"> IF(ROWS(_xlfn.ANCHORARRAY(D550)) &gt; 1, _xlfn.SEQUENCE(ROWS(_xlfn.ANCHORARRAY(D550)) - 1, 1, 2), "")</f>
        <v>2</v>
      </c>
      <c r="D551" s="24">
        <v>28</v>
      </c>
      <c r="E551" s="24">
        <v>40</v>
      </c>
      <c r="F551" s="24">
        <v>37</v>
      </c>
      <c r="G551" s="24">
        <v>34</v>
      </c>
      <c r="H551" s="24">
        <v>20</v>
      </c>
      <c r="I551" s="24">
        <v>31.666666666666664</v>
      </c>
      <c r="J551" s="24">
        <v>43.333333333333329</v>
      </c>
      <c r="K551" s="24">
        <v>55</v>
      </c>
      <c r="L551" s="24">
        <v>30</v>
      </c>
      <c r="M551" s="24">
        <v>34.5</v>
      </c>
      <c r="N551" s="24">
        <v>39</v>
      </c>
      <c r="O551" s="24">
        <v>34</v>
      </c>
      <c r="P551" s="24">
        <v>30</v>
      </c>
      <c r="Q551" s="24">
        <v>34</v>
      </c>
      <c r="R551" s="24">
        <v>50</v>
      </c>
      <c r="S551" s="24">
        <v>20</v>
      </c>
      <c r="T551" s="24">
        <v>25</v>
      </c>
      <c r="U551" s="24">
        <v>26.25</v>
      </c>
      <c r="V551" s="24">
        <v>27.5</v>
      </c>
      <c r="W551" s="24">
        <v>28.75</v>
      </c>
      <c r="X551" s="24">
        <v>30</v>
      </c>
      <c r="Y551" s="24">
        <v>37</v>
      </c>
      <c r="Z551" s="24">
        <v>35</v>
      </c>
      <c r="AA551" s="24">
        <v>28</v>
      </c>
    </row>
    <row r="552" spans="3:27" x14ac:dyDescent="0.2">
      <c r="C552" s="42"/>
      <c r="D552" s="24"/>
      <c r="E552" s="24"/>
      <c r="F552" s="26" t="str" cm="1">
        <f t="array" aca="1" ref="F552:F606" ca="1" xml:space="preserve"> _xlfn.TEXTSPLIT(_xlfn.FORMULATEXT(D550), , CHAR(10))</f>
        <v>= LAMBDA(values,periods,[step],[ignore_errors],[rebalance_output],[output_periods],[output_vertical],</v>
      </c>
    </row>
    <row r="553" spans="3:27" x14ac:dyDescent="0.2">
      <c r="C553" s="42"/>
      <c r="D553" s="24"/>
      <c r="E553" s="24"/>
      <c r="F553" s="26" t="str">
        <f ca="1"/>
        <v xml:space="preserve">  LET(</v>
      </c>
    </row>
    <row r="554" spans="3:27" x14ac:dyDescent="0.2">
      <c r="C554" s="42"/>
      <c r="D554" s="24"/>
      <c r="E554" s="24"/>
      <c r="F554" s="26" t="str">
        <f ca="1"/>
        <v xml:space="preserve">    _stp, IF(ISOMITTED(step), 0, INDEX(step, 1, 1)),</v>
      </c>
    </row>
    <row r="555" spans="3:27" x14ac:dyDescent="0.2">
      <c r="C555" s="42"/>
      <c r="D555" s="24"/>
      <c r="E555" s="24"/>
      <c r="F555" s="26" t="str">
        <f ca="1"/>
        <v xml:space="preserve">    _inpE, IF(ISOMITTED(ignore_errors), 0, INT(ignore_errors)),</v>
      </c>
    </row>
    <row r="556" spans="3:27" x14ac:dyDescent="0.2">
      <c r="C556" s="42"/>
      <c r="D556" s="24"/>
      <c r="E556" s="24"/>
      <c r="F556" s="26" t="str">
        <f ca="1"/>
        <v xml:space="preserve">    _inpR, IF(ISOMITTED(rebalance_output), 0, INT(rebalance_output)),</v>
      </c>
    </row>
    <row r="557" spans="3:27" x14ac:dyDescent="0.2">
      <c r="C557" s="42"/>
      <c r="D557" s="24"/>
      <c r="E557" s="24"/>
      <c r="F557" s="26" t="str">
        <f ca="1"/>
        <v xml:space="preserve">    _inpP, IF(ISOMITTED(output_periods), 0, INT(output_periods)),</v>
      </c>
    </row>
    <row r="558" spans="3:27" x14ac:dyDescent="0.2">
      <c r="C558" s="42"/>
      <c r="D558" s="24"/>
      <c r="E558" s="24"/>
      <c r="F558" s="26" t="str">
        <f ca="1"/>
        <v xml:space="preserve">    _inpV, IF(ISOMITTED(output_vertical), 0, INT(output_vertical)),</v>
      </c>
    </row>
    <row r="559" spans="3:27" x14ac:dyDescent="0.2">
      <c r="C559" s="42"/>
      <c r="D559" s="24"/>
      <c r="E559" s="24"/>
      <c r="F559" s="26" t="str">
        <f ca="1"/>
        <v xml:space="preserve">    _arrP, TOROW(periods),</v>
      </c>
    </row>
    <row r="560" spans="3:27" x14ac:dyDescent="0.2">
      <c r="C560" s="42"/>
      <c r="D560" s="24"/>
      <c r="E560" s="24"/>
      <c r="F560" s="26" t="str">
        <f ca="1"/>
        <v xml:space="preserve">    _arrV, MAP(TOROW(values), LAMBDA(_v,</v>
      </c>
    </row>
    <row r="561" spans="3:6" x14ac:dyDescent="0.2">
      <c r="C561" s="42"/>
      <c r="D561" s="24"/>
      <c r="E561" s="24"/>
      <c r="F561" s="26" t="str">
        <f ca="1"/>
        <v xml:space="preserve">      IF(AND(ISERROR(_v), _inpE), NA(), IF(ISBLANK(_v), NA(), _v))</v>
      </c>
    </row>
    <row r="562" spans="3:6" x14ac:dyDescent="0.2">
      <c r="C562" s="42"/>
      <c r="D562" s="24"/>
      <c r="E562" s="24"/>
      <c r="F562" s="26" t="str">
        <f ca="1"/>
        <v xml:space="preserve">    )),</v>
      </c>
    </row>
    <row r="563" spans="3:6" x14ac:dyDescent="0.2">
      <c r="C563" s="42"/>
      <c r="D563" s="24"/>
      <c r="E563" s="24"/>
      <c r="F563" s="26" t="str">
        <f ca="1"/>
        <v xml:space="preserve">    _inpChk, IF(</v>
      </c>
    </row>
    <row r="564" spans="3:6" x14ac:dyDescent="0.2">
      <c r="C564" s="42"/>
      <c r="D564" s="24"/>
      <c r="E564" s="24"/>
      <c r="F564" s="26" t="str">
        <f ca="1"/>
        <v xml:space="preserve">      OR(</v>
      </c>
    </row>
    <row r="565" spans="3:6" x14ac:dyDescent="0.2">
      <c r="C565" s="42"/>
      <c r="D565" s="24"/>
      <c r="E565" s="24"/>
      <c r="F565" s="26" t="str">
        <f ca="1"/>
        <v xml:space="preserve">        AND(ROWS(periods) &gt; 1, COLUMNS(periods) &gt; 1),</v>
      </c>
    </row>
    <row r="566" spans="3:6" x14ac:dyDescent="0.2">
      <c r="C566" s="42"/>
      <c r="D566" s="24"/>
      <c r="E566" s="24"/>
      <c r="F566" s="26" t="str">
        <f ca="1"/>
        <v xml:space="preserve">        AND(ROWS(values) &gt; 1, COLUMNS(values) &gt; 1),</v>
      </c>
    </row>
    <row r="567" spans="3:6" x14ac:dyDescent="0.2">
      <c r="C567" s="42"/>
      <c r="D567" s="24"/>
      <c r="E567" s="24"/>
      <c r="F567" s="26" t="str">
        <f ca="1"/>
        <v xml:space="preserve">        COLUMNS(_arrP) &lt;&gt; COLUMNS(_arrV),</v>
      </c>
    </row>
    <row r="568" spans="3:6" x14ac:dyDescent="0.2">
      <c r="C568" s="42"/>
      <c r="D568" s="24"/>
      <c r="E568" s="24"/>
      <c r="F568" s="26" t="str">
        <f ca="1"/>
        <v xml:space="preserve">        COLUMNS(_arrV) &lt; 2</v>
      </c>
    </row>
    <row r="569" spans="3:6" x14ac:dyDescent="0.2">
      <c r="C569" s="42"/>
      <c r="D569" s="24"/>
      <c r="E569" s="24"/>
      <c r="F569" s="26" t="str">
        <f ca="1"/>
        <v xml:space="preserve">      ), 2, IF(</v>
      </c>
    </row>
    <row r="570" spans="3:6" x14ac:dyDescent="0.2">
      <c r="C570" s="42"/>
      <c r="D570" s="24"/>
      <c r="E570" s="24"/>
      <c r="F570" s="26" t="str">
        <f ca="1"/>
        <v xml:space="preserve">      OR(</v>
      </c>
    </row>
    <row r="571" spans="3:6" x14ac:dyDescent="0.2">
      <c r="C571" s="42"/>
      <c r="D571" s="24"/>
      <c r="E571" s="24"/>
      <c r="F571" s="26" t="str">
        <f ca="1"/>
        <v xml:space="preserve">        NOT(ISNUMBER(step)), _stp &lt; 0,</v>
      </c>
    </row>
    <row r="572" spans="3:6" x14ac:dyDescent="0.2">
      <c r="C572" s="42"/>
      <c r="D572" s="24"/>
      <c r="E572" s="24"/>
      <c r="F572" s="26" t="str">
        <f ca="1"/>
        <v xml:space="preserve">        ISTEXT(ignore_errors), _inpE &lt; 0, _inpE &gt; 1,</v>
      </c>
    </row>
    <row r="573" spans="3:6" x14ac:dyDescent="0.2">
      <c r="C573" s="42"/>
      <c r="D573" s="24"/>
      <c r="E573" s="24"/>
      <c r="F573" s="26" t="str">
        <f ca="1"/>
        <v xml:space="preserve">        ISTEXT(rebalance_output), _inpR &lt; 0, _inpR &gt; 1,</v>
      </c>
    </row>
    <row r="574" spans="3:6" x14ac:dyDescent="0.2">
      <c r="F574" s="26" t="str">
        <f ca="1"/>
        <v xml:space="preserve">        ISTEXT(output_periods), _inpP &lt; 0, _inpP &gt; 1,</v>
      </c>
    </row>
    <row r="575" spans="3:6" x14ac:dyDescent="0.2">
      <c r="F575" s="26" t="str">
        <f ca="1"/>
        <v xml:space="preserve">        ISTEXT(output_vertical), _inpV &lt; 0, _inpV &gt; 1</v>
      </c>
    </row>
    <row r="576" spans="3:6" x14ac:dyDescent="0.2">
      <c r="F576" s="26" t="str">
        <f ca="1"/>
        <v xml:space="preserve">      ), 3, 1)</v>
      </c>
    </row>
    <row r="577" spans="6:6" x14ac:dyDescent="0.2">
      <c r="F577" s="26" t="str">
        <f ca="1"/>
        <v xml:space="preserve">    ),</v>
      </c>
    </row>
    <row r="578" spans="6:6" x14ac:dyDescent="0.2">
      <c r="F578" s="26" t="str">
        <f ca="1"/>
        <v xml:space="preserve">    _vrt, (ROWS(values) &gt; COLUMNS(values)),</v>
      </c>
    </row>
    <row r="579" spans="6:6" x14ac:dyDescent="0.2">
      <c r="F579" s="26" t="str">
        <f ca="1"/>
        <v xml:space="preserve">    _bgn, INDEX(SORT(_arrP), 1, 1),</v>
      </c>
    </row>
    <row r="580" spans="6:6" x14ac:dyDescent="0.2">
      <c r="F580" s="26" t="str">
        <f ca="1"/>
        <v xml:space="preserve">    _end, INDEX(SORT(_arrP), 1, COLUMNS(_arrP)),</v>
      </c>
    </row>
    <row r="581" spans="6:6" x14ac:dyDescent="0.2">
      <c r="F581" s="26" t="str">
        <f ca="1"/>
        <v xml:space="preserve">    _prd, IF(_stp = 0, SORT(_arrP), SEQUENCE(1, ((_end - _bgn) / _stp) + 1, _bgn, _stp)),</v>
      </c>
    </row>
    <row r="582" spans="6:6" x14ac:dyDescent="0.2">
      <c r="F582" s="26" t="str">
        <f ca="1"/>
        <v xml:space="preserve">    _idx, SEQUENCE(1, COLUMNS(_prd)),</v>
      </c>
    </row>
    <row r="583" spans="6:6" x14ac:dyDescent="0.2">
      <c r="F583" s="26" t="str">
        <f ca="1"/>
        <v xml:space="preserve">    _map, MAP(_prd, LAMBDA(_p, INDEX(_arrV, 1, XMATCH(_p, _arrP)))),</v>
      </c>
    </row>
    <row r="584" spans="6:6" x14ac:dyDescent="0.2">
      <c r="F584" s="26" t="str">
        <f ca="1"/>
        <v xml:space="preserve">    _scn, SCAN(0, _idx, LAMBDA(_prv,_c,</v>
      </c>
    </row>
    <row r="585" spans="6:6" x14ac:dyDescent="0.2">
      <c r="F585" s="26" t="str">
        <f ca="1"/>
        <v xml:space="preserve">      IF(ISNA(INDEX(_map, 1, _c)),</v>
      </c>
    </row>
    <row r="586" spans="6:6" x14ac:dyDescent="0.2">
      <c r="F586" s="26" t="str">
        <f ca="1"/>
        <v xml:space="preserve">      LET(</v>
      </c>
    </row>
    <row r="587" spans="6:6" x14ac:dyDescent="0.2">
      <c r="F587" s="26" t="str">
        <f ca="1"/>
        <v xml:space="preserve">        _arr, FILTER(DROP(_idx, , _c), NOT(ISNA(DROP(_map, , _c)))),</v>
      </c>
    </row>
    <row r="588" spans="6:6" x14ac:dyDescent="0.2">
      <c r="F588" s="26" t="str">
        <f ca="1"/>
        <v xml:space="preserve">        _i, INDEX(_arr, 1, 1),</v>
      </c>
    </row>
    <row r="589" spans="6:6" x14ac:dyDescent="0.2">
      <c r="F589" s="26" t="str">
        <f ca="1"/>
        <v xml:space="preserve">        _nxt, INDEX(_map, 1, _i),</v>
      </c>
    </row>
    <row r="590" spans="6:6" x14ac:dyDescent="0.2">
      <c r="F590" s="26" t="str">
        <f ca="1"/>
        <v xml:space="preserve">        _inc, (_nxt - _prv) / (_i - _c + 1),</v>
      </c>
    </row>
    <row r="591" spans="6:6" x14ac:dyDescent="0.2">
      <c r="F591" s="26" t="str">
        <f ca="1"/>
        <v xml:space="preserve">        _prv + _inc</v>
      </c>
    </row>
    <row r="592" spans="6:6" x14ac:dyDescent="0.2">
      <c r="F592" s="26" t="str">
        <f ca="1"/>
        <v xml:space="preserve">      ),</v>
      </c>
    </row>
    <row r="593" spans="6:6" x14ac:dyDescent="0.2">
      <c r="F593" s="26" t="str">
        <f ca="1"/>
        <v xml:space="preserve">      INDEX(_map, 1, _c)</v>
      </c>
    </row>
    <row r="594" spans="6:6" x14ac:dyDescent="0.2">
      <c r="F594" s="26" t="str">
        <f ca="1"/>
        <v xml:space="preserve">    ))),</v>
      </c>
    </row>
    <row r="595" spans="6:6" x14ac:dyDescent="0.2">
      <c r="F595" s="26" t="str">
        <f ca="1"/>
        <v xml:space="preserve">    _calc, IF(_inpR,</v>
      </c>
    </row>
    <row r="596" spans="6:6" x14ac:dyDescent="0.2">
      <c r="F596" s="26" t="str">
        <f ca="1"/>
        <v xml:space="preserve">      LET(</v>
      </c>
    </row>
    <row r="597" spans="6:6" x14ac:dyDescent="0.2">
      <c r="F597" s="26" t="str">
        <f ca="1"/>
        <v xml:space="preserve">        _sumV, SUM(IF(ISERROR(_arrV), 0, _arrV)),</v>
      </c>
    </row>
    <row r="598" spans="6:6" x14ac:dyDescent="0.2">
      <c r="F598" s="26" t="str">
        <f ca="1"/>
        <v xml:space="preserve">        _sumS, SUM(IF(ISERROR(_scn), 0, _scn)),</v>
      </c>
    </row>
    <row r="599" spans="6:6" x14ac:dyDescent="0.2">
      <c r="F599" s="26" t="str">
        <f ca="1"/>
        <v xml:space="preserve">        _scn / _sumS * _sumV</v>
      </c>
    </row>
    <row r="600" spans="6:6" x14ac:dyDescent="0.2">
      <c r="F600" s="26" t="str">
        <f ca="1"/>
        <v xml:space="preserve">      ), _scn</v>
      </c>
    </row>
    <row r="601" spans="6:6" x14ac:dyDescent="0.2">
      <c r="F601" s="26" t="str">
        <f ca="1"/>
        <v xml:space="preserve">    ),</v>
      </c>
    </row>
    <row r="602" spans="6:6" x14ac:dyDescent="0.2">
      <c r="F602" s="26" t="str">
        <f ca="1"/>
        <v xml:space="preserve">    _out, IF(_inpP, VSTACK(_prd, _calc), _calc),</v>
      </c>
    </row>
    <row r="603" spans="6:6" x14ac:dyDescent="0.2">
      <c r="F603" s="26" t="str">
        <f ca="1"/>
        <v xml:space="preserve">    _rtn, IF(OR(_vrt, _inpV), TRANSPOSE(_out), _out),</v>
      </c>
    </row>
    <row r="604" spans="6:6" x14ac:dyDescent="0.2">
      <c r="F604" s="26" t="str">
        <f ca="1"/>
        <v xml:space="preserve">    CHOOSE(_inpChk, _rtn, LAMBDA(0), #VALUE!)</v>
      </c>
    </row>
    <row r="605" spans="6:6" x14ac:dyDescent="0.2">
      <c r="F605" s="26" t="str">
        <f ca="1"/>
        <v xml:space="preserve">  )</v>
      </c>
    </row>
    <row r="606" spans="6:6" x14ac:dyDescent="0.2">
      <c r="F606" s="26" t="str">
        <f ca="1"/>
        <v>)($D$20:$T$20, $D$19:$T$19, D544, D545, D546, D547, D548)</v>
      </c>
    </row>
    <row r="609" spans="2:6" s="5" customFormat="1" ht="16.5" thickBot="1" x14ac:dyDescent="0.3">
      <c r="B609" s="6">
        <f xml:space="preserve"> MAX(B$1:B608) + 1</f>
        <v>2</v>
      </c>
      <c r="C609" s="5" t="s">
        <v>4</v>
      </c>
    </row>
    <row r="611" spans="2:6" x14ac:dyDescent="0.2">
      <c r="B611" s="3" t="s">
        <v>6</v>
      </c>
    </row>
    <row r="612" spans="2:6" x14ac:dyDescent="0.2">
      <c r="C612" t="s">
        <v>248</v>
      </c>
    </row>
    <row r="613" spans="2:6" x14ac:dyDescent="0.2">
      <c r="C613" t="s">
        <v>249</v>
      </c>
    </row>
    <row r="614" spans="2:6" x14ac:dyDescent="0.2">
      <c r="C614" t="s">
        <v>263</v>
      </c>
    </row>
    <row r="616" spans="2:6" x14ac:dyDescent="0.2">
      <c r="C616" s="29" t="s">
        <v>42</v>
      </c>
      <c r="D616" s="28" t="s">
        <v>467</v>
      </c>
    </row>
    <row r="618" spans="2:6" x14ac:dyDescent="0.2">
      <c r="B618" s="3" t="s">
        <v>7</v>
      </c>
    </row>
    <row r="619" spans="2:6" x14ac:dyDescent="0.2">
      <c r="C619" s="12" t="s">
        <v>169</v>
      </c>
      <c r="E619" s="14" t="s">
        <v>11</v>
      </c>
      <c r="F619" t="s">
        <v>421</v>
      </c>
    </row>
    <row r="620" spans="2:6" x14ac:dyDescent="0.2">
      <c r="C620" s="12"/>
      <c r="E620" s="14"/>
      <c r="F620" s="23" t="s">
        <v>275</v>
      </c>
    </row>
    <row r="621" spans="2:6" x14ac:dyDescent="0.2">
      <c r="C621" s="12"/>
      <c r="E621" s="14"/>
      <c r="F621" s="23" t="s">
        <v>276</v>
      </c>
    </row>
    <row r="622" spans="2:6" x14ac:dyDescent="0.2">
      <c r="C622" s="12" t="s">
        <v>168</v>
      </c>
      <c r="E622" s="14" t="s">
        <v>11</v>
      </c>
      <c r="F622" t="s">
        <v>277</v>
      </c>
    </row>
    <row r="623" spans="2:6" x14ac:dyDescent="0.2">
      <c r="F623" s="23" t="s">
        <v>278</v>
      </c>
    </row>
    <row r="624" spans="2:6" x14ac:dyDescent="0.2">
      <c r="F624" s="23" t="s">
        <v>279</v>
      </c>
    </row>
    <row r="625" spans="3:8" x14ac:dyDescent="0.2">
      <c r="C625" s="12" t="s">
        <v>170</v>
      </c>
      <c r="E625" s="15" t="s">
        <v>12</v>
      </c>
      <c r="F625" t="s">
        <v>280</v>
      </c>
    </row>
    <row r="626" spans="3:8" x14ac:dyDescent="0.2">
      <c r="C626" s="12"/>
      <c r="E626" s="15"/>
      <c r="F626" s="23" t="s">
        <v>281</v>
      </c>
    </row>
    <row r="627" spans="3:8" x14ac:dyDescent="0.2">
      <c r="C627" s="12" t="s">
        <v>171</v>
      </c>
      <c r="E627" s="15" t="s">
        <v>12</v>
      </c>
      <c r="F627" t="s">
        <v>272</v>
      </c>
    </row>
    <row r="628" spans="3:8" x14ac:dyDescent="0.2">
      <c r="C628" s="12"/>
      <c r="E628" s="15"/>
      <c r="G628" s="69" t="b">
        <v>1</v>
      </c>
      <c r="H628" s="66" t="s">
        <v>273</v>
      </c>
    </row>
    <row r="629" spans="3:8" x14ac:dyDescent="0.2">
      <c r="C629" s="12"/>
      <c r="E629" s="15"/>
      <c r="G629" s="69" t="b">
        <v>0</v>
      </c>
      <c r="H629" s="66" t="s">
        <v>274</v>
      </c>
    </row>
    <row r="630" spans="3:8" x14ac:dyDescent="0.2">
      <c r="F630" s="23" t="s">
        <v>271</v>
      </c>
    </row>
    <row r="631" spans="3:8" x14ac:dyDescent="0.2">
      <c r="C631" s="12" t="s">
        <v>172</v>
      </c>
      <c r="E631" s="15" t="s">
        <v>12</v>
      </c>
      <c r="F631" t="s">
        <v>423</v>
      </c>
    </row>
    <row r="632" spans="3:8" x14ac:dyDescent="0.2">
      <c r="G632" s="69" t="b">
        <v>1</v>
      </c>
      <c r="H632" s="66" t="s">
        <v>422</v>
      </c>
    </row>
    <row r="633" spans="3:8" x14ac:dyDescent="0.2">
      <c r="G633" s="69" t="b">
        <v>0</v>
      </c>
      <c r="H633" s="66" t="s">
        <v>424</v>
      </c>
    </row>
    <row r="634" spans="3:8" x14ac:dyDescent="0.2">
      <c r="F634" s="23" t="s">
        <v>282</v>
      </c>
    </row>
    <row r="635" spans="3:8" x14ac:dyDescent="0.2">
      <c r="F635" s="23" t="s">
        <v>271</v>
      </c>
    </row>
    <row r="636" spans="3:8" x14ac:dyDescent="0.2">
      <c r="C636" s="12" t="s">
        <v>173</v>
      </c>
      <c r="E636" s="15" t="s">
        <v>12</v>
      </c>
      <c r="F636" t="s">
        <v>286</v>
      </c>
    </row>
    <row r="637" spans="3:8" x14ac:dyDescent="0.2">
      <c r="G637" s="69" t="b">
        <v>1</v>
      </c>
      <c r="H637" s="66" t="s">
        <v>287</v>
      </c>
    </row>
    <row r="638" spans="3:8" x14ac:dyDescent="0.2">
      <c r="G638" s="69" t="b">
        <v>0</v>
      </c>
      <c r="H638" s="66" t="s">
        <v>288</v>
      </c>
    </row>
    <row r="639" spans="3:8" x14ac:dyDescent="0.2">
      <c r="F639" s="23" t="s">
        <v>282</v>
      </c>
    </row>
    <row r="640" spans="3:8" x14ac:dyDescent="0.2">
      <c r="F640" s="23" t="s">
        <v>271</v>
      </c>
    </row>
    <row r="641" spans="2:8" x14ac:dyDescent="0.2">
      <c r="C641" s="12" t="s">
        <v>174</v>
      </c>
      <c r="E641" s="15" t="s">
        <v>12</v>
      </c>
      <c r="F641" t="s">
        <v>425</v>
      </c>
    </row>
    <row r="642" spans="2:8" x14ac:dyDescent="0.2">
      <c r="G642" s="69" t="b">
        <v>1</v>
      </c>
      <c r="H642" s="66" t="s">
        <v>283</v>
      </c>
    </row>
    <row r="643" spans="2:8" x14ac:dyDescent="0.2">
      <c r="G643" s="69" t="b">
        <v>0</v>
      </c>
      <c r="H643" s="66" t="s">
        <v>284</v>
      </c>
    </row>
    <row r="644" spans="2:8" x14ac:dyDescent="0.2">
      <c r="F644" s="23" t="s">
        <v>285</v>
      </c>
    </row>
    <row r="645" spans="2:8" x14ac:dyDescent="0.2">
      <c r="F645" s="23" t="s">
        <v>282</v>
      </c>
    </row>
    <row r="647" spans="2:8" x14ac:dyDescent="0.2">
      <c r="B647" s="3" t="s">
        <v>8</v>
      </c>
    </row>
    <row r="648" spans="2:8" x14ac:dyDescent="0.2">
      <c r="C648" s="13" t="e">
        <v>#VALUE!</v>
      </c>
      <c r="E648" t="s">
        <v>268</v>
      </c>
    </row>
    <row r="649" spans="2:8" x14ac:dyDescent="0.2">
      <c r="C649" s="13" t="e" vm="1">
        <v>#VALUE!</v>
      </c>
      <c r="E649" t="s">
        <v>269</v>
      </c>
    </row>
    <row r="650" spans="2:8" x14ac:dyDescent="0.2">
      <c r="E650" s="60" t="s">
        <v>188</v>
      </c>
    </row>
    <row r="651" spans="2:8" x14ac:dyDescent="0.2">
      <c r="C651" s="13" t="e" vm="1">
        <v>#VALUE!</v>
      </c>
      <c r="E651" t="s">
        <v>267</v>
      </c>
    </row>
    <row r="652" spans="2:8" x14ac:dyDescent="0.2">
      <c r="E652" s="60" t="s">
        <v>185</v>
      </c>
    </row>
    <row r="653" spans="2:8" x14ac:dyDescent="0.2">
      <c r="C653" s="13" t="e">
        <v>#VALUE!</v>
      </c>
      <c r="E653" t="s">
        <v>270</v>
      </c>
    </row>
    <row r="654" spans="2:8" x14ac:dyDescent="0.2">
      <c r="C654" s="13" t="e">
        <v>#VALUE!</v>
      </c>
      <c r="E654" s="63" t="s">
        <v>184</v>
      </c>
    </row>
    <row r="656" spans="2:8" x14ac:dyDescent="0.2">
      <c r="B656" s="3" t="s">
        <v>9</v>
      </c>
    </row>
    <row r="657" spans="3:3" x14ac:dyDescent="0.2">
      <c r="C657" s="27" t="s">
        <v>41</v>
      </c>
    </row>
    <row r="658" spans="3:3" x14ac:dyDescent="0.2">
      <c r="C658" s="61" t="s">
        <v>176</v>
      </c>
    </row>
    <row r="659" spans="3:3" x14ac:dyDescent="0.2">
      <c r="C659" s="56" t="s">
        <v>158</v>
      </c>
    </row>
    <row r="660" spans="3:3" x14ac:dyDescent="0.2">
      <c r="C660" s="56" t="s">
        <v>157</v>
      </c>
    </row>
    <row r="661" spans="3:3" x14ac:dyDescent="0.2">
      <c r="C661" s="56" t="s">
        <v>159</v>
      </c>
    </row>
    <row r="662" spans="3:3" x14ac:dyDescent="0.2">
      <c r="C662" s="56" t="s">
        <v>160</v>
      </c>
    </row>
    <row r="663" spans="3:3" x14ac:dyDescent="0.2">
      <c r="C663" s="56" t="s">
        <v>161</v>
      </c>
    </row>
    <row r="664" spans="3:3" x14ac:dyDescent="0.2">
      <c r="C664" s="56" t="s">
        <v>162</v>
      </c>
    </row>
    <row r="665" spans="3:3" x14ac:dyDescent="0.2">
      <c r="C665" s="56" t="s">
        <v>163</v>
      </c>
    </row>
    <row r="666" spans="3:3" x14ac:dyDescent="0.2">
      <c r="C666" s="61" t="s">
        <v>304</v>
      </c>
    </row>
    <row r="667" spans="3:3" x14ac:dyDescent="0.2">
      <c r="C667" s="56" t="s">
        <v>114</v>
      </c>
    </row>
    <row r="668" spans="3:3" x14ac:dyDescent="0.2">
      <c r="C668" s="62" t="s">
        <v>308</v>
      </c>
    </row>
    <row r="669" spans="3:3" x14ac:dyDescent="0.2">
      <c r="C669" s="57" t="s">
        <v>187</v>
      </c>
    </row>
    <row r="670" spans="3:3" x14ac:dyDescent="0.2">
      <c r="C670" s="57" t="s">
        <v>115</v>
      </c>
    </row>
    <row r="671" spans="3:3" x14ac:dyDescent="0.2">
      <c r="C671" s="57" t="s">
        <v>116</v>
      </c>
    </row>
    <row r="672" spans="3:3" x14ac:dyDescent="0.2">
      <c r="C672" s="57" t="s">
        <v>117</v>
      </c>
    </row>
    <row r="673" spans="3:4" x14ac:dyDescent="0.2">
      <c r="C673" s="57" t="s">
        <v>118</v>
      </c>
    </row>
    <row r="674" spans="3:4" x14ac:dyDescent="0.2">
      <c r="C674" s="62" t="s">
        <v>192</v>
      </c>
    </row>
    <row r="675" spans="3:4" x14ac:dyDescent="0.2">
      <c r="C675" s="62" t="s">
        <v>193</v>
      </c>
    </row>
    <row r="676" spans="3:4" x14ac:dyDescent="0.2">
      <c r="C676" s="57" t="s">
        <v>119</v>
      </c>
    </row>
    <row r="677" spans="3:4" x14ac:dyDescent="0.2">
      <c r="C677" s="57" t="s">
        <v>120</v>
      </c>
    </row>
    <row r="678" spans="3:4" x14ac:dyDescent="0.2">
      <c r="C678" s="58" t="s">
        <v>121</v>
      </c>
    </row>
    <row r="679" spans="3:4" x14ac:dyDescent="0.2">
      <c r="C679" s="57" t="s">
        <v>122</v>
      </c>
    </row>
    <row r="680" spans="3:4" x14ac:dyDescent="0.2">
      <c r="C680" s="62" t="s">
        <v>309</v>
      </c>
    </row>
    <row r="681" spans="3:4" x14ac:dyDescent="0.2">
      <c r="C681" s="62" t="s">
        <v>194</v>
      </c>
    </row>
    <row r="682" spans="3:4" x14ac:dyDescent="0.2">
      <c r="C682" s="62" t="s">
        <v>195</v>
      </c>
    </row>
    <row r="683" spans="3:4" x14ac:dyDescent="0.2">
      <c r="C683" s="57" t="s">
        <v>123</v>
      </c>
    </row>
    <row r="684" spans="3:4" x14ac:dyDescent="0.2">
      <c r="C684" s="58" t="s">
        <v>124</v>
      </c>
    </row>
    <row r="685" spans="3:4" x14ac:dyDescent="0.2">
      <c r="C685" s="59" t="s">
        <v>125</v>
      </c>
      <c r="D685" s="60"/>
    </row>
    <row r="686" spans="3:4" x14ac:dyDescent="0.2">
      <c r="C686" s="59" t="s">
        <v>164</v>
      </c>
      <c r="D686" s="60"/>
    </row>
    <row r="687" spans="3:4" x14ac:dyDescent="0.2">
      <c r="C687" s="59" t="s">
        <v>126</v>
      </c>
      <c r="D687" s="60"/>
    </row>
    <row r="688" spans="3:4" x14ac:dyDescent="0.2">
      <c r="C688" s="59" t="s">
        <v>127</v>
      </c>
      <c r="D688" s="60"/>
    </row>
    <row r="689" spans="3:3" x14ac:dyDescent="0.2">
      <c r="C689" s="58" t="s">
        <v>128</v>
      </c>
    </row>
    <row r="690" spans="3:3" x14ac:dyDescent="0.2">
      <c r="C690" s="58" t="s">
        <v>124</v>
      </c>
    </row>
    <row r="691" spans="3:3" x14ac:dyDescent="0.2">
      <c r="C691" s="59" t="s">
        <v>186</v>
      </c>
    </row>
    <row r="692" spans="3:3" x14ac:dyDescent="0.2">
      <c r="C692" s="59" t="s">
        <v>129</v>
      </c>
    </row>
    <row r="693" spans="3:3" x14ac:dyDescent="0.2">
      <c r="C693" s="59" t="s">
        <v>130</v>
      </c>
    </row>
    <row r="694" spans="3:3" x14ac:dyDescent="0.2">
      <c r="C694" s="59" t="s">
        <v>131</v>
      </c>
    </row>
    <row r="695" spans="3:3" x14ac:dyDescent="0.2">
      <c r="C695" s="59" t="s">
        <v>132</v>
      </c>
    </row>
    <row r="696" spans="3:3" x14ac:dyDescent="0.2">
      <c r="C696" s="58" t="s">
        <v>133</v>
      </c>
    </row>
    <row r="697" spans="3:3" x14ac:dyDescent="0.2">
      <c r="C697" s="57" t="s">
        <v>134</v>
      </c>
    </row>
    <row r="698" spans="3:3" x14ac:dyDescent="0.2">
      <c r="C698" s="62" t="s">
        <v>177</v>
      </c>
    </row>
    <row r="699" spans="3:3" x14ac:dyDescent="0.2">
      <c r="C699" s="57" t="s">
        <v>135</v>
      </c>
    </row>
    <row r="700" spans="3:3" x14ac:dyDescent="0.2">
      <c r="C700" s="62" t="s">
        <v>178</v>
      </c>
    </row>
    <row r="701" spans="3:3" x14ac:dyDescent="0.2">
      <c r="C701" s="57" t="s">
        <v>136</v>
      </c>
    </row>
    <row r="702" spans="3:3" x14ac:dyDescent="0.2">
      <c r="C702" s="57" t="s">
        <v>137</v>
      </c>
    </row>
    <row r="703" spans="3:3" x14ac:dyDescent="0.2">
      <c r="C703" s="62" t="s">
        <v>264</v>
      </c>
    </row>
    <row r="704" spans="3:3" x14ac:dyDescent="0.2">
      <c r="C704" s="57" t="s">
        <v>138</v>
      </c>
    </row>
    <row r="705" spans="3:3" x14ac:dyDescent="0.2">
      <c r="C705" s="62" t="s">
        <v>265</v>
      </c>
    </row>
    <row r="706" spans="3:3" x14ac:dyDescent="0.2">
      <c r="C706" s="57" t="s">
        <v>139</v>
      </c>
    </row>
    <row r="707" spans="3:3" x14ac:dyDescent="0.2">
      <c r="C707" s="62" t="s">
        <v>266</v>
      </c>
    </row>
    <row r="708" spans="3:3" x14ac:dyDescent="0.2">
      <c r="C708" s="57" t="s">
        <v>140</v>
      </c>
    </row>
    <row r="709" spans="3:3" x14ac:dyDescent="0.2">
      <c r="C709" s="62" t="s">
        <v>190</v>
      </c>
    </row>
    <row r="710" spans="3:3" x14ac:dyDescent="0.2">
      <c r="C710" s="62" t="s">
        <v>189</v>
      </c>
    </row>
    <row r="711" spans="3:3" x14ac:dyDescent="0.2">
      <c r="C711" s="62" t="s">
        <v>191</v>
      </c>
    </row>
    <row r="712" spans="3:3" x14ac:dyDescent="0.2">
      <c r="C712" s="57" t="s">
        <v>141</v>
      </c>
    </row>
    <row r="713" spans="3:3" x14ac:dyDescent="0.2">
      <c r="C713" s="58" t="s">
        <v>142</v>
      </c>
    </row>
    <row r="714" spans="3:3" x14ac:dyDescent="0.2">
      <c r="C714" s="58" t="s">
        <v>114</v>
      </c>
    </row>
    <row r="715" spans="3:3" x14ac:dyDescent="0.2">
      <c r="C715" s="59" t="s">
        <v>143</v>
      </c>
    </row>
    <row r="716" spans="3:3" x14ac:dyDescent="0.2">
      <c r="C716" s="59" t="s">
        <v>144</v>
      </c>
    </row>
    <row r="717" spans="3:3" x14ac:dyDescent="0.2">
      <c r="C717" s="59" t="s">
        <v>145</v>
      </c>
    </row>
    <row r="718" spans="3:3" x14ac:dyDescent="0.2">
      <c r="C718" s="59" t="s">
        <v>146</v>
      </c>
    </row>
    <row r="719" spans="3:3" x14ac:dyDescent="0.2">
      <c r="C719" s="59" t="s">
        <v>147</v>
      </c>
    </row>
    <row r="720" spans="3:3" x14ac:dyDescent="0.2">
      <c r="C720" s="58" t="s">
        <v>134</v>
      </c>
    </row>
    <row r="721" spans="3:3" x14ac:dyDescent="0.2">
      <c r="C721" s="58" t="s">
        <v>148</v>
      </c>
    </row>
    <row r="722" spans="3:3" x14ac:dyDescent="0.2">
      <c r="C722" s="57" t="s">
        <v>149</v>
      </c>
    </row>
    <row r="723" spans="3:3" x14ac:dyDescent="0.2">
      <c r="C723" s="62" t="s">
        <v>182</v>
      </c>
    </row>
    <row r="724" spans="3:3" x14ac:dyDescent="0.2">
      <c r="C724" s="62" t="s">
        <v>183</v>
      </c>
    </row>
    <row r="725" spans="3:3" x14ac:dyDescent="0.2">
      <c r="C725" s="57" t="s">
        <v>150</v>
      </c>
    </row>
    <row r="726" spans="3:3" x14ac:dyDescent="0.2">
      <c r="C726" s="58" t="s">
        <v>114</v>
      </c>
    </row>
    <row r="727" spans="3:3" x14ac:dyDescent="0.2">
      <c r="C727" s="59" t="s">
        <v>151</v>
      </c>
    </row>
    <row r="728" spans="3:3" x14ac:dyDescent="0.2">
      <c r="C728" s="59" t="s">
        <v>152</v>
      </c>
    </row>
    <row r="729" spans="3:3" x14ac:dyDescent="0.2">
      <c r="C729" s="59" t="s">
        <v>153</v>
      </c>
    </row>
    <row r="730" spans="3:3" x14ac:dyDescent="0.2">
      <c r="C730" s="58" t="s">
        <v>154</v>
      </c>
    </row>
    <row r="731" spans="3:3" x14ac:dyDescent="0.2">
      <c r="C731" s="57" t="s">
        <v>134</v>
      </c>
    </row>
    <row r="732" spans="3:3" x14ac:dyDescent="0.2">
      <c r="C732" s="62" t="s">
        <v>181</v>
      </c>
    </row>
    <row r="733" spans="3:3" x14ac:dyDescent="0.2">
      <c r="C733" s="57" t="s">
        <v>155</v>
      </c>
    </row>
    <row r="734" spans="3:3" x14ac:dyDescent="0.2">
      <c r="C734" s="62" t="s">
        <v>180</v>
      </c>
    </row>
    <row r="735" spans="3:3" x14ac:dyDescent="0.2">
      <c r="C735" s="57" t="s">
        <v>156</v>
      </c>
    </row>
    <row r="736" spans="3:3" x14ac:dyDescent="0.2">
      <c r="C736" s="62" t="s">
        <v>179</v>
      </c>
    </row>
    <row r="737" spans="2:3" x14ac:dyDescent="0.2">
      <c r="C737" s="57" t="s">
        <v>175</v>
      </c>
    </row>
    <row r="738" spans="2:3" x14ac:dyDescent="0.2">
      <c r="C738" s="56" t="s">
        <v>40</v>
      </c>
    </row>
    <row r="739" spans="2:3" x14ac:dyDescent="0.2">
      <c r="C739" s="31" t="s">
        <v>40</v>
      </c>
    </row>
    <row r="741" spans="2:3" x14ac:dyDescent="0.2">
      <c r="C741" s="3" t="s">
        <v>10</v>
      </c>
    </row>
    <row r="742" spans="2:3" x14ac:dyDescent="0.2">
      <c r="C742" s="27" t="s">
        <v>250</v>
      </c>
    </row>
    <row r="744" spans="2:3" ht="13.5" thickBot="1" x14ac:dyDescent="0.25"/>
    <row r="745" spans="2:3" s="11" customFormat="1" x14ac:dyDescent="0.2">
      <c r="B745" s="11" t="s">
        <v>5</v>
      </c>
    </row>
  </sheetData>
  <conditionalFormatting sqref="D59:O59">
    <cfRule type="expression" dxfId="10" priority="2">
      <formula>ISNA(D59)</formula>
    </cfRule>
  </conditionalFormatting>
  <conditionalFormatting sqref="D79:O79 D103:O103 D133:O133 D164:O164 D227:Z227 D259:AA259 D292:AA293">
    <cfRule type="expression" dxfId="9" priority="1">
      <formula>ISNA(D79)</formula>
    </cfRule>
  </conditionalFormatting>
  <dataValidations disablePrompts="1" count="2">
    <dataValidation type="list" allowBlank="1" showInputMessage="1" showErrorMessage="1" sqref="D289 D324" xr:uid="{A123B3C2-2D85-4694-8FB9-71F6F614D300}">
      <formula1>"No Blanks, Blanks"</formula1>
    </dataValidation>
    <dataValidation type="list" allowBlank="1" showInputMessage="1" showErrorMessage="1" sqref="D326 D361:D362 D399:D401 D479:D481 D545:D548" xr:uid="{0C77213D-40B9-45F8-9D6C-E8D28E17FDD5}">
      <formula1>_YesNo</formula1>
    </dataValidation>
  </dataValidations>
  <hyperlinks>
    <hyperlink ref="D616" r:id="rId1" xr:uid="{CBDE6A3F-5F04-4E6C-B63D-3C8737AB7809}"/>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52DF-5E7E-48A8-8173-924613C01CE9}">
  <sheetPr codeName="Sheet1">
    <pageSetUpPr autoPageBreaks="0"/>
  </sheetPr>
  <dimension ref="B1:AB380"/>
  <sheetViews>
    <sheetView showGridLines="0" workbookViewId="0">
      <pane ySplit="1" topLeftCell="A2" activePane="bottomLeft" state="frozen"/>
      <selection pane="bottomLeft"/>
    </sheetView>
  </sheetViews>
  <sheetFormatPr defaultRowHeight="12.75" x14ac:dyDescent="0.2"/>
  <cols>
    <col min="1" max="2" width="4.28515625" customWidth="1"/>
    <col min="3" max="3" width="9.140625" customWidth="1"/>
    <col min="4" max="27" width="9.28515625" customWidth="1"/>
  </cols>
  <sheetData>
    <row r="1" spans="2:28" s="1" customFormat="1" ht="30" customHeight="1" x14ac:dyDescent="0.25">
      <c r="C1" s="2" t="s">
        <v>44</v>
      </c>
    </row>
    <row r="3" spans="2:28" x14ac:dyDescent="0.2">
      <c r="B3" s="4" t="s">
        <v>0</v>
      </c>
    </row>
    <row r="4" spans="2:28" x14ac:dyDescent="0.2">
      <c r="C4" t="s">
        <v>443</v>
      </c>
    </row>
    <row r="5" spans="2:28" x14ac:dyDescent="0.2">
      <c r="C5" t="s">
        <v>45</v>
      </c>
    </row>
    <row r="6" spans="2:28" x14ac:dyDescent="0.2">
      <c r="C6" s="23" t="s">
        <v>46</v>
      </c>
    </row>
    <row r="7" spans="2:28" x14ac:dyDescent="0.2">
      <c r="C7" s="23" t="s">
        <v>47</v>
      </c>
    </row>
    <row r="9" spans="2:28" x14ac:dyDescent="0.2">
      <c r="B9" s="4" t="s">
        <v>1</v>
      </c>
    </row>
    <row r="10" spans="2:28" x14ac:dyDescent="0.2">
      <c r="C10" s="16" t="s">
        <v>51</v>
      </c>
      <c r="D10" s="25">
        <v>1</v>
      </c>
      <c r="E10" s="25">
        <v>2</v>
      </c>
      <c r="F10" s="25">
        <v>3</v>
      </c>
      <c r="G10" s="25">
        <v>4</v>
      </c>
      <c r="H10" s="25">
        <v>5</v>
      </c>
      <c r="I10" s="25">
        <v>6</v>
      </c>
      <c r="J10" s="25">
        <v>7</v>
      </c>
      <c r="K10" s="25">
        <v>8</v>
      </c>
      <c r="L10" s="25">
        <v>9</v>
      </c>
      <c r="M10" s="25">
        <v>10</v>
      </c>
      <c r="N10" s="25">
        <v>11</v>
      </c>
      <c r="O10" s="25">
        <v>12</v>
      </c>
      <c r="P10" s="25">
        <v>13</v>
      </c>
      <c r="Q10" s="25">
        <v>14</v>
      </c>
      <c r="R10" s="25">
        <v>15</v>
      </c>
      <c r="S10" s="25">
        <v>16</v>
      </c>
      <c r="T10" s="25">
        <v>17</v>
      </c>
      <c r="U10" s="25">
        <v>18</v>
      </c>
      <c r="V10" s="25">
        <v>19</v>
      </c>
      <c r="W10" s="25">
        <v>20</v>
      </c>
      <c r="X10" s="25">
        <v>21</v>
      </c>
      <c r="Y10" s="25">
        <v>22</v>
      </c>
      <c r="Z10" s="25">
        <v>23</v>
      </c>
      <c r="AA10" s="25">
        <v>24</v>
      </c>
    </row>
    <row r="11" spans="2:28" x14ac:dyDescent="0.2">
      <c r="C11" s="16" t="s">
        <v>49</v>
      </c>
      <c r="D11" s="33">
        <v>45292</v>
      </c>
      <c r="E11" s="33">
        <v>45323</v>
      </c>
      <c r="F11" s="33">
        <v>45352</v>
      </c>
      <c r="G11" s="33">
        <v>45383</v>
      </c>
      <c r="H11" s="33">
        <v>45413</v>
      </c>
      <c r="I11" s="33">
        <v>45444</v>
      </c>
      <c r="J11" s="33">
        <v>45474</v>
      </c>
      <c r="K11" s="33">
        <v>45505</v>
      </c>
      <c r="L11" s="33">
        <v>45536</v>
      </c>
      <c r="M11" s="33">
        <v>45566</v>
      </c>
      <c r="N11" s="33">
        <v>45597</v>
      </c>
      <c r="O11" s="33">
        <v>45627</v>
      </c>
      <c r="P11" s="33">
        <v>45658</v>
      </c>
      <c r="Q11" s="33">
        <v>45689</v>
      </c>
      <c r="R11" s="33">
        <v>45717</v>
      </c>
      <c r="S11" s="33">
        <v>45748</v>
      </c>
      <c r="T11" s="33">
        <v>45778</v>
      </c>
      <c r="U11" s="33">
        <v>45809</v>
      </c>
      <c r="V11" s="33">
        <v>45839</v>
      </c>
      <c r="W11" s="33">
        <v>45870</v>
      </c>
      <c r="X11" s="33">
        <v>45901</v>
      </c>
      <c r="Y11" s="33">
        <v>45931</v>
      </c>
      <c r="Z11" s="33">
        <v>45962</v>
      </c>
      <c r="AA11" s="33">
        <v>45992</v>
      </c>
    </row>
    <row r="12" spans="2:28" x14ac:dyDescent="0.2">
      <c r="C12" s="16" t="s">
        <v>50</v>
      </c>
      <c r="D12" s="25">
        <v>28</v>
      </c>
      <c r="E12" s="25">
        <v>40</v>
      </c>
      <c r="F12" s="25">
        <v>23</v>
      </c>
      <c r="G12" s="25">
        <v>34</v>
      </c>
      <c r="H12" s="25">
        <v>20</v>
      </c>
      <c r="I12" s="25">
        <v>17</v>
      </c>
      <c r="J12" s="25">
        <v>16</v>
      </c>
      <c r="K12" s="25">
        <v>55</v>
      </c>
      <c r="L12" s="25">
        <v>30</v>
      </c>
      <c r="M12" s="25">
        <v>29</v>
      </c>
      <c r="N12" s="25">
        <v>39</v>
      </c>
      <c r="O12" s="25">
        <v>34</v>
      </c>
      <c r="P12" s="25">
        <v>30</v>
      </c>
      <c r="Q12" s="25">
        <v>34</v>
      </c>
      <c r="R12" s="25">
        <v>50</v>
      </c>
      <c r="S12" s="25">
        <v>20</v>
      </c>
      <c r="T12" s="25">
        <v>25</v>
      </c>
      <c r="U12" s="25">
        <v>18</v>
      </c>
      <c r="V12" s="25">
        <v>5</v>
      </c>
      <c r="W12" s="25">
        <v>20</v>
      </c>
      <c r="X12" s="25">
        <v>30</v>
      </c>
      <c r="Y12" s="25">
        <v>37</v>
      </c>
      <c r="Z12" s="25">
        <v>35</v>
      </c>
      <c r="AA12" s="25">
        <v>28</v>
      </c>
      <c r="AB12" s="55"/>
    </row>
    <row r="13" spans="2:28" x14ac:dyDescent="0.2">
      <c r="C13" s="16"/>
      <c r="D13" s="25">
        <v>28</v>
      </c>
      <c r="E13" s="25">
        <v>40</v>
      </c>
      <c r="F13" s="25">
        <v>23</v>
      </c>
      <c r="G13" s="25">
        <v>34</v>
      </c>
      <c r="H13" s="25"/>
      <c r="I13" s="25">
        <v>17</v>
      </c>
      <c r="J13" s="25">
        <v>16</v>
      </c>
      <c r="K13" s="25">
        <v>55</v>
      </c>
      <c r="L13" s="25">
        <v>30</v>
      </c>
      <c r="M13" s="25">
        <v>29</v>
      </c>
      <c r="N13" s="25"/>
      <c r="O13" s="25">
        <v>34</v>
      </c>
      <c r="P13" s="25">
        <v>30</v>
      </c>
      <c r="Q13" s="25">
        <v>34</v>
      </c>
      <c r="R13" s="25">
        <v>50</v>
      </c>
      <c r="S13" s="25">
        <v>20</v>
      </c>
      <c r="T13" s="25">
        <v>25</v>
      </c>
      <c r="U13" s="25">
        <v>18</v>
      </c>
      <c r="V13" s="25">
        <v>5</v>
      </c>
      <c r="W13" s="25">
        <v>20</v>
      </c>
      <c r="X13" s="25">
        <v>30</v>
      </c>
      <c r="Y13" s="25">
        <v>37</v>
      </c>
      <c r="Z13" s="25" t="e">
        <v>#VALUE!</v>
      </c>
      <c r="AA13" s="25">
        <v>28</v>
      </c>
    </row>
    <row r="16" spans="2:28" s="5" customFormat="1" ht="16.5" thickBot="1" x14ac:dyDescent="0.3">
      <c r="B16" s="6">
        <f xml:space="preserve"> MAX(B$1:B15) + 1</f>
        <v>1</v>
      </c>
      <c r="C16" s="5" t="s">
        <v>2</v>
      </c>
    </row>
    <row r="18" spans="2:20" x14ac:dyDescent="0.2">
      <c r="B18" s="8" t="s">
        <v>37</v>
      </c>
      <c r="C18" s="7"/>
      <c r="D18" s="7"/>
      <c r="E18" s="7"/>
      <c r="F18" s="7"/>
      <c r="G18" s="7"/>
      <c r="H18" s="7"/>
      <c r="I18" s="7"/>
      <c r="J18" s="7"/>
      <c r="K18" s="7"/>
      <c r="L18" s="7"/>
      <c r="M18" s="7"/>
      <c r="N18" s="7"/>
      <c r="O18" s="7"/>
      <c r="P18" s="7"/>
      <c r="Q18" s="7"/>
      <c r="R18" s="7"/>
      <c r="S18" s="7"/>
      <c r="T18" s="7"/>
    </row>
    <row r="20" spans="2:20" x14ac:dyDescent="0.2">
      <c r="C20" s="9" t="s">
        <v>3</v>
      </c>
    </row>
    <row r="21" spans="2:20" x14ac:dyDescent="0.2">
      <c r="C21" t="s">
        <v>48</v>
      </c>
    </row>
    <row r="22" spans="2:20" x14ac:dyDescent="0.2">
      <c r="C22" t="s">
        <v>301</v>
      </c>
    </row>
    <row r="23" spans="2:20" x14ac:dyDescent="0.2">
      <c r="C23" s="23" t="s">
        <v>300</v>
      </c>
    </row>
    <row r="24" spans="2:20" x14ac:dyDescent="0.2">
      <c r="C24" s="68" t="s">
        <v>302</v>
      </c>
    </row>
    <row r="25" spans="2:20" x14ac:dyDescent="0.2">
      <c r="C25" s="68" t="s">
        <v>298</v>
      </c>
    </row>
    <row r="26" spans="2:20" x14ac:dyDescent="0.2">
      <c r="C26" s="68" t="s">
        <v>299</v>
      </c>
    </row>
    <row r="28" spans="2:20" x14ac:dyDescent="0.2">
      <c r="B28" s="10" t="str" cm="1">
        <f t="array" ref="B28" xml:space="preserve"> "(" &amp; _xlfn.UNICHAR( 65 + SUMPRODUCT(--(_xlfn.REGEXTEST(B$1:B24, "^\([A-Z]\)$")))) &amp; ")"</f>
        <v>(A)</v>
      </c>
      <c r="C28" s="3" t="s">
        <v>89</v>
      </c>
    </row>
    <row r="29" spans="2:20" x14ac:dyDescent="0.2">
      <c r="D29" s="34" t="s">
        <v>43</v>
      </c>
    </row>
    <row r="30" spans="2:20" x14ac:dyDescent="0.2">
      <c r="C30" s="16" t="s">
        <v>52</v>
      </c>
      <c r="D30" s="35" cm="1">
        <f t="array" ref="D30:D32" xml:space="preserve"> _xlfn.LET(
  _xlpm._arr, $D$12:$AA$12,
  _xlpm._LQ, _xlfn.QUARTILE.INC(_xlpm._arr, 1),
  _xlpm._UQ, _xlfn.QUARTILE.INC(_xlpm._arr, 3),
  _xlpm._IQR, _xlpm._UQ - _xlpm._LQ,
  _xlpm._rtn, _xlfn.VSTACK(_xlpm._LQ, _xlpm._UQ, _xlpm._IQR),
  _xlpm._rtn
)</f>
        <v>20</v>
      </c>
      <c r="E30" s="26" t="str" cm="1">
        <f t="array" aca="1" ref="E30:E37" ca="1" xml:space="preserve"> _xlfn.TEXTSPLIT( _xlfn.FORMULATEXT(D30), , CHAR(10))</f>
        <v>= LET(</v>
      </c>
    </row>
    <row r="31" spans="2:20" x14ac:dyDescent="0.2">
      <c r="C31" s="16" t="s">
        <v>53</v>
      </c>
      <c r="D31" s="35">
        <v>34.25</v>
      </c>
      <c r="E31" s="26" t="str">
        <f ca="1"/>
        <v xml:space="preserve">  _arr, $D$12:$AA$12,</v>
      </c>
    </row>
    <row r="32" spans="2:20" x14ac:dyDescent="0.2">
      <c r="C32" s="16" t="s">
        <v>54</v>
      </c>
      <c r="D32" s="35">
        <v>14.25</v>
      </c>
      <c r="E32" s="26" t="str">
        <f ca="1"/>
        <v xml:space="preserve">  _LQ, QUARTILE.INC(_arr, 1),</v>
      </c>
    </row>
    <row r="33" spans="2:8" x14ac:dyDescent="0.2">
      <c r="E33" s="26" t="str">
        <f ca="1"/>
        <v xml:space="preserve">  _UQ, QUARTILE.INC(_arr, 3),</v>
      </c>
    </row>
    <row r="34" spans="2:8" x14ac:dyDescent="0.2">
      <c r="E34" s="26" t="str">
        <f ca="1"/>
        <v xml:space="preserve">  _IQR, _UQ - _LQ,</v>
      </c>
    </row>
    <row r="35" spans="2:8" x14ac:dyDescent="0.2">
      <c r="E35" s="26" t="str">
        <f ca="1"/>
        <v xml:space="preserve">  _rtn, VSTACK(_LQ, _UQ, _IQR),</v>
      </c>
    </row>
    <row r="36" spans="2:8" x14ac:dyDescent="0.2">
      <c r="E36" s="26" t="str">
        <f ca="1"/>
        <v xml:space="preserve">  _rtn</v>
      </c>
    </row>
    <row r="37" spans="2:8" x14ac:dyDescent="0.2">
      <c r="E37" s="26" t="str">
        <f ca="1"/>
        <v>)</v>
      </c>
    </row>
    <row r="39" spans="2:8" x14ac:dyDescent="0.2">
      <c r="B39" s="10" t="str" cm="1">
        <f t="array" ref="B39" xml:space="preserve"> "(" &amp; _xlfn.UNICHAR( 65 + SUMPRODUCT(--(_xlfn.REGEXTEST(B$1:B38, "^\([A-Z]\)$")))) &amp; ")"</f>
        <v>(B)</v>
      </c>
      <c r="C39" s="3" t="s">
        <v>90</v>
      </c>
    </row>
    <row r="40" spans="2:8" x14ac:dyDescent="0.2">
      <c r="G40" s="10" t="s">
        <v>198</v>
      </c>
    </row>
    <row r="41" spans="2:8" x14ac:dyDescent="0.2">
      <c r="C41" s="16" t="s">
        <v>67</v>
      </c>
      <c r="D41" s="36">
        <v>0.5</v>
      </c>
      <c r="F41" s="16" t="s">
        <v>52</v>
      </c>
      <c r="G41" s="35" cm="1">
        <f t="array" ref="G41:G45" xml:space="preserve"> _xlfn.LET(
  _xlpm._arr, $D$12:$AA$12,
  _xlpm._fnc, $D$41,
  _xlpm._LQ, _xlfn.QUARTILE.INC(_xlpm._arr, 1),
  _xlpm._UQ, _xlfn.QUARTILE.INC(_xlpm._arr, 3),
  _xlpm._IQR, _xlpm._UQ - _xlpm._LQ,
  _xlpm._low, _xlpm._LQ - (_xlpm._fnc * _xlpm._IQR),
  _xlpm._upp, _xlpm._UQ + (_xlpm._fnc * _xlpm._IQR),
  _xlpm._rtn, _xlfn.VSTACK(_xlpm._LQ, _xlpm._UQ, _xlpm._IQR, _xlpm._low, _xlpm._upp),
  _xlpm._rtn
)</f>
        <v>20</v>
      </c>
      <c r="H41" s="26" t="str" cm="1">
        <f t="array" aca="1" ref="H41:H51" ca="1" xml:space="preserve"> _xlfn.TEXTSPLIT( _xlfn.FORMULATEXT(G41), , CHAR(10))</f>
        <v>= LET(</v>
      </c>
    </row>
    <row r="42" spans="2:8" x14ac:dyDescent="0.2">
      <c r="F42" s="16" t="s">
        <v>53</v>
      </c>
      <c r="G42" s="35">
        <v>34.25</v>
      </c>
      <c r="H42" s="26" t="str">
        <f ca="1"/>
        <v xml:space="preserve">  _arr, $D$12:$AA$12,</v>
      </c>
    </row>
    <row r="43" spans="2:8" x14ac:dyDescent="0.2">
      <c r="F43" s="16" t="s">
        <v>54</v>
      </c>
      <c r="G43" s="35">
        <v>14.25</v>
      </c>
      <c r="H43" s="26" t="str">
        <f ca="1"/>
        <v xml:space="preserve">  _fnc, $D$41,</v>
      </c>
    </row>
    <row r="44" spans="2:8" x14ac:dyDescent="0.2">
      <c r="F44" s="16" t="s">
        <v>55</v>
      </c>
      <c r="G44" s="35">
        <v>12.875</v>
      </c>
      <c r="H44" s="26" t="str">
        <f ca="1"/>
        <v xml:space="preserve">  _LQ, QUARTILE.INC(_arr, 1),</v>
      </c>
    </row>
    <row r="45" spans="2:8" x14ac:dyDescent="0.2">
      <c r="F45" s="16" t="s">
        <v>56</v>
      </c>
      <c r="G45" s="35">
        <v>41.375</v>
      </c>
      <c r="H45" s="26" t="str">
        <f ca="1"/>
        <v xml:space="preserve">  _UQ, QUARTILE.INC(_arr, 3),</v>
      </c>
    </row>
    <row r="46" spans="2:8" x14ac:dyDescent="0.2">
      <c r="H46" s="26" t="str">
        <f ca="1"/>
        <v xml:space="preserve">  _IQR, _UQ - _LQ,</v>
      </c>
    </row>
    <row r="47" spans="2:8" x14ac:dyDescent="0.2">
      <c r="G47" s="70"/>
      <c r="H47" s="26" t="str">
        <f ca="1"/>
        <v xml:space="preserve">  _low, _LQ - (_fnc * _IQR),</v>
      </c>
    </row>
    <row r="48" spans="2:8" x14ac:dyDescent="0.2">
      <c r="H48" s="26" t="str">
        <f ca="1"/>
        <v xml:space="preserve">  _upp, _UQ + (_fnc * _IQR),</v>
      </c>
    </row>
    <row r="49" spans="2:27" x14ac:dyDescent="0.2">
      <c r="H49" s="26" t="str">
        <f ca="1"/>
        <v xml:space="preserve">  _rtn, VSTACK(_LQ, _UQ, _IQR, _low, _upp),</v>
      </c>
    </row>
    <row r="50" spans="2:27" x14ac:dyDescent="0.2">
      <c r="H50" s="26" t="str">
        <f ca="1"/>
        <v xml:space="preserve">  _rtn</v>
      </c>
    </row>
    <row r="51" spans="2:27" x14ac:dyDescent="0.2">
      <c r="H51" s="26" t="str">
        <f ca="1"/>
        <v>)</v>
      </c>
    </row>
    <row r="53" spans="2:27" x14ac:dyDescent="0.2">
      <c r="B53" s="10" t="str" cm="1">
        <f t="array" ref="B53" xml:space="preserve"> "(" &amp; _xlfn.UNICHAR( 65 + SUMPRODUCT(--(_xlfn.REGEXTEST(B$1:B52, "^\([A-Z]\)$")))) &amp; ")"</f>
        <v>(C)</v>
      </c>
      <c r="C53" s="3" t="s">
        <v>58</v>
      </c>
    </row>
    <row r="55" spans="2:27" x14ac:dyDescent="0.2">
      <c r="C55" s="16" t="s">
        <v>57</v>
      </c>
      <c r="D55" s="37">
        <v>1</v>
      </c>
    </row>
    <row r="56" spans="2:27" x14ac:dyDescent="0.2">
      <c r="C56" s="16" t="s">
        <v>67</v>
      </c>
      <c r="D56" s="36">
        <v>0.5</v>
      </c>
    </row>
    <row r="58" spans="2:27" x14ac:dyDescent="0.2">
      <c r="D58" s="42" cm="1">
        <f t="array" ref="D58:AA58" xml:space="preserve"> $D$10:$AA$10</f>
        <v>1</v>
      </c>
      <c r="E58" s="42">
        <v>2</v>
      </c>
      <c r="F58" s="42">
        <v>3</v>
      </c>
      <c r="G58" s="42">
        <v>4</v>
      </c>
      <c r="H58" s="42">
        <v>5</v>
      </c>
      <c r="I58" s="42">
        <v>6</v>
      </c>
      <c r="J58" s="42">
        <v>7</v>
      </c>
      <c r="K58" s="42">
        <v>8</v>
      </c>
      <c r="L58" s="42">
        <v>9</v>
      </c>
      <c r="M58" s="42">
        <v>10</v>
      </c>
      <c r="N58" s="42">
        <v>11</v>
      </c>
      <c r="O58" s="42">
        <v>12</v>
      </c>
      <c r="P58" s="42">
        <v>13</v>
      </c>
      <c r="Q58" s="42">
        <v>14</v>
      </c>
      <c r="R58" s="42">
        <v>15</v>
      </c>
      <c r="S58" s="42">
        <v>16</v>
      </c>
      <c r="T58" s="42">
        <v>17</v>
      </c>
      <c r="U58" s="42">
        <v>18</v>
      </c>
      <c r="V58" s="42">
        <v>19</v>
      </c>
      <c r="W58" s="42">
        <v>20</v>
      </c>
      <c r="X58" s="42">
        <v>21</v>
      </c>
      <c r="Y58" s="42">
        <v>22</v>
      </c>
      <c r="Z58" s="42">
        <v>23</v>
      </c>
      <c r="AA58" s="42">
        <v>24</v>
      </c>
    </row>
    <row r="59" spans="2:27" x14ac:dyDescent="0.2">
      <c r="C59" s="16" t="s">
        <v>59</v>
      </c>
      <c r="D59" s="38" cm="1">
        <f t="array" ref="D59:AA59" xml:space="preserve"> $D$12:$AA$12</f>
        <v>28</v>
      </c>
      <c r="E59" s="38">
        <v>40</v>
      </c>
      <c r="F59" s="38">
        <v>23</v>
      </c>
      <c r="G59" s="38">
        <v>34</v>
      </c>
      <c r="H59" s="38">
        <v>20</v>
      </c>
      <c r="I59" s="38">
        <v>17</v>
      </c>
      <c r="J59" s="38">
        <v>16</v>
      </c>
      <c r="K59" s="38">
        <v>55</v>
      </c>
      <c r="L59" s="38">
        <v>30</v>
      </c>
      <c r="M59" s="38">
        <v>29</v>
      </c>
      <c r="N59" s="38">
        <v>39</v>
      </c>
      <c r="O59" s="38">
        <v>34</v>
      </c>
      <c r="P59" s="38">
        <v>30</v>
      </c>
      <c r="Q59" s="38">
        <v>34</v>
      </c>
      <c r="R59" s="38">
        <v>50</v>
      </c>
      <c r="S59" s="38">
        <v>20</v>
      </c>
      <c r="T59" s="38">
        <v>25</v>
      </c>
      <c r="U59" s="38">
        <v>18</v>
      </c>
      <c r="V59" s="38">
        <v>5</v>
      </c>
      <c r="W59" s="38">
        <v>20</v>
      </c>
      <c r="X59" s="38">
        <v>30</v>
      </c>
      <c r="Y59" s="38">
        <v>37</v>
      </c>
      <c r="Z59" s="38">
        <v>35</v>
      </c>
      <c r="AA59" s="38">
        <v>28</v>
      </c>
    </row>
    <row r="60" spans="2:27" x14ac:dyDescent="0.2">
      <c r="C60" s="16" t="s">
        <v>36</v>
      </c>
      <c r="D60" s="24" cm="1">
        <f t="array" ref="D60:AA60" xml:space="preserve"> _xlfn.LET(
  _xlpm._arr, $D$12:$AA$12,
  _xlpm._fnc, D56,
  _xlpm._LQ, _xlfn.QUARTILE.INC(_xlpm._arr, 1),
  _xlpm._UQ, _xlfn.QUARTILE.INC(_xlpm._arr, 3),
  _xlpm._IQR, _xlpm._UQ - _xlpm._LQ,
  _xlpm._low, _xlpm._LQ - (_xlpm._fnc * _xlpm._IQR),
  _xlpm._upp, _xlpm._UQ + (_xlpm._fnc * _xlpm._IQR),
  _xlpm._corr, IF(_xlpm._arr &lt; _xlpm._low, _xlpm._low, IF(_xlpm._arr &gt; _xlpm._upp, _xlpm._upp, _xlpm._arr)),
  _xlpm._rtn, IF(D55 = 1, _xlpm._corr, _xlpm._arr),
  _xlpm._rtn
)</f>
        <v>28</v>
      </c>
      <c r="E60" s="24">
        <v>40</v>
      </c>
      <c r="F60" s="24">
        <v>23</v>
      </c>
      <c r="G60" s="24">
        <v>34</v>
      </c>
      <c r="H60" s="24">
        <v>20</v>
      </c>
      <c r="I60" s="24">
        <v>17</v>
      </c>
      <c r="J60" s="24">
        <v>16</v>
      </c>
      <c r="K60" s="24">
        <v>41.375</v>
      </c>
      <c r="L60" s="24">
        <v>30</v>
      </c>
      <c r="M60" s="24">
        <v>29</v>
      </c>
      <c r="N60" s="24">
        <v>39</v>
      </c>
      <c r="O60" s="24">
        <v>34</v>
      </c>
      <c r="P60" s="24">
        <v>30</v>
      </c>
      <c r="Q60" s="24">
        <v>34</v>
      </c>
      <c r="R60" s="24">
        <v>41.375</v>
      </c>
      <c r="S60" s="24">
        <v>20</v>
      </c>
      <c r="T60" s="24">
        <v>25</v>
      </c>
      <c r="U60" s="24">
        <v>18</v>
      </c>
      <c r="V60" s="24">
        <v>12.875</v>
      </c>
      <c r="W60" s="24">
        <v>20</v>
      </c>
      <c r="X60" s="24">
        <v>30</v>
      </c>
      <c r="Y60" s="24">
        <v>37</v>
      </c>
      <c r="Z60" s="24">
        <v>35</v>
      </c>
      <c r="AA60" s="24">
        <v>28</v>
      </c>
    </row>
    <row r="61" spans="2:27" x14ac:dyDescent="0.2">
      <c r="D61" s="26" t="str" cm="1">
        <f t="array" aca="1" ref="D61:D72" ca="1" xml:space="preserve"> _xlfn.TEXTSPLIT( _xlfn.FORMULATEXT(D60), , CHAR(10))</f>
        <v>= LET(</v>
      </c>
    </row>
    <row r="62" spans="2:27" x14ac:dyDescent="0.2">
      <c r="D62" s="26" t="str">
        <f ca="1"/>
        <v xml:space="preserve">  _arr, $D$12:$AA$12,</v>
      </c>
    </row>
    <row r="63" spans="2:27" x14ac:dyDescent="0.2">
      <c r="D63" s="26" t="str">
        <f ca="1"/>
        <v xml:space="preserve">  _fnc, D56,</v>
      </c>
    </row>
    <row r="64" spans="2:27" x14ac:dyDescent="0.2">
      <c r="D64" s="26" t="str">
        <f ca="1"/>
        <v xml:space="preserve">  _LQ, QUARTILE.INC(_arr, 1),</v>
      </c>
    </row>
    <row r="65" spans="2:6" x14ac:dyDescent="0.2">
      <c r="D65" s="26" t="str">
        <f ca="1"/>
        <v xml:space="preserve">  _UQ, QUARTILE.INC(_arr, 3),</v>
      </c>
    </row>
    <row r="66" spans="2:6" x14ac:dyDescent="0.2">
      <c r="D66" s="26" t="str">
        <f ca="1"/>
        <v xml:space="preserve">  _IQR, _UQ - _LQ,</v>
      </c>
    </row>
    <row r="67" spans="2:6" x14ac:dyDescent="0.2">
      <c r="D67" s="26" t="str">
        <f ca="1"/>
        <v xml:space="preserve">  _low, _LQ - (_fnc * _IQR),</v>
      </c>
    </row>
    <row r="68" spans="2:6" x14ac:dyDescent="0.2">
      <c r="D68" s="26" t="str">
        <f ca="1"/>
        <v xml:space="preserve">  _upp, _UQ + (_fnc * _IQR),</v>
      </c>
    </row>
    <row r="69" spans="2:6" x14ac:dyDescent="0.2">
      <c r="D69" s="26" t="str">
        <f ca="1"/>
        <v xml:space="preserve">  _corr, IF(_arr &lt; _low, _low, IF(_arr &gt; _upp, _upp, _arr)),</v>
      </c>
    </row>
    <row r="70" spans="2:6" x14ac:dyDescent="0.2">
      <c r="D70" s="26" t="str">
        <f ca="1"/>
        <v xml:space="preserve">  _rtn, IF(D55 = 1, _corr, _arr),</v>
      </c>
    </row>
    <row r="71" spans="2:6" x14ac:dyDescent="0.2">
      <c r="D71" s="26" t="str">
        <f ca="1"/>
        <v xml:space="preserve">  _rtn</v>
      </c>
    </row>
    <row r="72" spans="2:6" x14ac:dyDescent="0.2">
      <c r="D72" s="26" t="str">
        <f ca="1"/>
        <v>)</v>
      </c>
    </row>
    <row r="76" spans="2:6" x14ac:dyDescent="0.2">
      <c r="B76" s="10" t="str" cm="1">
        <f t="array" ref="B76" xml:space="preserve"> "(" &amp; _xlfn.UNICHAR( 65 + SUMPRODUCT(--(_xlfn.REGEXTEST(B$1:B75, "^\([A-Z]\)$")))) &amp; ")"</f>
        <v>(D)</v>
      </c>
      <c r="C76" s="3" t="s">
        <v>84</v>
      </c>
    </row>
    <row r="78" spans="2:6" x14ac:dyDescent="0.2">
      <c r="C78" s="16" t="s">
        <v>57</v>
      </c>
      <c r="D78" s="37">
        <v>1</v>
      </c>
      <c r="E78" s="41" t="s">
        <v>62</v>
      </c>
      <c r="F78" s="40" t="s">
        <v>66</v>
      </c>
    </row>
    <row r="79" spans="2:6" x14ac:dyDescent="0.2">
      <c r="C79" s="16" t="s">
        <v>67</v>
      </c>
      <c r="D79" s="36">
        <v>0.5</v>
      </c>
      <c r="E79" s="41" t="s">
        <v>61</v>
      </c>
      <c r="F79" s="40" t="s">
        <v>64</v>
      </c>
    </row>
    <row r="80" spans="2:6" x14ac:dyDescent="0.2">
      <c r="C80" s="16" t="s">
        <v>60</v>
      </c>
      <c r="D80" s="39">
        <v>0</v>
      </c>
      <c r="E80" s="41" t="s">
        <v>63</v>
      </c>
      <c r="F80" s="40" t="s">
        <v>65</v>
      </c>
    </row>
    <row r="82" spans="3:27" x14ac:dyDescent="0.2">
      <c r="D82" s="42" cm="1">
        <f t="array" ref="D82:AA82" xml:space="preserve"> $D$10:$AA$10</f>
        <v>1</v>
      </c>
      <c r="E82" s="42">
        <v>2</v>
      </c>
      <c r="F82" s="42">
        <v>3</v>
      </c>
      <c r="G82" s="42">
        <v>4</v>
      </c>
      <c r="H82" s="42">
        <v>5</v>
      </c>
      <c r="I82" s="42">
        <v>6</v>
      </c>
      <c r="J82" s="42">
        <v>7</v>
      </c>
      <c r="K82" s="42">
        <v>8</v>
      </c>
      <c r="L82" s="42">
        <v>9</v>
      </c>
      <c r="M82" s="42">
        <v>10</v>
      </c>
      <c r="N82" s="42">
        <v>11</v>
      </c>
      <c r="O82" s="42">
        <v>12</v>
      </c>
      <c r="P82" s="42">
        <v>13</v>
      </c>
      <c r="Q82" s="42">
        <v>14</v>
      </c>
      <c r="R82" s="42">
        <v>15</v>
      </c>
      <c r="S82" s="42">
        <v>16</v>
      </c>
      <c r="T82" s="42">
        <v>17</v>
      </c>
      <c r="U82" s="42">
        <v>18</v>
      </c>
      <c r="V82" s="42">
        <v>19</v>
      </c>
      <c r="W82" s="42">
        <v>20</v>
      </c>
      <c r="X82" s="42">
        <v>21</v>
      </c>
      <c r="Y82" s="42">
        <v>22</v>
      </c>
      <c r="Z82" s="42">
        <v>23</v>
      </c>
      <c r="AA82" s="42">
        <v>24</v>
      </c>
    </row>
    <row r="83" spans="3:27" x14ac:dyDescent="0.2">
      <c r="C83" s="16" t="s">
        <v>59</v>
      </c>
      <c r="D83" s="38" cm="1">
        <f t="array" ref="D83:AA83" xml:space="preserve"> $D$12:$AA$12</f>
        <v>28</v>
      </c>
      <c r="E83" s="38">
        <v>40</v>
      </c>
      <c r="F83" s="38">
        <v>23</v>
      </c>
      <c r="G83" s="38">
        <v>34</v>
      </c>
      <c r="H83" s="38">
        <v>20</v>
      </c>
      <c r="I83" s="38">
        <v>17</v>
      </c>
      <c r="J83" s="38">
        <v>16</v>
      </c>
      <c r="K83" s="38">
        <v>55</v>
      </c>
      <c r="L83" s="38">
        <v>30</v>
      </c>
      <c r="M83" s="38">
        <v>29</v>
      </c>
      <c r="N83" s="38">
        <v>39</v>
      </c>
      <c r="O83" s="38">
        <v>34</v>
      </c>
      <c r="P83" s="38">
        <v>30</v>
      </c>
      <c r="Q83" s="38">
        <v>34</v>
      </c>
      <c r="R83" s="38">
        <v>50</v>
      </c>
      <c r="S83" s="38">
        <v>20</v>
      </c>
      <c r="T83" s="38">
        <v>25</v>
      </c>
      <c r="U83" s="38">
        <v>18</v>
      </c>
      <c r="V83" s="38">
        <v>5</v>
      </c>
      <c r="W83" s="38">
        <v>20</v>
      </c>
      <c r="X83" s="38">
        <v>30</v>
      </c>
      <c r="Y83" s="38">
        <v>37</v>
      </c>
      <c r="Z83" s="38">
        <v>35</v>
      </c>
      <c r="AA83" s="38">
        <v>28</v>
      </c>
    </row>
    <row r="84" spans="3:27" x14ac:dyDescent="0.2">
      <c r="C84" s="16" t="s">
        <v>36</v>
      </c>
      <c r="D84" s="24" cm="1">
        <f t="array" ref="D84:AA84" xml:space="preserve"> _xlfn.LET(
  _xlpm._arr, $D$12:$AA$12,
  _xlpm._fnc, D79,
  _xlpm._opn, D80,
  _xlpm._LQ, _xlfn.QUARTILE.INC(_xlpm._arr, 1),
  _xlpm._UQ, _xlfn.QUARTILE.INC(_xlpm._arr, 3),
  _xlpm._IQR, _xlpm._UQ - _xlpm._LQ,
  _xlpm._low, _xlpm._LQ - (_xlpm._fnc * _xlpm._IQR),
  _xlpm._upp, _xlpm._UQ + (_xlpm._fnc * _xlpm._IQR),
  _xlpm._arrL, IF(_xlpm._opn &lt;= 0, IF(_xlpm._arr &lt; _xlpm._low, _xlpm._low, _xlpm._arr), _xlpm._arr),
  _xlpm._arrU, IF(_xlpm._opn &gt;= 0, IF(_xlpm._arrL &gt; _xlpm._upp, _xlpm._upp, _xlpm._arrL), _xlpm._arrL),
  _xlpm._rtn, IF(D78 = 1, _xlpm._arrU, _xlpm._arr),
  _xlpm._rtn
)</f>
        <v>28</v>
      </c>
      <c r="E84" s="24">
        <v>40</v>
      </c>
      <c r="F84" s="24">
        <v>23</v>
      </c>
      <c r="G84" s="24">
        <v>34</v>
      </c>
      <c r="H84" s="24">
        <v>20</v>
      </c>
      <c r="I84" s="24">
        <v>17</v>
      </c>
      <c r="J84" s="24">
        <v>16</v>
      </c>
      <c r="K84" s="24">
        <v>41.375</v>
      </c>
      <c r="L84" s="24">
        <v>30</v>
      </c>
      <c r="M84" s="24">
        <v>29</v>
      </c>
      <c r="N84" s="24">
        <v>39</v>
      </c>
      <c r="O84" s="24">
        <v>34</v>
      </c>
      <c r="P84" s="24">
        <v>30</v>
      </c>
      <c r="Q84" s="24">
        <v>34</v>
      </c>
      <c r="R84" s="24">
        <v>41.375</v>
      </c>
      <c r="S84" s="24">
        <v>20</v>
      </c>
      <c r="T84" s="24">
        <v>25</v>
      </c>
      <c r="U84" s="24">
        <v>18</v>
      </c>
      <c r="V84" s="24">
        <v>12.875</v>
      </c>
      <c r="W84" s="24">
        <v>20</v>
      </c>
      <c r="X84" s="24">
        <v>30</v>
      </c>
      <c r="Y84" s="24">
        <v>37</v>
      </c>
      <c r="Z84" s="24">
        <v>35</v>
      </c>
      <c r="AA84" s="24">
        <v>28</v>
      </c>
    </row>
    <row r="85" spans="3:27" x14ac:dyDescent="0.2">
      <c r="D85" s="26" t="str" cm="1">
        <f t="array" aca="1" ref="D85:D98" ca="1" xml:space="preserve"> _xlfn.TEXTSPLIT( _xlfn.FORMULATEXT(D84), , CHAR(10))</f>
        <v>= LET(</v>
      </c>
    </row>
    <row r="86" spans="3:27" x14ac:dyDescent="0.2">
      <c r="D86" s="26" t="str">
        <f ca="1"/>
        <v xml:space="preserve">  _arr, $D$12:$AA$12,</v>
      </c>
    </row>
    <row r="87" spans="3:27" x14ac:dyDescent="0.2">
      <c r="D87" s="26" t="str">
        <f ca="1"/>
        <v xml:space="preserve">  _fnc, D79,</v>
      </c>
    </row>
    <row r="88" spans="3:27" x14ac:dyDescent="0.2">
      <c r="D88" s="26" t="str">
        <f ca="1"/>
        <v xml:space="preserve">  _opn, D80,</v>
      </c>
    </row>
    <row r="89" spans="3:27" x14ac:dyDescent="0.2">
      <c r="D89" s="26" t="str">
        <f ca="1"/>
        <v xml:space="preserve">  _LQ, QUARTILE.INC(_arr, 1),</v>
      </c>
    </row>
    <row r="90" spans="3:27" x14ac:dyDescent="0.2">
      <c r="D90" s="26" t="str">
        <f ca="1"/>
        <v xml:space="preserve">  _UQ, QUARTILE.INC(_arr, 3),</v>
      </c>
    </row>
    <row r="91" spans="3:27" x14ac:dyDescent="0.2">
      <c r="D91" s="26" t="str">
        <f ca="1"/>
        <v xml:space="preserve">  _IQR, _UQ - _LQ,</v>
      </c>
    </row>
    <row r="92" spans="3:27" x14ac:dyDescent="0.2">
      <c r="D92" s="26" t="str">
        <f ca="1"/>
        <v xml:space="preserve">  _low, _LQ - (_fnc * _IQR),</v>
      </c>
    </row>
    <row r="93" spans="3:27" x14ac:dyDescent="0.2">
      <c r="D93" s="26" t="str">
        <f ca="1"/>
        <v xml:space="preserve">  _upp, _UQ + (_fnc * _IQR),</v>
      </c>
    </row>
    <row r="94" spans="3:27" x14ac:dyDescent="0.2">
      <c r="D94" s="26" t="str">
        <f ca="1"/>
        <v xml:space="preserve">  _arrL, IF(_opn &lt;= 0, IF(_arr &lt; _low, _low, _arr), _arr),</v>
      </c>
    </row>
    <row r="95" spans="3:27" x14ac:dyDescent="0.2">
      <c r="D95" s="26" t="str">
        <f ca="1"/>
        <v xml:space="preserve">  _arrU, IF(_opn &gt;= 0, IF(_arrL &gt; _upp, _upp, _arrL), _arrL),</v>
      </c>
    </row>
    <row r="96" spans="3:27" x14ac:dyDescent="0.2">
      <c r="D96" s="26" t="str">
        <f ca="1"/>
        <v xml:space="preserve">  _rtn, IF(D78 = 1, _arrU, _arr),</v>
      </c>
    </row>
    <row r="97" spans="2:27" x14ac:dyDescent="0.2">
      <c r="D97" s="26" t="str">
        <f ca="1"/>
        <v xml:space="preserve">  _rtn</v>
      </c>
    </row>
    <row r="98" spans="2:27" x14ac:dyDescent="0.2">
      <c r="D98" s="26" t="str">
        <f ca="1"/>
        <v>)</v>
      </c>
    </row>
    <row r="100" spans="2:27" x14ac:dyDescent="0.2">
      <c r="B100" s="10" t="str" cm="1">
        <f t="array" ref="B100" xml:space="preserve"> "(" &amp; _xlfn.UNICHAR( 65 + SUMPRODUCT(--(_xlfn.REGEXTEST(B$1:B99, "^\([A-Z]\)$")))) &amp; ")"</f>
        <v>(E)</v>
      </c>
      <c r="C100" s="3" t="s">
        <v>85</v>
      </c>
    </row>
    <row r="102" spans="2:27" x14ac:dyDescent="0.2">
      <c r="C102" s="16" t="s">
        <v>67</v>
      </c>
      <c r="D102" s="36">
        <v>0.5</v>
      </c>
    </row>
    <row r="103" spans="2:27" x14ac:dyDescent="0.2">
      <c r="C103" s="16" t="s">
        <v>60</v>
      </c>
      <c r="D103" s="39">
        <v>0</v>
      </c>
    </row>
    <row r="104" spans="2:27" x14ac:dyDescent="0.2">
      <c r="C104" s="16" t="s">
        <v>86</v>
      </c>
      <c r="D104" s="30" t="b">
        <v>1</v>
      </c>
    </row>
    <row r="105" spans="2:27" x14ac:dyDescent="0.2">
      <c r="C105" s="16" t="s">
        <v>87</v>
      </c>
      <c r="D105" s="30" t="b">
        <v>1</v>
      </c>
    </row>
    <row r="107" spans="2:27" x14ac:dyDescent="0.2">
      <c r="D107" s="42" cm="1">
        <f t="array" ref="D107:AA107" xml:space="preserve"> $D$10:$AA$10</f>
        <v>1</v>
      </c>
      <c r="E107" s="42">
        <v>2</v>
      </c>
      <c r="F107" s="42">
        <v>3</v>
      </c>
      <c r="G107" s="42">
        <v>4</v>
      </c>
      <c r="H107" s="42">
        <v>5</v>
      </c>
      <c r="I107" s="42">
        <v>6</v>
      </c>
      <c r="J107" s="42">
        <v>7</v>
      </c>
      <c r="K107" s="42">
        <v>8</v>
      </c>
      <c r="L107" s="42">
        <v>9</v>
      </c>
      <c r="M107" s="42">
        <v>10</v>
      </c>
      <c r="N107" s="42">
        <v>11</v>
      </c>
      <c r="O107" s="42">
        <v>12</v>
      </c>
      <c r="P107" s="42">
        <v>13</v>
      </c>
      <c r="Q107" s="42">
        <v>14</v>
      </c>
      <c r="R107" s="42">
        <v>15</v>
      </c>
      <c r="S107" s="42">
        <v>16</v>
      </c>
      <c r="T107" s="42">
        <v>17</v>
      </c>
      <c r="U107" s="42">
        <v>18</v>
      </c>
      <c r="V107" s="42">
        <v>19</v>
      </c>
      <c r="W107" s="42">
        <v>20</v>
      </c>
      <c r="X107" s="42">
        <v>21</v>
      </c>
      <c r="Y107" s="42">
        <v>22</v>
      </c>
      <c r="Z107" s="42">
        <v>23</v>
      </c>
      <c r="AA107" s="42">
        <v>24</v>
      </c>
    </row>
    <row r="108" spans="2:27" x14ac:dyDescent="0.2">
      <c r="C108" s="16" t="s">
        <v>59</v>
      </c>
      <c r="D108" s="38" cm="1">
        <f t="array" ref="D108:AA108" xml:space="preserve"> $D$13:$AA$13</f>
        <v>28</v>
      </c>
      <c r="E108" s="38">
        <v>40</v>
      </c>
      <c r="F108" s="38">
        <v>23</v>
      </c>
      <c r="G108" s="38">
        <v>34</v>
      </c>
      <c r="H108" s="38">
        <v>0</v>
      </c>
      <c r="I108" s="38">
        <v>17</v>
      </c>
      <c r="J108" s="38">
        <v>16</v>
      </c>
      <c r="K108" s="38">
        <v>55</v>
      </c>
      <c r="L108" s="38">
        <v>30</v>
      </c>
      <c r="M108" s="38">
        <v>29</v>
      </c>
      <c r="N108" s="38">
        <v>0</v>
      </c>
      <c r="O108" s="38">
        <v>34</v>
      </c>
      <c r="P108" s="38">
        <v>30</v>
      </c>
      <c r="Q108" s="38">
        <v>34</v>
      </c>
      <c r="R108" s="38">
        <v>50</v>
      </c>
      <c r="S108" s="38">
        <v>20</v>
      </c>
      <c r="T108" s="38">
        <v>25</v>
      </c>
      <c r="U108" s="38">
        <v>18</v>
      </c>
      <c r="V108" s="38">
        <v>5</v>
      </c>
      <c r="W108" s="38">
        <v>20</v>
      </c>
      <c r="X108" s="38">
        <v>30</v>
      </c>
      <c r="Y108" s="38">
        <v>37</v>
      </c>
      <c r="Z108" s="38" t="e">
        <v>#VALUE!</v>
      </c>
      <c r="AA108" s="38">
        <v>28</v>
      </c>
    </row>
    <row r="109" spans="2:27" x14ac:dyDescent="0.2">
      <c r="C109" s="16" t="s">
        <v>36</v>
      </c>
      <c r="D109" s="24" cm="1">
        <f t="array" ref="D109:AA109" xml:space="preserve"> _xlfn.LET(
  _xlpm.array, $D$13:$AA$13,
  _xlpm._fnc, D102,
  _xlpm._opn, D103,
  _xlpm._err, IF(ISLOGICAL(D104), D104, TRUE),
  _xlpm._repE, IF(AND(ISLOGICAL(D104), D104), NA(), D104),
  _xlpm._repB, IF(ISLOGICAL(D105), IF(D105, NA(), 0), D105),
  _xlpm._arr, _xlfn.MAP(_xlpm.array,
    _xlfn.LAMBDA(_xlpm._val, IF(ISERROR(_xlpm._val), IF(_xlpm._err, _xlpm._repE, _xlpm._val), IF(ISBLANK(_xlpm._val), _xlpm._repB, _xlpm._val)))
  ),
  _xlpm._fltr, _xlfn._xlws.FILTER(_xlpm._arr, NOT(ISNA(_xlpm._arr))),
  _xlpm._LQ, _xlfn.QUARTILE.INC(_xlpm._fltr, 1),
  _xlpm._UQ, _xlfn.QUARTILE.INC(_xlpm._fltr, 3),
  _xlpm._IQR, _xlpm._UQ - _xlpm._LQ,
  _xlpm._low, _xlpm._LQ - (_xlpm._fnc * _xlpm._IQR),
  _xlpm._upp, _xlpm._UQ + (_xlpm._fnc * _xlpm._IQR),
  _xlpm._arrL, IF(_xlpm._opn &lt;= 0, IF(_xlpm._arr &lt; _xlpm._low, _xlpm._low, _xlpm._arr), _xlpm._arr),
  _xlpm._arrU, IF(_xlpm._opn &gt;= 0, IF(_xlpm._arrL &gt; _xlpm._upp, _xlpm._upp, _xlpm._arrL), _xlpm._arrL),
  _xlpm._rtn, _xlpm._arrU,
  _xlpm._rtn
)</f>
        <v>28</v>
      </c>
      <c r="E109" s="24">
        <v>40</v>
      </c>
      <c r="F109" s="24">
        <v>23</v>
      </c>
      <c r="G109" s="24">
        <v>34</v>
      </c>
      <c r="H109" s="24" t="e">
        <v>#N/A</v>
      </c>
      <c r="I109" s="24">
        <v>17</v>
      </c>
      <c r="J109" s="24">
        <v>16</v>
      </c>
      <c r="K109" s="24">
        <v>41</v>
      </c>
      <c r="L109" s="24">
        <v>30</v>
      </c>
      <c r="M109" s="24">
        <v>29</v>
      </c>
      <c r="N109" s="24" t="e">
        <v>#N/A</v>
      </c>
      <c r="O109" s="24">
        <v>34</v>
      </c>
      <c r="P109" s="24">
        <v>30</v>
      </c>
      <c r="Q109" s="24">
        <v>34</v>
      </c>
      <c r="R109" s="24">
        <v>41</v>
      </c>
      <c r="S109" s="24">
        <v>20</v>
      </c>
      <c r="T109" s="24">
        <v>25</v>
      </c>
      <c r="U109" s="24">
        <v>18</v>
      </c>
      <c r="V109" s="24">
        <v>13</v>
      </c>
      <c r="W109" s="24">
        <v>20</v>
      </c>
      <c r="X109" s="24">
        <v>30</v>
      </c>
      <c r="Y109" s="24">
        <v>37</v>
      </c>
      <c r="Z109" s="24" t="e">
        <v>#N/A</v>
      </c>
      <c r="AA109" s="24">
        <v>28</v>
      </c>
    </row>
    <row r="110" spans="2:27" x14ac:dyDescent="0.2">
      <c r="D110" s="26" t="str" cm="1">
        <f t="array" aca="1" ref="D110:D130" ca="1" xml:space="preserve"> _xlfn.TEXTSPLIT( _xlfn.FORMULATEXT(D109), , CHAR(10))</f>
        <v>= LET(</v>
      </c>
    </row>
    <row r="111" spans="2:27" x14ac:dyDescent="0.2">
      <c r="D111" s="26" t="str">
        <f ca="1"/>
        <v xml:space="preserve">  array, $D$13:$AA$13,</v>
      </c>
    </row>
    <row r="112" spans="2:27" x14ac:dyDescent="0.2">
      <c r="D112" s="26" t="str">
        <f ca="1"/>
        <v xml:space="preserve">  _fnc, D102,</v>
      </c>
    </row>
    <row r="113" spans="4:4" x14ac:dyDescent="0.2">
      <c r="D113" s="26" t="str">
        <f ca="1"/>
        <v xml:space="preserve">  _opn, D103,</v>
      </c>
    </row>
    <row r="114" spans="4:4" x14ac:dyDescent="0.2">
      <c r="D114" s="26" t="str">
        <f ca="1"/>
        <v xml:space="preserve">  _err, IF(ISLOGICAL(D104), D104, TRUE),</v>
      </c>
    </row>
    <row r="115" spans="4:4" x14ac:dyDescent="0.2">
      <c r="D115" s="26" t="str">
        <f ca="1"/>
        <v xml:space="preserve">  _repE, IF(AND(ISLOGICAL(D104), D104), NA(), D104),</v>
      </c>
    </row>
    <row r="116" spans="4:4" x14ac:dyDescent="0.2">
      <c r="D116" s="26" t="str">
        <f ca="1"/>
        <v xml:space="preserve">  _repB, IF(ISLOGICAL(D105), IF(D105, NA(), 0), D105),</v>
      </c>
    </row>
    <row r="117" spans="4:4" x14ac:dyDescent="0.2">
      <c r="D117" s="26" t="str">
        <f ca="1"/>
        <v xml:space="preserve">  _arr, MAP(array,</v>
      </c>
    </row>
    <row r="118" spans="4:4" x14ac:dyDescent="0.2">
      <c r="D118" s="26" t="str">
        <f ca="1"/>
        <v xml:space="preserve">    LAMBDA(_val, IF(ISERROR(_val), IF(_err, _repE, _val), IF(ISBLANK(_val), _repB, _val)))</v>
      </c>
    </row>
    <row r="119" spans="4:4" x14ac:dyDescent="0.2">
      <c r="D119" s="26" t="str">
        <f ca="1"/>
        <v xml:space="preserve">  ),</v>
      </c>
    </row>
    <row r="120" spans="4:4" x14ac:dyDescent="0.2">
      <c r="D120" s="26" t="str">
        <f ca="1"/>
        <v xml:space="preserve">  _fltr, FILTER(_arr, NOT(ISNA(_arr))),</v>
      </c>
    </row>
    <row r="121" spans="4:4" x14ac:dyDescent="0.2">
      <c r="D121" s="26" t="str">
        <f ca="1"/>
        <v xml:space="preserve">  _LQ, QUARTILE.INC(_fltr, 1),</v>
      </c>
    </row>
    <row r="122" spans="4:4" x14ac:dyDescent="0.2">
      <c r="D122" s="26" t="str">
        <f ca="1"/>
        <v xml:space="preserve">  _UQ, QUARTILE.INC(_fltr, 3),</v>
      </c>
    </row>
    <row r="123" spans="4:4" x14ac:dyDescent="0.2">
      <c r="D123" s="26" t="str">
        <f ca="1"/>
        <v xml:space="preserve">  _IQR, _UQ - _LQ,</v>
      </c>
    </row>
    <row r="124" spans="4:4" x14ac:dyDescent="0.2">
      <c r="D124" s="26" t="str">
        <f ca="1"/>
        <v xml:space="preserve">  _low, _LQ - (_fnc * _IQR),</v>
      </c>
    </row>
    <row r="125" spans="4:4" x14ac:dyDescent="0.2">
      <c r="D125" s="26" t="str">
        <f ca="1"/>
        <v xml:space="preserve">  _upp, _UQ + (_fnc * _IQR),</v>
      </c>
    </row>
    <row r="126" spans="4:4" x14ac:dyDescent="0.2">
      <c r="D126" s="26" t="str">
        <f ca="1"/>
        <v xml:space="preserve">  _arrL, IF(_opn &lt;= 0, IF(_arr &lt; _low, _low, _arr), _arr),</v>
      </c>
    </row>
    <row r="127" spans="4:4" x14ac:dyDescent="0.2">
      <c r="D127" s="26" t="str">
        <f ca="1"/>
        <v xml:space="preserve">  _arrU, IF(_opn &gt;= 0, IF(_arrL &gt; _upp, _upp, _arrL), _arrL),</v>
      </c>
    </row>
    <row r="128" spans="4:4" x14ac:dyDescent="0.2">
      <c r="D128" s="26" t="str">
        <f ca="1"/>
        <v xml:space="preserve">  _rtn, _arrU,</v>
      </c>
    </row>
    <row r="129" spans="2:20" x14ac:dyDescent="0.2">
      <c r="D129" s="26" t="str">
        <f ca="1"/>
        <v xml:space="preserve">  _rtn</v>
      </c>
    </row>
    <row r="130" spans="2:20" x14ac:dyDescent="0.2">
      <c r="D130" s="26" t="str">
        <f ca="1"/>
        <v>)</v>
      </c>
    </row>
    <row r="133" spans="2:20" x14ac:dyDescent="0.2">
      <c r="B133" s="8" t="s">
        <v>69</v>
      </c>
      <c r="C133" s="7"/>
      <c r="D133" s="7"/>
      <c r="E133" s="7"/>
      <c r="F133" s="7"/>
      <c r="G133" s="7"/>
      <c r="H133" s="7"/>
      <c r="I133" s="7"/>
      <c r="J133" s="7"/>
      <c r="K133" s="7"/>
      <c r="L133" s="7"/>
      <c r="M133" s="7"/>
      <c r="N133" s="7"/>
      <c r="O133" s="7"/>
      <c r="P133" s="7"/>
      <c r="Q133" s="7"/>
      <c r="R133" s="7"/>
      <c r="S133" s="7"/>
      <c r="T133" s="7"/>
    </row>
    <row r="135" spans="2:20" x14ac:dyDescent="0.2">
      <c r="C135" s="9" t="s">
        <v>3</v>
      </c>
    </row>
    <row r="136" spans="2:20" x14ac:dyDescent="0.2">
      <c r="C136" t="s">
        <v>305</v>
      </c>
    </row>
    <row r="137" spans="2:20" x14ac:dyDescent="0.2">
      <c r="C137" s="23" t="s">
        <v>319</v>
      </c>
    </row>
    <row r="138" spans="2:20" x14ac:dyDescent="0.2">
      <c r="C138" s="23" t="s">
        <v>306</v>
      </c>
    </row>
    <row r="140" spans="2:20" x14ac:dyDescent="0.2">
      <c r="B140" s="10" t="str" cm="1">
        <f t="array" ref="B140" xml:space="preserve"> "(" &amp; _xlfn.UNICHAR( 65 + SUMPRODUCT(--(_xlfn.REGEXTEST(B$1:B134, "^\([A-Z]\)$")))) &amp; ")"</f>
        <v>(F)</v>
      </c>
      <c r="C140" s="3" t="s">
        <v>196</v>
      </c>
    </row>
    <row r="141" spans="2:20" x14ac:dyDescent="0.2">
      <c r="C141" s="3" t="s">
        <v>199</v>
      </c>
    </row>
    <row r="143" spans="2:20" x14ac:dyDescent="0.2">
      <c r="C143" s="16" t="s">
        <v>67</v>
      </c>
      <c r="D143" s="36">
        <v>0.5</v>
      </c>
    </row>
    <row r="144" spans="2:20" x14ac:dyDescent="0.2">
      <c r="C144" s="16" t="s">
        <v>60</v>
      </c>
      <c r="D144" s="39">
        <v>0</v>
      </c>
    </row>
    <row r="145" spans="3:27" x14ac:dyDescent="0.2">
      <c r="C145" s="16" t="s">
        <v>86</v>
      </c>
      <c r="D145" s="30" t="b">
        <v>1</v>
      </c>
    </row>
    <row r="146" spans="3:27" x14ac:dyDescent="0.2">
      <c r="C146" s="16" t="s">
        <v>87</v>
      </c>
      <c r="D146" s="30" t="b">
        <v>1</v>
      </c>
    </row>
    <row r="147" spans="3:27" x14ac:dyDescent="0.2">
      <c r="C147" s="16" t="s">
        <v>197</v>
      </c>
      <c r="D147" s="25">
        <v>5</v>
      </c>
      <c r="E147" s="25">
        <v>6</v>
      </c>
      <c r="F147" s="25">
        <v>7</v>
      </c>
      <c r="G147" s="25">
        <v>8</v>
      </c>
      <c r="H147" s="25">
        <v>9</v>
      </c>
      <c r="I147" s="25">
        <v>10</v>
      </c>
      <c r="J147" s="25"/>
      <c r="K147" s="25"/>
      <c r="L147" s="25"/>
      <c r="M147" s="25"/>
    </row>
    <row r="149" spans="3:27" x14ac:dyDescent="0.2">
      <c r="D149" s="42" cm="1">
        <f t="array" ref="D149:AA149" xml:space="preserve"> $D$10:$AA$10</f>
        <v>1</v>
      </c>
      <c r="E149" s="42">
        <v>2</v>
      </c>
      <c r="F149" s="42">
        <v>3</v>
      </c>
      <c r="G149" s="42">
        <v>4</v>
      </c>
      <c r="H149" s="42">
        <v>5</v>
      </c>
      <c r="I149" s="42">
        <v>6</v>
      </c>
      <c r="J149" s="42">
        <v>7</v>
      </c>
      <c r="K149" s="42">
        <v>8</v>
      </c>
      <c r="L149" s="42">
        <v>9</v>
      </c>
      <c r="M149" s="42">
        <v>10</v>
      </c>
      <c r="N149" s="42">
        <v>11</v>
      </c>
      <c r="O149" s="42">
        <v>12</v>
      </c>
      <c r="P149" s="42">
        <v>13</v>
      </c>
      <c r="Q149" s="42">
        <v>14</v>
      </c>
      <c r="R149" s="42">
        <v>15</v>
      </c>
      <c r="S149" s="42">
        <v>16</v>
      </c>
      <c r="T149" s="42">
        <v>17</v>
      </c>
      <c r="U149" s="42">
        <v>18</v>
      </c>
      <c r="V149" s="42">
        <v>19</v>
      </c>
      <c r="W149" s="42">
        <v>20</v>
      </c>
      <c r="X149" s="42">
        <v>21</v>
      </c>
      <c r="Y149" s="42">
        <v>22</v>
      </c>
      <c r="Z149" s="42">
        <v>23</v>
      </c>
      <c r="AA149" s="42">
        <v>24</v>
      </c>
    </row>
    <row r="150" spans="3:27" x14ac:dyDescent="0.2">
      <c r="C150" s="16" t="s">
        <v>59</v>
      </c>
      <c r="D150" s="38" cm="1">
        <f t="array" ref="D150:AA150" xml:space="preserve"> $D$13:$AA$13</f>
        <v>28</v>
      </c>
      <c r="E150" s="38">
        <v>40</v>
      </c>
      <c r="F150" s="38">
        <v>23</v>
      </c>
      <c r="G150" s="38">
        <v>34</v>
      </c>
      <c r="H150" s="38">
        <v>0</v>
      </c>
      <c r="I150" s="38">
        <v>17</v>
      </c>
      <c r="J150" s="38">
        <v>16</v>
      </c>
      <c r="K150" s="38">
        <v>55</v>
      </c>
      <c r="L150" s="38">
        <v>30</v>
      </c>
      <c r="M150" s="38">
        <v>29</v>
      </c>
      <c r="N150" s="38">
        <v>0</v>
      </c>
      <c r="O150" s="38">
        <v>34</v>
      </c>
      <c r="P150" s="38">
        <v>30</v>
      </c>
      <c r="Q150" s="38">
        <v>34</v>
      </c>
      <c r="R150" s="38">
        <v>50</v>
      </c>
      <c r="S150" s="38">
        <v>20</v>
      </c>
      <c r="T150" s="38">
        <v>25</v>
      </c>
      <c r="U150" s="38">
        <v>18</v>
      </c>
      <c r="V150" s="38">
        <v>5</v>
      </c>
      <c r="W150" s="38">
        <v>20</v>
      </c>
      <c r="X150" s="38">
        <v>30</v>
      </c>
      <c r="Y150" s="38">
        <v>37</v>
      </c>
      <c r="Z150" s="38" t="e">
        <v>#VALUE!</v>
      </c>
      <c r="AA150" s="38">
        <v>28</v>
      </c>
    </row>
    <row r="151" spans="3:27" x14ac:dyDescent="0.2">
      <c r="C151" s="16" t="s">
        <v>36</v>
      </c>
      <c r="D151" s="24" cm="1">
        <f t="array" ref="D151:AA151" xml:space="preserve"> _xlfn.LET(
  _xlpm.array, $D$13:$AA$13,
  _xlpm._fnc, D143,
  _xlpm._opn, D144,
  _xlpm._err, IF(ISLOGICAL(D145), D145, TRUE),
  _xlpm._repE, IF(AND(ISLOGICAL(D145), D145), NA(), D145),
  _xlpm._repB, IF(ISLOGICAL(D146), IF(D146, NA(), 0), D146),
  _xlpm._exc, D147:M147,
  _xlpm._arr, _xlfn.MAP(_xlpm.array,
    _xlfn.LAMBDA(_xlpm._val, IF(ISERROR(_xlpm._val), IF(_xlpm._err, _xlpm._repE, _xlpm._val), IF(ISBLANK(_xlpm._val), _xlpm._repB, _xlpm._val)))
  ),
  _xlpm._idx,  _xlfn.SEQUENCE(ROWS(_xlpm._arr), COLUMNS(_xlpm._arr)),
  _xlpm._fltr, _xlfn._xlws.FILTER(_xlpm._arr,
    ISNA(_xlfn.XMATCH(_xlpm._idx, _xlpm._exc)) *
    NOT(ISERROR(_xlpm._arr))
  ),
  _xlpm._LQ, _xlfn.QUARTILE.INC(_xlpm._fltr, 1),
  _xlpm._UQ, _xlfn.QUARTILE.INC(_xlpm._fltr, 3),
  _xlpm._IQR, _xlpm._UQ - _xlpm._LQ,
  _xlpm._low, _xlpm._LQ - (_xlpm._fnc * _xlpm._IQR),
  _xlpm._upp, _xlpm._UQ + (_xlpm._fnc * _xlpm._IQR),
  _xlpm._calc, _xlfn.MAP(_xlpm._idx, _xlpm._arr, _xlfn.LAMBDA(_xlpm._i,_xlpm._v,
    IF(ISNUMBER(_xlfn.XMATCH(_xlpm._i, _xlpm._exc)), _xlpm._v,
    IF(AND(_xlpm._opn &lt;= 0, _xlpm._v &lt; _xlpm._low), MAX(_xlpm._v, _xlpm._low),
    IF(AND(_xlpm._opn &gt;= 0, _xlpm._v &gt; _xlpm._upp), MIN(_xlpm._v, _xlpm._upp),
    _xlpm._v)))
  )),
  _xlpm._rtn, _xlpm._calc,
  _xlpm._rtn
)</f>
        <v>28</v>
      </c>
      <c r="E151" s="24">
        <v>39.875</v>
      </c>
      <c r="F151" s="24">
        <v>23</v>
      </c>
      <c r="G151" s="24">
        <v>34</v>
      </c>
      <c r="H151" s="24" t="e">
        <v>#N/A</v>
      </c>
      <c r="I151" s="24">
        <v>17</v>
      </c>
      <c r="J151" s="24">
        <v>16</v>
      </c>
      <c r="K151" s="24">
        <v>55</v>
      </c>
      <c r="L151" s="24">
        <v>30</v>
      </c>
      <c r="M151" s="24">
        <v>29</v>
      </c>
      <c r="N151" s="24" t="e">
        <v>#N/A</v>
      </c>
      <c r="O151" s="24">
        <v>34</v>
      </c>
      <c r="P151" s="24">
        <v>30</v>
      </c>
      <c r="Q151" s="24">
        <v>34</v>
      </c>
      <c r="R151" s="24">
        <v>39.875</v>
      </c>
      <c r="S151" s="24">
        <v>20</v>
      </c>
      <c r="T151" s="24">
        <v>25</v>
      </c>
      <c r="U151" s="24">
        <v>18</v>
      </c>
      <c r="V151" s="24">
        <v>16.375</v>
      </c>
      <c r="W151" s="24">
        <v>20</v>
      </c>
      <c r="X151" s="24">
        <v>30</v>
      </c>
      <c r="Y151" s="24">
        <v>37</v>
      </c>
      <c r="Z151" s="24" t="e">
        <v>#N/A</v>
      </c>
      <c r="AA151" s="24">
        <v>28</v>
      </c>
    </row>
    <row r="152" spans="3:27" x14ac:dyDescent="0.2">
      <c r="D152" s="26" t="str" cm="1">
        <f t="array" aca="1" ref="D152:D181" ca="1" xml:space="preserve"> _xlfn.TEXTSPLIT( _xlfn.FORMULATEXT(D151), , CHAR(10))</f>
        <v>= LET(</v>
      </c>
    </row>
    <row r="153" spans="3:27" x14ac:dyDescent="0.2">
      <c r="D153" s="26" t="str">
        <f ca="1"/>
        <v xml:space="preserve">  array, $D$13:$AA$13,</v>
      </c>
    </row>
    <row r="154" spans="3:27" x14ac:dyDescent="0.2">
      <c r="D154" s="26" t="str">
        <f ca="1"/>
        <v xml:space="preserve">  _fnc, D143,</v>
      </c>
    </row>
    <row r="155" spans="3:27" x14ac:dyDescent="0.2">
      <c r="D155" s="26" t="str">
        <f ca="1"/>
        <v xml:space="preserve">  _opn, D144,</v>
      </c>
    </row>
    <row r="156" spans="3:27" x14ac:dyDescent="0.2">
      <c r="D156" s="26" t="str">
        <f ca="1"/>
        <v xml:space="preserve">  _err, IF(ISLOGICAL(D145), D145, TRUE),</v>
      </c>
    </row>
    <row r="157" spans="3:27" x14ac:dyDescent="0.2">
      <c r="D157" s="26" t="str">
        <f ca="1"/>
        <v xml:space="preserve">  _repE, IF(AND(ISLOGICAL(D145), D145), NA(), D145),</v>
      </c>
    </row>
    <row r="158" spans="3:27" x14ac:dyDescent="0.2">
      <c r="D158" s="26" t="str">
        <f ca="1"/>
        <v xml:space="preserve">  _repB, IF(ISLOGICAL(D146), IF(D146, NA(), 0), D146),</v>
      </c>
    </row>
    <row r="159" spans="3:27" x14ac:dyDescent="0.2">
      <c r="D159" s="26" t="str">
        <f ca="1"/>
        <v xml:space="preserve">  _exc, D147:M147,</v>
      </c>
    </row>
    <row r="160" spans="3:27" x14ac:dyDescent="0.2">
      <c r="D160" s="26" t="str">
        <f ca="1"/>
        <v xml:space="preserve">  _arr, MAP(array,</v>
      </c>
    </row>
    <row r="161" spans="4:4" x14ac:dyDescent="0.2">
      <c r="D161" s="26" t="str">
        <f ca="1"/>
        <v xml:space="preserve">    LAMBDA(_val, IF(ISERROR(_val), IF(_err, _repE, _val), IF(ISBLANK(_val), _repB, _val)))</v>
      </c>
    </row>
    <row r="162" spans="4:4" x14ac:dyDescent="0.2">
      <c r="D162" s="26" t="str">
        <f ca="1"/>
        <v xml:space="preserve">  ),</v>
      </c>
    </row>
    <row r="163" spans="4:4" x14ac:dyDescent="0.2">
      <c r="D163" s="26" t="str">
        <f ca="1"/>
        <v xml:space="preserve">  _idx,  SEQUENCE(ROWS(_arr), COLUMNS(_arr)),</v>
      </c>
    </row>
    <row r="164" spans="4:4" x14ac:dyDescent="0.2">
      <c r="D164" s="26" t="str">
        <f ca="1"/>
        <v xml:space="preserve">  _fltr, FILTER(_arr,</v>
      </c>
    </row>
    <row r="165" spans="4:4" x14ac:dyDescent="0.2">
      <c r="D165" s="26" t="str">
        <f ca="1"/>
        <v xml:space="preserve">    ISNA(XMATCH(_idx, _exc)) *</v>
      </c>
    </row>
    <row r="166" spans="4:4" x14ac:dyDescent="0.2">
      <c r="D166" s="26" t="str">
        <f ca="1"/>
        <v xml:space="preserve">    NOT(ISERROR(_arr))</v>
      </c>
    </row>
    <row r="167" spans="4:4" x14ac:dyDescent="0.2">
      <c r="D167" s="26" t="str">
        <f ca="1"/>
        <v xml:space="preserve">  ),</v>
      </c>
    </row>
    <row r="168" spans="4:4" x14ac:dyDescent="0.2">
      <c r="D168" s="26" t="str">
        <f ca="1"/>
        <v xml:space="preserve">  _LQ, QUARTILE.INC(_fltr, 1),</v>
      </c>
    </row>
    <row r="169" spans="4:4" x14ac:dyDescent="0.2">
      <c r="D169" s="26" t="str">
        <f ca="1"/>
        <v xml:space="preserve">  _UQ, QUARTILE.INC(_fltr, 3),</v>
      </c>
    </row>
    <row r="170" spans="4:4" x14ac:dyDescent="0.2">
      <c r="D170" s="26" t="str">
        <f ca="1"/>
        <v xml:space="preserve">  _IQR, _UQ - _LQ,</v>
      </c>
    </row>
    <row r="171" spans="4:4" x14ac:dyDescent="0.2">
      <c r="D171" s="26" t="str">
        <f ca="1"/>
        <v xml:space="preserve">  _low, _LQ - (_fnc * _IQR),</v>
      </c>
    </row>
    <row r="172" spans="4:4" x14ac:dyDescent="0.2">
      <c r="D172" s="26" t="str">
        <f ca="1"/>
        <v xml:space="preserve">  _upp, _UQ + (_fnc * _IQR),</v>
      </c>
    </row>
    <row r="173" spans="4:4" x14ac:dyDescent="0.2">
      <c r="D173" s="26" t="str">
        <f ca="1"/>
        <v xml:space="preserve">  _calc, MAP(_idx, _arr, LAMBDA(_i,_v,</v>
      </c>
    </row>
    <row r="174" spans="4:4" x14ac:dyDescent="0.2">
      <c r="D174" s="26" t="str">
        <f ca="1"/>
        <v xml:space="preserve">    IF(ISNUMBER(XMATCH(_i, _exc)), _v,</v>
      </c>
    </row>
    <row r="175" spans="4:4" x14ac:dyDescent="0.2">
      <c r="D175" s="26" t="str">
        <f ca="1"/>
        <v xml:space="preserve">    IF(AND(_opn &lt;= 0, _v &lt; _low), MAX(_v, _low),</v>
      </c>
    </row>
    <row r="176" spans="4:4" x14ac:dyDescent="0.2">
      <c r="D176" s="26" t="str">
        <f ca="1"/>
        <v xml:space="preserve">    IF(AND(_opn &gt;= 0, _v &gt; _upp), MIN(_v, _upp),</v>
      </c>
    </row>
    <row r="177" spans="2:20" x14ac:dyDescent="0.2">
      <c r="D177" s="26" t="str">
        <f ca="1"/>
        <v xml:space="preserve">    _v)))</v>
      </c>
    </row>
    <row r="178" spans="2:20" x14ac:dyDescent="0.2">
      <c r="D178" s="26" t="str">
        <f ca="1"/>
        <v xml:space="preserve">  )),</v>
      </c>
    </row>
    <row r="179" spans="2:20" x14ac:dyDescent="0.2">
      <c r="D179" s="26" t="str">
        <f ca="1"/>
        <v xml:space="preserve">  _rtn, _calc,</v>
      </c>
    </row>
    <row r="180" spans="2:20" x14ac:dyDescent="0.2">
      <c r="D180" s="26" t="str">
        <f ca="1"/>
        <v xml:space="preserve">  _rtn</v>
      </c>
    </row>
    <row r="181" spans="2:20" x14ac:dyDescent="0.2">
      <c r="D181" s="26" t="str">
        <f ca="1"/>
        <v>)</v>
      </c>
    </row>
    <row r="184" spans="2:20" x14ac:dyDescent="0.2">
      <c r="B184" s="8" t="s">
        <v>38</v>
      </c>
      <c r="C184" s="7"/>
      <c r="D184" s="7"/>
      <c r="E184" s="7"/>
      <c r="F184" s="7"/>
      <c r="G184" s="7"/>
      <c r="H184" s="7"/>
      <c r="I184" s="7"/>
      <c r="J184" s="7"/>
      <c r="K184" s="7"/>
      <c r="L184" s="7"/>
      <c r="M184" s="7"/>
      <c r="N184" s="7"/>
      <c r="O184" s="7"/>
      <c r="P184" s="7"/>
      <c r="Q184" s="7"/>
      <c r="R184" s="7"/>
      <c r="S184" s="7"/>
      <c r="T184" s="7"/>
    </row>
    <row r="186" spans="2:20" x14ac:dyDescent="0.2">
      <c r="B186" s="10" t="str" cm="1">
        <f t="array" ref="B186" xml:space="preserve"> "(" &amp; _xlfn.UNICHAR( 65 + SUMPRODUCT(--(_xlfn.REGEXTEST(B$1:B185, "^\([A-Z]\)$")))) &amp; ")"</f>
        <v>(G)</v>
      </c>
      <c r="C186" s="3" t="s">
        <v>39</v>
      </c>
    </row>
    <row r="187" spans="2:20" x14ac:dyDescent="0.2">
      <c r="D187" t="s">
        <v>200</v>
      </c>
      <c r="E187" t="s">
        <v>198</v>
      </c>
    </row>
    <row r="188" spans="2:20" x14ac:dyDescent="0.2">
      <c r="C188" s="16" t="s">
        <v>202</v>
      </c>
      <c r="D188" s="52"/>
      <c r="E188" s="64" t="str" cm="1">
        <f t="array" ref="E188:E193" xml:space="preserve"> _xlfn.LAMBDA(_xlpm.array,_xlpm.coefficient,_xlop.option,_xlop.replace_errors,_xlop.replace_blanks,_xlop.exclude_periods,
  _xlfn.LET(
    _xlpm._fnc, _xlpm.coefficient,
    _xlpm._opn, IF(_xlfn.ISOMITTED(_xlpm.option), 0, INT(_xlpm.option)),
    _xlpm._err, IF(_xlfn.ISOMITTED(_xlpm.replace_errors), TRUE, IF(ISLOGICAL(_xlpm.replace_errors), _xlpm.replace_errors, TRUE)),
    _xlpm._repE, IF(AND(ISLOGICAL(_xlpm.replace_errors), _xlpm._err), NA(), _xlpm.replace_errors),
    _xlpm._blnk, IF(_xlfn.ISOMITTED(_xlpm.replace_blanks), FALSE, _xlpm.replace_blanks),
    _xlpm._repB, IF(ISLOGICAL(_xlpm._blnk), IF(_xlpm._blnk, NA(), 0), _xlpm._blnk),
    _xlpm._exc, IF(_xlfn.ISOMITTED(_xlpm.exclude_periods), 0, N(_xlpm.exclude_periods)),
    _xlpm._inpChk, IF(
      OR(
        NOT(ISNUMBER(_xlpm._fnc)), _xlpm._fnc &lt; -0.5
      ), 2, IF(
      OR(
        _xlpm._opn &lt; -1, _xlpm._opn &gt; 1,
        ROWS(_xlpm.option) &gt; 1, COLUMNS(_xlpm.option) &gt; 1,
        ROWS(_xlpm.replace_errors) &gt; 1, COLUMNS(_xlpm.replace_errors) &gt; 1,
        ROWS(_xlpm.replace_blanks) &gt; 1, COLUMNS(_xlpm.replace_blanks) &gt; 1
      ), 3, 1)
    ),
    _xlpm._rtn, _xlfn.VSTACK("OK", _xlpm._fnc, _xlpm._opn, _xlpm._err, _xlpm._blnk, "OK"),
    CHOOSE(_xlpm._inpChk, _xlpm._rtn, _xlfn.LAMBDA(0), #VALUE!)
  )
)($D$13:$AA$13, D189, D190, D191, D192, {5,6,7,8,9,10})</f>
        <v>OK</v>
      </c>
      <c r="F188" s="26" t="str" cm="1">
        <f t="array" aca="1" ref="F188:F211" ca="1" xml:space="preserve"> _xlfn.TEXTSPLIT( _xlfn.FORMULATEXT(E188), , CHAR(10))</f>
        <v>= LAMBDA(array,coefficient,[option],[replace_errors],[replace_blanks],[exclude_periods],</v>
      </c>
    </row>
    <row r="189" spans="2:20" x14ac:dyDescent="0.2">
      <c r="C189" s="16" t="s">
        <v>203</v>
      </c>
      <c r="D189" s="36">
        <v>1</v>
      </c>
      <c r="E189" s="65">
        <v>1</v>
      </c>
      <c r="F189" s="26" t="str">
        <f ca="1"/>
        <v xml:space="preserve">  LET(</v>
      </c>
    </row>
    <row r="190" spans="2:20" x14ac:dyDescent="0.2">
      <c r="C190" s="16" t="s">
        <v>204</v>
      </c>
      <c r="D190" s="39">
        <v>0</v>
      </c>
      <c r="E190" s="64">
        <v>0</v>
      </c>
      <c r="F190" s="26" t="str">
        <f ca="1"/>
        <v xml:space="preserve">    _fnc, coefficient,</v>
      </c>
    </row>
    <row r="191" spans="2:20" x14ac:dyDescent="0.2">
      <c r="C191" s="16" t="s">
        <v>205</v>
      </c>
      <c r="D191" s="25" t="b">
        <v>1</v>
      </c>
      <c r="E191" s="64" t="b">
        <v>1</v>
      </c>
      <c r="F191" s="26" t="str">
        <f ca="1"/>
        <v xml:space="preserve">    _opn, IF(ISOMITTED(option), 0, INT(option)),</v>
      </c>
    </row>
    <row r="192" spans="2:20" x14ac:dyDescent="0.2">
      <c r="C192" s="16" t="s">
        <v>206</v>
      </c>
      <c r="D192" s="25" t="b">
        <v>1</v>
      </c>
      <c r="E192" s="64" t="b">
        <v>1</v>
      </c>
      <c r="F192" s="26" t="str">
        <f ca="1"/>
        <v xml:space="preserve">    _err, IF(ISOMITTED(replace_errors), TRUE, IF(ISLOGICAL(replace_errors), replace_errors, TRUE)),</v>
      </c>
    </row>
    <row r="193" spans="3:6" x14ac:dyDescent="0.2">
      <c r="C193" s="16" t="s">
        <v>201</v>
      </c>
      <c r="D193" s="52"/>
      <c r="E193" s="64" t="str">
        <v>OK</v>
      </c>
      <c r="F193" s="26" t="str">
        <f ca="1"/>
        <v xml:space="preserve">    _repE, IF(AND(ISLOGICAL(replace_errors), _err), NA(), replace_errors),</v>
      </c>
    </row>
    <row r="194" spans="3:6" x14ac:dyDescent="0.2">
      <c r="F194" s="26" t="str">
        <f ca="1"/>
        <v xml:space="preserve">    _blnk, IF(ISOMITTED(replace_blanks), FALSE, replace_blanks),</v>
      </c>
    </row>
    <row r="195" spans="3:6" x14ac:dyDescent="0.2">
      <c r="F195" s="26" t="str">
        <f ca="1"/>
        <v xml:space="preserve">    _repB, IF(ISLOGICAL(_blnk), IF(_blnk, NA(), 0), _blnk),</v>
      </c>
    </row>
    <row r="196" spans="3:6" x14ac:dyDescent="0.2">
      <c r="F196" s="26" t="str">
        <f ca="1"/>
        <v xml:space="preserve">    _exc, IF(ISOMITTED(exclude_periods), 0, N(exclude_periods)),</v>
      </c>
    </row>
    <row r="197" spans="3:6" x14ac:dyDescent="0.2">
      <c r="F197" s="26" t="str">
        <f ca="1"/>
        <v xml:space="preserve">    _inpChk, IF(</v>
      </c>
    </row>
    <row r="198" spans="3:6" x14ac:dyDescent="0.2">
      <c r="F198" s="26" t="str">
        <f ca="1"/>
        <v xml:space="preserve">      OR(</v>
      </c>
    </row>
    <row r="199" spans="3:6" x14ac:dyDescent="0.2">
      <c r="F199" s="26" t="str">
        <f ca="1"/>
        <v xml:space="preserve">        NOT(ISNUMBER(_fnc)), _fnc &lt; -0.5</v>
      </c>
    </row>
    <row r="200" spans="3:6" x14ac:dyDescent="0.2">
      <c r="F200" s="26" t="str">
        <f ca="1"/>
        <v xml:space="preserve">      ), 2, IF(</v>
      </c>
    </row>
    <row r="201" spans="3:6" x14ac:dyDescent="0.2">
      <c r="F201" s="26" t="str">
        <f ca="1"/>
        <v xml:space="preserve">      OR(</v>
      </c>
    </row>
    <row r="202" spans="3:6" x14ac:dyDescent="0.2">
      <c r="F202" s="26" t="str">
        <f ca="1"/>
        <v xml:space="preserve">        _opn &lt; -1, _opn &gt; 1,</v>
      </c>
    </row>
    <row r="203" spans="3:6" x14ac:dyDescent="0.2">
      <c r="F203" s="26" t="str">
        <f ca="1"/>
        <v xml:space="preserve">        ROWS(option) &gt; 1, COLUMNS(option) &gt; 1,</v>
      </c>
    </row>
    <row r="204" spans="3:6" x14ac:dyDescent="0.2">
      <c r="F204" s="26" t="str">
        <f ca="1"/>
        <v xml:space="preserve">        ROWS(replace_errors) &gt; 1, COLUMNS(replace_errors) &gt; 1,</v>
      </c>
    </row>
    <row r="205" spans="3:6" x14ac:dyDescent="0.2">
      <c r="F205" s="26" t="str">
        <f ca="1"/>
        <v xml:space="preserve">        ROWS(replace_blanks) &gt; 1, COLUMNS(replace_blanks) &gt; 1</v>
      </c>
    </row>
    <row r="206" spans="3:6" x14ac:dyDescent="0.2">
      <c r="F206" s="26" t="str">
        <f ca="1"/>
        <v xml:space="preserve">      ), 3, 1)</v>
      </c>
    </row>
    <row r="207" spans="3:6" x14ac:dyDescent="0.2">
      <c r="F207" s="26" t="str">
        <f ca="1"/>
        <v xml:space="preserve">    ),</v>
      </c>
    </row>
    <row r="208" spans="3:6" x14ac:dyDescent="0.2">
      <c r="F208" s="26" t="str">
        <f ca="1"/>
        <v xml:space="preserve">    _rtn, VSTACK("OK", _fnc, _opn, _err, _blnk, "OK"),</v>
      </c>
    </row>
    <row r="209" spans="2:27" x14ac:dyDescent="0.2">
      <c r="F209" s="26" t="str">
        <f ca="1"/>
        <v xml:space="preserve">    CHOOSE(_inpChk, _rtn, LAMBDA(0), #VALUE!)</v>
      </c>
    </row>
    <row r="210" spans="2:27" x14ac:dyDescent="0.2">
      <c r="F210" s="26" t="str">
        <f ca="1"/>
        <v xml:space="preserve">  )</v>
      </c>
    </row>
    <row r="211" spans="2:27" x14ac:dyDescent="0.2">
      <c r="F211" s="26" t="str">
        <f ca="1"/>
        <v>)($D$13:$AA$13, D189, D190, D191, D192, {5,6,7,8,9,10})</v>
      </c>
    </row>
    <row r="213" spans="2:27" x14ac:dyDescent="0.2">
      <c r="B213" s="10" t="str" cm="1">
        <f t="array" ref="B213" xml:space="preserve"> "(" &amp; _xlfn.UNICHAR( 65 + SUMPRODUCT(--(_xlfn.REGEXTEST(B$1:B212, "^\([A-Z]\)$")))) &amp; ")"</f>
        <v>(H)</v>
      </c>
      <c r="C213" s="3" t="s">
        <v>207</v>
      </c>
    </row>
    <row r="215" spans="2:27" x14ac:dyDescent="0.2">
      <c r="C215" s="16" t="s">
        <v>67</v>
      </c>
      <c r="D215" s="36">
        <v>0.5</v>
      </c>
    </row>
    <row r="216" spans="2:27" x14ac:dyDescent="0.2">
      <c r="C216" s="16" t="s">
        <v>60</v>
      </c>
      <c r="D216" s="39">
        <v>0</v>
      </c>
    </row>
    <row r="217" spans="2:27" x14ac:dyDescent="0.2">
      <c r="C217" s="16" t="s">
        <v>86</v>
      </c>
      <c r="D217" s="30" t="b">
        <v>1</v>
      </c>
    </row>
    <row r="218" spans="2:27" x14ac:dyDescent="0.2">
      <c r="C218" s="16" t="s">
        <v>87</v>
      </c>
      <c r="D218" s="30" t="b">
        <v>1</v>
      </c>
    </row>
    <row r="219" spans="2:27" x14ac:dyDescent="0.2">
      <c r="C219" s="16" t="s">
        <v>197</v>
      </c>
      <c r="D219" s="25">
        <v>5</v>
      </c>
      <c r="E219" s="25">
        <v>6</v>
      </c>
      <c r="F219" s="25">
        <v>7</v>
      </c>
      <c r="G219" s="25">
        <v>8</v>
      </c>
      <c r="H219" s="25">
        <v>9</v>
      </c>
      <c r="I219" s="25">
        <v>10</v>
      </c>
      <c r="J219" s="25"/>
      <c r="K219" s="25"/>
      <c r="L219" s="25"/>
      <c r="M219" s="25"/>
    </row>
    <row r="221" spans="2:27" x14ac:dyDescent="0.2">
      <c r="D221" s="42" cm="1">
        <f t="array" ref="D221:AA221" xml:space="preserve"> $D$10:$AA$10</f>
        <v>1</v>
      </c>
      <c r="E221" s="42">
        <v>2</v>
      </c>
      <c r="F221" s="42">
        <v>3</v>
      </c>
      <c r="G221" s="42">
        <v>4</v>
      </c>
      <c r="H221" s="42">
        <v>5</v>
      </c>
      <c r="I221" s="42">
        <v>6</v>
      </c>
      <c r="J221" s="42">
        <v>7</v>
      </c>
      <c r="K221" s="42">
        <v>8</v>
      </c>
      <c r="L221" s="42">
        <v>9</v>
      </c>
      <c r="M221" s="42">
        <v>10</v>
      </c>
      <c r="N221" s="42">
        <v>11</v>
      </c>
      <c r="O221" s="42">
        <v>12</v>
      </c>
      <c r="P221" s="42">
        <v>13</v>
      </c>
      <c r="Q221" s="42">
        <v>14</v>
      </c>
      <c r="R221" s="42">
        <v>15</v>
      </c>
      <c r="S221" s="42">
        <v>16</v>
      </c>
      <c r="T221" s="42">
        <v>17</v>
      </c>
      <c r="U221" s="42">
        <v>18</v>
      </c>
      <c r="V221" s="42">
        <v>19</v>
      </c>
      <c r="W221" s="42">
        <v>20</v>
      </c>
      <c r="X221" s="42">
        <v>21</v>
      </c>
      <c r="Y221" s="42">
        <v>22</v>
      </c>
      <c r="Z221" s="42">
        <v>23</v>
      </c>
      <c r="AA221" s="42">
        <v>24</v>
      </c>
    </row>
    <row r="222" spans="2:27" x14ac:dyDescent="0.2">
      <c r="C222" s="16" t="s">
        <v>59</v>
      </c>
      <c r="D222" s="38" cm="1">
        <f t="array" ref="D222:AA222" xml:space="preserve"> $D$13:$AA$13</f>
        <v>28</v>
      </c>
      <c r="E222" s="38">
        <v>40</v>
      </c>
      <c r="F222" s="38">
        <v>23</v>
      </c>
      <c r="G222" s="38">
        <v>34</v>
      </c>
      <c r="H222" s="38">
        <v>0</v>
      </c>
      <c r="I222" s="38">
        <v>17</v>
      </c>
      <c r="J222" s="38">
        <v>16</v>
      </c>
      <c r="K222" s="38">
        <v>55</v>
      </c>
      <c r="L222" s="38">
        <v>30</v>
      </c>
      <c r="M222" s="38">
        <v>29</v>
      </c>
      <c r="N222" s="38">
        <v>0</v>
      </c>
      <c r="O222" s="38">
        <v>34</v>
      </c>
      <c r="P222" s="38">
        <v>30</v>
      </c>
      <c r="Q222" s="38">
        <v>34</v>
      </c>
      <c r="R222" s="38">
        <v>50</v>
      </c>
      <c r="S222" s="38">
        <v>20</v>
      </c>
      <c r="T222" s="38">
        <v>25</v>
      </c>
      <c r="U222" s="38">
        <v>18</v>
      </c>
      <c r="V222" s="38">
        <v>5</v>
      </c>
      <c r="W222" s="38">
        <v>20</v>
      </c>
      <c r="X222" s="38">
        <v>30</v>
      </c>
      <c r="Y222" s="38">
        <v>37</v>
      </c>
      <c r="Z222" s="38" t="e">
        <v>#VALUE!</v>
      </c>
      <c r="AA222" s="38">
        <v>28</v>
      </c>
    </row>
    <row r="223" spans="2:27" x14ac:dyDescent="0.2">
      <c r="C223" s="16" t="s">
        <v>36</v>
      </c>
      <c r="D223" s="24" cm="1">
        <f t="array" ref="D223:AA223" xml:space="preserve"> _xlfn.LAMBDA(_xlpm.array,_xlpm.coefficient,_xlop.option,_xlop.replace_errors,_xlop.replace_blanks,_xlop.exclude_periods,
  _xlfn.LET(
    _xlpm._fnc, _xlpm.coefficient,
    _xlpm._opn, IF(_xlfn.ISOMITTED(_xlpm.option), 0, INT(_xlpm.option)),
    _xlpm._err, IF(_xlfn.ISOMITTED(_xlpm.replace_errors), TRUE, IF(ISLOGICAL(_xlpm.replace_errors), _xlpm.replace_errors, TRUE)),
    _xlpm._repE, IF(AND(ISLOGICAL(_xlpm.replace_errors), _xlpm._err), NA(), _xlpm.replace_errors),
    _xlpm._blnk, IF(_xlfn.ISOMITTED(_xlpm.replace_blanks), FALSE, _xlpm.replace_blanks),
    _xlpm._repB, IF(ISLOGICAL(_xlpm._blnk), IF(_xlpm._blnk, NA(), 0), _xlpm._blnk),
    _xlpm._exc, IF(_xlfn.ISOMITTED(_xlpm.exclude_periods), 0, N(_xlpm.exclude_periods)),
    _xlpm._inpChk, IF(
      OR(
        NOT(ISNUMBER(_xlpm._fnc)), _xlpm._fnc &lt; -0.5
      ), 2, IF(
      OR(
        _xlpm._opn &lt; -1, _xlpm._opn &gt; 1,
        ROWS(_xlpm.option) &gt; 1, COLUMNS(_xlpm.option) &gt; 1,
        ROWS(_xlpm.replace_errors) &gt; 1, COLUMNS(_xlpm.replace_errors) &gt; 1,
        ROWS(_xlpm.replace_blanks) &gt; 1, COLUMNS(_xlpm.replace_blanks) &gt; 1
      ), 3, 1)
    ),
    _xlpm._arr, _xlfn.MAP(_xlpm.array, _xlfn.LAMBDA(_xlpm._val,
      IF(ISERROR(_xlpm._val), IF(_xlpm._err, _xlpm._repE, _xlpm._val),
      IF(ISBLANK(_xlpm._val), _xlpm._repB, _xlpm._val))
    )),
    _xlpm._idx,  _xlfn.SEQUENCE(ROWS(_xlpm._arr), COLUMNS(_xlpm._arr)),
    _xlpm._fltr, _xlfn._xlws.FILTER(_xlpm._arr,
      ISNA(_xlfn.XMATCH(_xlpm._idx, _xlpm._exc)) *
      NOT(ISERROR(_xlpm._arr))
    ),
    _xlpm._LQ, _xlfn.QUARTILE.INC(_xlpm._fltr, 1),
    _xlpm._UQ, _xlfn.QUARTILE.INC(_xlpm._fltr, 3),
    _xlpm._IQR, _xlpm._UQ - _xlpm._LQ,
    _xlpm._low, _xlpm._LQ - (_xlpm._fnc * _xlpm._IQR),
    _xlpm._upp, _xlpm._UQ + (_xlpm._fnc * _xlpm._IQR),
    _xlpm._rtn, _xlfn.MAP(_xlpm._idx, _xlpm._arr, _xlfn.LAMBDA(_xlpm._i,_xlpm._v,
      IF(ISNUMBER(_xlfn.XMATCH(_xlpm._i, _xlpm._exc)), _xlpm._v,
      IF(AND(_xlpm._opn &lt;= 0, _xlpm._v &lt; _xlpm._low), MAX(_xlpm._v, _xlpm._low),
      IF(AND(_xlpm._opn &gt;= 0, _xlpm._v &gt; _xlpm._upp), MIN(_xlpm._v, _xlpm._upp),
      _xlpm._v)))
    )),
    CHOOSE(_xlpm._inpChk, _xlpm._rtn, _xlfn.LAMBDA(0), #VALUE!)
  )
)($D$13:$AA$13, D215, D216, D217, D218, D219:M219)</f>
        <v>28</v>
      </c>
      <c r="E223" s="24">
        <v>40</v>
      </c>
      <c r="F223" s="24">
        <v>23</v>
      </c>
      <c r="G223" s="24">
        <v>34</v>
      </c>
      <c r="H223" s="24" t="e">
        <v>#N/A</v>
      </c>
      <c r="I223" s="24">
        <v>17</v>
      </c>
      <c r="J223" s="24">
        <v>16</v>
      </c>
      <c r="K223" s="24">
        <v>41</v>
      </c>
      <c r="L223" s="24">
        <v>30</v>
      </c>
      <c r="M223" s="24">
        <v>29</v>
      </c>
      <c r="N223" s="24" t="e">
        <v>#N/A</v>
      </c>
      <c r="O223" s="24">
        <v>34</v>
      </c>
      <c r="P223" s="24">
        <v>30</v>
      </c>
      <c r="Q223" s="24">
        <v>34</v>
      </c>
      <c r="R223" s="24">
        <v>41</v>
      </c>
      <c r="S223" s="24">
        <v>20</v>
      </c>
      <c r="T223" s="24">
        <v>25</v>
      </c>
      <c r="U223" s="24">
        <v>18</v>
      </c>
      <c r="V223" s="24">
        <v>13</v>
      </c>
      <c r="W223" s="24">
        <v>20</v>
      </c>
      <c r="X223" s="24">
        <v>30</v>
      </c>
      <c r="Y223" s="24">
        <v>37</v>
      </c>
      <c r="Z223" s="24" t="e">
        <v>#N/A</v>
      </c>
      <c r="AA223" s="24">
        <v>28</v>
      </c>
    </row>
    <row r="224" spans="2:27" x14ac:dyDescent="0.2">
      <c r="D224" s="26" t="str" cm="1">
        <f t="array" aca="1" ref="D224:D266" ca="1" xml:space="preserve"> _xlfn.TEXTSPLIT( _xlfn.FORMULATEXT(D223), , CHAR(10))</f>
        <v>= LAMBDA(array,coefficient,[option],[replace_errors],[replace_blanks],[exclude_periods],</v>
      </c>
    </row>
    <row r="225" spans="4:4" x14ac:dyDescent="0.2">
      <c r="D225" s="26" t="str">
        <f ca="1"/>
        <v xml:space="preserve">  LET(</v>
      </c>
    </row>
    <row r="226" spans="4:4" x14ac:dyDescent="0.2">
      <c r="D226" s="26" t="str">
        <f ca="1"/>
        <v xml:space="preserve">    _fnc, coefficient,</v>
      </c>
    </row>
    <row r="227" spans="4:4" x14ac:dyDescent="0.2">
      <c r="D227" s="26" t="str">
        <f ca="1"/>
        <v xml:space="preserve">    _opn, IF(ISOMITTED(option), 0, INT(option)),</v>
      </c>
    </row>
    <row r="228" spans="4:4" x14ac:dyDescent="0.2">
      <c r="D228" s="26" t="str">
        <f ca="1"/>
        <v xml:space="preserve">    _err, IF(ISOMITTED(replace_errors), TRUE, IF(ISLOGICAL(replace_errors), replace_errors, TRUE)),</v>
      </c>
    </row>
    <row r="229" spans="4:4" x14ac:dyDescent="0.2">
      <c r="D229" s="26" t="str">
        <f ca="1"/>
        <v xml:space="preserve">    _repE, IF(AND(ISLOGICAL(replace_errors), _err), NA(), replace_errors),</v>
      </c>
    </row>
    <row r="230" spans="4:4" x14ac:dyDescent="0.2">
      <c r="D230" s="26" t="str">
        <f ca="1"/>
        <v xml:space="preserve">    _blnk, IF(ISOMITTED(replace_blanks), FALSE, replace_blanks),</v>
      </c>
    </row>
    <row r="231" spans="4:4" x14ac:dyDescent="0.2">
      <c r="D231" s="26" t="str">
        <f ca="1"/>
        <v xml:space="preserve">    _repB, IF(ISLOGICAL(_blnk), IF(_blnk, NA(), 0), _blnk),</v>
      </c>
    </row>
    <row r="232" spans="4:4" x14ac:dyDescent="0.2">
      <c r="D232" s="26" t="str">
        <f ca="1"/>
        <v xml:space="preserve">    _exc, IF(ISOMITTED(exclude_periods), 0, N(exclude_periods)),</v>
      </c>
    </row>
    <row r="233" spans="4:4" x14ac:dyDescent="0.2">
      <c r="D233" s="26" t="str">
        <f ca="1"/>
        <v xml:space="preserve">    _inpChk, IF(</v>
      </c>
    </row>
    <row r="234" spans="4:4" x14ac:dyDescent="0.2">
      <c r="D234" s="26" t="str">
        <f ca="1"/>
        <v xml:space="preserve">      OR(</v>
      </c>
    </row>
    <row r="235" spans="4:4" x14ac:dyDescent="0.2">
      <c r="D235" s="26" t="str">
        <f ca="1"/>
        <v xml:space="preserve">        NOT(ISNUMBER(_fnc)), _fnc &lt; -0.5</v>
      </c>
    </row>
    <row r="236" spans="4:4" x14ac:dyDescent="0.2">
      <c r="D236" s="26" t="str">
        <f ca="1"/>
        <v xml:space="preserve">      ), 2, IF(</v>
      </c>
    </row>
    <row r="237" spans="4:4" x14ac:dyDescent="0.2">
      <c r="D237" s="26" t="str">
        <f ca="1"/>
        <v xml:space="preserve">      OR(</v>
      </c>
    </row>
    <row r="238" spans="4:4" x14ac:dyDescent="0.2">
      <c r="D238" s="26" t="str">
        <f ca="1"/>
        <v xml:space="preserve">        _opn &lt; -1, _opn &gt; 1,</v>
      </c>
    </row>
    <row r="239" spans="4:4" x14ac:dyDescent="0.2">
      <c r="D239" s="26" t="str">
        <f ca="1"/>
        <v xml:space="preserve">        ROWS(option) &gt; 1, COLUMNS(option) &gt; 1,</v>
      </c>
    </row>
    <row r="240" spans="4:4" x14ac:dyDescent="0.2">
      <c r="D240" s="26" t="str">
        <f ca="1"/>
        <v xml:space="preserve">        ROWS(replace_errors) &gt; 1, COLUMNS(replace_errors) &gt; 1,</v>
      </c>
    </row>
    <row r="241" spans="4:4" x14ac:dyDescent="0.2">
      <c r="D241" s="26" t="str">
        <f ca="1"/>
        <v xml:space="preserve">        ROWS(replace_blanks) &gt; 1, COLUMNS(replace_blanks) &gt; 1</v>
      </c>
    </row>
    <row r="242" spans="4:4" x14ac:dyDescent="0.2">
      <c r="D242" s="26" t="str">
        <f ca="1"/>
        <v xml:space="preserve">      ), 3, 1)</v>
      </c>
    </row>
    <row r="243" spans="4:4" x14ac:dyDescent="0.2">
      <c r="D243" s="26" t="str">
        <f ca="1"/>
        <v xml:space="preserve">    ),</v>
      </c>
    </row>
    <row r="244" spans="4:4" x14ac:dyDescent="0.2">
      <c r="D244" s="26" t="str">
        <f ca="1"/>
        <v xml:space="preserve">    _arr, MAP(array, LAMBDA(_val,</v>
      </c>
    </row>
    <row r="245" spans="4:4" x14ac:dyDescent="0.2">
      <c r="D245" s="26" t="str">
        <f ca="1"/>
        <v xml:space="preserve">      IF(ISERROR(_val), IF(_err, _repE, _val),</v>
      </c>
    </row>
    <row r="246" spans="4:4" x14ac:dyDescent="0.2">
      <c r="D246" s="26" t="str">
        <f ca="1"/>
        <v xml:space="preserve">      IF(ISBLANK(_val), _repB, _val))</v>
      </c>
    </row>
    <row r="247" spans="4:4" x14ac:dyDescent="0.2">
      <c r="D247" s="26" t="str">
        <f ca="1"/>
        <v xml:space="preserve">    )),</v>
      </c>
    </row>
    <row r="248" spans="4:4" x14ac:dyDescent="0.2">
      <c r="D248" s="26" t="str">
        <f ca="1"/>
        <v xml:space="preserve">    _idx,  SEQUENCE(ROWS(_arr), COLUMNS(_arr)),</v>
      </c>
    </row>
    <row r="249" spans="4:4" x14ac:dyDescent="0.2">
      <c r="D249" s="26" t="str">
        <f ca="1"/>
        <v xml:space="preserve">    _fltr, FILTER(_arr,</v>
      </c>
    </row>
    <row r="250" spans="4:4" x14ac:dyDescent="0.2">
      <c r="D250" s="26" t="str">
        <f ca="1"/>
        <v xml:space="preserve">      ISNA(XMATCH(_idx, _exc)) *</v>
      </c>
    </row>
    <row r="251" spans="4:4" x14ac:dyDescent="0.2">
      <c r="D251" s="26" t="str">
        <f ca="1"/>
        <v xml:space="preserve">      NOT(ISERROR(_arr))</v>
      </c>
    </row>
    <row r="252" spans="4:4" x14ac:dyDescent="0.2">
      <c r="D252" s="26" t="str">
        <f ca="1"/>
        <v xml:space="preserve">    ),</v>
      </c>
    </row>
    <row r="253" spans="4:4" x14ac:dyDescent="0.2">
      <c r="D253" s="26" t="str">
        <f ca="1"/>
        <v xml:space="preserve">    _LQ, QUARTILE.INC(_fltr, 1),</v>
      </c>
    </row>
    <row r="254" spans="4:4" x14ac:dyDescent="0.2">
      <c r="D254" s="26" t="str">
        <f ca="1"/>
        <v xml:space="preserve">    _UQ, QUARTILE.INC(_fltr, 3),</v>
      </c>
    </row>
    <row r="255" spans="4:4" x14ac:dyDescent="0.2">
      <c r="D255" s="26" t="str">
        <f ca="1"/>
        <v xml:space="preserve">    _IQR, _UQ - _LQ,</v>
      </c>
    </row>
    <row r="256" spans="4:4" x14ac:dyDescent="0.2">
      <c r="D256" s="26" t="str">
        <f ca="1"/>
        <v xml:space="preserve">    _low, _LQ - (_fnc * _IQR),</v>
      </c>
    </row>
    <row r="257" spans="2:4" x14ac:dyDescent="0.2">
      <c r="D257" s="26" t="str">
        <f ca="1"/>
        <v xml:space="preserve">    _upp, _UQ + (_fnc * _IQR),</v>
      </c>
    </row>
    <row r="258" spans="2:4" x14ac:dyDescent="0.2">
      <c r="D258" s="26" t="str">
        <f ca="1"/>
        <v xml:space="preserve">    _rtn, MAP(_idx, _arr, LAMBDA(_i,_v,</v>
      </c>
    </row>
    <row r="259" spans="2:4" x14ac:dyDescent="0.2">
      <c r="D259" s="26" t="str">
        <f ca="1"/>
        <v xml:space="preserve">      IF(ISNUMBER(XMATCH(_i, _exc)), _v,</v>
      </c>
    </row>
    <row r="260" spans="2:4" x14ac:dyDescent="0.2">
      <c r="D260" s="26" t="str">
        <f ca="1"/>
        <v xml:space="preserve">      IF(AND(_opn &lt;= 0, _v &lt; _low), MAX(_v, _low),</v>
      </c>
    </row>
    <row r="261" spans="2:4" x14ac:dyDescent="0.2">
      <c r="D261" s="26" t="str">
        <f ca="1"/>
        <v xml:space="preserve">      IF(AND(_opn &gt;= 0, _v &gt; _upp), MIN(_v, _upp),</v>
      </c>
    </row>
    <row r="262" spans="2:4" x14ac:dyDescent="0.2">
      <c r="D262" s="26" t="str">
        <f ca="1"/>
        <v xml:space="preserve">      _v)))</v>
      </c>
    </row>
    <row r="263" spans="2:4" x14ac:dyDescent="0.2">
      <c r="D263" s="26" t="str">
        <f ca="1"/>
        <v xml:space="preserve">    )),</v>
      </c>
    </row>
    <row r="264" spans="2:4" x14ac:dyDescent="0.2">
      <c r="D264" s="26" t="str">
        <f ca="1"/>
        <v xml:space="preserve">    CHOOSE(_inpChk, _rtn, LAMBDA(0), #VALUE!)</v>
      </c>
    </row>
    <row r="265" spans="2:4" x14ac:dyDescent="0.2">
      <c r="D265" s="26" t="str">
        <f ca="1"/>
        <v xml:space="preserve">  )</v>
      </c>
    </row>
    <row r="266" spans="2:4" x14ac:dyDescent="0.2">
      <c r="D266" s="26" t="str">
        <f ca="1"/>
        <v>)($D$13:$AA$13, D215, D216, D217, D218, D219:M219)</v>
      </c>
    </row>
    <row r="269" spans="2:4" s="5" customFormat="1" ht="16.5" thickBot="1" x14ac:dyDescent="0.3">
      <c r="B269" s="6">
        <f xml:space="preserve"> MAX(B$1:B268) + 1</f>
        <v>2</v>
      </c>
      <c r="C269" s="5" t="s">
        <v>4</v>
      </c>
    </row>
    <row r="271" spans="2:4" x14ac:dyDescent="0.2">
      <c r="B271" s="3" t="s">
        <v>6</v>
      </c>
    </row>
    <row r="272" spans="2:4" x14ac:dyDescent="0.2">
      <c r="C272" t="s">
        <v>446</v>
      </c>
    </row>
    <row r="273" spans="2:8" x14ac:dyDescent="0.2">
      <c r="C273" t="s">
        <v>444</v>
      </c>
    </row>
    <row r="274" spans="2:8" x14ac:dyDescent="0.2">
      <c r="C274" t="s">
        <v>445</v>
      </c>
    </row>
    <row r="276" spans="2:8" x14ac:dyDescent="0.2">
      <c r="C276" s="29" t="s">
        <v>42</v>
      </c>
      <c r="D276" s="28" t="s">
        <v>465</v>
      </c>
    </row>
    <row r="278" spans="2:8" x14ac:dyDescent="0.2">
      <c r="B278" s="3" t="s">
        <v>7</v>
      </c>
    </row>
    <row r="279" spans="2:8" x14ac:dyDescent="0.2">
      <c r="C279" s="12" t="s">
        <v>242</v>
      </c>
      <c r="E279" s="14" t="s">
        <v>11</v>
      </c>
      <c r="F279" t="s">
        <v>405</v>
      </c>
    </row>
    <row r="280" spans="2:8" x14ac:dyDescent="0.2">
      <c r="C280" s="12" t="s">
        <v>243</v>
      </c>
      <c r="E280" s="14" t="s">
        <v>11</v>
      </c>
      <c r="F280" t="s">
        <v>429</v>
      </c>
    </row>
    <row r="281" spans="2:8" x14ac:dyDescent="0.2">
      <c r="C281" s="12"/>
      <c r="E281" s="14"/>
      <c r="F281" t="s">
        <v>436</v>
      </c>
    </row>
    <row r="282" spans="2:8" x14ac:dyDescent="0.2">
      <c r="C282" s="12"/>
      <c r="E282" s="14"/>
      <c r="G282" s="73">
        <v>0</v>
      </c>
      <c r="H282" s="66" t="s">
        <v>441</v>
      </c>
    </row>
    <row r="283" spans="2:8" x14ac:dyDescent="0.2">
      <c r="C283" s="12"/>
      <c r="E283" s="14"/>
      <c r="G283" s="73" t="s">
        <v>432</v>
      </c>
      <c r="H283" s="66" t="s">
        <v>437</v>
      </c>
    </row>
    <row r="284" spans="2:8" x14ac:dyDescent="0.2">
      <c r="C284" s="12"/>
      <c r="E284" s="14"/>
      <c r="G284" s="73"/>
      <c r="H284" s="66" t="s">
        <v>440</v>
      </c>
    </row>
    <row r="285" spans="2:8" x14ac:dyDescent="0.2">
      <c r="C285" s="12"/>
      <c r="E285" s="14"/>
      <c r="G285" s="73" t="s">
        <v>433</v>
      </c>
      <c r="H285" s="66" t="s">
        <v>438</v>
      </c>
    </row>
    <row r="286" spans="2:8" x14ac:dyDescent="0.2">
      <c r="C286" s="12"/>
      <c r="E286" s="14"/>
      <c r="G286" s="73"/>
      <c r="H286" s="66" t="s">
        <v>439</v>
      </c>
    </row>
    <row r="287" spans="2:8" x14ac:dyDescent="0.2">
      <c r="C287" s="12"/>
      <c r="E287" s="14"/>
      <c r="F287" t="s">
        <v>447</v>
      </c>
    </row>
    <row r="288" spans="2:8" x14ac:dyDescent="0.2">
      <c r="C288" s="12" t="s">
        <v>244</v>
      </c>
      <c r="E288" s="15" t="s">
        <v>12</v>
      </c>
      <c r="F288" t="s">
        <v>430</v>
      </c>
    </row>
    <row r="289" spans="2:8" x14ac:dyDescent="0.2">
      <c r="C289" s="12"/>
      <c r="E289" s="15"/>
      <c r="G289" s="73" t="s">
        <v>62</v>
      </c>
      <c r="H289" s="66" t="s">
        <v>431</v>
      </c>
    </row>
    <row r="290" spans="2:8" x14ac:dyDescent="0.2">
      <c r="C290" s="12"/>
      <c r="E290" s="15"/>
      <c r="G290" s="73" t="s">
        <v>61</v>
      </c>
      <c r="H290" t="s">
        <v>64</v>
      </c>
    </row>
    <row r="291" spans="2:8" x14ac:dyDescent="0.2">
      <c r="C291" s="12"/>
      <c r="E291" s="15"/>
      <c r="G291" s="73" t="s">
        <v>63</v>
      </c>
      <c r="H291" t="s">
        <v>65</v>
      </c>
    </row>
    <row r="292" spans="2:8" x14ac:dyDescent="0.2">
      <c r="C292" s="12" t="s">
        <v>245</v>
      </c>
      <c r="E292" s="15" t="s">
        <v>12</v>
      </c>
      <c r="F292" t="s">
        <v>406</v>
      </c>
    </row>
    <row r="293" spans="2:8" x14ac:dyDescent="0.2">
      <c r="C293" s="12"/>
      <c r="E293" s="15"/>
      <c r="F293" s="60" t="s">
        <v>407</v>
      </c>
    </row>
    <row r="294" spans="2:8" x14ac:dyDescent="0.2">
      <c r="C294" s="12"/>
      <c r="E294" s="15"/>
      <c r="F294" s="60" t="s">
        <v>409</v>
      </c>
    </row>
    <row r="295" spans="2:8" x14ac:dyDescent="0.2">
      <c r="C295" s="12"/>
      <c r="E295" s="15"/>
      <c r="G295" s="69" t="b">
        <v>1</v>
      </c>
      <c r="H295" s="66" t="s">
        <v>434</v>
      </c>
    </row>
    <row r="296" spans="2:8" x14ac:dyDescent="0.2">
      <c r="C296" s="12"/>
      <c r="E296" s="15"/>
      <c r="G296" s="69" t="b">
        <v>0</v>
      </c>
      <c r="H296" s="66" t="s">
        <v>414</v>
      </c>
    </row>
    <row r="297" spans="2:8" x14ac:dyDescent="0.2">
      <c r="C297" s="12" t="s">
        <v>246</v>
      </c>
      <c r="E297" s="15" t="s">
        <v>12</v>
      </c>
      <c r="F297" t="s">
        <v>410</v>
      </c>
    </row>
    <row r="298" spans="2:8" x14ac:dyDescent="0.2">
      <c r="C298" s="12"/>
      <c r="E298" s="15"/>
      <c r="F298" s="60" t="s">
        <v>408</v>
      </c>
    </row>
    <row r="299" spans="2:8" x14ac:dyDescent="0.2">
      <c r="C299" s="12"/>
      <c r="E299" s="15"/>
      <c r="F299" s="60" t="s">
        <v>409</v>
      </c>
    </row>
    <row r="300" spans="2:8" x14ac:dyDescent="0.2">
      <c r="C300" s="12"/>
      <c r="E300" s="15"/>
      <c r="G300" s="69" t="b">
        <v>1</v>
      </c>
      <c r="H300" s="66" t="s">
        <v>411</v>
      </c>
    </row>
    <row r="301" spans="2:8" x14ac:dyDescent="0.2">
      <c r="C301" s="12"/>
      <c r="E301" s="15"/>
      <c r="G301" s="69" t="b">
        <v>0</v>
      </c>
      <c r="H301" s="66" t="s">
        <v>435</v>
      </c>
    </row>
    <row r="302" spans="2:8" x14ac:dyDescent="0.2">
      <c r="C302" s="12" t="s">
        <v>247</v>
      </c>
      <c r="E302" s="15" t="s">
        <v>12</v>
      </c>
      <c r="F302" t="s">
        <v>415</v>
      </c>
    </row>
    <row r="304" spans="2:8" x14ac:dyDescent="0.2">
      <c r="B304" s="3" t="s">
        <v>8</v>
      </c>
    </row>
    <row r="305" spans="2:5" x14ac:dyDescent="0.2">
      <c r="C305" s="13" t="e">
        <v>#VALUE!</v>
      </c>
      <c r="E305" t="s">
        <v>303</v>
      </c>
    </row>
    <row r="306" spans="2:5" x14ac:dyDescent="0.2">
      <c r="C306" s="13" t="e" vm="1">
        <v>#VALUE!</v>
      </c>
      <c r="E306" t="s">
        <v>454</v>
      </c>
    </row>
    <row r="307" spans="2:5" x14ac:dyDescent="0.2">
      <c r="C307" s="13" t="e">
        <v>#VALUE!</v>
      </c>
      <c r="E307" t="s">
        <v>451</v>
      </c>
    </row>
    <row r="308" spans="2:5" x14ac:dyDescent="0.2">
      <c r="C308" s="13" t="e">
        <v>#VALUE!</v>
      </c>
      <c r="E308" t="s">
        <v>448</v>
      </c>
    </row>
    <row r="310" spans="2:5" x14ac:dyDescent="0.2">
      <c r="B310" s="3" t="s">
        <v>9</v>
      </c>
    </row>
    <row r="311" spans="2:5" x14ac:dyDescent="0.2">
      <c r="C311" s="27" t="s">
        <v>41</v>
      </c>
    </row>
    <row r="312" spans="2:5" x14ac:dyDescent="0.2">
      <c r="C312" s="61" t="s">
        <v>307</v>
      </c>
    </row>
    <row r="313" spans="2:5" x14ac:dyDescent="0.2">
      <c r="C313" s="56" t="s">
        <v>236</v>
      </c>
    </row>
    <row r="314" spans="2:5" x14ac:dyDescent="0.2">
      <c r="C314" s="56" t="s">
        <v>237</v>
      </c>
    </row>
    <row r="315" spans="2:5" x14ac:dyDescent="0.2">
      <c r="C315" s="56" t="s">
        <v>238</v>
      </c>
    </row>
    <row r="316" spans="2:5" x14ac:dyDescent="0.2">
      <c r="C316" s="56" t="s">
        <v>239</v>
      </c>
    </row>
    <row r="317" spans="2:5" x14ac:dyDescent="0.2">
      <c r="C317" s="56" t="s">
        <v>240</v>
      </c>
    </row>
    <row r="318" spans="2:5" x14ac:dyDescent="0.2">
      <c r="C318" s="56" t="s">
        <v>241</v>
      </c>
    </row>
    <row r="319" spans="2:5" x14ac:dyDescent="0.2">
      <c r="C319" s="61" t="s">
        <v>304</v>
      </c>
    </row>
    <row r="320" spans="2:5" x14ac:dyDescent="0.2">
      <c r="C320" s="56" t="s">
        <v>114</v>
      </c>
    </row>
    <row r="321" spans="3:3" x14ac:dyDescent="0.2">
      <c r="C321" s="57" t="s">
        <v>208</v>
      </c>
    </row>
    <row r="322" spans="3:3" x14ac:dyDescent="0.2">
      <c r="C322" s="62" t="s">
        <v>308</v>
      </c>
    </row>
    <row r="323" spans="3:3" x14ac:dyDescent="0.2">
      <c r="C323" s="57" t="s">
        <v>209</v>
      </c>
    </row>
    <row r="324" spans="3:3" x14ac:dyDescent="0.2">
      <c r="C324" s="57" t="s">
        <v>210</v>
      </c>
    </row>
    <row r="325" spans="3:3" x14ac:dyDescent="0.2">
      <c r="C325" s="57" t="s">
        <v>211</v>
      </c>
    </row>
    <row r="326" spans="3:3" x14ac:dyDescent="0.2">
      <c r="C326" s="57" t="s">
        <v>212</v>
      </c>
    </row>
    <row r="327" spans="3:3" x14ac:dyDescent="0.2">
      <c r="C327" s="57" t="s">
        <v>213</v>
      </c>
    </row>
    <row r="328" spans="3:3" x14ac:dyDescent="0.2">
      <c r="C328" s="57" t="s">
        <v>214</v>
      </c>
    </row>
    <row r="329" spans="3:3" x14ac:dyDescent="0.2">
      <c r="C329" s="62" t="s">
        <v>309</v>
      </c>
    </row>
    <row r="330" spans="3:3" x14ac:dyDescent="0.2">
      <c r="C330" s="62" t="s">
        <v>318</v>
      </c>
    </row>
    <row r="331" spans="3:3" x14ac:dyDescent="0.2">
      <c r="C331" s="62" t="s">
        <v>449</v>
      </c>
    </row>
    <row r="332" spans="3:3" x14ac:dyDescent="0.2">
      <c r="C332" s="57" t="s">
        <v>123</v>
      </c>
    </row>
    <row r="333" spans="3:3" x14ac:dyDescent="0.2">
      <c r="C333" s="58" t="s">
        <v>124</v>
      </c>
    </row>
    <row r="334" spans="3:3" x14ac:dyDescent="0.2">
      <c r="C334" s="59" t="s">
        <v>452</v>
      </c>
    </row>
    <row r="335" spans="3:3" x14ac:dyDescent="0.2">
      <c r="C335" s="58" t="s">
        <v>128</v>
      </c>
    </row>
    <row r="336" spans="3:3" x14ac:dyDescent="0.2">
      <c r="C336" s="58" t="s">
        <v>124</v>
      </c>
    </row>
    <row r="337" spans="3:3" x14ac:dyDescent="0.2">
      <c r="C337" s="59" t="s">
        <v>215</v>
      </c>
    </row>
    <row r="338" spans="3:3" x14ac:dyDescent="0.2">
      <c r="C338" s="59" t="s">
        <v>216</v>
      </c>
    </row>
    <row r="339" spans="3:3" x14ac:dyDescent="0.2">
      <c r="C339" s="59" t="s">
        <v>217</v>
      </c>
    </row>
    <row r="340" spans="3:3" x14ac:dyDescent="0.2">
      <c r="C340" s="59" t="s">
        <v>218</v>
      </c>
    </row>
    <row r="341" spans="3:3" x14ac:dyDescent="0.2">
      <c r="C341" s="58" t="s">
        <v>133</v>
      </c>
    </row>
    <row r="342" spans="3:3" x14ac:dyDescent="0.2">
      <c r="C342" s="57" t="s">
        <v>134</v>
      </c>
    </row>
    <row r="343" spans="3:3" x14ac:dyDescent="0.2">
      <c r="C343" s="62" t="s">
        <v>310</v>
      </c>
    </row>
    <row r="344" spans="3:3" x14ac:dyDescent="0.2">
      <c r="C344" s="57" t="s">
        <v>219</v>
      </c>
    </row>
    <row r="345" spans="3:3" x14ac:dyDescent="0.2">
      <c r="C345" s="58" t="s">
        <v>220</v>
      </c>
    </row>
    <row r="346" spans="3:3" x14ac:dyDescent="0.2">
      <c r="C346" s="58" t="s">
        <v>221</v>
      </c>
    </row>
    <row r="347" spans="3:3" x14ac:dyDescent="0.2">
      <c r="C347" s="57" t="s">
        <v>122</v>
      </c>
    </row>
    <row r="348" spans="3:3" x14ac:dyDescent="0.2">
      <c r="C348" s="62" t="s">
        <v>311</v>
      </c>
    </row>
    <row r="349" spans="3:3" x14ac:dyDescent="0.2">
      <c r="C349" s="57" t="s">
        <v>222</v>
      </c>
    </row>
    <row r="350" spans="3:3" x14ac:dyDescent="0.2">
      <c r="C350" s="62" t="s">
        <v>317</v>
      </c>
    </row>
    <row r="351" spans="3:3" x14ac:dyDescent="0.2">
      <c r="C351" s="57" t="s">
        <v>223</v>
      </c>
    </row>
    <row r="352" spans="3:3" x14ac:dyDescent="0.2">
      <c r="C352" s="58" t="s">
        <v>224</v>
      </c>
    </row>
    <row r="353" spans="3:3" x14ac:dyDescent="0.2">
      <c r="C353" s="58" t="s">
        <v>225</v>
      </c>
    </row>
    <row r="354" spans="3:3" x14ac:dyDescent="0.2">
      <c r="C354" s="57" t="s">
        <v>134</v>
      </c>
    </row>
    <row r="355" spans="3:3" x14ac:dyDescent="0.2">
      <c r="C355" s="62" t="s">
        <v>450</v>
      </c>
    </row>
    <row r="356" spans="3:3" x14ac:dyDescent="0.2">
      <c r="C356" s="57" t="s">
        <v>226</v>
      </c>
    </row>
    <row r="357" spans="3:3" x14ac:dyDescent="0.2">
      <c r="C357" s="57" t="s">
        <v>227</v>
      </c>
    </row>
    <row r="358" spans="3:3" x14ac:dyDescent="0.2">
      <c r="C358" s="57" t="s">
        <v>228</v>
      </c>
    </row>
    <row r="359" spans="3:3" x14ac:dyDescent="0.2">
      <c r="C359" s="62" t="s">
        <v>312</v>
      </c>
    </row>
    <row r="360" spans="3:3" x14ac:dyDescent="0.2">
      <c r="C360" s="57" t="s">
        <v>229</v>
      </c>
    </row>
    <row r="361" spans="3:3" x14ac:dyDescent="0.2">
      <c r="C361" s="57" t="s">
        <v>230</v>
      </c>
    </row>
    <row r="362" spans="3:3" x14ac:dyDescent="0.2">
      <c r="C362" s="62" t="s">
        <v>315</v>
      </c>
    </row>
    <row r="363" spans="3:3" x14ac:dyDescent="0.2">
      <c r="C363" s="62" t="s">
        <v>313</v>
      </c>
    </row>
    <row r="364" spans="3:3" x14ac:dyDescent="0.2">
      <c r="C364" s="62" t="s">
        <v>314</v>
      </c>
    </row>
    <row r="365" spans="3:3" x14ac:dyDescent="0.2">
      <c r="C365" s="57" t="s">
        <v>231</v>
      </c>
    </row>
    <row r="366" spans="3:3" x14ac:dyDescent="0.2">
      <c r="C366" s="58" t="s">
        <v>232</v>
      </c>
    </row>
    <row r="367" spans="3:3" x14ac:dyDescent="0.2">
      <c r="C367" s="58" t="s">
        <v>233</v>
      </c>
    </row>
    <row r="368" spans="3:3" x14ac:dyDescent="0.2">
      <c r="C368" s="58" t="s">
        <v>234</v>
      </c>
    </row>
    <row r="369" spans="2:3" x14ac:dyDescent="0.2">
      <c r="C369" s="58" t="s">
        <v>235</v>
      </c>
    </row>
    <row r="370" spans="2:3" x14ac:dyDescent="0.2">
      <c r="C370" s="57" t="s">
        <v>122</v>
      </c>
    </row>
    <row r="371" spans="2:3" x14ac:dyDescent="0.2">
      <c r="C371" s="62" t="s">
        <v>316</v>
      </c>
    </row>
    <row r="372" spans="2:3" x14ac:dyDescent="0.2">
      <c r="C372" s="57" t="s">
        <v>175</v>
      </c>
    </row>
    <row r="373" spans="2:3" x14ac:dyDescent="0.2">
      <c r="C373" s="56" t="s">
        <v>40</v>
      </c>
    </row>
    <row r="374" spans="2:3" x14ac:dyDescent="0.2">
      <c r="C374" s="31" t="s">
        <v>40</v>
      </c>
    </row>
    <row r="376" spans="2:3" x14ac:dyDescent="0.2">
      <c r="C376" s="3" t="s">
        <v>10</v>
      </c>
    </row>
    <row r="377" spans="2:3" x14ac:dyDescent="0.2">
      <c r="C377" s="27" t="s">
        <v>453</v>
      </c>
    </row>
    <row r="379" spans="2:3" ht="13.5" thickBot="1" x14ac:dyDescent="0.25"/>
    <row r="380" spans="2:3" s="11" customFormat="1" x14ac:dyDescent="0.2">
      <c r="B380" s="11" t="s">
        <v>5</v>
      </c>
    </row>
  </sheetData>
  <conditionalFormatting sqref="D59:AA59 D83:AA83 D108:AA108">
    <cfRule type="expression" dxfId="8" priority="12">
      <formula>ISNA(D59)</formula>
    </cfRule>
  </conditionalFormatting>
  <conditionalFormatting sqref="D59:AA60 D83:AA84 D108:AA109">
    <cfRule type="expression" dxfId="7" priority="9">
      <formula>ISERR(D59)</formula>
    </cfRule>
  </conditionalFormatting>
  <conditionalFormatting sqref="D60:AA60 D84:AA84 D109:AA109">
    <cfRule type="expression" dxfId="6" priority="10">
      <formula>ISNA(D60)</formula>
    </cfRule>
  </conditionalFormatting>
  <conditionalFormatting sqref="D150:AA150">
    <cfRule type="expression" dxfId="5" priority="8">
      <formula>ISNA(D150)</formula>
    </cfRule>
  </conditionalFormatting>
  <conditionalFormatting sqref="D150:AA151">
    <cfRule type="expression" dxfId="4" priority="5">
      <formula>ISERR(D150)</formula>
    </cfRule>
  </conditionalFormatting>
  <conditionalFormatting sqref="D151:AA151">
    <cfRule type="expression" dxfId="3" priority="6">
      <formula>ISNA(D151)</formula>
    </cfRule>
  </conditionalFormatting>
  <conditionalFormatting sqref="D222:AA222">
    <cfRule type="expression" dxfId="2" priority="4">
      <formula>ISNA(D222)</formula>
    </cfRule>
  </conditionalFormatting>
  <conditionalFormatting sqref="D222:AA223">
    <cfRule type="expression" dxfId="1" priority="1">
      <formula>ISERR(D222)</formula>
    </cfRule>
  </conditionalFormatting>
  <conditionalFormatting sqref="D223:AA223">
    <cfRule type="expression" dxfId="0" priority="2">
      <formula>ISNA(D223)</formula>
    </cfRule>
  </conditionalFormatting>
  <dataValidations disablePrompts="1" count="2">
    <dataValidation type="list" allowBlank="1" showInputMessage="1" showErrorMessage="1" sqref="D55 D78" xr:uid="{BD4DF10E-8693-4DFF-8152-AA32555F07E5}">
      <formula1>_OnOff</formula1>
    </dataValidation>
    <dataValidation type="list" allowBlank="1" showInputMessage="1" showErrorMessage="1" sqref="D80 D103 D144 D216" xr:uid="{AB765402-0FA2-4B75-9A5C-E825DB04474E}">
      <formula1>"0,1,-1"</formula1>
    </dataValidation>
  </dataValidations>
  <hyperlinks>
    <hyperlink ref="D276" r:id="rId1" xr:uid="{693CDEB1-F5A9-482B-A494-55E81DC2FAA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5CF2-7727-44E3-A9EA-0F2F4463DEDC}">
  <sheetPr codeName="Sheet3"/>
  <dimension ref="B1:C126"/>
  <sheetViews>
    <sheetView showGridLines="0" workbookViewId="0">
      <pane ySplit="1" topLeftCell="A2" activePane="bottomLeft" state="frozen"/>
      <selection pane="bottomLeft"/>
    </sheetView>
  </sheetViews>
  <sheetFormatPr defaultRowHeight="12.75" x14ac:dyDescent="0.2"/>
  <cols>
    <col min="1" max="2" width="4.28515625" customWidth="1"/>
  </cols>
  <sheetData>
    <row r="1" spans="2:3" s="1" customFormat="1" ht="30" customHeight="1" x14ac:dyDescent="0.25">
      <c r="C1" s="2" t="s">
        <v>464</v>
      </c>
    </row>
    <row r="2" spans="2:3" s="5" customFormat="1" ht="16.5" thickBot="1" x14ac:dyDescent="0.3">
      <c r="B2" s="6">
        <f xml:space="preserve"> MAX(B$1:B1) + 1</f>
        <v>1</v>
      </c>
      <c r="C2" s="5" t="s">
        <v>13</v>
      </c>
    </row>
    <row r="4" spans="2:3" x14ac:dyDescent="0.2">
      <c r="C4" t="s">
        <v>468</v>
      </c>
    </row>
    <row r="6" spans="2:3" x14ac:dyDescent="0.2">
      <c r="B6" s="16" t="s">
        <v>15</v>
      </c>
      <c r="C6" t="s">
        <v>16</v>
      </c>
    </row>
    <row r="7" spans="2:3" x14ac:dyDescent="0.2">
      <c r="B7" s="16" t="s">
        <v>17</v>
      </c>
      <c r="C7" t="s">
        <v>18</v>
      </c>
    </row>
    <row r="8" spans="2:3" x14ac:dyDescent="0.2">
      <c r="C8" s="32"/>
    </row>
    <row r="17" spans="2:3" x14ac:dyDescent="0.2">
      <c r="B17" s="16" t="s">
        <v>19</v>
      </c>
      <c r="C17" t="s">
        <v>469</v>
      </c>
    </row>
    <row r="38" spans="2:3" x14ac:dyDescent="0.2">
      <c r="B38" s="16" t="s">
        <v>20</v>
      </c>
      <c r="C38" t="s">
        <v>21</v>
      </c>
    </row>
    <row r="39" spans="2:3" x14ac:dyDescent="0.2">
      <c r="B39" s="16" t="s">
        <v>22</v>
      </c>
      <c r="C39" t="s">
        <v>470</v>
      </c>
    </row>
    <row r="63" spans="2:3" x14ac:dyDescent="0.2">
      <c r="B63" s="16" t="s">
        <v>23</v>
      </c>
      <c r="C63" t="s">
        <v>24</v>
      </c>
    </row>
    <row r="71" spans="2:3" s="5" customFormat="1" ht="16.5" thickBot="1" x14ac:dyDescent="0.3">
      <c r="B71" s="6">
        <f xml:space="preserve"> MAX(B$1:B70) + 1</f>
        <v>2</v>
      </c>
      <c r="C71" s="5" t="s">
        <v>14</v>
      </c>
    </row>
    <row r="73" spans="2:3" x14ac:dyDescent="0.2">
      <c r="C73" s="75" t="s">
        <v>471</v>
      </c>
    </row>
    <row r="74" spans="2:3" x14ac:dyDescent="0.2">
      <c r="C74" s="75"/>
    </row>
    <row r="75" spans="2:3" x14ac:dyDescent="0.2">
      <c r="C75" s="75" t="s">
        <v>472</v>
      </c>
    </row>
    <row r="76" spans="2:3" x14ac:dyDescent="0.2">
      <c r="C76" s="75" t="s">
        <v>473</v>
      </c>
    </row>
    <row r="77" spans="2:3" x14ac:dyDescent="0.2">
      <c r="C77" s="75" t="s">
        <v>474</v>
      </c>
    </row>
    <row r="78" spans="2:3" x14ac:dyDescent="0.2">
      <c r="C78" s="17" t="s">
        <v>475</v>
      </c>
    </row>
    <row r="79" spans="2:3" x14ac:dyDescent="0.2">
      <c r="C79" s="75" t="s">
        <v>504</v>
      </c>
    </row>
    <row r="80" spans="2:3" x14ac:dyDescent="0.2">
      <c r="C80" s="75" t="s">
        <v>505</v>
      </c>
    </row>
    <row r="81" spans="3:3" x14ac:dyDescent="0.2">
      <c r="C81" s="75" t="s">
        <v>25</v>
      </c>
    </row>
    <row r="82" spans="3:3" x14ac:dyDescent="0.2">
      <c r="C82" s="17" t="s">
        <v>476</v>
      </c>
    </row>
    <row r="83" spans="3:3" x14ac:dyDescent="0.2">
      <c r="C83" s="75" t="s">
        <v>477</v>
      </c>
    </row>
    <row r="84" spans="3:3" x14ac:dyDescent="0.2">
      <c r="C84" s="75" t="s">
        <v>478</v>
      </c>
    </row>
    <row r="85" spans="3:3" x14ac:dyDescent="0.2">
      <c r="C85" s="75" t="s">
        <v>25</v>
      </c>
    </row>
    <row r="86" spans="3:3" x14ac:dyDescent="0.2">
      <c r="C86" s="18" t="s">
        <v>26</v>
      </c>
    </row>
    <row r="87" spans="3:3" x14ac:dyDescent="0.2">
      <c r="C87" s="17" t="s">
        <v>27</v>
      </c>
    </row>
    <row r="88" spans="3:3" x14ac:dyDescent="0.2">
      <c r="C88" s="75" t="s">
        <v>479</v>
      </c>
    </row>
    <row r="89" spans="3:3" x14ac:dyDescent="0.2">
      <c r="C89" s="75" t="s">
        <v>480</v>
      </c>
    </row>
    <row r="90" spans="3:3" x14ac:dyDescent="0.2">
      <c r="C90" s="75" t="s">
        <v>481</v>
      </c>
    </row>
    <row r="91" spans="3:3" x14ac:dyDescent="0.2">
      <c r="C91" s="75" t="s">
        <v>482</v>
      </c>
    </row>
    <row r="92" spans="3:3" x14ac:dyDescent="0.2">
      <c r="C92" s="18" t="s">
        <v>28</v>
      </c>
    </row>
    <row r="93" spans="3:3" x14ac:dyDescent="0.2">
      <c r="C93" s="18" t="s">
        <v>29</v>
      </c>
    </row>
    <row r="94" spans="3:3" x14ac:dyDescent="0.2">
      <c r="C94" s="75" t="s">
        <v>25</v>
      </c>
    </row>
    <row r="95" spans="3:3" x14ac:dyDescent="0.2">
      <c r="C95" s="75" t="s">
        <v>483</v>
      </c>
    </row>
    <row r="96" spans="3:3" x14ac:dyDescent="0.2">
      <c r="C96" s="75" t="s">
        <v>25</v>
      </c>
    </row>
    <row r="97" spans="3:3" x14ac:dyDescent="0.2">
      <c r="C97" s="75" t="s">
        <v>484</v>
      </c>
    </row>
    <row r="98" spans="3:3" x14ac:dyDescent="0.2">
      <c r="C98" s="75" t="s">
        <v>485</v>
      </c>
    </row>
    <row r="99" spans="3:3" x14ac:dyDescent="0.2">
      <c r="C99" s="18" t="s">
        <v>486</v>
      </c>
    </row>
    <row r="100" spans="3:3" x14ac:dyDescent="0.2">
      <c r="C100" s="75" t="s">
        <v>487</v>
      </c>
    </row>
    <row r="101" spans="3:3" x14ac:dyDescent="0.2">
      <c r="C101" s="75" t="s">
        <v>488</v>
      </c>
    </row>
    <row r="102" spans="3:3" x14ac:dyDescent="0.2">
      <c r="C102" s="75" t="s">
        <v>489</v>
      </c>
    </row>
    <row r="103" spans="3:3" x14ac:dyDescent="0.2">
      <c r="C103" s="75" t="s">
        <v>490</v>
      </c>
    </row>
    <row r="104" spans="3:3" x14ac:dyDescent="0.2">
      <c r="C104" s="75" t="s">
        <v>491</v>
      </c>
    </row>
    <row r="105" spans="3:3" x14ac:dyDescent="0.2">
      <c r="C105" s="75" t="s">
        <v>492</v>
      </c>
    </row>
    <row r="106" spans="3:3" x14ac:dyDescent="0.2">
      <c r="C106" s="75" t="s">
        <v>493</v>
      </c>
    </row>
    <row r="107" spans="3:3" x14ac:dyDescent="0.2">
      <c r="C107" s="75" t="s">
        <v>494</v>
      </c>
    </row>
    <row r="108" spans="3:3" x14ac:dyDescent="0.2">
      <c r="C108" s="75" t="s">
        <v>495</v>
      </c>
    </row>
    <row r="109" spans="3:3" x14ac:dyDescent="0.2">
      <c r="C109" s="18" t="s">
        <v>496</v>
      </c>
    </row>
    <row r="110" spans="3:3" x14ac:dyDescent="0.2">
      <c r="C110" s="75" t="s">
        <v>497</v>
      </c>
    </row>
    <row r="111" spans="3:3" x14ac:dyDescent="0.2">
      <c r="C111" s="18" t="s">
        <v>498</v>
      </c>
    </row>
    <row r="112" spans="3:3" x14ac:dyDescent="0.2">
      <c r="C112" s="18" t="s">
        <v>30</v>
      </c>
    </row>
    <row r="113" spans="2:3" x14ac:dyDescent="0.2">
      <c r="C113" s="75" t="s">
        <v>499</v>
      </c>
    </row>
    <row r="114" spans="2:3" x14ac:dyDescent="0.2">
      <c r="C114" s="18" t="s">
        <v>31</v>
      </c>
    </row>
    <row r="115" spans="2:3" x14ac:dyDescent="0.2">
      <c r="C115" s="75" t="s">
        <v>25</v>
      </c>
    </row>
    <row r="116" spans="2:3" x14ac:dyDescent="0.2">
      <c r="C116" s="75" t="s">
        <v>500</v>
      </c>
    </row>
    <row r="117" spans="2:3" x14ac:dyDescent="0.2">
      <c r="C117" s="75" t="s">
        <v>25</v>
      </c>
    </row>
    <row r="118" spans="2:3" x14ac:dyDescent="0.2">
      <c r="C118" s="18" t="s">
        <v>501</v>
      </c>
    </row>
    <row r="119" spans="2:3" x14ac:dyDescent="0.2">
      <c r="C119" s="75" t="s">
        <v>25</v>
      </c>
    </row>
    <row r="120" spans="2:3" x14ac:dyDescent="0.2">
      <c r="C120" s="75" t="s">
        <v>502</v>
      </c>
    </row>
    <row r="121" spans="2:3" x14ac:dyDescent="0.2">
      <c r="C121" s="75" t="s">
        <v>503</v>
      </c>
    </row>
    <row r="122" spans="2:3" x14ac:dyDescent="0.2">
      <c r="C122" s="75" t="s">
        <v>25</v>
      </c>
    </row>
    <row r="123" spans="2:3" x14ac:dyDescent="0.2">
      <c r="C123" s="18" t="s">
        <v>32</v>
      </c>
    </row>
    <row r="125" spans="2:3" ht="13.5" thickBot="1" x14ac:dyDescent="0.25"/>
    <row r="126" spans="2:3" s="11" customFormat="1" x14ac:dyDescent="0.2">
      <c r="B126" s="11" t="s">
        <v>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F9B9-9900-4270-ACEB-9B96B98B9BAC}">
  <sheetPr codeName="Sheet4"/>
  <dimension ref="B1:D10"/>
  <sheetViews>
    <sheetView showGridLines="0" workbookViewId="0">
      <pane ySplit="1" topLeftCell="A2" activePane="bottomLeft" state="frozen"/>
      <selection pane="bottomLeft"/>
    </sheetView>
  </sheetViews>
  <sheetFormatPr defaultRowHeight="12.75" x14ac:dyDescent="0.2"/>
  <cols>
    <col min="1" max="2" width="4.28515625" customWidth="1"/>
  </cols>
  <sheetData>
    <row r="1" spans="2:4" s="1" customFormat="1" ht="30" customHeight="1" x14ac:dyDescent="0.25">
      <c r="C1" s="2" t="s">
        <v>33</v>
      </c>
    </row>
    <row r="3" spans="2:4" x14ac:dyDescent="0.2">
      <c r="B3" s="19">
        <v>1</v>
      </c>
      <c r="C3" s="21">
        <v>1</v>
      </c>
    </row>
    <row r="4" spans="2:4" x14ac:dyDescent="0.2">
      <c r="B4" s="19">
        <v>0</v>
      </c>
      <c r="C4" s="21">
        <v>0</v>
      </c>
      <c r="D4" s="20" t="s">
        <v>34</v>
      </c>
    </row>
    <row r="6" spans="2:4" x14ac:dyDescent="0.2">
      <c r="B6" s="19">
        <v>1</v>
      </c>
      <c r="C6" s="22">
        <v>1</v>
      </c>
    </row>
    <row r="7" spans="2:4" x14ac:dyDescent="0.2">
      <c r="B7" s="19">
        <v>0</v>
      </c>
      <c r="C7" s="22">
        <v>0</v>
      </c>
      <c r="D7" s="20" t="s">
        <v>35</v>
      </c>
    </row>
    <row r="9" spans="2:4" ht="13.5" thickBot="1" x14ac:dyDescent="0.25"/>
    <row r="10" spans="2:4" s="11" customFormat="1" x14ac:dyDescent="0.2">
      <c r="B10" s="11" t="s">
        <v>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iAH0ALAB7ACIAcABhAHQAaAAiADoAIgAvAHAAcgBvAGoAZQBjAHQAcwAvAFIAWABMAF8AUwBtAG8AbwB0AGgAaQBuAGcAIgAsACIAdABlAHgAdAAiADoAIgAvACoAXABuACAAIAAgACAATQBPAEQAVQBMAEUAOgAgACAAIAAgACAAUgBYAEwAXwBTAG0AbwBvAHQAaABpAG4AZwBcAG4AIAAgACAAIABBAFUAVABIAE8AUgA6ACAAIAAgACAAIABSACAAUwBpAGwAawAsACAAUgBYAEwAIABEAGUAdgBlAGwAbwBwAG0AZQBuAHQAXABuACAAIAAgACAAVwBFAEIAUwBJAFQARQA6ACAAIAAgACAAaAB0AHQAcABzADoALwAvAGUAeABjAGUAbAAtAGIAaQB0AHMALgBuAGUAdABcAG4AIAAgACAAIABHAEkAUwBUACAAVQBSAEwAOgAgACAAIABoAHQAdABwAHMAOgAvAC8AZwBpAHMAdAAuAGcAaQB0AGgAdQBiAC4AYwBvAG0ALwByAC0AcwBpAGwAawAvADUAZABlAGQANwBhADMANAAyAGUAMwAzAGEAYQBmAGIANgBiADgAMQA3ADAAMAAzADIAOAAwAGIAYQBlAGEAMgBcAG4AIAAgACAAIABWAEUAUgBTAEkATwBOADoAIAAgACAAIAAxAC4AMAA3ACAAKABKAGEAbgB1AGEAcgB5AC0AMgAwADIANgApAFwAbgAqAC8AXABuAC8AKgBcAG4AIAAgACAAIABOAGEAbQBlADoAIAAgACAAIAAgACAAIAAgAEEAYgBvAHUAdAAoACkAXABuACAAIAAgACAAVgBlAHIAcwBpAG8AbgA6ACAAIAAgACAAIAAxAC4AMQAxACAAKAAwADQALQBKAHUAbAAtADIAMAAyADUAKQAgAC0ALQAgAFIAIABTAGkAbABrACwAIABSAFgATAAgAEQAZQB2AGUAbABvAHAAbQBlAG4AdABcAG4AIAAgACAAIABEAGUAcwBjAHIAaQBwAHQAaQBvAG4AOgAgACoALwAvACoAKgBQAHIAbwB2AGkAZABlAHMAIABpAG4AZgBvAHIAbQBhAHQAaQBvAG4AIABhAGIAbwB1AHQAIAB0AGgAZQAgAGYAdQBuAGMAdABpAG8AbgBzACAAaQBuACAAdABoAGkAcwAgAG0AbwBkAHUAbABlACoALwAvACoAXABuACAAIAAgACAAUABhAHIAYQBtAGUAdABlAHIAcwA6AFwAbgAgACAAIAAgACAAIAAgACAAKwAgAHMAZQBsAGUAYwB0AF8AZgB1AG4AYwB0AGkAbwBuACAAIAAgAD0AIAAoAG8AcAB0AGkAbwBuAGEAbAApACAAdABoAGUAIABuAGEAbQBlACAAbwByACAAaQBuAGQAZQB4ACAAbgB1AG0AYgBlAHIAIABvAGYAIAB0AGgAZQAgAGYAdQBuAGMAdABpAG8AbgAgAHQAaABhAHQAIAB1AHMAZQByACAAdwBhAG4AdABzACAAaQBuAGYAbwByAG0AYQB0AGkAbwBuACAAYQBiAG8AdQB0AFwAbgAgACAAIAAgAEUAcgByAG8AcgAgAGMAbwBkAGUAcwA6AFwAbgAgACAAIAAgACAAIAAgACAAIwBbAEUAcgByAG8AcgA6ACAAbgBhAG0AZQAgAG4AbwB0ACAAcgBlAGMAbwBnAG4AaQBzAGUAZABdACAAIAAgAD0AIAB0AGgAZQAgAHAAcgBvAHYAaQBkAGUAZAAgAG4AYQBtAGUAIABzAHQAcgBpAG4AZwAgAGQAbwBlAHMAIABuAG8AdAAgAG0AYQB0AGMAaAAgAHQAaABvAHMAZQAgAGkAbgAgAHQAaABlACAAbQBvAGQAdQBsAGUAXABuACAAIAAgACAAIAAgACAAIAAjAFsARQByAHIAbwByADoAIABpAG4AZABlAHgAIABuAG8AdAAgAHIAZQBjAG8AZwBuAGkAcwBlAGQAXQAgACAAPQAgAHQAaABlACAAcAByAG8AdgBpAGQAZQBkACAAaQBuAGQAZQB4ACAAbgB1AG0AYgBlAHIAIABkAG8AZQBzACAAbgBvAHQAIABtAGEAdABjAGgAIAB0AGgAbwBzAGUAIABpAG4AIAB0AGgAZQAgAG0AbwBkAHUAbABlAFwAbgAgACAAIAAgAE4AbwB0AGUAcwA6AFwAbgAgACAAIAAgACAAIAAgACAALQAgAGkAZgAgAHQAaABlACAAcwBlAGwAZQBjAHQAXwBmAHUAbgBjAHQAaQBvAG4AIABpAG4AcAB1AHQAIABpAHMAIABvAG0AaQB0AHQAZQBkACAAbwByACAAYQBuACAAaQBuAGQAZQB4ACAAbwBmACAAMAAgAGkAcwAgAHAAcgBvAHYAaQBkAGUAZAAgAHQAaABlAG4AIABhACAAdABhAGIAbABlACAAbwBmACAAaQBuAGYAbwByAG0AYQB0AGkAbwBuACAAYQBiAG8AdQB0ACAAdABoAGUAIABtAG8AZAB1AGwAZQAgAGkAcwAgAHIAZQB0AHUAcgBuAGUAZABcAG4AIAAgACAAIAAgACAAIAAgAC0AIAB0AGgAZQAgAHUAcwBlAHIAIABjAGEAbgAgAGUAaQB0AGgAZQByACAAcAByAG8AdgBpAGQAZQAgAHQAaABlACAAaQBuAGQAZQB4ACAAbwBmACAAdABoAGUAIABjAGgAbwBzAGUAbgAgAGYAdQBuAGMAdABpAG8AbgAgAGEAcwAgAGEAbgAgAGkAbgB0AGUAZwBlAHIAIAAoADEAKwApACwAIABvAHIAIAB0AGgAZQAgAG4AYQBtAGUAIABvAGYAIAB0AGgAZQAgAGMAaABvAHMAZQBuACAAZgB1AG4AYwB0AGkAbwBuACAAYQBzACAAYQAgAHMAdAByAGkAbgBnAFwAbgAqAC8AXABuAEEAYgBvAHUAdAAgAD0AIABMAEEATQBCAEQAQQAoAFsAcwBlAGwAZQBjAHQAXwBmAHUAbgBjAHQAaQBvAG4AXQAsAFwAbgAgACAAIAAgAEwARQBUACgAXABuACAAIAAgACAAIAAgACAAIABfAG4AdQBtACwAIABJAEYAKAAgAEkAUwBPAE0ASQBUAFQARQBEACgAcwBlAGwAZQBjAHQAXwBmAHUAbgBjAHQAaQBvAG4AKQAsACAAMAAsAFwAbgAgACAAIAAgACAAIAAgACAAIAAgACAAIABJAEYAKAAgAEkAUwBOAFUATQBCAEUAUgAoAHMAZQBsAGUAYwB0AF8AZgB1AG4AYwB0AGkAbwBuACkALAAgAEkATgBUACgAcwBlAGwAZQBjAHQAXwBmAHUAbgBjAHQAaQBvAG4AKQAsACAAXAAiACMAXAAiACkAXABuACAAIAAgACAAIAAgACAAIAApACwAXABuACAAIAAgACAAIAAgACAAIABfAGEAcgByAEQAZQBmACwAIABJAEYAKABfAG4AdQBtACAAPQAgADAALAAgAFQARQBYAFQAUwBQAEwASQBUACgAXABuACAAIAAgACAAIAAgACAAIAAgACAAIAAgAFwAIgBBAGIAbwB1AHQAOgCsAFIAWABMACAARABhAHQAYQAgAFMAbQBvAG8AdABoAGkAbgBnACAAVABvAG8AbABzAHwAXAAiACAAJgBcAG4AIAAgACAAIAAgACAAIAAgACAAIAAgACAAXAAiAKwAUwB1AGcAZwBlAHMAdABlAGQAIABtAG8AZAB1AGwAZQAgAG4AYQBtAGUAIAA9ACAAUgBYAEwAXwBTAG0AbwBvAHQAaABpAG4AZwB8AFwAIgAgACYAXABuACAAIAAgACAAIAAgACAAIAAgACAAIAAgAFwAIgBWAGUAcgBzAGkAbwBuADoArAB2ADEALgAwADcAIAAgACgASgBhAG4ALQAyADAAMgA1ACkAfABcACIAIAAmAFwAbgAgACAAIAAgACAAIAAgACAAIAAgACAAIABcACIAQQB1AHQAaABvAHIAOgCsAFIAIABTAGkAbABrACwAIABSAFgATAAgAEQAZQB2AGUAbABvAHAAbQBlAG4AdAB8AFwAIgAgACYAXABuACAAIAAgACAAIAAgACAAIAAgACAAIAAgAFwAIgBVAFIATAA6AKwAaAB0AHQAcABzADoALwAvAGcAaQBzAHQALgBnAGkAdABoAHUAYgAuAGMAbwBtAC8AcgAtAHMAaQBsAGsALwB7AC4ALgAuAH0AfABcACIAJgBcAG4AIAAgACAAIAAgACAAIAAgACAAIAAgACAAXAAiAKwAfABcACIAIAAmAFwAbgAgACAAIAAgACAAIAAgACAAIAAgACAAIABcACIARgB1AG4AYwB0AGkAbwBuAKwARABlAHMAYwByAGkAcAB0AGkAbwBuAHwAXAAiACAAJgBcAG4AIAAgACAAIAAgACAAIAAgACAAIAAgACAAXAAiADAAIAAtACAAQQBiAG8AdQB0AKwAUAByAG8AdgBpAGQAZQBzACAAaQBuAGYAbwByAG0AYQB0AGkAbwBuACAAYQBiAG8AdQB0ACAAdABoAGUAIABmAHUAbgBjAHQAaQBvAG4AcwAgAGkAbgAgAHQAaABpAHMAIABtAG8AZAB1AGwAZQB8AFwAIgAgACYAXABuACAAIAAgACAAIAAgACAAIAAgACAAIAAgAFwAIgAxACAALQAgAEUAeABwAFMAbQBvAG8AdABoAGkAbgBnAKwAQwByAGUAYQB0AGUAcwAgAGEAIAAnAHMAbQBvAG8AdABoAGUAZAAnACAAbABlAHYAZQBsACAAbwB2AGUAcgAgAGEAIABzAGUAcgBpAGUAcwAgAG8AZgAgAHYAYQBsAHUAZQBzACAAdQBzAGkAbgBnACAAZQB4AHAAbwBuAGUAbgB0AGkAYQBsACAAcwBtAG8AbwB0AGgAaQBuAGcALAAgAHIAZQBkAHUAYwBpAG4AZwAgAHYAYQByAGkAYQBiAGkAbABpAHQAeQAgAGkAbgAgAHQAaABlACAAcwBlAHIAaQBlAHMAfABcACIAIAAmAFwAbgAgACAAIAAgACAAIAAgACAAIAAgACAAIABcACIAMgAgAC0AIABJAG4AdABlAHIAcABvAGwAYQB0AGkAbwBuAKwAQwBhAGwAYwB1AGwAYQB0AGUAcwAgAG0AaQBzAHMAaQBuAGcAIAB2AGEAbAB1AGUAcwAgAGIAZQB0AHcAZQBlAG4AIABrAG4AbwB3AG4AIAB2AGEAbAB1AGUAcwAgAHUAcwBpAG4AZwAgAGwAaQBuAGUAYQByACAAaQBuAHQAZQByAHAAbwBsAGEAdABpAG8AbgB8AFwAIgAgACYAXABuACAAIAAgACAAIAAgACAAIAAgACAAIAAgAFwAIgAzACAALQAgAE8AdQB0AGwAaQBlAHIAcwCsAFIAZQBzAHQAcgBpAGMAdABzACAAcABvAHQAZQBuAHQAaQBhAGwAIABvAHUAdABsAGkAZQByACAAdgBhAGwAdQBlAHMAIABpAG4AIABhACAAcwBlAHIAaQBlAHMAIABhAGIAbwB2AGUAIABhAG4AZAAvAG8AcgAgAGIAZQBsAG8AdwAgAHIAZQBsAGEAdABpAHYAZQAgAHQAaAByAGUAcwBoAG8AbABkACAAdgBhAGwAdQBlAHMAXAAiACwAXABuACAAIAAgACAAIAAgACAAIAAgACAAIAAgAFwAIgCsAFwAIgAsACAAXAAiAHwAXAAiACkALABcAG4AIAAgACAAIAAgACAAIAAgACAAIAAgACAAXAAiAFwAIgBcAG4AIAAgACAAIAAgACAAIAAgACkALABcAG4AIAAgACAAIAAgACAAIAAgAF8AYQByAHIATgBhAG0AZQBzACwAIABUAEUAWABUAFMAUABMAEkAVAAoAFwAbgAgACAAIAAgACAAIAAgACAAIAAgACAAIABcACIARQB4AHAAUwBtAG8AbwB0AGgAaQBuAGcApgBcACIAIAAmAFwAbgAgACAAIAAgACAAIAAgACAAIAAgACAAIABcACIASQBuAHQAZQByAHAAbwBsAGEAdABpAG8AbgCmAFwAIgAgACYAXABuACAAIAAgACAAIAAgACAAIAAgACAAIAAgAFwAIgBPAHUAdABsAGkAZQByAHMAXAAiACwAXABuACAAIAAgACAAIAAgACAAIAAgACAAIAAgAFwAIgCmAFwAIgBcAG4AIAAgACAAIAAgACAAIAAgACkALABcAG4AIAAgACAAIAAgACAAIAAgAF8AYQByAHIASABlAGwAcAAsACAAVABFAFgAVABTAFAATABJAFQAKABcAG4AIAAgACAAIAAgACAAIAAgACAAIAAgACAAXAAiAE4AQQBNAEUAOgCsAEUAeABwAFMAbQBvAG8AdABoAGkAbgBnAHwAXAAiACAAJgBcAG4AIAAgACAAIAAgACAAIAAgACAAIAAgACAAXAAiAEQARQBTAEMAUgBJAFAAVABJAE8ATgA6AKwAQwByAGUAYQB0AGUAcwAgAGEAIAAnAHMAbQBvAG8AdABoAGUAZAAnACAAbABlAHYAZQBsACAAbwB2AGUAcgAgAGEAIABzAGUAcgBpAGUAcwAgAG8AZgAgAHYAYQBsAHUAZQBzACAAdQBzAGkAbgBnACAAZQB4AHAAbwBuAGUAbgB0AGkAYQBsACAAcwBtAG8AbwB0AGgAaQBuAGcALAAgAHIAZQBkAHUAYwBpAG4AZwAgAHYAYQByAGkAYQBiAGkAbABpAHQAeQAgAGkAbgAgAHQAaABlACAAcwBlAHIAaQBlAHMAfABcACIAIAAmAFwAbgAgACAAIAAgACAAIAAgACAAIAAgACAAIABcACIAVgBFAFIAUwBJAE8ATgA6AKwAdgAxAC4AMAA0ACAAKAAxADIALQBEAGUAYwAtADIAMAAyADUAKQB8AFwAIgAgACYAXABuACAAIAAgACAAIAAgACAAIAAgACAAIAAgAFwAIgBQAEEAUgBBAE0ARQBUAEUAUgBTADoArAB8AFwAIgAgACYAXABuACAAIAAgACAAIAAgACAAIAAgACAAIAAgAFwAIgBhAHIAcgBhAHkArAAoAHIAZQBxAHUAaQByAGUAZAApACAAaQBuAHAAdQB0ACAAZABhAHQAYQAgAHMAZQByAGkAZQBzACAAbwBmACAAbgB1AG0AZQByAGkAYwAgAHYAYQBsAHUAZQBzACAAYQBzACAAYQAgADEARAAgAGEAcgByAGEAeQB8AFwAIgAgACYAXABuACAAIAAgACAAIAAgACAAIAAgACAAIAAgAFwAIgBhAGwAcABoAGEAXwB2AGEAbAB1AGUArAAoAHIAZQBxAHUAaQByAGUAZAApACAAbgB1AG0AZQByAGkAYwAgAGYAYQBjAHQAbwByACAAcwBlAHQAdABpAG4AZwAgAGgAbwB3ACAAbQB1AGMAaAAgAHMAbQBvAG8AdABoAGkAbgBnACAAaQBzACAAYQBwAHAAbABpAGUAZAAgACgAMQAuADAAIAA9ACAAbgBvACAAcwBtAG8AbwB0AGgAaQBuAGcALAAgADAALgAwACAAPQAgAGYAbABhAHQALQBsAGkAbgBlACkAfABcACIAIAAmAFwAbgAgACAAIAAgACAAIAAgACAAIAAgACAAIABcACIAcwB0AGEAcgB0AF8AdgBhAGwAdQBlAKwAKABvAHAAdABpAG8AbgBhAGwAKQAgAGkAbgBpAHQAaQBhAGwAIAB2AGEAbAB1AGUAIABmAG8AcgAgAHQAaABlACAAZgBvAHIAdwBhAHIAZAAgAHMAbQBvAG8AdABoAGkAbgBnACAAYwBhAGwAYwBzACAAYQBuAGQAIABmAGkAcgBzAHQAIAB2AGEAbAB1AGUAIABvAGYAIAB0AGgAZQAgAG8AdQB0AHAAdQB0ACAAYQByAHIAYQB5AHwAXAAiACAAJgBcAG4AIAAgACAAIAAgACAAIAAgACAAIAAgACAAXAAiAGUAbgBkAF8AdgBhAGwAdQBlAKwAKABvAHAAdABpAG8AbgBhAGwAKQAgAGkAbgBpAHQAaQBhAGwAIAB2AGEAbAB1AGUAIABmAG8AcgAgAHQAaABlACAAYgBhAGMAawB3AGEAcgBkACAAcwBtAG8AbwB0AGgAaQBuAGcAIABjAGEAbABjAHMAIABhAG4AZAAgAGwAYQBzAHQAIAB2AGEAbAB1AGUAIABvAGYAIAB0AGgAZQAgAG8AdQB0AHAAdQB0ACAAYQByAHIAYQB5AHwAXAAiACAAJgBcAG4AIAAgACAAIAAgACAAIAAgACAAIAAgACAAXAAiAG8AdQB0AHAAdQB0AKwAKABvAHAAdABpAG8AbgBhAGwAKQAgAGQAZQB0AGUAcgBtAGkAbgBlAHMAIAB0AGgAZQAgAGYAdQBuAGMAdABpAG8AbgAgAG8AdQB0AHAAdQB0ACAAdAB5AHAAZQAgACgAbgB1AG0AYgBlAHIAIAAwAC8ALQAxAC8AKwAxACkAfABcACIAIAAmAFwAbgAgACAAIAAgACAAIAAgACAAIAAgACAAIABcACIAZQB4AGMAbAB1AGQAZQBfAHAAZQByAGkAbwBkAHMArAAoAG8AcAB0AGkAbwBuAGEAbAApACAAYQByAHIAYQB5ACAAbwBmACAAcgBlAGwAYQB0AGkAdgBlACAAZABhAHQAYQAgAGkAbgBkAGkAYwBlAHMAIAB0AG8AIABlAHgAYwBsAHUAZABlACAAZgByAG8AbQAgAGMAYQBsAGMAdQBsAGEAdABpAG8AbgBzACAAYQBuAGQAIABvAHUAdABwAHUAdAAgAHUAbgBjAGgAYQBuAGcAZQBkAHwAXAAiACAAJgBcAG4AIAAgACAAIAAgACAAIAAgACAAIAAgACAAXAAiAHIAZQBwAGwAYQBjAGUAXwBlAHIAcgBvAHIAcwCsACgAbwBwAHQAaQBvAG4AYQBsACkAIAB2AGEAbAB1AGUAIAB0AG8AIAByAGUAcABsAGEAYwBlACAAZQByAHIAbwByAHMAIABpAG4AIAB0AGgAZQAgAGkAbgBwAHUAdAAgAGQAYQB0AGEAIABzAGUAcgBpAGUAcwB8AFwAIgAgACYAXABuACAAIAAgACAAIAAgACAAIAAgACAAIAAgAFwAIgByAGUAcABsAGEAYwBlAF8AYgBsAGEAbgBrAHMArAAoAG8AcAB0AGkAbwBuAGEAbAApACAAdgBhAGwAdQBlACAAdABvACAAcgBlAHAAbABhAGMAZQAgAGUAcgByAG8AcgBzACAAaQBuACAAdABoAGUAIABpAG4AcAB1AHQAIABkAGEAdABhACAAcwBlAHIAaQBlAHMAXAAiACAAJgBcAG4AIAAgACAAIAAgACAAIAAgACAAIAAgACAAXAAiAKYAXAAiACAAJgBcAG4AIAAgACAAIAAgACAAIAAgACAAIAAgACAAXAAiAE4AQQBNAEUAOgCsAEkAbgB0AGUAcgBwAG8AbABhAHQAaQBvAG4AfABcACIAIAAmAFwAbgAgACAAIAAgACAAIAAgACAAIAAgACAAIABcACIARABFAFMAQwBSAEkAUABUAEkATwBOADoArABDAGEAbABjAHUAbABhAHQAZQBzACAAbQBpAHMAcwBpAG4AZwAgAHYAYQBsAHUAZQBzACAAYgBlAHQAdwBlAGUAbgAgAGsAbgBvAHcAbgAgAHYAYQBsAHUAZQBzACAAdQBzAGkAbgBnACAAbABpAG4AZQBhAHIAIABpAG4AdABlAHIAcABvAGwAYQB0AGkAbwBuAHwAXAAiACAAJgBcAG4AIAAgACAAIAAgACAAIAAgACAAIAAgACAAXAAiAFYARQBSAFMASQBPAE4AOgCsAHYAMQAuADAAMwAgACgAMQAwAC0ARABlAGMALQAyADAAMgA1ACkAfABcACIAIAAmAFwAbgAgACAAIAAgACAAIAAgACAAIAAgACAAIABcACIAUABBAFIAQQBNAEUAVABFAFIAUwA6AKwAfABcACIAIAAmAFwAbgAgACAAIAAgACAAIAAgACAAIAAgACAAIABcACIAdgBhAGwAdQBlAHMArAAoAHIAZQBxAHUAaQByAGUAZAApACAAYQByAHIAYQB5ACAAbwBmACAAbgB1AG0AZQByAGkAYwAgAGQAYQB0AGEAIABwAG8AaQBuAHQAcwAgAHUAcwBlAGQAIABhAHMAIAB0AGgAZQAgAGIAYQBzAGkAcwAgAGYAbwByACAAdABoAGUAIABpAG4AdABlAHIAcABvAGwAYQB0AGkAbwBuAHwAXAAiACAAJgBcAG4AIAAgACAAIAAgACAAIAAgACAAIAAgACAAXAAiAHAAZQByAGkAbwBkAHMArAAoAHIAZQBxAHUAaQByAGUAZAApACAAYQByAHIAYQB5ACAAYwBvAG4AdABhAGkAbgBpAG4AZwAgAHAAZQByAGkAbwBkACAAdgBhAGwAdQBlAHMAIABtAGEAdABjAGgAZQBkACAAdABvACAAdABoAGUAIAB2AGEAbAB1AGUAcwAgAGkAbgBwAHUAdAAgAGEAcgByAGEAeQB8AFwAIgAgACYAXABuACAAIAAgACAAIAAgACAAIAAgACAAIAAgAFwAIgBzAHQAZQBwAKwAKABvAHAAdABpAG8AbgBhAGwAKQAgAHAAbwBzAGkAdABpAHYAZQAgAG4AdQBtAGIAZQByACAAdQBzAGUAZAAgAHQAbwAgAGUAeABwAGEAbgBkACAAdABoAGUAIABwAGUAcgBpAG8AZABzACAAYQByAHIAYQB5ACAAdwBpAHQAaABvAHUAdAAgAG0AaQBzAHMAaQBuAGcAIABkAGEAdABhACAAcABvAGkAbgB0AHMAfABcACIAIAAmAFwAbgAgACAAIAAgACAAIAAgACAAIAAgACAAIABcACIAaQBnAG4AbwByAGUAXwBlAHIAcgBvAHIAcwCsACgAbwBwAHQAaQBvAG4AYQBsACkAIABkAGUAdABlAHIAbQBpAG4AZQBzACAAdwBoAGUAdABoAGUAcgAgAGEAbgB5ACAAbgBvAG4ALQBOAC8AQQAgAGUAcgByAG8AcgAgAHYAYQBsAHUAZQBzACAAYQByAGUAIABlAHgAYwBsAHUAZABlAGQAIABmAHIAbwBtACAAYwBhAGwAYwB1AGwAYQB0AGkAbwBuAHMAIAAoAFQAcgB1AGUALwBGAGEAbABzAGUAKQB8AFwAIgAgACYAXABuACAAIAAgACAAIAAgACAAIAAgACAAIAAgAFwAIgByAGUAYgBhAGwAYQBuAGMAZQBfAG8AdQB0AHAAdQB0AKwAKABvAHAAdABpAG8AbgBhAGwAKQAgAGQAZQB0AGUAcgBtAGkAbgBlAHMAIAB3AGgAZQB0AGgAZQByACAAdABvACAAcgBlAGQAdQBjAGUAIABjAGEAbABjAHUAbABhAHQAZQBkACAAbwB1AHQAcAB1AHQAIABzAG8AIAB0AGgAYQB0ACAAbwB1AHQAcAB1AHQAIAB0AG8AdABhAGwAIABpAHMAIAB1AG4AYwBoAGEAbgBnAGUAZAAgACgAVAByAHUAZQAvAEYAYQBsAHMAZQApAHwAXAAiACAAJgBcAG4AIAAgACAAIAAgACAAIAAgACAAIAAgACAAXAAiAG8AdQB0AHAAdQB0AF8AcABlAHIAaQBvAGQAcwCsACgAbwBwAHQAaQBvAG4AYQBsACkAIABkAGUAdABlAHIAbQBpAG4AZQBzACAAdwBoAGUAdABoAGUAcgAgAHQAbwAgAGkAbgBjAGwAdQBkAGUAIAB0AGgAZQAgAGUAeABwAGEAbgBkAGUAZAAgAHAAZQByAGkAbwBkAHMAIABhAHIAcgBhAHkAIABpAG4AIAB0AGgAZQAgAG8AdQB0AHAAdQBpAHQAIAAoAFQAcgB1AGUALwBGAGEAbABzAGUAKQB8AFwAIgAgACYAXABuACAAIAAgACAAIAAgACAAIAAgACAAIAAgAFwAIgBvAHUAdABwAHUAdABfAHYAZQByAHQAaQBjAGEAbACsACgAbwBwAHQAaQBvAG4AYQBsACkAIABkAGUAdABlAHIAbQBpAG4AZQBzACAAdwBoAGUAdABoAGUAcgAgAHQAbwAgAG8AdQB0AHAAdQB0ACAAaQBuACAAdgBlAHIAdABpAGMAYQBsACAAbwByACAAaABvAHIAaQB6AG8AbgB0AGEAbAAgAG8AcgBpAGUAbgB0AGEAdABpAG8AbgAgACgAVAByAHUAZQAvAEYAYQBsAHMAZQApAFwAIgAgACYAXABuACAAIAAgACAAIAAgACAAIAAgACAAIAAgAFwAIgCmAFwAIgAgACYAXABuACAAIAAgACAAIAAgACAAIAAgACAAIAAgAFwAIgBOAEEATQBFADoArABPAHUAdABsAGkAZQByAHMAfABcACIAIAAmAFwAbgAgACAAIAAgACAAIAAgACAAIAAgACAAIABcACIARABFAFMAQwBSAEkAUABUAEkATwBOADoArABSAGUAcwB0AHIAaQBjAHQAcwAgAHAAbwB0AGUAbgB0AGkAYQBsACAAbwB1AHQAbABpAGUAcgAgAHYAYQBsAHUAZQBzACAAaQBuACAAYQAgAHMAZQByAGkAZQBzACAAYQBiAG8AdgBlACAAYQBuAGQALwBvAHIAIABiAGUAbABvAHcAIAByAGUAbABhAHQAaQB2AGUAIAB0AGgAcgBlAHMAaABvAGwAZAAgAHYAYQBsAHUAZQBzAHwAXAAiACAAJgBcAG4AIAAgACAAIAAgACAAIAAgACAAIAAgACAAXAAiAFYARQBSAFMASQBPAE4AOgCsAHYAMQAuADAANQAgACgAMgAwAC0ARABlAGMALQAyADAAMgA1ACkAfABcACIAIAAmAFwAbgAgACAAIAAgACAAIAAgACAAIAAgACAAIABcACIAUABBAFIAQQBNAEUAVABFAFIAUwA6AKwAfABcACIAIAAmAFwAbgAgACAAIAAgACAAIAAgACAAIAAgACAAIABcACIAYQByAHIAYQB5AKwAKAByAGUAcQB1AGkAcgBlAGQAKQAgAGkAbgBwAHUAdAAgAGQAYQB0AGEAIABzAGUAcgBpAGUAcwAgAG8AZgAgAG4AdQBtAGUAcgBpAGMAIAB2AGEAbAB1AGUAcwAgAGEAcwAgAGEAIAAxAEQAIABhAHIAcgBhAHkAfABcACIAIAAmAFwAbgAgACAAIAAgACAAIAAgACAAIAAgACAAIABcACIAYwBvAGUAZgBmAGkAYwBpAGUAbgB0AKwAKAByAGUAcQB1AGkAcgBlAGQAKQAgAG4AdQBtAGUAcgBpAGMAIABjAG8AcgByAGUAYwB0AGkAbwBuACAAZgBhAGMAdABvAHIAIAB0AG8AIABkAGUAdABlAHIAbQBpAG4AZQAgAHQAaABlACAAbwB1AHQAbABpAGUAcgAgAHQAaAByAGUAcwBoAG8AbABkAHMAIAAoAC0AMAAuADUAIABvAHIAIABhAGIAbwB2AGUAKQB8AFwAIgAgACYAXABuACAAIAAgACAAIAAgACAAIAAgACAAIAAgAFwAIgBvAHAAdABpAG8AbgCsACgAbwBwAHQAaQBvAG4AYQBsACkAIABkAGUAdABlAHIAbQBpAG4AZQBzACAAdABoAGUAIABmAHUAbgBjAHQAaQBvAG4AIABvAHUAdABwAHUAdAAgAHQAeQBwAGUAIAAoAG4AdQBtAGIAZQByACAALQAxAC8AMAAvACsAMQApAHwAXAAiACAAJgBcAG4AIAAgACAAIAAgACAAIAAgACAAIAAgACAAXAAiAHIAZQBwAGwAYQBjAGUAXwBlAHIAcgBvAHIAcwCsACgAbwBwAHQAaQBvAG4AYQBsACkAIAB2AGEAbAB1AGUAIAB0AG8AIAByAGUAcABsAGEAYwBlACAAZQByAHIAbwByAHMAIABpAG4AIAB0AGgAZQAgAGkAbgBwAHUAdAAgAGQAYQB0AGEAIABzAGUAcgBpAGUAcwB8AFwAIgAgACYAXABuACAAIAAgACAAIAAgACAAIAAgACAAIAAgAFwAIgByAGUAcABsAGEAYwBlAF8AYgBsAGEAbgBrAHMArAAoAG8AcAB0AGkAbwBuAGEAbAApACAAdgBhAGwAdQBlACAAdABvACAAcgBlAHAAbABhAGMAZQAgAGUAcgByAG8AcgBzACAAaQBuACAAdABoAGUAIABpAG4AcAB1AHQAIABkAGEAdABhACAAcwBlAHIAaQBlAHMAfABcACIAIAAmAFwAbgAgACAAIAAgACAAIAAgACAAIAAgACAAIABcACIAZQB4AGMAbAB1AGQAZQBfAHAAZQByAGkAbwBkAHMArAAoAG8AcAB0AGkAbwBuAGEAbAApACAAYQByAHIAYQB5ACAAbwBmACAAcgBlAGwAYQB0AGkAdgBlACAAZABhAHQAYQAgAGkAbgBkAGkAYwBlAHMAIAB0AG8AIABlAHgAYwBsAHUAZABlACAAZgByAG8AbQAgAGMAYQBsAGMAdQBsAGEAdABpAG8AbgBzACAAYQBuAGQAIABvAHUAdABwAHUAdAAgAHUAbgBjAGgAYQBuAGcAZQBkAFwAIgAsAFwAbgAgACAAIAAgACAAIAAgACAAIAAgACAAIABcACIApgBcACIAXABuACAAIAAgACAAIAAgACAAIAApACwAXABuACAAIAAgACAAIAAgACAAIABfAGEAcgByAE8AdQB0ACwAIABJAEYAKABfAG4AdQBtACAAPQAgAFwAIgAjAFwAIgAsAFwAbgAgACAAIAAgACAAIAAgACAAIAAgACAAIABMAEUAVAAoAFwAbgAgACAAIAAgACAAIAAgACAAIAAgACAAIAAgACAAIAAgACAAXwBpAGQAeAAsACAAUwBVAE0AKAAgAFMARQBRAFUARQBOAEMARQAoADEALAAgAEMATwBVAE4AVABBACgAXwBhAHIAcgBOAGEAbQBlAHMAKQApACAAKgAgACgAXwBhAHIAcgBOAGEAbQBlAHMAIAA9ACAAcwBlAGwAZQBjAHQAXwBmAHUAbgBjAHQAaQBvAG4AKQApACwAXABuACAAIAAgACAAIAAgACAAIAAgACAAIAAgACAAIAAgACAAIABJAEYAKABfAGkAZAB4ACAAPgAgADAALAAgAFQARQBYAFQAUwBQAEwASQBUACgAIABJAE4ARABFAFgAKABfAGEAcgByAEgAZQBsAHAALAAgAF8AaQBkAHgAKQAsACAAXAAiAKwAXAAiACwAIABcACIAfABcACIAKQAsACAAXAAiACMAWwBFAHIAcgBvAHIAOgAgAG4AYQBtAGUAIABuAG8AdAAgAHIAZQBjAG8AZwBuAGkAcwBlAGQAXQBcACIAKQBcAG4AIAAgACAAIAAgACAAIAAgACAAIAAgACAAKQAsAFwAbgAgACAAIAAgACAAIAAgACAAIAAgACAAIABJAEYAKABfAG4AdQBtACAAPAA+ACAAMAAsACAASQBGAEUAUgBSAE8AUgAoACAAVABFAFgAVABTAFAATABJAFQAKAAgAEkATgBEAEUAWAAoAF8AYQByAHIASABlAGwAcAAsACAAXwBuAHUAbQApACwAIABcACIArABcACIALAAgAFwAIgB8AFwAIgApACwAIABcACIAIwBbAEUAcgByAG8AcgA6ACAAaQBuAGQAZQB4ACAAbgBvAHQAIAByAGUAYwBvAGcAbgBpAHMAZQBkAF0AXAAiACkALABcAG4AIAAgACAAIAAgACAAIAAgACAAIAAgACAAXAAiAFwAIgApAFwAbgAgACAAIAAgACAAIAAgACAAKQAsAFwAbgAgACAAIAAgACAAIAAgACAASQBGACgAXwBhAHIAcgBEAGUAZgAgAD0AIABcACIAXAAiACwAIABfAGEAcgByAE8AdQB0ACwAIABfAGEAcgByAEQAZQBmACkAXABuACAAIAAgACAAKQBcAG4AKQA7AFwAbgBcAG4ALwAqAFwAbgAgACAAIAAgAE4AYQBtAGUAOgAgACAAIAAgACAAIAAgACAARQB4AHAAUwBtAG8AbwB0AGgAaQBuAGcAKAApAFwAbgAgACAAIAAgAFYAZQByAHMAaQBvAG4AOgAgACAAIAAgACAAMQAuADAANAAgACgAMQAyAC0ARABlAGMALQAyADAAMgA1ACkAIAAtAC0AIABSACAAUwBpAGwAawAsACAAUgBYAEwAIABEAGUAdgBlAGwAbwBwAG0AZQBuAHQAXABuACAAIAAgACAARABlAHMAYwByAGkAcAB0AGkAbwBuADoAIAAqAC8ALwAqACoAQwByAGUAYQB0AGUAcwAgAGEAIAAnAHMAbQBvAG8AdABoAGUAZAAnACAAbABlAHYAZQBsACAAbwB2AGUAcgAgAGEAIABzAGUAcgBpAGUAcwAgAG8AZgAgAHYAYQBsAHUAZQBzACAAdQBzAGkAbgBnACAAZQB4AHAAbwBuAGUAbgB0AGkAYQBsACAAcwBtAG8AbwB0AGgAaQBuAGcALAAgAHIAZQBkAHUAYwBpAG4AZwAgAHYAYQByAGkAYQBiAGkAbABpAHQAeQAvAG0AbwB2AGUAbQBlAG4AdAAgAGkAbgAgAHQAaABlACAAcwBlAHIAaQBlAHMAKgAvAC8AKgBcAG4AIAAgACAAIABQAGEAcgBhAG0AZQB0AGUAcgBzADoAXABuACAAIAAgACAAIAAgACAAIAArACAAYQByAHIAYQB5ACAAIAAgACAAIAAgACAAIAAgACAAIAAgACAAPQAgACgAcgBlAHEAdQBpAHIAZQBkACkAIABhACAAcwBpAG4AZwBsAGUAIABkAGkAbQBlAG4AcwBpAG8AbgAgAGEAcgByAGEAeQAgAG8AZgAgAG4AdQBtAGUAcgBpAGMAIAB2AGEAbAB1AGUAcwBcAG4AIAAgACAAIAAgACAAIAAgACAAIAAgACAAIAAgACAAIAAgACAAIAAgACAAIAAgACAAIAAgACAAIAAgACAAIAAgAFQAaABlACAAMQBEACAAYQByAHIAYQB5ACAAYwBhAG4AIABiAGUAIABlAGkAdABoAGUAcgAgAGgAbwByAGkAegBvAG4AdABhAGwAIAAoADEAIAByAG8AdwAsACAAbQB1AGwAdABpAHAAbABlACAAYwBvAGwAdQBtAG4AcwApACAAbwByACAAdgBlAHIAdABpAGMAYQBsACAAKABtAHUAbAB0AGkAcABsAGUAIAByAG8AdwBzACwAIAAxACAAYwBvAGwAdQBtAG4AKQAgAGkAbgAgAG8AcgBpAGUAbgB0AGEAdABpAG8AbgBcAG4AIAAgACAAIAAgACAAIAAgACsAIABhAGwAcABoAGEAXwB2AGEAbAB1AGUAIAAgACAAIAAgACAAIAA9ACAAKAByAGUAcQB1AGkAcgBlAGQAKQAgAGEAIABuAHUAbQBlAHIAaQBjACAAZgBhAGMAdABvAHIAIAB3AGgAaQBjAGgAIABkAGUAdABlAHIAbQBpAG4AZQBzACAAaABvAHcAIABtAHUAYwBoACAAYQAgAHYAYQBsAHUAZQAgAGkAcwAgAGEAbAB0AGUAcgBlAGQAIABjAG8AbQBwAGEAcgBlAGQAIAB0AG8AIAB0AGgAZQAgAHAAcgBlAHYAaQBvAHUAcwAgAGMAYQBsAGMAdQBsAGEAdABlAGQAIAB2AGEAbAB1AGUAIABpAG4AIABvAHIAZABlAHIAIAB0AG8AIABzAG0AbwBvAHQAaAAgAG8AdQB0ACAAbQBvAHYAZQBtAGUAbgB0AHMALwBkAGkAZgBmAGUAcgBlAG4AYwBlAHMAIABiAGUAdAB3AGUAZQBuACAAZQBhAGMAaAAgAGQAYQB0AGEAIABwAG8AaQBuAHQAXABuACAAIAAgACAAIAAgACAAIAAgACAAIAAgACAAIAAgACAAIAAgACAAIAAgACAAIAAgACAAIAAgACAAIAAgACAAIAAgACAAIAAgADEALgAwADAAIAA9ACAAZABvAGUAcwAgAG4AbwB0ACAAYQBsAHQAZQByACAAZQBhAGMAaAAgAGQAYQB0AGEAIABwAG8AaQBuAHQALAAgAHcAaQB0AGgAIAB0AGgAZQAgAG8AdQB0AHAAdQB0ACAAdgBhAGwAdQBlAHMAIABtAGEAdABjAGgAaQBuAGcAIAB0AGgAZQAgAGkAbgBwAHUAdAAgAHYAYQBsAHUAZQBzAFwAbgAgACAAIAAgACAAIAAgACAAIAAgACAAIAAgACAAIAAgACAAIAAgACAAIAAgACAAIAAgACAAIAAgACAAIAAgACAAIAAgACAAIAAwAC4AMAAwACAAPQAgAGYAdQBsAGwAeQAgAHIAZQBkAHUAYwBlAHMALwBzAG0AbwBvAHQAaABzACAAdABoAGUAIABjAHUAcgByAGUAbgB0ACAAZABhAHQAYQAgAHAAbwBpAG4AdAAgAGMAcgBlAGEAdABpAG4AZwAgAGEAIABmAGwAYQB0AC0AbABpAG4AZQAgAHQAcgBlAG4AZABcAG4AIAAgACAAIAAgACAAIAAgACAAIAAgACAAIAAgACAAIAAgACAAIAAgACAAIAAgACAAIAAgACAAIAAgACAAIAAgACAAIAAgACAAIAAgACAAIAAgACAAIAAgAC0APgAgAGYAbwByACAAYQAgAGYAbwByAHcAYQByAGQAIABzAG0AbwBvAHQAaABpAG4AZwAgAGMAYQBsAGMAdQBsAGEAdABpAG8AbgAgAHQAaABlACAAZgBsAGEAdAAtAGwAaQBuAGUAIAB3AGkAbABsACAAYgBlACAAYQB0ACAAdABoAGUAIABpAG4AaQB0AGkAYQBsACAAdgBhAGwAdQBlAFwAbgAgACAAIAAgACAAIAAgACAAIAAgACAAIAAgACAAIAAgACAAIAAgACAAIAAgACAAIAAgACAAIAAgACAAIAAgACAAIAAgACAAIAAgACAAIAAgACAAIAAgACAALQA+ACAAZgBvAHIAIABhACAAYgBhAGMAawB3AGEAcgBkACAAcwBtAG8AbwB0AGgAaQBuAGcAIABjAGEAbABjAHUAbABhAHQAaQBvAG4ALAAgAHQAaABlACAAZgBsAGEAdAAtAGwAaQBuAGUAIAB3AGkAbABsACAAYgBlACAAYQB0ACAAdABoAGUAIABlAG4AZAAvAGwAYQBzAHQAIAB2AGEAbAB1AGUAXABuACAAIAAgACAAIAAgACAAIAAgACAAIAAgACAAIAAgACAAIAAgACAAIAAgACAAIAAgACAAIAAgACAAIAAgACAAIAAgACAAIAAgACAAIAAgACAAIAAgACAAIAAtAD4AIABmAG8AcgAgAGEAIABjAG8AbQBiAGkAbgBlAGQAIABzAG0AbwBvAHQAaABpAG4AZwAgAGMAYQBsAGMAdQBsAGEAdABpAG8AbgAsACAAdABoAGUAIABmAGwAYQB0AC0AbABpAG4AZQAgAHcAaQBsAGwAIABiAGUAIABhAHQAIABhAG4AIABhAHYAZQByAGEAZwBlACAAcABvAHMAaQB0AGkAbwBuACAAYgBlAHQAdwBlAGUAbgAgAHQAaABlACAAaQBuAGkAdABpAGEAbAAgAGEAbgBkACAAZQBuAGQALwBsAGEAcwB0ACAAdgBhAGwAdQBlAHMAXABuACAAIAAgACAAIAAgACAAIAArACAAcwB0AGEAcgB0AF8AdgBhAGwAdQBlACAAIAAgACAAIAAgACAAPQAgACgAbwBwAHQAaQBvAG4AYQBsACkAIABzAGUAdABzACAAdABoAGUAIABpAG4AaQB0AGkAYQBsACAAdgBhAGwAdQBlACAAZgBvAHIAIAB0AGgAZQAgAGYAbwByAHcAYQByAGQAIABzAG0AbwBvAHQAaABpAG4AZwAgAGMAYQBsAGMAdQBsAGEAdABpAG8AbgBzACwAIABhAG4AZAAgAHQAaABlACAAZgBpAHIAcwB0ACAAdgBhAGwAdQBlACAAaQBuACAAdABoAGUAIABvAHUAdABwAHUAdAAgAGEAcgByAGEAeQBcAG4AIAAgACAAIAAgACAAIAAgACAAIAAgACAAIAAgACAAIAAgACAAIAAgACAAIAAgACAAIAAgACAAIAAgACAAIAAgAEkAZgAgAG4AbwB0ACAAcwB1AHAAcABsAGkAZQBkACwAIAB3AGkAbABsACAAZABlAGYAYQB1AGwAdAAgAHQAbwAgAHQAaABlACAAZgBpAHIAcwB0ACAAdgBhAGwAdQBlACAAaQBuACAAdABoAGUAIABhAHIAcgBhAHkAIABpAG4AcAB1AHQAXABuACAAIAAgACAAIAAgACAAIAArACAAZQBuAGQAXwB2AGEAbAB1AGUAIAAgACAAIAAgACAAIAAgACAAPQAgACgAbwBwAHQAaQBvAG4AYQBsACkAIABzAGUAdABzACAAdABoAGUAIABpAG4AaQB0AGkAYQBsACAAdgBhAGwAdQBlACAAZgBvAHIAIAB0AGgAZQAgAGIAYQBjAGsAdwBhAHIAZAAgAHMAbQBvAG8AdABoAGkAbgBnACAAYwBhAGwAYwB1AGwAYQB0AGkAbwBuAHMALAAgAGEAbgBkACAAdABoAGUAIABsAGEAcwB0ACAAdgBhAGwAdQBlACAAaQBuACAAdABoAGUAIABvAHUAdABwAHUAdAAgAGEAcgByAGEAeQBcAG4AIAAgACAAIAAgACAAIAAgACAAIAAgACAAIAAgACAAIAAgACAAIAAgACAAIAAgACAAIAAgACAAIAAgACAAIAAgAEkAZgAgAG4AbwB0ACAAcwB1AHAAcABsAGkAZQBkACwAIAB3AGkAbABsACAAZABlAGYAYQB1AGwAdAAgAHQAbwAgAHQAaABlACAAbABhAHMAdAAgAHYAYQBsAHUAZQAgAGkAbgAgAHQAaABlACAAYQByAHIAYQB5ACAAaQBuAHAAdQB0AFwAbgAgACAAIAAgACAAIAAgACAAKwAgAG8AdQB0AHAAdQB0ACAAIAAgACAAIAAgACAAIAAgACAAIAAgAD0AIAAoAG8AcAB0AGkAbwBuAGEAbAApACAAZABlAHQAZQByAG0AaQBuAGUAcwAgAHQAaABlACAAdAB5AHAAZQAgAG8AZgAgAG8AdQB0AHAAdQB0ACAAYwBhAGwAYwB1AGwAYQB0AGkAbwBuACAAcgBlAHQAdQByAG4AZQBkACAAYgB5ACAAdABoAGUAIABmAHUAbgBjAHQAaQBvAG4AXABuACAAIAAgACAAIAAgACAAIAAgACAAIAAgACAAIAAgACAAIAAgACAAIAAgACAAIAAgACAAIAAgACAAIAAgACAAIAAgACAAIAAgACAAMAAgAD0AIABbAGQAZQBmAGEAdQBsAHQAXQAgAGMAYQBsAGMAdQBsAGEAdABlAHMAIABhACAAZgBvAHIAdwBhAHIAZAAgAHMAbQBvAG8AdABoAGkAbgBnACAAbwB1AHQAcAB1AHQAIABhAHIAcgBhAHkAIABzAHQAYQByAHQAaQBuAGcAIABmAHIAbwBtACAAdABoAGUAIABzAHQAYQByAHQAXwB2AGEAbAB1AGUALwBmAGkAcgBzAHQAIAB2AGEAbAB1AGUAIABpAG4AIAB0AGgAZQAgAGkAbgBwAHUAdAAgAGEAcgByAGEAeQBcAG4AIAAgACAAIAAgACAAIAAgACAAIAAgACAAIAAgACAAIAAgACAAIAAgACAAIAAgACAAIAAgACAAIAAgACAAIAAgACAAIAAgACAALQAxACAAPQAgAGMAYQBsAGMAdQBsAGEAdABlAHMAIABhACAAYgBhAGMAawB3AGEAcgBkACAAcwBtAG8AbwB0AGgAaQBuAGcAIABvAHUAdABwAHUAdAAgAGEAcgByAGEAeQAgAHMAdABhAHIAdABpAG4AZwAgAGYAcgBvAG0AIAB0AGgAZQAgAGUAbgBkAF8AdgBhAGwAdQBlAC8AbABhAHMAdAAgAHYAYQBsAHUAZQAgAGkAbgAgAHQAaABlACAAaQBuAHAAdQB0ACAAYQByAHIAYQB5AFwAbgAgACAAIAAgACAAIAAgACAAIAAgACAAIAAgACAAIAAgACAAIAAgACAAIAAgACAAIAAgACAAIAAgACAAIAAgACAAIAAgACAAIAArADEAIAA9ACAAYwBhAGwAYwB1AGwAYQB0AGUAcwAgAHQAaABlACAAYQB2AGUAcgBhAGcAZQAgAGIAZQB0AHcAZQBlAG4AIAB0AGgAZQAgAGYAbwByAHcAYQByAGQAIABhAG4AZAAgAGIAYQBjAGsAdwBhAHIAZAAgAHMAbQBvAG8AdABoAGkAbgBnACAAdgBhAGwAdQBlAHMALAAgAHMAdABhAHIAdABpAG4AZwAgAHcAaQB0AGgAIAB0AGgAZQAgAHMAdABhAHIAdABfAHYAYQBsAHUAZQAgAGEAbgBkACAAZQBuAGQAaQBuAGcAIAB3AGkAdABoACAAdABoAGUAIABlAG4AZABfAHYAYQBsAHUAZQBcAG4AIAAgACAAIAAgACAAIAAgACsAIABlAHgAYwBsAHUAZABlAF8AcABlAHIAaQBvAGQAcwAgACAAIAA9ACAAKABvAHAAdABpAG8AbgBhAGwAKQAgAGEAbgAgAGEAcgByAGEAeQAgAG8AZgAgAHIAZQBsAGEAdABpAHYAZQAgAHIAbwB3AC8AYwBvAGwAdQBtAG4AIABpAG4AZABlAHgAIABwAG8AcwBpAHQAaQBvAG4AcwAgAGkAbgBkAGkAYwBhAHQAaQBuAGcAIAB3AGgAaQBjAGgAIABkAGEAdABhACAAcABvAGkAbgB0AHMAIABzAGgAbwB1AGwAZAAgAG4AbwB0ACAAYgBlACAAaQBuAGMAbAB1AGQAZQBkACAAaQBuACAAdABoAGUAIABjAGEAbABjAHUAbABhAHQAaQBvAG4AcwAsACAAYQBuAGQAIAB3AGkAbABsACAAYgBlACAAdQBuAGMAaABhAG4AZwBlAGQAIABpAG4AIAB0AGgAZQAgAG8AdQB0AHAAdQB0AFwAbgAgACAAIAAgACAAIAAgACAAKwAgAHIAZQBwAGwAYQBjAGUAXwBlAHIAcgBvAHIAcwAgACAAIAAgAD0AIAAoAG8AcAB0AGkAbwBuAGEAbAApACAAYQAgAHYAYQBsAHUAZQAgAHUAcwBlAGQAIAB0AG8AIAByAGUAcABsAGEAYwBlACAAYQBuAHkAIABFAHgAYwBlAGwAIABlAHIAcgBvAHIAIAB2AGEAbAB1AGUAcwAgAGkAbgAgAHQAaABlACAAYQByAHIAYQB5ACAAaQBuAHAAdQB0AFwAbgAgACAAIAAgACAAIAAgACAAIAAgACAAIAAgACAAIAAgACAAIAAgACAAIAAgACAAIAAgACAAIAAgACAAIAAgACAASQBmACAAdABoAGUAIABpAG4AcAB1AHQAIABwAHIAbwB2AGkAZABlAGQAIABpAHMAIABhACAAbgB1AG0AYgBlAHIALAAgAHQAaABpAHMAIAB2AGEAbAB1AGUAIAB3AGkAbABsACAAYgBlACAAdQBzAGUAZAAgAHQAbwAgAHIAZQBwAGwAYQBjAGUAIABhAG4AeQAgAGUAcgByAG8AcgAgAHYAYQBsAHUAZQBzACAAaQBuACAAdABoAGUAIABtAGEAaQBuACAAYQByAHIAYQB5AFwAbgAgACAAIAAgACAAIAAgACAAIAAgACAAIAAgACAAIAAgACAAIAAgACAAIAAgACAAIAAgACAAIAAgACAAIAAgACAASQBmACAAdABoAGUAIABpAG4AcAB1AHQAIABwAHIAbwB2AGkAZABlAGQAIABpAHMAIABhACAAbABvAGcAaQBjAGEAbAAvAEIAbwBvAGwAZQBhAG4AIAB2AGEAbAB1AGUAOgBcAG4AIAAgACAAIAAgACAAIAAgACAAIAAgACAAIAAgACAAIAAgACAAIAAgACAAIAAgACAAIAAgACAAIAAgACAAIAAgACAAIAAgACAAIABUAFIAVQBFACAAPQAgAGUAcgByAG8AcgAgAHYAYQBsAHUAZQBzACAAdwBpAGwAbAAgAGIAZQAgAHIAZQBwAGwAYQBjAGUAZAAgAHcAaQB0AGgAIABhACAAIwBOAC8AQQAgAHYAYQBsAHUAZQAgAFwAbgAgACAAIAAgACAAIAAgACAAIAAgACAAIAAgACAAIAAgACAAIAAgACAAIAAgACAAIAAgACAAIAAgACAAIAAgACAAIAAgACAAIABGAEEATABTAEUAIAA9ACAAWwBkAGUAZgBhAHUAbAB0AF0AIABlAHIAcgBvAHIAIAB2AGEAbAB1AGUAcwAgAHcAaQBsAGwAIABuAG8AdAAgAGIAZQAgAHIAZQBwAGwAYQBjAGUAZAAgAGEAbgBkACAAdwBpAGwAbAAgAGIAZQAgAGkAbgBjAGwAdQBkAGUAZAAgAGkAbgAgAGYAdQBuAGMAdABpAG8AbgAgAGMAYQBsAGMAdQBsAGEAdABpAG8AbgBzACAAYQBuAGQAIABvAHUAdABwAHUAdABcAG4AIAAgACAAIAAgACAAIAAgACsAIAByAGUAcABsAGEAYwBlAF8AYgBsAGEAbgBrAHMAIAAgACAAIAA9ACAAKABvAHAAdABpAG8AbgBhAGwAKQAgAGEAIAB2AGEAbAB1AGUAIAB1AHMAZQBkACAAdABvACAAcgBlAHAAbABhAGMAZQAgAGEAbgB5ACAAYgBsAGEAbgBrACAAZABhAHQAYQAgAHAAbwBpAG4AdABzAC8AYwBlAGwAbABzACAAaQBuACAAdABoAGUAIABhAHIAcgBhAHkAIABpAG4AcAB1AHQAXABuACAAIAAgACAAIAAgACAAIAAgACAAIAAgACAAIAAgACAAIAAgACAAIAAgACAAIAAgACAAIAAgACAAIAAgACAAIABJAGYAIAB0AGgAZQAgAGkAbgBwAHUAdAAgAHAAcgBvAHYAaQBkAGUAZAAgAGkAcwAgAGEAIABuAHUAbQBiAGUAcgAsACAAdABoAGkAcwAgAHYAYQBsAHUAZQAgAHcAaQBsAGwAIABiAGUAIAB1AHMAZQBkACAAdABvACAAcgBlAHAAbABhAGMAZQAgAGEAbgB5ACAAYgBsAGEAbgBrACAAdgBhAGwAdQBlAHMAIABpAG4AIAB0AGgAZQAgAG0AYQBpAG4AIABhAHIAcgBhAHkAXABuACAAIAAgACAAIAAgACAAIAAgACAAIAAgACAAIAAgACAAIAAgACAAIAAgACAAIAAgACAAIAAgACAAIAAgACAAIABJAGYAIAB0AGgAZQAgAGkAbgBwAHUAdAAgAHAAcgBvAHYAaQBkAGUAZAAgAGkAcwAgAGEAIABsAG8AZwBpAGMAYQBsAC8AQgBvAG8AbABlAGEAbgAgAHYAYQBsAHUAZQA6AFwAbgAgACAAIAAgACAAIAAgACAAIAAgACAAIAAgACAAIAAgACAAIAAgACAAIAAgACAAIAAgACAAIAAgACAAIAAgACAAIAAgACAAIAAgAFQAUgBVAEUAIAA9ACAAYgBsAGEAbgBrACAAZABhAHQAYQAgAHAAbwBpAG4AdABzACAAdwBpAGwAbAAgAGIAZQAgAHIAZQBwAGwAYQBjAGUAZAAgAHcAaQB0AGgAIABhACAAIwBOAC8AQQAgAHYAYQBsAHUAZQAsACAAYQBuAGQAIABzAG8AIABlAHgAYwBsAHUAZABlAGQAIABmAHIAbwBtACAAZgB1AG4AYwB0AGkAbwBuACAAYwBhAGwAYwB1AGwAYQB0AGkAbwBuAHMAXABuACAAIAAgACAAIAAgACAAIAAgACAAIAAgACAAIAAgACAAIAAgACAAIAAgACAAIAAgACAAIAAgACAAIAAgACAAIAAgACAAIAAgAEYAQQBMAFMARQAgAD0AIABbAGQAZQBmAGEAdQBsAHQAXQAgAGIAbABhAG4AawAgAGQAYQB0AGEAIABwAG8AaQBuAHQAcwAgAHcAaQBsAGwAIABuAG8AdAAgAGIAZQAgAHIAZQBwAGwAYQBjAGUAZAAgAGEAbgBkACAAdwBpAGwAbAAgAGIAZQAgAHQAcgBlAGEAdABlAGQAIABhAHMAIAAwACAAKAB6AGUAcgBvACkAIAB2AGEAbAB1AGUAcwAgAGkAbgAgAGYAdQBuAGMAdABpAG8AbgAgAGMAYQBsAGMAdQBsAGEAdABpAG8AbgBzAFwAbgAgACAAIAAgAEUAcgByAG8AcgAgAGMAbwBkAGUAcwA6AFwAbgAgACAAIAAgACAAIAAgACAAIwBWAEEATABVAEUAIQAgACAAIAAgACAAPQAgAFIAZQBxAHUAaQByAGUAZAAgAGkAbgBwAHUAdAAgAHAAYQByAGEAbQBlAHQAZQByAHMAIAAoAGEAcgByAGEAeQAsACAAYQBsAHAAaABhAF8AdgBhAGwAdQBlACkAIABoAGEAdgBlACAAbgBvAHQAIABiAGUAZQBuACAAcAByAG8AdgBpAGQAZQBkACAAbwByACAAYQByAGUAIABpAG4AdgBhAGwAaQBkAFwAbgAgACAAIAAgACAAIAAgACAAIwBDAEEATABDACEAIAAgACAAIAAgACAAPQAgAFQAaABlACAAYQByAHIAYQB5ACAAaQBuAHAAdQB0ACAAbQB1AHMAdAAgAGIAZQAgAGEAbgAgAGEAcgByAGEAeQAgACgAMgArACAAdgBhAGwAdQBlAHMAKQAgAG4AbwB0ACAAYQAgAHMAaQBuAGcAbABlACAAdgBhAGwAdQBlACwAIABhAG4AZAAgAG0AdQBzAHQAIABiAGUAIABhACAAMQBEACAAYQByAHIAYQB5AFwAbgAgACAAIAAgACAAIAAgACAAIAAgACAAIAAgACAAIAAgACAAIAAgACAAIAAgACAAIABlAC4AZwAuACAAYQBuACAAYQByAHIAYQB5ACAAdwBpAHQAaAAgAGUAaQB0AGgAZQByACAAYQAgAHMAaQBuAGcAbABlACAAcgBvAHcAIABvAGYAIAB2AGEAbAB1AGUAcwAgACgAMQAgAHIAbwB3ACAAdwBpAHQAaAAgADIAKwAgAGMAbwBsAHUAbQBuAHMAKQAgAG8AcgAgAGEAIABzAGkAbgBnAGwAZQAgAGMAbwBsAHUAbQBuACAAbwBmACAAdgBhAGwAdQBlAHMAIAAoADEAIABjAG8AbAB1AG0AbgAgAHcAaQB0AGgAIAAyACsAIAByAG8AdwBzACkAXABuACAAIAAgACAAIAAgACAAIAAjAFYAQQBMAFUARQAhACAAIAAgACAAIAA9ACAAVABoAGUAIABhAGwAcABoAGEAXwB2AGEAbAB1AGUAIABpAG4AcAB1AHQAIABtAHUAcwB0ACAAYgBlACAAYQAgAG4AdQBtAGIAZQByACwAIABhAG4AZAAgAG0AdQBzAHQAIABiAGUAIAB3AGkAdABoAGkAbgAgAHQAaABlACAAcgBhAG4AZwBlACAAbwBmACAAMAAgAHQAbwAgADEALgAwADAAXABuACAAIAAgACAAIAAgACAAIAAjAFYAQQBMAFUARQAhACAAIAAgACAAIAA9ACAAVABoAGUAIABvAHAAdABpAG8AbgBhAGwAIABvAHUAdABwAHUAdAAgAG8AcAB0AGkAbwBuACAAaQBuAHAAdQB0ACAAbQB1AHMAdAAgAGIAZQAgAGEAIAB3AGgAbwBsAGUAIABuAHUAbQBiAGUAcgAgAHcAaQB0AGgAaQBuACAAdABoAGUAIAByAGEAbgBnAGUAIABvAGYAIAAtADEAIAB0AG8AIAArADEAXABuACAAIAAgACAAIAAgACAAIAAjAFYAQQBMAFUARQAhACAAIAAgACAAIAA9ACAAVABoAGUAIABvAHAAdABpAG8AbgBhAGwAIABzAHQAYQByAHQAXwB2AGEAbAB1AGUAIABhAG4AZAAgAGUAbgBkAF8AdgBhAGwAdQBlACAAaQBuAHAAdQB0ACAAcABhAHIAYQBtAGUAdABlAHIAcwAgAG0AdQBzAHQAIABiAGUAIABuAHUAbQBlAHIAaQBjACAAdgBhAGwAdQBlAHMAXABuACAAIAAgACAAIAAgACAAIAAjAFYAQQBMAFUARQAhACAAIAAgACAAIAA9ACAAVABoAGUAIABvAHAAdABpAG8AbgBhAGwAIAByAGUAcABsAGEAYwBlAF8AZQByAHIAbwByAHMAIABhAG4AZAAgAHIAZQBwAGwAYQBjAGUAXwBiAGwAYQBuAGsAcwAgAGkAbgBwAHUAdAAgAHAAYQByAGEAbQBlAHQAZQByAHMAIABtAHUAcwB0ACAAYgBlACAAbgB1AG0AZQByAGkAYwAgAHYAYQBsAHUAZQBzACAAbwByACAAbABvAGcAaQBjAGEAbAAvAEIAbwBvAGwAZQBhAG4AIAB2AGEAbAB1AGUAcwBcAG4AKgAvAFwAbgBFAHgAcABTAG0AbwBvAHQAaABpAG4AZwAgAD0AIABMAEEATQBCAEQAQQAoAFwAbgAgACAAIAAgAC8ALwAgAFAAYQByAGEAbQBlAHQAZQByACAAZABlAGMAbABhAHIAYQB0AGkAbwBuAHMAXABuACAAIAAgACAAYQByAHIAYQB5ACwAXABuACAAIAAgACAAYQBsAHAAaABhAF8AdgBhAGwAdQBlACwAXABuACAAIAAgACAAWwBzAHQAYQByAHQAXwB2AGEAbAB1AGUAXQAsAFwAbgAgACAAIAAgAFsAZQBuAGQAXwB2AGEAbAB1AGUAXQAsAFwAbgAgACAAIAAgAFsAbwB1AHQAcAB1AHQAXQAsAFwAbgAgACAAIAAgAFsAZQB4AGMAbAB1AGQAZQBfAHAAZQByAGkAbwBkAHMAXQAsAFwAbgAgACAAIAAgAFsAcgBlAHAAbABhAGMAZQBfAGUAcgByAG8AcgBzAF0ALABcAG4AIAAgACAAIABbAHIAZQBwAGwAYQBjAGUAXwBiAGwAYQBuAGsAcwBdACwAXABuACAAIAAgACAALwAvACAATQBhAGkAbgAgAGYAdQBuAGMAdABpAG8AbgAgAGIAbwBkAHkALwBjAGEAbABjAHUAbABhAHQAaQBvAG4AcwBcAG4AIAAgACAAIABMAEUAVAAoAFwAbgAgACAAIAAgACAAIAAgACAAXwBhAGwAcABoAGEALAAgAE4AKABhAGwAcABoAGEAXwB2AGEAbAB1AGUAKQAsAFwAbgAgACAAIAAgACAAIAAgACAALwAvACAARABlAGEAbAAgAHcAaQB0AGgAIABvAHAAdABpAG8AbgBhAGwAIABpAG4AcAB1AHQAIABwAGEAcgBhAG0AZQB0AGUAcgBzACAAYQBuAGQAIABzAGUAdAAgAGQAZQBmAGEAdQBsAHQAIAB2AGEAbAB1AGUAcwAgAGYAbwByACAAbwBtAGkAdAB0AGUAZAAgAGkAbgBwAHUAdABzAFwAbgAgACAAIAAgACAAIAAgACAAXwBpAG4AaQB0ACwAIABJAEYAKABJAFMATwBNAEkAVABUAEUARAAoAHMAdABhAHIAdABfAHYAYQBsAHUAZQApACwAIABJAE4ARABFAFgAKABhAHIAcgBhAHkALAAgADEALAAgADEAKQAsACAAcwB0AGEAcgB0AF8AdgBhAGwAdQBlACkALABcAG4AIAAgACAAIAAgACAAIAAgAF8AZQBuAGQALAAgAEkARgAoAEkAUwBPAE0ASQBUAFQARQBEACgAZQBuAGQAXwB2AGEAbAB1AGUAKQAsACAASQBOAEQARQBYACgAYQByAHIAYQB5ACwAIABSAE8AVwBTACgAYQByAHIAYQB5ACkALAAgAEMATwBMAFUATQBOAFMAKABhAHIAcgBhAHkAKQApACwAIABlAG4AZABfAHYAYQBsAHUAZQApACwAXABuACAAIAAgACAAIAAgACAAIABfAG8AcAB0AG4ALAAgAEkARgAoAEkAUwBPAE0ASQBUAFQARQBEACgAbwB1AHQAcAB1AHQAKQAsACAAMAAsACAASQBOAFQAKABvAHUAdABwAHUAdAApACkALABcAG4AIAAgACAAIAAgACAAIAAgAF8AZQB4AGMALAAgAEkARgAoAEkAUwBPAE0ASQBUAFQARQBEACgAZQB4AGMAbAB1AGQAZQBfAHAAZQByAGkAbwBkAHMAKQAsACAAMAAsACAAZQB4AGMAbAB1AGQAZQBfAHAAZQByAGkAbwBkAHMAKQAsAFwAbgAgACAAIAAgACAAIAAgACAAXwBlAHIAcgAsACAASQBGACgASQBTAE8ATQBJAFQAVABFAEQAKAByAGUAcABsAGEAYwBlAF8AZQByAHIAbwByAHMAKQAsACAARgBBAEwAUwBFACwAIABJAEYAKABJAFMATABPAEcASQBDAEEATAAoAHIAZQBwAGwAYQBjAGUAXwBlAHIAcgBvAHIAcwApACwAIAByAGUAcABsAGEAYwBlAF8AZQByAHIAbwByAHMALAAgAFQAUgBVAEUAKQApACwAXABuACAAIAAgACAAIAAgACAAIABfAHIAZQBwAEUALAAgAEkARgAoAEkAUwBMAE8ARwBJAEMAQQBMACgAcgBlAHAAbABhAGMAZQBfAGUAcgByAG8AcgBzACkALAAgAE4AQQAoACkALAAgAHIAZQBwAGwAYQBjAGUAXwBlAHIAcgBvAHIAcwApACwAXABuACAAIAAgACAAIAAgACAAIABfAGIAbABuAGsALAAgAEkARgAoAEkAUwBPAE0ASQBUAFQARQBEACgAcgBlAHAAbABhAGMAZQBfAGIAbABhAG4AawBzACkALAAgAEYAQQBMAFMARQAsACAAcgBlAHAAbABhAGMAZQBfAGIAbABhAG4AawBzACkALABcAG4AIAAgACAAIAAgACAAIAAgAF8AcgBlAHAAQgAsACAASQBGACgASQBTAEwATwBHAEkAQwBBAEwAKABfAGIAbABuAGsAKQAsACAASQBGACgAXwBiAGwAbgBrACwAIABOAEEAKAApACwAIAAwACkALAAgAF8AYgBsAG4AawApACwAXABuACAAIAAgACAAIAAgACAAIAAvAC8AIABJAG4AcAB1AHQAIABwAGEAcgBhAG0AZQB0AGUAcgAgAGMAaABlAGMAawBzAFwAbgAgACAAIAAgACAAIAAgACAALwAvACAAIAAtAC0APgAgAGMAaABlAGMAawBzACAAdABoAGEAdAAgAG0AYQBpAG4AIABpAG4AcAB1AHQAIABhAHIAcgBhAHkAIABjAG8AbgB0AGEAaQBuAHMAIABtAG8AcgBlACAAdABoAGEAbgAgAGEAIABzAGkAbgBnAGwAZQAgAHYAYQBsAHUAZQAsACAAYQBuAGQAIABpAHMAIABhACAAdgBhAGwAaQBkACAAMQBEACAAYQByAHIAYQB5AFwAbgAgACAAIAAgACAAIAAgACAALwAvACAAIAAtAC0APgAgAGMAaABlAGMAawBzACAAdABoAGEAdAAgAHQAaABlACAAbwBwAHQAaQBvAG4AYQBsACAAaQBuAHAAdQB0ACAAdgBhAGwAdQBlAHMAIABhAHIAZQAgAHYAYQBsAGkAZAAgAGEAbgBkACAAdwBpAHQAaABpAG4AIAB0AGgAZQAgAGUAeABwAGUAYwB0AGUAZAAgAHIAYQBuAGcAZQAgAHcAaABlAHIAZQAgAGEAcABwAGwAaQBjAGEAYgBsAGUAXABuACAAIAAgACAAIAAgACAAIABfAGkAbgBwAEMAaABrACwAIABJAEYAKABcAG4AIAAgACAAIAAgACAAIAAgACAAIAAgACAATwBSACgAXABuACAAIAAgACAAIAAgACAAIAAgACAAIAAgACAAIAAgACAAQQBOAEQAKABSAE8AVwBTACgAYQByAHIAYQB5ACkAIAA8AD0AIAAxACwAIABDAE8ATABVAE0ATgBTACgAYQByAHIAYQB5ACkAIAA8AD0AIAAxACkALABcAG4AIAAgACAAIAAgACAAIAAgACAAIAAgACAAIAAgACAAIABBAE4ARAAoAFIATwBXAFMAKABhAHIAcgBhAHkAKQAgAD4AIAAxACwAIABDAE8ATABVAE0ATgBTACgAYQByAHIAYQB5ACkAIAA+ACAAMQApAFwAbgAgACAAIAAgACAAIAAgACAAIAAgACAAIAApACwAIAAyACwAIABJAEYAKABcAG4AIAAgACAAIAAgACAAIAAgACAAIAAgACAATwBSACgAXABuACAAIAAgACAAIAAgACAAIAAgACAAIAAgACAAIAAgACAATgBPAFQAKABJAFMATgBVAE0AQgBFAFIAKABfAGEAbABwAGgAYQApACkALAAgAF8AYQBsAHAAaABhACAAPAAgADAALAAgAF8AYQBsAHAAaABhACAAPgAgADEALABcAG4AIAAgACAAIAAgACAAIAAgACAAIAAgACAAIAAgACAAIABOAE8AVAAoAEkAUwBOAFUATQBCAEUAUgAoAF8AaQBuAGkAdAApACkALAAgAE4ATwBUACgASQBTAE4AVQBNAEIARQBSACgAXwBlAG4AZAApACkALABcAG4AIAAgACAAIAAgACAAIAAgACAAIAAgACAAIAAgACAAIABOAE8AVAAoAEkAUwBOAFUATQBCAEUAUgAoAF8AbwBwAHQAbgApACkALAAgAF8AbwBwAHQAbgAgADwAIAAtADEALAAgAF8AbwBwAHQAbgAgAD4AIAAxACwAXABuACAAIAAgACAAIAAgACAAIAAgACAAIAAgACAAIAAgACAASQBTAFQARQBYAFQAKABfAHIAZQBwAEUAKQAsACAASQBTAFQARQBYAFQAKABfAHIAZQBwAEIAKQBcAG4AIAAgACAAIAAgACAAIAAgACAAIAAgACAAKQAsACAAMwAsACAAMQApAFwAbgAgACAAIAAgACAAIAAgACAAKQAsAFwAbgAgACAAIAAgACAAIAAgACAALwAvACAAQwBoAGUAYwBrACAAdwBoAGUAdABoAGUAcgAgAHQAaABlACAAaQBuAHAAdQB0ACAAYQByAHIAYQB5ACAAaQBzACAAdgBlAHIAdABpAGMAYQBsAGwAeQAgAG8AcgAgAGgAbwByAGkAegBvAG4AdABhAGwAbAB5ACAAbwByAGkAZQBuAHQAYQB0AGUAZABcAG4AIAAgACAAIAAgACAAIAAgAF8AdgByAHQALAAgACgAUgBPAFcAUwAoAGEAcgByAGEAeQApACAAPgAgAEMATwBMAFUATQBOAFMAKABhAHIAcgBhAHkAKQApACwAXABuACAAIAAgACAAIAAgACAAIAAvAC8AIABDAG8AbgB2AGUAcgB0AHMAIAB0AGgAZQAgAGkAbgBwAHUAdAAgAGEAcgByAGEAeQAgACgAYQByAHIAYQB5ACkAIAB0AG8AIABhACAAcwB0AGEAbgBkAGEAcgBkAGkAcwBlAGQAIABzAGkAbgBnAGwAZQAgAHIAbwB3ACwAIABhAG4AZAAgAHIAZQBwAGwAYQBjAGUAcwAgAGEAbgB5ACAAZQByAHIAbwByACAAbwByACAAYgBsAGEAbgBrACAAdgBhAGwAdQBlAHMAIABhAHMAIAByAGUAcQB1AGkAcgBlAGQAXABuACAAIAAgACAAIAAgACAAIABfAGEAcgByACwAIABNAEEAUAAoAFQATwBSAE8AVwAoAGEAcgByAGEAeQApACwAXABuACAAIAAgACAAIAAgACAAIAAgACAAIAAgAEwAQQBNAEIARABBACgAXwB2AGEAbAAsACAASQBGACgASQBTAEUAUgBSAE8AUgAoAF8AdgBhAGwAKQAsACAASQBGACgAXwBlAHIAcgAsACAAXwByAGUAcABFACwAIABfAHYAYQBsACkALAAgAEkARgAoAEkAUwBCAEwAQQBOAEsAKABfAHYAYQBsACkALAAgAF8AcgBlAHAAQgAsACAAXwB2AGEAbAApACkAKQBcAG4AIAAgACAAIAAgACAAIAAgACkALABcAG4AIAAgACAAIAAgACAAIAAgAC8ALwAgAEYAaQBsAHQAZQByAHMAIABvAHUAdAAgAGEAbgB5ACAAIwBOAC8AQQAgAHYAYQBsAHUAZQBzACAAKABzAHUAYwBoACAAYQBzACAAYQBmAHQAZQByACAAcgBlAHAAbABhAGMAZQBtAGUAbgB0ACAAbwBmACAAYgBsAGEAbgBrAHMAIABhAG4AZAAgAGUAcgByAG8AcgBzACAAaQBuACAAdABoAGUAIABzAHQAZQBwAHMAIABhAGIAbwB2AGUAKQAgAGIAZQBmAG8AcgBlACAAbABhAHQAZQByACAAYwBhAGwAYwB1AGwAYQB0AGkAbwBuAHMAXABuACAAIAAgACAAIAAgACAAIABfAGYAbAB0AHIALAAgAEYASQBMAFQARQBSACgAXwBhAHIAcgAsACAATgBPAFQAKABJAFMATgBBACgAXwBhAHIAcgApACkAKQAsAFwAbgAgACAAIAAgACAAIAAgACAALwAvACAAQwByAGUAYQB0AGUAcwAgAGEAIABmAGkAbAB0AGUAcgBlAGQAIABpAG4AZABlAHgAIABhAHIAcgBhAHkAIAB0AG8AIABoAGUAbABwACAAdwBpAHQAaAAgAHIAZQAtAGMAbwBuAHMAdAByAHUAYwB0AGkAbgBnACAAdABoAGUAIABvAHIAaQBnAGkAbgBhAGwAIABpAG4AcAB1AHQAIABhAHIAcgBhAHkAIABpAG4AZABlAHgAIABwAG8AcwBpAHQAaQBvAG4AcwAgAGEAZgB0AGUAcgAgAGYAaQBsAHQAZQByAGkAbgBnACAAYQBuAGQAIABjAGEAbABjAHUAbABhAHQAaQBvAG4AcwBcAG4AIAAgACAAIAAgACAAIAAgAF8AaQBkAHgALAAgAEYASQBMAFQARQBSACgAUwBFAFEAVQBFAE4AQwBFACgAMQAsACAAQwBPAEwAVQBNAE4AUwAoAF8AYQByAHIAKQApACwAIABOAE8AVAAoAEkAUwBOAEEAKABfAGEAcgByACkAKQApACwAXABuACAAIAAgACAAIAAgACAAIABfAGMAbwBsAHMALAAgAEMATwBMAFUATQBOAFMAKABfAGYAbAB0AHIAKQAsAFwAbgAgACAAIAAgACAAIAAgACAALwAvACAAQwBhAGwAYwB1AGwAYQB0AGUAIAB0AGgAZQAgAGYAbwByAHcAYQByAGQAIABzAG0AbwBvAHQAaABpAG4AZwAgAG8AdQB0AHAAdQB0AHMAIAAoAGYAcgBvAG0AIABsAGUAZgB0AC0AdABvAC0AcgBpAGcAaAB0ACwAIABmAHIAbwBtACAAcwB0AGEAcgB0AC0AdABvAC0AZQBuAGQAIABpAG4AZABlAHgAKQBcAG4AIAAgACAAIAAgACAAIAAgAC8ALwAgACAALQAtAD4AIAB3AGgAZQByAGUAIABhACAAcgBlAGwAYQB0AGkAdgBlACAAZABhAHQAYQAgAHAAbwBpAG4AdAAgAGkAbgBkAGUAeAAgAGkAcwAgAGkAbgBjAGwAdQBkAGUAZAAgAGkAbgAgAHQAaABlACAAZQB4AGMAbAB1AGQAZQBkACAAcABlAHIAaQBvAGQAcwAgAGEAcgByAGEAeQAgACgAXwBlAHgAYwApACAAdABoAGUAcwBlACAAYQByAGUAIAB1AG4AYwBoAGEAbgBnAGUAZAAgAGkAbgAgAHQAaABlACAAbwB1AHQAcAB1AHQAXABuACAAIAAgACAAIAAgACAAIAAvAC8AIAAgAC0ALQA+ACAAbwB0AGgAZQByAHcAaQBzAGUALAAgAGUAYQBjAGgAIABuAGUAdwAgAGQAYQB0AGEAIABwAG8AaQBuAHQAIABpAHMAIABjAGEAbABjAHUAbABhAHQAZQBkACAAYgBhAHMAZQBkACAAbwBuACAAdABoAGUAIABwAHIAZQB2AGkAbwB1AHMAIABvAHUAdABwAHUAdAAgAHYAYQBsAHUAZQAgACgAXwBwAHIAZQB2ACkAIABhAG4AZAAgAHQAaABlACAAYwB1AHIAcgBlAG4AdAAgAGkAbgBwAHUAdAAgAGEAcgByAGEAeQAgAHYAYQBsAHUAZQAgACgAXwB2ACkAXABuACAAIAAgACAAIAAgACAAIABfAGYAdwBkACwAIABJAEYAKABfAG8AcAB0AG4AIAA+AD0AIAAwACwAIABTAEMAQQBOACgAXwBpAG4AaQB0ACwAIABfAGkAZAB4ACwAIABMAEEATQBCAEQAQQAoAF8AcAByAGUAdgAsAF8AdgAsAFwAbgAgACAAIAAgACAAIAAgACAAIAAgACAAIABJAEYAKABJAFMATgBVAE0AQgBFAFIAKABYAE0AQQBUAEMASAAoAF8AdgAsACAAXwBlAHgAYwApACkALABcAG4AIAAgACAAIAAgACAAIAAgACAAIAAgACAAIAAgACAAIABJAE4ARABFAFgAKABfAGEAcgByACwAIAAxACwAIABfAHYAKQAsAFwAbgAgACAAIAAgACAAIAAgACAAIAAgACAAIAAgACAAIAAgAEkATgBEAEUAWAAoAF8AYQByAHIALAAgADEALAAgAF8AdgApACAAKgAgAF8AYQBsAHAAaABhACAAKwAgACgAMQAgAC0AIABfAGEAbABwAGgAYQApACAAKgAgAF8AcAByAGUAdgBcAG4AIAAgACAAIAAgACAAIAAgACAAIAAgACAAKQBcAG4AIAAgACAAIAAgACAAIAAgACkAKQAsACAAMAApACwAXABuACAAIAAgACAAIAAgACAAIAAvAC8AIABDAGEAbABjAHUAbABhAHQAZQAgAHQAaABlACAAYgBhAGMAawB3AGEAcgBkACAAcwBtAG8AbwB0AGgAaQBuAGcAIABvAHUAdABwAHUAdABzACAAKABmAHIAbwBtACAAcgBpAGcAaAB0AC0AdABvAC0AbABlAGYAdAAsACAAZgByAG8AbQAgAGUAbgBkAC0AdABvAC0AcwB0AGEAcgB0ACAAaQBuAGQAZQB4ACkAXABuACAAIAAgACAAIAAgACAAIAAvAC8AIAAgAC0ALQA+ACAAZgBpAHIAcwB0ACwAIABhACAAcgBlAHYAZQByAHMAZQBkACAAYQAgAHYAZQByAHMAaQBvAG4AIABvAGYAIAB0AGgAZQAgAHIAZQBsAGEAdABpAHYAZQAgAGkAbgBkAGUAeAAgAGEAcgByAGEAeQAgACgAXwBpAGQAeAApACAAaQBzACAAYwByAGUAYQB0AGUAZAAgACgAXwBiAEkAZAB4ACkAXABuACAAIAAgACAAIAAgACAAIAAvAC8AIAAgAC0ALQA+ACAAdwBoAGUAcgBlACAAYQAgAHIAZQBsAGEAdABpAHYAZQAgAGQAYQB0AGEAIABwAG8AaQBuAHQAIABpAG4AZABlAHgAIABpAHMAIABpAG4AYwBsAHUAZABlAGQAIABpAG4AIAB0AGgAZQAgAGUAeABjAGwAdQBkAGUAZAAgAHAAZQByAGkAbwBkAHMAIABhAHIAcgBhAHkAIAAoAF8AZQB4AGMAKQAgAHQAaABlAHMAZQAgAGEAcgBlACAAdQBuAGMAaABhAG4AZwBlAGQAIABpAG4AIAB0AGgAZQAgAG8AdQB0AHAAdQB0AFwAbgAgACAAIAAgACAAIAAgACAALwAvACAAIAAtAC0APgAgAG8AdABoAGUAcgB3AGkAcwBlACwAIABlAGEAYwBoACAAbgBlAHcAIABkAGEAdABhACAAcABvAGkAbgB0ACAAaQBzACAAYwBhAGwAYwB1AGwAYQB0AGUAZAAgAGIAYQBzAGUAZAAgAG8AbgAgAHQAaABlACAAcAByAGUAdgBpAG8AdQBzACAAbwB1AHQAcAB1AHQAIAB2AGEAbAB1AGUAIAAoAF8AcAByAGUAdgApACAAYQBuAGQAIAB0AGgAZQAgAGMAdQByAHIAZQBuAHQAIABpAG4AcAB1AHQAIABhAHIAcgBhAHkAIAB2AGEAbAB1AGUAIAAoAF8AdgApAFwAbgAgACAAIAAgACAAIAAgACAALwAvACAAIAAtAC0APgAgAGYAaQBuAGEAbABsAHkALAAgAHQAaABlACAAYwBhAGwAYwB1AGwAYQB0AGUAZAAgAG8AdQB0AHAAdQB0ACAAYQByAHIAYQB5ACAAKABfAGIAQQByAHIAKQAgAGkAcwAgAHIAZQB2AGUAcgBzAGUAZAAgAGIAYQBjAGsAIAB0AG8AIABpAHQAcwAgAG8AcgBpAGcAaQBuAGEAbAAgAGQAaQByAGUAYwB0AGkAbwBuACAAKABfAGIAYwBrACkAXABuACAAIAAgACAAIAAgACAAIABfAGIAYwBrACwAIABJAEYAKABfAG8AcAB0AG4AIAA8AD4AIAAwACwAIABMAEUAVAAoAFwAbgAgACAAIAAgACAAIAAgACAAIAAgACAAIABfAGIASQBkAHgALAAgAEkATgBEAEUAWAAoAF8AaQBkAHgALAAgADEALAAgAFMARQBRAFUARQBOAEMARQAoADEALAAgAF8AYwBvAGwAcwAsACAAXwBjAG8AbABzACwAIAAtADEAKQApACwAXABuACAAIAAgACAAIAAgACAAIAAgACAAIAAgAF8AYgBBAHIAcgAsACAAUwBDAEEATgAoAF8AZQBuAGQALAAgAF8AYgBJAGQAeAAsACAATABBAE0AQgBEAEEAKABfAHAAcgBlAHYALABfAHYALABcAG4AIAAgACAAIAAgACAAIAAgACAAIAAgACAAIAAgACAAIABJAEYAKABJAFMATgBVAE0AQgBFAFIAKABYAE0AQQBUAEMASAAoAF8AdgAsACAAXwBlAHgAYwApACkALABcAG4AIAAgACAAIAAgACAAIAAgACAAIAAgACAAIAAgACAAIAAgACAAIAAgAEkATgBEAEUAWAAoAF8AYQByAHIALAAgADEALAAgAF8AdgApACwAXABuACAAIAAgACAAIAAgACAAIAAgACAAIAAgACAAIAAgACAAIAAgACAAIABJAE4ARABFAFgAKABfAGEAcgByACwAIAAxACwAIABfAHYAKQAgACoAIABfAGEAbABwAGgAYQAgACsAIAAoADEAIAAtACAAXwBhAGwAcABoAGEAKQAgACoAIABfAHAAcgBlAHYAXABuACAAIAAgACAAIAAgACAAIAAgACAAIAAgACAAIAAgACAAKQBcAG4AIAAgACAAIAAgACAAIAAgACAAIAAgACAAKQApACwAXABuACAAIAAgACAAIAAgACAAIAAgACAAIAAgAEkATgBEAEUAWAAoAF8AYgBBAHIAcgAsACAAMQAsACAAUwBFAFEAVQBFAE4AQwBFACgAMQAsACAAXwBjAG8AbABzACwAIABfAGMAbwBsAHMALAAgAC0AMQApACkAXABuACAAIAAgACAAIAAgACAAIAApACwAIAAwACkALABcAG4AIAAgACAAIAAgACAAIAAgAC8ALwAgAFQAaABlACAAYwBvAHIAcgBlAGMAdAAgAHIAZQBxAHUAcgBpAGUAZAAgAG8AdQB0AHAAdQB0ACAAYQByAHIAYQB5ACAAaQBzACAAcgBlAHQAdQByAG4AZQBkACAAYgBhAHMAZQBkACAAbwBuACAAdABoAGUAIAB1AHMAZQByACAAbwB1AHQAcAB1AHQAIABvAHAAdABpAG8AbgAgAGkAbgBwAHUAdAAgACgAXwBvAHAAdABuACkAXABuACAAIAAgACAAIAAgACAAIAAvAC8AIAAgAC0ALQA+ACAAZQBpAHQAaABlAHIAIABvAHUAdABwAHUAdABzACAAdABoAGUAIABiAGEAYwBrAHcAYQByAGQAIABzAG0AbwBvAHQAaABpAG4AZwAgAGEAcgByAGEAeQAgACgAXwBiAGMAawApACwAIAB0AGgAZQAgAGYAbwByAHcAYQByAGQAIABzAG0AbwBvAHQAaABpAG4AZwAgAGEAcgByAGEAeQAgACgAXwBmAHcAZAApACwAIABvAHIAIABjAGEAbABjAHUAbABhAHQAZQBzACAAYQBuACAAYQB2AGUAcgBhAGcAZQAgAG8AZgAgAGIAbwB0AGgAXABuACAAIAAgACAAIAAgACAAIABfAG8AdQB0ACwAIABDAEgATwBPAFMARQAoAF8AbwBwAHQAbgAgACsAIAAyACwAXABuACAAIAAgACAAIAAgACAAIAAgACAAIAAgAF8AYgBjAGsALABcAG4AIAAgACAAIAAgACAAIAAgACAAIAAgACAAXwBmAHcAZAAsAFwAbgAgACAAIAAgACAAIAAgACAAIAAgACAAIABNAEEAUAAoAFwAbgAgACAAIAAgACAAIAAgACAAIAAgACAAIAAgACAAIAAgAFMARQBRAFUARQBOAEMARQAoADEALAAgAF8AYwBvAGwAcwApACwAIABfAGYAdwBkACwAIABfAGIAYwBrACwAXABuACAAIAAgACAAIAAgACAAIAAgACAAIAAgACAAIAAgACAATABBAE0AQgBEAEEAKABfAGkALABfAHYARgAsAF8AdgBCACwAIABJAEYAKABfAGkAIAA9ACAAMQAsACAAXwBpAG4AaQB0ACwAIABJAEYAKABfAGkAIAA9ACAAXwBjAG8AbABzACwAIABfAGUAbgBkACwAIABBAFYARQBSAEEARwBFACgAXwB2AEYALAAgAF8AdgBCACkAKQApACkAXABuACAAIAAgACAAIAAgACAAIAAgACAAIAAgACkAXABuACAAIAAgACAAIAAgACAAIAApACwAXABuACAAIAAgACAAIAAgACAAIAAvAC8AIABSAGUALQBtAGEAcAAgAHQAaABlACAAZgBpAGwAdABlAHIAZQBkACAAYQBuAGQAIAByAGUALQBjAGEAbABjAHUAbABhAHQAZQBkACAAbwB1AHQAcAB1AHQAIABhAHIAcgBhAHkAIAAoAF8AbwB1AHQAKQAgAHQAbwAgAHQAaABlACAAbwByAGkAZwBpAG4AYQBsACAAZABhAHQAYQAgAHAAbwBpAG4AdABzACAAdABoAGUAcgBlAGIAeQAgAHIAZQAtAGUAcwB0AGEAYgBsAGkAcwBoAGkAbgBnACAAYQBuAHkAIABmAGkAbAB0AGUAcgBlAGQAIAB2AGEAbAB1AGUAcwAgACgAbwB1AHQAcAB1AHQAIABhAHMAIAAjAE4ALwBBACAAdgBhAGwAdQBlAHMAKQBcAG4AIAAgACAAIAAgACAAIAAgAF8AYwBhAGwAYwAsACAASQBOAEQARQBYACgAXwBvAHUAdAAsACAAMQAsACAAWABNAEEAVABDAEgAKABTAEUAUQBVAEUATgBDAEUAKAAxACwAIABDAE8ATABVAE0ATgBTACgAXwBhAHIAcgApACkALAAgAF8AaQBkAHgAKQApACwAXABuACAAIAAgACAAIAAgACAAIAAvAC8AIABJAGYAIAB0AGgAZQAgAG8AcgBpAGcAaQBuAGEAbAAgAGkAbgBwAHUAdAAgAGEAcgByAGEAeQAgAHcAYQBzACAAdgBlAHIAdABpAGMAYQBsACAAKABfAHYAcgB0ACkAIAB0AGgAZQBuACAAdAByAGEAbgBzAHAAbwBzAGUAIAB0AGgAZQAgAG8AdQB0AHAAdQB0ACAAYQByAHIAYQB5ACAAKABfAG8AdQB0ACkAXABuACAAIAAgACAAIAAgACAAIABfAHIAdABuACwAIABJAEYAKABfAHYAcgB0ACwAIABUAFIAQQBOAFMAUABPAFMARQAoAF8AYwBhAGwAYwApACwAIABfAGMAYQBsAGMAKQAsAFwAbgAgACAAIAAgACAAIAAgACAALwAvACAASQBmACAAdABoAGUAIABpAG4AcAB1AHQAIABjAGgAZQBjAGsAcwAgACgAXwBpAG4AcABDAGgAawApACAAaABhAHYAZQAgAGYAbABhAGcAZwBlAGQAIAB0AGgAZQBuACAAcgBlAHQAdQByAG4AIAB0AGgAZQAgAHIAZQBxAHUAaQByAGUAZAAgAEUAeABjAGUAbAAgAGUAcgByAG8AcgAgAGMAbwBkAGUALAAgAG8AdABoAGUAcgB3AGkAcwBlACAAcgBlAHQAdQByAG4AIAB0AGgAZQAgAGMAYQBsAGMAdQBsAGEAdABlAGQAIAByAGUAcwB1AGwAdAAgACgAXwByAHQAbgApAFwAbgAgACAAIAAgACAAIAAgACAAQwBIAE8ATwBTAEUAKABfAGkAbgBwAEMAaABrACwAIABfAHIAdABuACwAIABMAEEATQBCAEQAQQAoADAAKQAsACAAIwBWAEEATABVAEUAIQApAFwAbgAgACAAIAAgACkAXABuACkAOwBcAG4AXABuAC8AKgBcAG4AIAAgACAAIABOAGEAbQBlADoAIAAgACAAIAAgACAAIAAgAEkAbgB0AGUAcgBwAG8AbABhAHQAaQBvAG4AKAApAFwAbgAgACAAIAAgAFYAZQByAHMAaQBvAG4AOgAgACAAIAAgACAAMQAuADAAMwAgACgAMQAwAC0ARABlAGMALQAyADAAMgA1ACkAIAAtAC0AIABSACAAUwBpAGwAawAsACAAUgBYAEwAIABEAGUAdgBlAGwAbwBwAG0AZQBuAHQAXABuACAAIAAgACAARABlAHMAYwByAGkAcAB0AGkAbwBuADoAIAAqAC8ALwAqACoAQwBhAGwAYwB1AGwAYQB0AGUAcwAgAG0AaQBzAHMAaQBuAGcAIAB2AGEAbAB1AGUAcwAgAGIAZQB0AHcAZQBlAG4AIABrAG4AbwB3AG4AIAB2AGEAbAB1AGUAcwAgAHUAcwBpAG4AZwAgAGwAaQBuAGUAYQByACAAaQBuAHQAZQByAHAAbwBsAGEAdABpAG8AbgAqAC8ALwAqAFwAbgAgACAAIAAgAFAAYQByAGEAbQBlAHQAZQByAHMAOgBcAG4AIAAgACAAIAAgACAAIAAgACsAIAB2AGEAbAB1AGUAcwAgACAAIAAgACAAIAAgACAAIAAgACAAIAA9ACAAKAByAGUAcQB1AGkAcgBlAGQAKQAgAGEAcgByAGEAeQAgAGMAbwBuAHQAYQBpAG4AaQBuAGcAIAB0AGgAZQAgAG0AYQBpAG4AIABkAGEAdABhACAAcABvAGkAbgB0AHMAIAB1AHMAZQBkACAAYQBzACAAdABoAGUAIABiAGEAcwBpAHMAIABmAG8AcgAgAGkAbgB0AGUAcgBwAG8AbABhAHQAaQBvAG4AXABuACAAIAAgACAAIAAgACAAIAAgACAAIAAgACAAIAAgACAAIAAgACAAIAAgACAAIAAgACAAIAAgACAAIAAgACAAIAAtACAAbQB1AHMAdAAgAGIAZQAgAG4AdQBtAGUAcgBpAGMAIAB2AGEAbAB1AGUAcwAgAGEAcwAgAGkAbgB0AGUAcgBwAG8AbABhAHQAaQBvAG4AIABpAHMAIABuAG8AdAAgAGEAdgBhAGkAbABhAGIAbABlACAAZgBvAHIAIABuAG8AbgAtAG4AdQBtAGUAcgBpAGMAIAB2AGEAbAB1AGUAcwAgAGkAbgAgAHQAaABpAHMAIABmAHUAbgBjAHQAaQBvAG4AXABuACAAIAAgACAAIAAgACAAIAArACAAcABlAHIAaQBvAGQAcwAgACAAIAAgACAAIAAgACAAIAAgACAAPQAgACgAcgBlAHEAdQBpAHIAZQBkACkAIABhAHIAcgBhAHkAIABjAG8AbgB0AGEAaQBuAGkAbgBnACAAcABlAHIAaQBvAGQAIAB2AGEAbAB1AGUAcwAgAHQAaABhAHQAIABtAGEAdABjAGgAIAB0AG8AIAB0AGgAZQAgAGQAYQB0AGEAIABwAG8AaQBuAHQAcwAgAGkAbgAgAHQAaABlACAAdgBhAGwAdQBlAHMAIABpAG4AcAB1AHQAIABhAHIAcgBhAHkAXABuACAAIAAgACAAIAAgACAAIAAgACAAIAAgACAAIAAgACAAIAAgACAAIAAgACAAIAAgACAAIAAgACAAIAAgACAAIAAtACAAbQB1AHMAdAAgAGIAZQAgAG4AdQBtAGUAcgBpAGMAIAB2AGEAbAB1AGUAcwAgAGQAdQBlACAAdABvACAAdABoAGUAIABtAGUAdABoAG8AcwAgAHUAcwBlAGQAIAB0AG8AIABlAHgAcABhAG4AZAAgAHQAaABlACAAYQByAHIAYQB5ACAAdwBoAGUAbgAgAGMAYQBsAGMAdQBsAGEAdABpAG4AZwAgAG0AaQBzAHMAaQBuAGcAIABkAGEAdABhACAAcABvAGkAbgB0AHMAXABuACAAIAAgACAAIAAgACAAIAArACAAcwB0AGUAcAAgACAAIAAgACAAIAAgACAAIAAgACAAIAAgACAAPQAgACgAbwBwAHQAaQBvAG4AYQBsACkAIABhACAAcABvAHMAaQB0AGkAdgBlACAAdgBhAGwAdQBlACAAdQBzAGUAZAAgAHQAbwAgAGMAcgBlAGEAdABlACAAYQBuACAAZQB4AHAAYQBuAGQAZQBkACAAdgBlAHIAcwBpAG8AbgAgAG8AZgAgAHQAaABlACAAcABlAHIAaQBvAGQAcwAgAGEAcgByAGEAeQAgAHcAaQB0AGgAbwB1AHQAIABtAGkAcwBzAGkAbgBnACAAZABhAHQAYQAgAHAAbwBpAG4AdABzAFwAbgAgACAAIAAgACAAIAAgACAAIAAgACAAIAAgACAAIAAgACAAIAAgACAAIAAgACAAIAAgACAAIAAgACAAIAAgACAALQAgAGkAZgAgAHQAaABlACAAaQBuAHAAdQB0ACAAaQBzACAAMAAgACgAegBlAHIAbwApACAAbwByACAAbwBtAGkAdAB0AGUAZAAsACAAdABoAGUAIABwAGUAcgBpAG8AZABzACAAYQByAHIAYQB5ACAAaQBzACAAdQBzAGUAZAAgAGEAcwAgAGkAbgBwAHUAdAAgAGEAbgBkACAAbgBvAHQAIABlAHgAcABhAG4AZABlAGQAXABuACAAIAAgACAAIAAgACAAIAArACAAaQBnAG4AbwByAGUAXwBlAHIAcgBvAHIAcwAgACAAIAAgACAAPQAgACgAbwBwAHQAaQBvAG4AYQBsACkAIABkAGUAdABlAHIAbQBpAG4AZQBzACAAdwBoAGUAdABoAGUAcgAgAGEAbgB5ACAAbgBvAG4ALQBOAEEAIABFAHgAYwBlAGwAIABlAHIAcgBvAHIAIAB2AGEAbAB1AGUAcwAgAGEAcgBlACAAZQB4AGMAbAB1AGQAZQBkACAAZgByAG8AbQAgAHQAaABlACAAZgB1AG4AYwB0AGkAbwBuACAAYwBhAGwAYwB1AGwAYQB0AGkAbwBuAHMAIABhAG4AZAAgAG8AdQB0AHAAdQB0AFwAbgAgACAAIAAgACAAIAAgACAAIAAgACAAIAAgACAAIAAgACAAIAAgACAAIAAgACAAIAAgACAAIAAgACAAIAAgACAAIAAgACAAIAAgAFQAUgBVAEUAIAA9ACAARQB4AGMAZQBsACAAZQByAHIAbwByACAAdgBhAGwAdQBlAHMAIABhAHIAZQAgAHIAZQBwAGwAYQBjAGUAZAAgAHcAaQB0AGgAIAAjAE4ALwBBACAAcwBvACAAdABoAGEAdAAgAHQAaABlAHMAZQAgAGQAYQB0AGEAIABwAG8AaQBuAHQAcwAgAGEAcgBlACAAcgBlAC0AYwBhAGwAYwB1AGwAYQB0AGUAZAAgAGkAbgAgAHQAaABlACAAbwB1AHQAcAB1AHQAIAB1AHMAaQBuAGcAIABsAGkAbgBlAHIAIABpAG4AdABlAHIAcABvAGwAYQB0AGkAbwBuAFwAbgAgACAAIAAgACAAIAAgACAAIAAgACAAIAAgACAAIAAgACAAIAAgACAAIAAgACAAIAAgACAAIAAgACAAIAAgACAAIAAgACAAIABGAEEATABTAEUAIAA9ACAAWwBkAGUAZgBhAHUAbAB0AF0AIABFAHgAYwBlAGwAIABlAHIAcgBvAHIAIAB2AGEAbAB1AGUAcwAgACgAbwB0AGgAZQByACAAdABoAGEAbgAgACMATgAvAEEAKQAgAGEAcgBlACAAaQBuAGMAbAB1AGQAZQBkACAAYQBzACAAcABlAHIAIAB0AGgAZQAgAHYAYQBsAHUAZQBzACAAaQBuAHAAdQB0ACAAYQByAHIAYQB5ACAAXABuACAAIAAgACAAIAAgACAAIAArACAAcgBlAGIAYQBsAGEAbgBjAGUAXwBvAHUAdABwAHUAdAAgACAAPQAgACgAbwBwAHQAaQBvAG4AYQBsACkAIABkAGUAdABlAHIAbQBpAG4AZQBzACAAdwBoAGUAdABoAGUAcgAgAHQAbwAgAHIAZQBkAHUAYwBlACAAdABoAGUAIABjAGEAbABjAHUAbABhAHQAZQBkACAAbwB1AHQAcAB1AHQAIAB2AGEAbAB1AGUAcwAgAHMAbwAgAHQAaABhAHQAIAB0AGgAZQAgAHQAbwB0AGEAbAAgAG8AZgAgAHQAaABlACAAbwB1AHQAcAB1AHQAIAB2AGEAbAB1AGUAcwAgAHMAdABhAHkAcwAgAHQAaABlACAAcwBhAG0AZQAgAGEAcwAgAHQAaABlACAAdABvAHQAYQBsACAAbwBmACAAdABoAGUAIABpAG4AcAB1AHQAIAB2AGEAbAB1AGUAcwBcAG4AIAAgACAAIAAgACAAIAAgACAAIAAgACAAIAAgACAAIAAgACAAIAAgACAAIAAgACAAIAAgACAAIAAgACAAIAAgACAAIAAgACAAIABUAFIAVQBFACAAPQAgAHAAcgBvAHAAbwByAHQAaQBvAG4AYQB0AGUAbAB5ACAAcgBlAGQAdQBjAGUAcwAgAHQAaABlACAAYwBhAGwAYwB1AGwAYQB0AGUAZAAgAG8AdQB0AHAAdQB0ACAAdgBhAGwAdQBlAHMAIABhAHIAcgBhAHkAIAAoAGEAZgB0AGUAcgAgAGwAaQBuAGUAYQByACAAaQBuAHQAZQByAHAAbwBsAGEAdABpAG8AbgApAFwAbgAgACAAIAAgACAAIAAgACAAIAAgACAAIAAgACAAIAAgACAAIAAgACAAIAAgACAAIAAgACAAIAAgACAAIAAgACAAIAAgACAAIABGAEEATABTAEUAIAA9ACAAWwBkAGUAZgBhAHUAbAB0AF0AIABkAG8AZQBzACAAbgBvAHQAIABjAGgAYQBuAGcAZQAgAHQAaABlACAAYwBhAGwAYwB1AGwAYQB0AGUAZAAgAG8AdQB0AHAAdQB0ACAAdgBhAGwAdQBlAHMAIABhAHIAcgBhAHkAIABhAGYAdABlAHIAIABsAGkAbgBlAGEAcgAgAGkAbgB0AGUAcgBwAG8AbABhAHQAaQBvAG4AXABuACAAIAAgACAAIAAgACAAIAArACAAbwB1AHQAcAB1AHQAXwBwAGUAcgBpAG8AZABzACAAIAAgACAAPQAgACgAbwBwAHQAaQBvAG4AYQBsACkAIABkAGUAdABlAHIAbQBpAG4AZQBzACAAdwBoAGUAdABoAGUAcgAgAHQAaABlACAAYwBhAGwAYwB1AGwAYQB0AGUAZAAgAHAAZQByAGkAbwBkAHMAIABhAHIAcgBhAHkAIABpAHMAIABpAG4AYwBsAHUAZABlAGQAIABpAG4AIAB0AGgAZQAgAGYAdQBuAGMAdABpAG8AbgAgAG8AdQB0AHAAdQB0AFwAbgAgACAAIAAgACAAIAAgACAAIAAgACAAIAAgACAAIAAgACAAIAAgACAAIAAgACAAIAAgACAAIAAgACAAIAAgACAAIAAgACAAIAAgAFQAUgBVAEUAIAA9ACAAdABoAGUAIABjAGEAbABjAHUAbABhAHQAZQBkACAAcABlAHIAaQBvAGQAcwAgAGEAcgByAGEAeQAgAGkAcwAgAGkAbgBjAGwAdQBkAGUAZAAgAGkAbgAgAHQAaABlACAAZgB1AG4AYwB0AGkAbwBuACAAbwB1AHQAcAB1AHQAIABhAHMAIAB0AGgAZQAgAGYAaQByAHMAdAAgAHIAbwB3AC8AYwBvAGwAdQBtAG4AIABvAGYAIAB0AGgAZQAgAG8AdQB0AHAAdQB0AFwAbgAgACAAIAAgACAAIAAgACAAIAAgACAAIAAgACAAIAAgACAAIAAgACAAIAAgACAAIAAgACAAIAAgACAAIAAgACAAIAAgACAAIABGAEEATABTAEUAIAA9ACAAWwBkAGUAZgBhAHUAbAB0AF0AIABvAG4AbAB5ACAAdABoAGUAIABjAGEAbABjAHUAbABhAHQAZQBkACAAdgBhAGwAdQBlAHMAIABhAHIAcgBhAHkAIABpAHMAIABvAHUAdABwAHUAdAAgAGIAeQAgAHQAaABlACAAZgB1AG4AYwB0AGkAbwBuAFwAbgAgACAAIAAgACAAIAAgACAAKwAgAG8AdQB0AHAAdQB0AF8AdgBlAHIAdABpAGMAYQBsACAAIAAgAD0AIAAoAG8AcAB0AGkAbwBuAGEAbAApACAAZABlAHQAZQByAG0AaQBuAGUAcwAgAHcAaABlAHQAaABlAHIAIAB0AGgAZQAgAGYAdQBuAGMAdABpAG8AbgBzACAAbwB1AHQAcAB1AHQAIABpAHMAIABpAG4AIABhACAAdgBlAHIAdABpAGMAYQBsACAAbwByACAAaABvAHIAaQB6AG8AbgB0AGEAbAAgAG8AcgBpAGUAbgB0AGEAdABpAG8AbgBcAG4AIAAgACAAIAAgACAAIAAgACAAIAAgACAAIAAgACAAIAAgACAAIAAgACAAIAAgACAAIAAgACAAIAAgACAAIAAgACAAIAAgACAAIABUAFIAVQBFACAAPQAgAGYAdQBuAGMAdABpAG8AbgAgAG8AdQB0AHAAdQB0ACAAdwBpAGwAbAAgAGIAZQAgAGkAbgAgAGEAIAB2AGUAcgB0AGkAYwBhAGwAIABvAHIAaQBlAG4AdABhAHQAaQBvAG4AIAAoADEALQAyACAAYwBvAGwAdQBtAG4AcwAsACAAbQB1AGwAdABpAHAAbABlACAAcgBvAHcAcwApAFwAbgAgACAAIAAgACAAIAAgACAAIAAgACAAIAAgACAAIAAgACAAIAAgACAAIAAgACAAIAAgACAAIAAgACAAIAAgACAAIAAgACAAIABGAEEATABTAEUAIAA9ACAAZgB1AG4AYwB0AGkAbwBuACAAbwB1AHQAcAB1AHQAIAB3AGkAbABsACAAYgBlACAAaQBuACAAYQAgAGgAbwByAGkAegBvAG4AdABhAGwAIABvAHIAaQBlAG4AdABhAHQAaQBvAG4AIAAoADEALQAyACAAcgBvAHcAcwAsACAAbQB1AGwAdABpAHAAbABlACAAYwBvAGwAdQBtAG4AcwApAFwAbgAgACAAIAAgACAAIAAgACAAIAAgACAAIAAgACAAIAAgACAAIAAgACAAIAAgACAAIAAgACAAIAAgACAAIAAgACAALQAgAGkAZgAgAG4AbwB0ACAAcwB1AHAAcABsAGkAZQBkACwAIAB0AGgAZQAgAGYAdQBuAGMAdABpAG8AbgAgAG8AdQB0AHAAdQB0ACAAbwByAGkAZQBuAHQAYQB0AGkAbwBuACAAdwBpAGwAbAAgAG0AYQB0AGMAaAAgAHQAaABlACAAbwByAGkAZQBuAHQAYQB0AGkAbwBuACAAbwBmACAAdABoAGUAIAB2AGEAbAB1AGUAcwAgAGkAbgBwAHUAdAAgAGEAcgByAGEAeQBcAG4AIAAgACAAIABFAHIAcgBvAHIAIABjAG8AZABlAHMAOgBcAG4AIAAgACAAIAAgACAAIAAgACMAVgBBAEwAVQBFACEAIAAgACAAIAAgAD0AIABSAGUAcQB1AGkAcgBlAGQAIABpAG4AcAB1AHQAIABwAGEAcgBhAG0AZQB0AGUAcgBzACAAKAB2AGEAbAB1AGUAcwAsACAAcABlAHIAaQBvAGQAcwApACAAaABhAHYAZQAgAG4AbwB0ACAAYgBlAGUAbgAgAHAAcgBvAHYAaQBkAGUAZAAgAG8AcgAgAGEAcgBlACAAaQBuAHYAYQBsAGkAZABcAG4AIAAgACAAIAAgACAAIAAgACMAQwBBAEwAQwAhACAAIAAgACAAIAAgAD0AIABUAGgAZQAgAHYAYQBsAHUAZQBzACAAJgAgAHAAZQByAGkAbwBkAHMAIABpAG4AcAB1AHQAcwAgAG0AdQBzAHQAIABiAGUAIABhAHIAcgBhAHkAcwAgACgAMgArACAAZABhAHQAYQAgAHAAbwBpAG4AdABzACkAIABhAG4AZAAgAG0AdQBzAHQAIABiAGUAIABhACAAMQBEACAAYQByAHIAYQB5AFwAbgAgACAAIAAgACAAIAAgACAAIAAgACAAIAAgACAAIAAgACAAIAAgACAAIAAgACAAIABlAC4AZwAuACAAYQBuACAAYQByAHIAYQB5ACAAdwBpAHQAaAAgAGUAaQB0AGgAZQByACAAYQAgAHMAaQBuAGcAbABlACAAcgBvAHcAIABvAGYAIAB2AGEAbAB1AGUAcwAgAG8AcgAgAGEAIABzAGkAbgBnAGwAZQAgAGMAbwBsAHUAbQBuACAAbwBmACAAdgBhAGwAdQBlAHMAXABuACAAIAAgACAAIAAgACAAIAAjAEMAQQBMAEMAIQAgACAAIAAgACAAIAA9ACAAVABoAGUAIAB2AGEAbAB1AGUAcwAgACYAIABwAGUAcgBpAG8AZABzACAAaQBuAHAAdQB0ACAAYQByAHIAYQB5AHMAIABtAHUAcwB0ACAAYwBvAG4AdABhAGkAbgAgAHQAaABlACAAcwBhAG0AZQAgAG4AdQBtAGIAZQByACAAbwBmACAAZABhAHQAYQAgAHAAbwBpAG4AdABzAC8AYwBlAGwAbABzAFwAbgAgACAAIAAgACAAIAAgACAAIwBWAEEATABVAEUAIQAgACAAIAAgACAAPQAgAFQAaABlACAAcwB0AGUAcAAgAGkAbgBwAHUAdAAgAHAAYQByAGEAbQBlAHQAZQByACAAcwBoAG8AdQBsAGQAIABiAGUAIABhACAAcwBpAG4AZwBsAGUAIABuAHUAbQBlAHIAaQBjACAAdgBhAGwAdQBlADsAIABpAHQAIABtAHUAcwB0ACAAYgBlACAAYQAgAHAAbwBzAGkAdABpAHYAZQAgAHYAYQBsAHUAZQAsACAAYgB1AHQAIABjAGEAbgAgAGIAZQAgAGEAIABkAGUAYwBpAG0AYQBsACAAdgBhAGwAdQBlAFwAbgAgACAAIAAgACAAIAAgACAAIwBWAEEATABVAEUAIQAgACAAIAAgACAAPQAgAFQAaABlACAAaQBnAG4AbwByAGUAXwBlAHIAcgBvAHIAcwAsACAAcgBlAGIAYQBsAGEAbgBjAGUAXwBvAHUAdABwAHUAdAAsACAAbwB1AHQAcAB1AHQAXwBwAGUAcgBpAG8AZABzACwAIABhAG4AZAAgAG8AdQB0AHAAdQB0AF8AdgBlAHIAdABpAGMAYQBsACAAaQBuAHAAdQB0ACAAcABhAHIAYQBtAGUAdABlAHIAcwAgAGEAcgBlACAAaQBuAHYAYQBsAGkAZABcAG4AIAAgACAAIAAgACAAIAAgACAAIAAgACAAIAAgACAAIAAgACAAIAAgACAAIAAgACAALQAgAG0AdQBzAHQAIABiAGUAIABhACAAVABSAFUARQAvAEYAQQBMAFMARQAgAGwAbwBnAGkAYwBhAGwAIAB2AGEAbAB1AGUAIABvAHIAIABhACAAbgB1AG0AZQByAGkAYwAgAHYAYQBsAHUAZQAgAG8AZgAgADEALwAwAFwAbgAqAC8AXABuAEkAbgB0AGUAcgBwAG8AbABhAHQAaQBvAG4AIAA9ACAATABBAE0AQgBEAEEAKABcAG4AIAAgACAAIAAvAC8AIABQAGEAcgBhAG0AZQB0AGUAcgAgAGQAZQBjAGwAYQByAGEAdABpAG8AbgBzAFwAbgAgACAAIAAgAHYAYQBsAHUAZQBzACwAXABuACAAIAAgACAAcABlAHIAaQBvAGQAcwAsAFwAbgAgACAAIAAgAFsAcwB0AGUAcABdACwAXABuACAAIAAgACAAWwBpAGcAbgBvAHIAZQBfAGUAcgByAG8AcgBzAF0ALABcAG4AIAAgACAAIABbAHIAZQBiAGEAbABhAG4AYwBlAF8AbwB1AHQAcAB1AHQAXQAsAFwAbgAgACAAIAAgAFsAbwB1AHQAcAB1AHQAXwBwAGUAcgBpAG8AZABzAF0ALABcAG4AIAAgACAAIABbAG8AdQB0AHAAdQB0AF8AdgBlAHIAdABpAGMAYQBsAF0ALABcAG4AIAAgACAAIAAvAC8AIABNAGEAaQBuACAAZgB1AG4AYwB0AGkAbwBuACAAYgBvAGQAeQAvAGMAYQBsAGMAdQBsAGEAdABpAG8AbgBzAFwAbgAgACAAIAAgAEwARQBUACgAXABuACAAIAAgACAAIAAgACAAIAAvAC8AIABEAGUAYQBsACAAdwBpAHQAaAAgAG8AcAB0AGkAbwBuAGEAbAAgAGkAbgBwAHUAdAAgAHAAYQByAGEAbQBlAHQAZQByAHMAIABhAG4AZAAgAHMAZQB0ACAAZABlAGYAYQB1AGwAdAAgAHYAYQBsAHUAZQBzACAAZgBvAHIAIABvAG0AaQB0AHQAZQBkACAAaQBuAHAAdQB0AHMAXABuACAAIAAgACAAIAAgACAAIABfAHMAdABwACwAIABJAEYAKABJAFMATwBNAEkAVABUAEUARAAoAHMAdABlAHAAKQAsACAAMAAsACAASQBOAEQARQBYACgAcwB0AGUAcAAsACAAMQAsACAAMQApACkALABcAG4AIAAgACAAIAAgACAAIAAgAF8AaQBuAHAARQAsACAASQBGACgASQBTAE8ATQBJAFQAVABFAEQAKABpAGcAbgBvAHIAZQBfAGUAcgByAG8AcgBzACkALAAgADAALAAgAEkATgBUACgAaQBnAG4AbwByAGUAXwBlAHIAcgBvAHIAcwApACkALABcAG4AIAAgACAAIAAgACAAIAAgAF8AaQBuAHAAUgAsACAASQBGACgASQBTAE8ATQBJAFQAVABFAEQAKAByAGUAYgBhAGwAYQBuAGMAZQBfAG8AdQB0AHAAdQB0ACkALAAgADAALAAgAEkATgBUACgAcgBlAGIAYQBsAGEAbgBjAGUAXwBvAHUAdABwAHUAdAApACkALABcAG4AIAAgACAAIAAgACAAIAAgAF8AaQBuAHAAUAAsACAASQBGACgASQBTAE8ATQBJAFQAVABFAEQAKABvAHUAdABwAHUAdABfAHAAZQByAGkAbwBkAHMAKQAsACAAMAAsACAASQBOAFQAKABvAHUAdABwAHUAdABfAHAAZQByAGkAbwBkAHMAKQApACwAXABuACAAIAAgACAAIAAgACAAIABfAGkAbgBwAFYALAAgAEkARgAoAEkAUwBPAE0ASQBUAFQARQBEACgAbwB1AHQAcAB1AHQAXwB2AGUAcgB0AGkAYwBhAGwAKQAsACAAMAAsACAASQBOAFQAKABvAHUAdABwAHUAdABfAHYAZQByAHQAaQBjAGEAbAApACkALABcAG4AIAAgACAAIAAgACAAIAAgAC8ALwAgAEMAbwBuAHYAZQByAHQAIAB0AGgAZQAgAGkAbgBwAHUAdAAgAHAAZQByAGkAbwBkAHMAIABhAHIAcgBhAHkAIABhAG4AZAAgAHYAYQBsAHUAZQBzACAAYQByAHIAYQB5ACAAdABvACAAYQAgAHMAaQBuAGcAbABlACAAcgBvAHcAIABmAG8AcgAgAGUAYQBzAGkAZQByAC8AbQBvAHIAZQAgAGMAbwBuAHMAaQBzAHQAZQBuAHQAIABjAGEAbABjAHUAbABhAHQAaQBvAG4AcwBcAG4AIAAgACAAIAAgACAAIAAgAC8ALwAgACAALQAtAD4AIAB0AGgAZQAgAGMAbwBuAHYAZQByAHQAZQBkACAAdgBhAGwAdQBlAHMAIABhAHIAcgBhAHkAIAAoAF8AYQByAHIAVgApACAAYQBsAHMAbwAgAGgAYQBzACAAYQBuAHkAIABiAGwAYQBuAGsAIAB2AGEAbAB1AGUAcwAgAGMAbwBuAHYAZQByAHQAZQBkACAAdABvACAAYQAgACMATgAvAEEAIAB2AGEAbAB1AGUALAAgAGEAcwAgAHcAZQBsAGwAIABhAHMAIABlAHIAcgBvAHIAIAB2AGEAbAB1AGUAcwAgAGkAZgAgAGMAaABvAHMAZQBuACAAYgB5ACAAdABoAGUAIAB1AHMAZQByACAAKABfAGkAbgBwAEUAKQBcAG4AIAAgACAAIAAgACAAIAAgAF8AYQByAHIAUAAsACAAVABPAFIATwBXACgAcABlAHIAaQBvAGQAcwApACwAXABuACAAIAAgACAAIAAgACAAIABfAGEAcgByAFYALAAgAE0AQQBQACgAVABPAFIATwBXACgAdgBhAGwAdQBlAHMAKQAsACAATABBAE0AQgBEAEEAKABfAHYALABcAG4AIAAgACAAIAAgACAAIAAgACAAIAAgACAASQBGACgAQQBOAEQAKABJAFMARQBSAFIATwBSACgAXwB2ACkALAAgAF8AaQBuAHAARQApACwAIABOAEEAKAApACwAIABJAEYAKABJAFMAQgBMAEEATgBLACgAXwB2ACkALAAgAE4AQQAoACkALAAgAF8AdgApACkAXABuACAAIAAgACAAIAAgACAAIAApACkALABcAG4AIAAgACAAIAAgACAAIAAgAC8ALwAgAEkAbgBwAHUAdAAgAHAAYQByAGEAbQBlAHQAZQByACAAYwBoAGUAYwBrAHMAXABuACAAIAAgACAAIAAgACAAIAAvAC8AIAAgAC0ALQA+ACAAZQBuAHMAdQByAGUAcwAgAHQAaABhAHQAIAB0AGgAZQAgAGkAbgBwAHUAdAAgAGEAcgByAGEAeQBzACAAYQByAGUAIAAxAEQAIABhAHIAcgBhAHkAcwAsACAAYgBvAHQAaAAgAGgAYQB2AGUAIAAyACsAIAB2AGEAbAB1AGUAcwAsACAAYQBuAGQAIABiAG8AdABoACAAaABhAHYAZQAgAHQAaABlACAAcwBhAG0AZQAgAG4AdQBtAGIAZQByACAAbwBmACAAdgBhAGwAdQBlAHMAXABuACAAIAAgACAAIAAgACAAIAAvAC8AIAAgAC0ALQA+ACAAZQBuAHMAdQByAGUAcwAgAHQAaABhAHQAIAB0AGgAZQAgAG8AcAB0AGkAbwBuAGEAbAAgAGkAbgBwAHUAdABzACAAdQBzAGUAIAB2AGEAbABpAGQAIABpAG4AcAB1AHQAIAB0AHkAcABlAHMAIABhAG4AZAAgAHYAYQBsAHUAZQBzAFwAbgAgACAAIAAgACAAIAAgACAAXwBpAG4AcABDAGgAawAsACAASQBGACgAXABuACAAIAAgACAAIAAgACAAIAAgACAAIAAgAE8AUgAoAFwAbgAgACAAIAAgACAAIAAgACAAIAAgACAAIAAgACAAIAAgAEEATgBEACgAUgBPAFcAUwAoAHAAZQByAGkAbwBkAHMAKQAgAD4AIAAxACwAIABDAE8ATABVAE0ATgBTACgAcABlAHIAaQBvAGQAcwApACAAPgAgADEAKQAsAFwAbgAgACAAIAAgACAAIAAgACAAIAAgACAAIAAgACAAIAAgAEEATgBEACgAUgBPAFcAUwAoAHYAYQBsAHUAZQBzACkAIAA+ACAAMQAsACAAQwBPAEwAVQBNAE4AUwAoAHYAYQBsAHUAZQBzACkAIAA+ACAAMQApACwAXABuACAAIAAgACAAIAAgACAAIAAgACAAIAAgACAAIAAgACAAQwBPAEwAVQBNAE4AUwAoAF8AYQByAHIAUAApACAAPAA+ACAAQwBPAEwAVQBNAE4AUwAoAF8AYQByAHIAVgApACwAXABuACAAIAAgACAAIAAgACAAIAAgACAAIAAgACAAIAAgACAAQwBPAEwAVQBNAE4AUwAoAF8AYQByAHIAVgApACAAPAAgADIAXABuACAAIAAgACAAIAAgACAAIAAgACAAIAAgACkALAAgADIALAAgAEkARgAoAFwAbgAgACAAIAAgACAAIAAgACAAIAAgACAAIABPAFIAKABcAG4AIAAgACAAIAAgACAAIAAgACAAIAAgACAAIAAgACAAIABOAE8AVAAoAEkAUwBOAFUATQBCAEUAUgAoAHMAdABlAHAAKQApACwAIABfAHMAdABwACAAPAAgADAALABcAG4AIAAgACAAIAAgACAAIAAgACAAIAAgACAAIAAgACAAIABJAFMAVABFAFgAVAAoAGkAZwBuAG8AcgBlAF8AZQByAHIAbwByAHMAKQAsACAAXwBpAG4AcABFACAAPAAgADAALAAgAF8AaQBuAHAARQAgAD4AIAAxACwAXABuACAAIAAgACAAIAAgACAAIAAgACAAIAAgACAAIAAgACAASQBTAFQARQBYAFQAKAByAGUAYgBhAGwAYQBuAGMAZQBfAG8AdQB0AHAAdQB0ACkALAAgAF8AaQBuAHAAUgAgADwAIAAwACwAIABfAGkAbgBwAFIAIAA+ACAAMQAsAFwAbgAgACAAIAAgACAAIAAgACAAIAAgACAAIAAgACAAIAAgAEkAUwBUAEUAWABUACgAbwB1AHQAcAB1AHQAXwBwAGUAcgBpAG8AZABzACkALAAgAF8AaQBuAHAAUAAgADwAIAAwACwAIABfAGkAbgBwAFAAIAA+ACAAMQAsAFwAbgAgACAAIAAgACAAIAAgACAAIAAgACAAIAAgACAAIAAgAEkAUwBUAEUAWABUACgAbwB1AHQAcAB1AHQAXwB2AGUAcgB0AGkAYwBhAGwAKQAsACAAXwBpAG4AcABWACAAPAAgADAALAAgAF8AaQBuAHAAVgAgAD4AIAAxAFwAbgAgACAAIAAgACAAIAAgACAAIAAgACAAIAApACwAIAAzACwAIAAxACkAXABuACAAIAAgACAAIAAgACAAIAApACwAXABuACAAIAAgACAAIAAgACAAIAAvAC8AIABDAGgAZQBjAGsAIAB0AGgAZQAgAG8AcgBpAGUAbgB0AGEAdABpAG8AbgAgAG8AZgAgAHQAaABlACAAbwByAGkAZwBpAG4AYQBsACAAdgBhAGwAdQBlAHMAIABpAG4AcAB1AHQAIABhAHIAcgBhAHkAXABuACAAIAAgACAAIAAgACAAIABfAHYAcgB0ACwAIAAoAFIATwBXAFMAKAB2AGEAbAB1AGUAcwApACAAPgAgAEMATwBMAFUATQBOAFMAKAB2AGEAbAB1AGUAcwApACkALABcAG4AIAAgACAAIAAgACAAIAAgAC8ALwAgAEYAaQBuAGQAIAB0AGgAZQAgAGYAaQByAHMAdAAgAGEAbgBkACAAbABhAHMAdAAgAHYAYQBsAHUAZQBzACAAaQBuACAAdABoAGUAIABzAG8AcgB0AGUAZAAgAHAAZQByAGkAbwBkACAAYQByAHIAYQB5AFwAbgAgACAAIAAgACAAIAAgACAAXwBiAGcAbgAsACAASQBOAEQARQBYACgAUwBPAFIAVAAoAF8AYQByAHIAUAApACwAIAAxACwAIAAxACkALABcAG4AIAAgACAAIAAgACAAIAAgAF8AZQBuAGQALAAgAEkATgBEAEUAWAAoAFMATwBSAFQAKABfAGEAcgByAFAAKQAsACAAMQAsACAAQwBPAEwAVQBNAE4AUwAoAF8AYQByAHIAUAApACkALABcAG4AIAAgACAAIAAgACAAIAAgAC8ALwAgAEkAZgAgAG4AbwAgAHMAdABlAHAAIABpAG4AcAB1AHQAIABoAGEAcwAgAGIAZQBlAG4AIABwAHIAbwB2AGkAZABlAGQAIAB0AGgAZQBuACAAdQBzAGUAIAB0AGgAZQAgAHMAbwByAHQAZQBkACAAcABlAHIAaQBvAGQAcwAgAGEAcgByAGEAeQAgACgAXwBhAHIAcgBQACkALAAgAG8AdABoAGUAcgB3AGkAcwBlACAAdQBzAGUAIAB0AGgAZQAgAGYAaQByAHMAdAAgACgAXwBiAGcAbgApACAAYQBuAGQAIABsAGEAcwB0ACAAKABfAGUAbgBkACkAIAB2AGEAbAB1AGUAcwAgAHcAaQB0AGgAIAB0AGgAZQAgAHMAdABlAHAAIABpAG4AcAB1AHQAIAAoAF8AcwB0AHAAKQAgAHQAbwAgAGMAYQBsAGMAdQBsAGEAdABlACAAdABoAGUAIABlAHgAcABhAG4AZABlAGQAIABwAGUAcgBpAG8AZABzACAAYQByAHIAYQB5AFwAbgAgACAAIAAgACAAIAAgACAAXwBwAHIAZAAsACAASQBGACgAXwBzAHQAcAAgAD0AIAAwACwAIABTAE8AUgBUACgAXwBhAHIAcgBQACkALAAgAFMARQBRAFUARQBOAEMARQAoADEALAAgACgAKABfAGUAbgBkACAALQAgAF8AYgBnAG4AKQAgAC8AIABfAHMAdABwACkAIAArACAAMQAsACAAXwBiAGcAbgAsACAAXwBzAHQAcAApACkALABcAG4AIAAgACAAIAAgACAAIAAgAC8ALwAgAEMAcgBlAGEAdABlACAAYQBuACAAaQBuAGQAZQB4ACAAYQByAHIAYQB5ACAAdABvACAAYQBsAGwAbwB3ACAAZgBvAHIAIABlAGEAcwBpAGUAcgAgAGkAdABlAHIAYQB0AGkAbgBnACAAdABoAHIAbwB1AGcAaAAgAHQAaABlACAAYwBhAGwAYwB1AGwAYQB0AGUAZAAvAGUAeABwAGEAbgBkAGUAZAAgAHAAZQByAGkAbwBkAHMAIABhAHIAcgBhAHkAIAAoAF8AcAByAGQAKQBcAG4AIAAgACAAIAAgACAAIAAgAF8AaQBkAHgALAAgAFMARQBRAFUARQBOAEMARQAoADEALAAgAEMATwBMAFUATQBOAFMAKABfAHAAcgBkACkAKQAsAFwAbgAgACAAIAAgACAAIAAgACAALwAvACAAQwByAGUAYQB0AGUAIABhAG4AIABlAHgAcABhAG4AZABlAGQAIABhAG4AZAAgAHMAbwByAHQAZQBkACAAdgBhAGwAdQBlAHMAIABhAHIAcgBhAHkAIABtAGEAcABwAGkAbgBnACAAaQBuAHAAdQB0ACAAdgBhAGwAdQBlAHMAIAB0AG8AIAB0AGgAZQAgAGUAeABwAGEAbgBkAGUAZAAgAHAAZQByAGkAbwBkAHMAIABhAHIAcgBhAHkAIAAoAF8AcAByAGQAKQAgAHcAaQB0AGgAIAAjAE4ALwBBACAAdgBhAGwAdQBlAHMAIABmAG8AcgAgAG0AaQBzAHMAaQBuAGcALwBlAG0AcAB0AHkAIABwAGUAcgBpAG8AZABzAFwAbgAgACAAIAAgACAAIAAgACAAXwBtAGEAcAAsACAATQBBAFAAKABfAHAAcgBkACwAIABMAEEATQBCAEQAQQAoAF8AcAAsACAASQBOAEQARQBYACgAXwBhAHIAcgBWACwAIAAxACwAIABYAE0AQQBUAEMASAAoAF8AcAAsACAAXwBhAHIAcgBQACkAKQApACkALABcAG4AIAAgACAAIAAgACAAIAAgAC8ALwAgAEkAdABlAHIAYQB0AGUAIAB0AGgAcgBvAHUAZwBoACAAZQBhAGMAaAAgAHYAYQBsAHUAZQAgAGkAbgAgAHQAaABlACAAbQBhAHAAcABlAGQAIAB2AGEAbAB1AGUAcwAgAGEAcgByAGEAeQAgACgAXwBtAGEAcAApACwAIAB3AGgAZQByAGUAIABhACAAYgBsAGEAbgBrACAAdgBhAGwAdQBlACAAKAAjAE4ALwBBACkAIABpAHMAIABmAG8AdQBuAGQAIABjAGEAbABjAHUAbABhAHQAZQAgAHQAaABlACAAcgBlAHEAdQBpAHIAZQBkACAAZABlAGwAdABhAFwAbgAgACAAIAAgACAAIAAgACAALwAvACAAIAAtAC0APgAgAHUAcwBlACAAdABoAGUAIABEAFIATwBQACgAKQAgACsAIABGAEkATABUAEUAUgAoACkAIABmAHUAbgBjAHQAaQBvAG4AcwAgAHQAbwAgAGYAaQBuAGQAIAB0AGgAZQAgAGkAbgBkAGUAeAAgAG8AZgAgAHQAaABlACAAbgBlAHgAdAAgAG4AbwBuAC0ATgBBACAAdgBhAGwAdQBlACAAKABfAGkAKQBcAG4AIAAgACAAIAAgACAAIAAgAC8ALwAgACAALQAtAD4AIABjAGEAbABjAHUAbABhAHQAZQAgAHQAaABlACAAZABpAGYAZgBlAHIAZQBuAGMAZQAgAGIAZQB0AHcAZQBlAG4AIAB0AGgAZQAgAG4AZQB4AHQAIABuAG8AbgAtAE4AQQAgAHYAYQBsAHUAZQAgACgAXwBuAHgAdAApACAAYQBuAGQAIAB0AGgAZQAgAHAAcgBlAHYAaQBvAHUAcwAgAHYAYQBsAHUAZQAgACgAXwBwAHIAdgApACwAIABhAG4AZAAgAGQAaQB2AGkAZABlACAAYgB5ACAAdABoAGUAIABuAHUAbQBiAGUAcgAgAG8AZgAgAGkAbgBkAGUAeABlAGQAIABwAGUAcgBpAG8AZABzACAAYgBlAHQAdwBlAGUAbgAgAGMAdQByAHIAZQBuAHQAIABhAG4AZAAgAG4AZQB4AHQAIABuAG8AbgAtAE4AQQBcAG4AIAAgACAAIAAgACAAIAAgAF8AcwBjAG4ALAAgAFMAQwBBAE4AKAAwACwAIABfAGkAZAB4ACwAIABMAEEATQBCAEQAQQAoAF8AcAByAHYALABfAGMALABcAG4AIAAgACAAIAAgACAAIAAgACAAIAAgACAASQBGACgASQBTAE4AQQAoAEkATgBEAEUAWAAoAF8AbQBhAHAALAAgADEALAAgAF8AYwApACkALABcAG4AIAAgACAAIAAgACAAIAAgACAAIAAgACAATABFAFQAKABcAG4AIAAgACAAIAAgACAAIAAgACAAIAAgACAAIAAgACAAIABfAGEAcgByACwAIABGAEkATABUAEUAUgAoAEQAUgBPAFAAKABfAGkAZAB4ACwAIAAsACAAXwBjACkALAAgAE4ATwBUACgASQBTAE4AQQAoAEQAUgBPAFAAKABfAG0AYQBwACwAIAAsACAAXwBjACkAKQApACkALABcAG4AIAAgACAAIAAgACAAIAAgACAAIAAgACAAIAAgACAAIABfAGkALAAgAEkATgBEAEUAWAAoAF8AYQByAHIALAAgADEALAAgADEAKQAsAFwAbgAgACAAIAAgACAAIAAgACAAIAAgACAAIAAgACAAIAAgAF8AbgB4AHQALAAgAEkATgBEAEUAWAAoAF8AbQBhAHAALAAgADEALAAgAF8AaQApACwAXABuACAAIAAgACAAIAAgACAAIAAgACAAIAAgACAAIAAgACAAXwBpAG4AYwAsACAAKABfAG4AeAB0ACAALQAgAF8AcAByAHYAKQAgAC8AIAAoAF8AaQAgAC0AIABfAGMAIAArACAAMQApACwAXABuACAAIAAgACAAIAAgACAAIAAgACAAIAAgACAAIAAgACAAXwBwAHIAdgAgACsAIABfAGkAbgBjAFwAbgAgACAAIAAgACAAIAAgACAAIAAgACAAIAApACwAXABuACAAIAAgACAAIAAgACAAIAAgACAAIAAgAEkATgBEAEUAWAAoAF8AbQBhAHAALAAgADEALAAgAF8AYwApAFwAbgAgACAAIAAgACAAIAAgACAAKQApACkALABcAG4AIAAgACAAIAAgACAAIAAgAC8ALwAgAEkAZgAgACAAdABoAGUAIAB1AHMAZQByACAAaABhAHMAIABjAGgAbwBzAGUAbgAgAHQAbwAgAHIAZQAtAGIAYQBsAGEAbgBjAGUAIAB0AGgAZQAgAGkAbgB0AGUAcgBwAG8AbABhAHQAZQBkACAAbwB1AHQAcAB1AHQAIAAoAF8AaQBuAHAAUgApACAAdABoAGUAbgAgAHIAZQAtAGMAYQBsAGMAdQBsAGEAdABlACAAdABoAGUAIABvAHUAdABwAHUAdAAgAHYAYQBsAHUAZQBzACAAYQByAHIAYQB5ACAAKABfAHMAYwBuACkAXABuACAAIAAgACAAIAAgACAAIAAvAC8AIAAgAC0ALQA+ACAAdABoAGUAIAByAGUALQBiAGEAbABhAG4AYwBpAG4AZwAgAHcAbwByAGsAcwAgAGIAeQAgAHIAZQBkAHUAYwBpAG4AZwAgAHQAaABlACAAbwB1AHQAcAB1AHQAIAB2AGEAbAB1AGUAcwAgAHAAcgBvAHAAbwByAHQAaQBvAG4AYQB0AGUAbAB5ACAAcwBvACAAdABoAGEAdAAgAHQAaABlACAAcwB1AG0AIABvAGYAIAB0AGgAZQAgAGkAbgB0AGUAcgBwAG8AbABhAHQAZQBkACAAdgBhAGwAdQBlAHMAIABpAHMAIABlAHEAdQBhAGwAIAB0AG8AIAB0AGgAZQAgAHMAdQBtACAAbwBmACAAdABoAGUAIABpAG4AcAB1AHQAIAB2AGEAbAB1AGUAcwBcAG4AIAAgACAAIAAgACAAIAAgAF8AYwBhAGwAYwAsACAASQBGACgAXwBpAG4AcABSACwAXABuACAAIAAgACAAIAAgACAAIAAgACAAIAAgAEwARQBUACgAXABuACAAIAAgACAAIAAgACAAIAAgACAAIAAgACAAIAAgACAAXwBzAHUAbQBWACwAIABTAFUATQAoAEkARgAoAEkAUwBFAFIAUgBPAFIAKABfAGEAcgByAFYAKQAsACAAMAAsACAAXwBhAHIAcgBWACkAKQAsAFwAbgAgACAAIAAgACAAIAAgACAAIAAgACAAIAAgACAAIAAgAF8AcwB1AG0AUwAsACAAUwBVAE0AKABJAEYAKABJAFMARQBSAFIATwBSACgAXwBzAGMAbgApACwAIAAwACwAIABfAHMAYwBuACkAKQAsAFwAbgAgACAAIAAgACAAIAAgACAAIAAgACAAIAAgACAAIAAgAF8AcwBjAG4AIAAvACAAXwBzAHUAbQBTACAAKgAgAF8AcwB1AG0AVgBcAG4AIAAgACAAIAAgACAAIAAgACAAIAAgACAAKQAsACAAXwBzAGMAbgBcAG4AIAAgACAAIAAgACAAIAAgACkALABcAG4AIAAgACAAIAAgACAAIAAgAC8ALwAgAEkAbgBjAGwAdQBkAGUAIAB0AGgAZQAgAHAAZQByAGkAbwBkAHMAIABhAHIAcgBhAHkAIABpAG4AIAB0AGgAZQAgAGYAdQBuAGMAdABpAG8AbgAgAG8AdQB0AHAAdQB0ACAAaQBmACAAYwBoAG8AcwBlAG4AIABiAHkAIAB0AGgAZQAgAHUAcwBlAHIAIAAoAF8AaQBuAHAAUAApAFwAbgAgACAAIAAgACAAIAAgACAAXwBvAHUAdAAsACAASQBGACgAXwBpAG4AcABQACwAIABWAFMAVABBAEMASwAoAF8AcAByAGQALAAgAF8AYwBhAGwAYwApACwAIABfAGMAYQBsAGMAKQAsAFwAbgAgACAAIAAgACAAIAAgACAALwAvACAASQBmACAAdABoAGUAIABvAHIAaQBnAGkAbgBhAGwAIAB2AGEAbAB1AGUAcwAgAGEAcgByAGEAeQAgAHcAYQBzACAAdgBlAHIAdABpAGMAYQBsACAAKABfAHYAcgB0ACkAIABvAHIAIAB0AGgAZQAgAHUAcwBlAHIAIABoAGEAcwAgAGMAaABvAHMAZQBuACAAYQAgAGYAbwByAGMAZQBkACAAdgBlAHIAdABpAGMAYQBsACAAbwB1AHQAcAB1AHQAIAAoAF8AaQBuAHAAVgApACAAdABoAGUAbgAgAHQAcgBhAG4AcwBwAG8AcwBlACAAdABoAGUAIABvAHUAdABwAHUAdAAgAGEAcgByAGEAeQBcAG4AIAAgACAAIAAgACAAIAAgAF8AcgB0AG4ALAAgAEkARgAoAE8AUgAoAF8AdgByAHQALAAgAF8AaQBuAHAAVgApACwAIABUAFIAQQBOAFMAUABPAFMARQAoAF8AbwB1AHQAKQAsACAAXwBvAHUAdAApACwAXABuACAAIAAgACAAIAAgACAAIAAvAC8AIABJAGYAIAB0AGgAZQAgAGkAbgBwAHUAdAAgAGMAaABlAGMAawBzACAAKABfAGkAbgBwAEMAaABrACkAIABoAGEAdgBlACAAZgBsAGEAZwBnAGUAZAAgAHQAaABlAG4AIAByAGUAdAB1AHIAbgAgAHQAaABlACAAcgBlAHEAdQBpAHIAZQBkACAARQB4AGMAZQBsACAAZQByAHIAbwByACAAYwBvAGQAZQAsACAAbwB0AGgAZQByAHcAaQBzAGUAIAByAGUAdAB1AHIAbgAgAHQAaABlACAAYwBhAGwAYwB1AGwAYQB0AGUAZAAgAHIAZQBzAHUAbAB0ACAAKABfAHIAdABuACkAXABuACAAIAAgACAAIAAgACAAIABDAEgATwBPAFMARQAoAF8AaQBuAHAAQwBoAGsALAAgAF8AcgB0AG4ALAAgAEwAQQBNAEIARABBACgAMAApACwAIAAjAFYAQQBMAFUARQAhACkAXABuACAAIAAgACAAKQBcAG4AKQA7AFwAbgBcAG4ALwAqAFwAbgAgACAAIAAgAE4AYQBtAGUAOgAgACAAIAAgACAAIAAgACAATwB1AHQAbABpAGUAcgBzACgAKQBcAG4AIAAgACAAIABWAGUAcgBzAGkAbwBuADoAIAAgACAAIAAgADEALgAwADUAIAAoADIAMAAtAEQAZQBjAC0AMgAwADIANQApACAALQAtACAAUgAgAFMAaQBsAGsALAAgAFIAWABMACAARABlAHYAZQBsAG8AcABtAGUAbgB0AFwAbgAgACAAIAAgAEQAZQBzAGMAcgBpAHAAdABpAG8AbgA6ACAAKgAvAC8AKgAqAFIAZQBzAHQAcgBpAGMAdABzACAAYQBuAHkAIABwAG8AdABlAG4AdABpAGEAbAAgAG8AdQB0AGwAaQBlAHIAIAB2AGEAbAB1AGUAcwAgAGkAbgAgAGEAbgAgAGEAcgByAGEAeQAgAGEAYgBvAHYAZQAgAGEAbgBkAC8AbwByACAAYgBlAGwAbwB3ACAAcgBlAGwAYQB0AGkAdgBlACAAdABoAHIAZQBzAGgAbwBsAGQAIAB2AGEAbAB1AGUAcwAqAC8ALwAqAFwAbgAgACAAIAAgAFAAYQByAGEAbQBlAHQAZQByAHMAOgBcAG4AIAAgACAAIAAgACAAIAAgACsAIABhAHIAcgBhAHkAIAAgACAAIAAgACAAIAAgACAAIAAgACAAIAA9ACAAKAByAGUAcQB1AGkAcgBlAGQAKQAgAGEAIABzAGkAbgBnAGwAZQAgAGQAaQBtAGUAbgBzAGkAbwBuACAAYQByAHIAYQB5ACAAbwBmACAAbgB1AG0AZQByAGkAYwAgAHYAYQBsAHUAZQBzAFwAbgAgACAAIAAgACAAIAAgACAAIAAgACAAIAAgACAAIAAgACAAIAAgACAAIAAgACAAIAAgACAAIAAgACAAIAAgACAAVABoAGUAIAAxAEQAIABhAHIAcgBhAHkAIABjAGEAbgAgAGIAZQAgAGUAaQB0AGgAZQByACAAaABvAHIAaQB6AG8AbgB0AGEAbAAgACgAMQAgAHIAbwB3ACwAIABtAHUAbAB0AGkAcABsAGUAIABjAG8AbAB1AG0AbgBzACkAIABvAHIAIAB2AGUAcgB0AGkAYwBhAGwAIAAoAG0AdQBsAHQAaQBwAGwAZQAgAHIAbwB3AHMALAAgADEAIABjAG8AbAB1AG0AbgApACAAaQBuACAAbwByAGkAZQBuAHQAYQB0AGkAbwBuAFwAbgAgACAAIAAgACAAIAAgACAAKwAgAGMAbwBlAGYAZgBpAGMAaQBlAG4AdAAgACAAIAAgACAAIAAgAD0AIAAoAHIAZQBxAHUAaQByAGUAZAApACAAYQAgAG4AdQBtAGUAcgBpAGMAIABjAG8AcgByAGUAYwB0AGkAbwBuACAAZgBhAGMAdABvAHIAIAB3AGgAaQBjAGgAIABkAGUAdABlAHIAbQBpAG4AZQBzACAAdwBoAGUAcgBlACAAdABvACAAcwBlAHQAIAB0AGgAZQAgAHUAcABwAGUAcgAgAGEAbgBkACAAbABvAHcAZQByACAAbwB1AHQAbABpAGUAcgAgAHQAaAByAGUAcwBoAG8AbABkAHMAIAB0AG8AIABsAGkAbQBpAHQAIABwAG8AdABlAG4AdABpAGEAbAAgAG8AdQB0AGwAaQBlAHIAIAB2AGEAbAB1AGUAcwBcAG4AIAAgACAAIAAgACAAIAAgACAAIAAgACAAIAAgACAAIAAgACAAIAAgACAAIAAgACAAIAAgACAAIAAgACAAIAAgAFQAaABlACAAYwBvAGUAZgBmAGkAYwBpAGUAbgB0ACAAaQBuAHAAdQB0ACAAZABlAHQAZQByAG0AaQBuAGUAcwAgAHcAaABhAHQAIABtAHUAbAB0AGkAcABsAGUAIABvAGYAIAB0AGgAZQAgAEkAUQBSACAAaQBzACAAYQBkAGQAZQBkACAAdABvACAAdABoAGUAIABVAHAAcABlAHIAIABRAHUAYQByAHQAaQBsAGUAIABhAG4AZAAgAEwAbwB3AGUAcgAgAFEAdQBhAHIAdABpAGwAZQAgAHYAYQBsAHUAZQBzACAAdABvACAAYwByAGUAYQB0AGUAIAB0AGgAZQAgAHUAcABwAGUAcgAgAGEAbgBkACAAbABvAHcAZQByACAAdABoAHIAZQBzAGgAbwBsAGQAcwBcAG4AIAAgACAAIAAgACAAIAAgACAAIAAgACAAIAAgACAAIAAgACAAIAAgACAAIAAgACAAIAAgACAAIAAgACAAIAAgACAAIAAgACAAIAAgACAAMAAgAD0AIABhACAAYwBvAGUAZgBmAGkAYwBpAGUAbgB0ACAAbwBmACAAegBlAHIAbwAgAHcAaQBsAGwAIABzAGUAdAAgAHQAaABlACAAdQBwAHAAZQByACAAdABoAHIAZQBzAGgAbwBsAGQAIABhAHQAIAB0AGgAZQAgAFUAcABwAGUAcgAgAFEAdQBhAHIAdABpAGwAZQAgAHYAYQBsAHUAZQAgAGEAbgBkACAAdABoAGUAIABsAG8AdwBlAHIAIAB0AGgAcgBlAHMAaABvAGwAZAAgAGEAdAAgAHQAaABlACAATABvAHcAZQByACAAUQB1AGEAcgB0AGkAbABlACAAdgBhAGwAdQBlAFwAbgAgACAAIAAgACAAIAAgACAAIAAgACAAIAAgACAAIAAgACAAIAAgACAAIAAgACAAIAAgACAAIAAgACAAIAAgACAAIAAgACAAIAAgACsAdgBlACAAPQAgAGEAIABwAG8AcwBpAHQAaQB2AGUAIABjAG8AZQBmAGYAaQBjAGkAZQBuAHQAIAB3AGkAbABsACAAcwBlAHQAIAB0AGgAZQAgAHUAcABwAGUAcgAgAHQAaAByAGUAcwBoAG8AbABkACAAYQBiAG8AdgBlACAAdABoAGUAIABVAHAAcABlAHIAIABRAHUAYQByAHQAaQBsAGUAIABhAG4AZAAgAHQAaABlACAAbABvAHcAZQByACAAdABoAHIAZQBzAGgAbwBsAGQAIABiAGUAbABvAHcAIAB0AGgAZQAgAEwAbwB3AGUAcgAgAFEAdQBhAHIAdABpAGwAZQBcAG4AIAAgACAAIAAgACAAIAAgACAAIAAgACAAIAAgACAAIAAgACAAIAAgACAAIAAgACAAIAAgACAAIAAgACAAIAAgACAAIAAgACAAIAAgACAAIAAgAD0AIABhACAAYwBvAGUAZgBmAGkAYwBpAGUAbgB0ACAAaQBuAHAAdQB0ACAAbwBmACAAKwAxAC4AMAAgAHcAaQBsAGwAIABsAGkAbQBpAHQAIABvAHUAdABsAGkAZQByACAAdABoAHIAZQBzAGgAbwBsAGQAcwAgAHQAbwAgAHQAaABlACAAdgBhAGwAdQBlACAAbwBmACAAdABoAGUAIABVAHAAcABlAHIAIABRAHUAYQByAHQAaQBsAGUAIABwAGwAdQBzACAAdABoAGUAIABJAFEAUgAgAGEAbgBkACAAdABoAGUAIABMAG8AdwBlAHIAIABRAHUAYQByAHQAaQBsAGUAIABtAGkAbgB1AHMAIAB0AGgAZQAgAEkAUQBSAFwAbgAgACAAIAAgACAAIAAgACAAIAAgACAAIAAgACAAIAAgACAAIAAgACAAIAAgACAAIAAgACAAIAAgACAAIAAgACAAIAAgACAAIAAgAC0AdgBlACAAPQAgAGEAIABuAGUAZwBhAHQAaQB2AGUAIABjAG8AZQBmAGYAaQBjAGkAZQBuAHQAIAB3AGkAbABsACAAcwBlAHQAIAB0AGgAZQAgAHUAcABwAGUAcgAgAHQAaAByAGUAcwBoAG8AbABkACAAYgBlAGwAbwB3ACAAdABoAGUAIABVAHAAcABlAHIAIABRAHUAYQByAHQAaQBsAGUAIABhAG4AZAAgAHQAaABlACAAbABvAHcAZQByACAAdABoAHIAZQBzAGgAbwBsAGQAIABhAGIAbwB2AGUAIAB0AGgAZQAgAEwAbwB3AGUAcgAgAFEAdQBhAHIAdABpAGwAZQBcAG4AIAAgACAAIAAgACAAIAAgACAAIAAgACAAIAAgACAAIAAgACAAIAAgACAAIAAgACAAIAAgACAAIAAgACAAIAAgACAAIAAgACAAIAAgACAAIAAgAD0AIABhACAAYwBvAGUAZgBmAGkAYwBpAGUAbgB0ACAAaQBuAHAAdQB0ACAAbwBmACAALQAwAC4ANQAgAHcAaQBsAGwAIABsAGkAbQBpAHQAIABjAHIAZQBhAHQAZQAgAGEAIABmAGwAYQB0ACAAbABpAG4AZQAgAHcAaQB0AGgAIAB0AGgAZQAgAG8AdQB0AGwAaQBlAHIAIAB0AGgAcgBlAHMAaABvAGwAZABzACAAcwBlAHQAIAB0AG8AIABhACAAbQBpAGQALQBwAG8AaQBuAHQAIABiAGUAdAB3AGUAZQBuACAAdABoAGUAIABVAHAAcABlAHIAIABRAHUAYQByAHQAaQBsAGUAIABhAG4AZAAgAHQAaABlACAATABvAHcAZQByACAAUQB1AGEAcgB0AGkAbABlACAAdgBhAGwAdQBlAHMAXABuACAAIAAgACAAIAAgACAAIAAgACAAIAAgACAAIAAgACAAIAAgACAAIAAgACAAIAAgACAAIAAgACAAIAAgACAAIABWAGEAbAB1AGUAcwAgAGkAbgAgAHQAaABlACAAYQByAHIAYQB5ACAAdwBoAGkAYwBoACAAYQByAGUAIABhAGIAbwB2AGUAIAB0AGgAZQAgAHUAcABwAGUAcgAgAHQAaAByAGUAcwBoAG8AbABkACAAbwByACAAYgBlAGwAbwB3ACAAdABoAGUAIABsAG8AdwBlAHIAIAB0AGgAcgBlAHMAaABvAGwAZAAgAHcAaQBsAGwAIABiAGUAIAByAGUAcwB0AHIAaQBjAHQAZQBkACAAdABvACAAdABoAGEAdAAgAHUAcABwAGUAcgAgAG8AcgAgAGwAbwB3AGUAcgAgAHQAaAByAGUAcwBoAG8AbABkACAAdgBhAGwAdQBlACAAaQBuACAAbwByAGQAZQByACAAdABvACAAYwBvAHIAcgBlAGMAdAAgAHAAbwB0AGUAbgB0AGkAYQBsACAAbwB1AHQAbABpAGUAcgBzAFwAbgAgACAAIAAgACAAIAAgACAAKwAgAG8AcAB0AGkAbwBuACAAIAAgACAAIAAgACAAIAAgACAAIAAgAD0AIAAoAG8AcAB0AGkAbwBuAGEAbAApACAAZABlAHQAZQByAG0AaQBuAGUAcwAgAHcAaABlAHQAaABlAHIAIAB0AG8AIABjAG8AcgByAGUAYwB0ACAAcABvAHQAZQBuAHQAaQBhAGwAIABvAHUAdABsAGkAZQByAHMAIABhAGIAbwB2AGUAIABhAG4AZAAvAG8AcgAgAGIAZQBsAG8AdwAgAHQAaABlACAAcwBlAHQAIAB0AGgAcgBlAHMAaABvAGwAZABzAFwAbgAgACAAIAAgACAAIAAgACAAIAAgACAAIAAgACAAIAAgACAAIAAgACAAIAAgACAAIAAgACAAIAAgACAAIAAgACAAIAAgACAAIAAgACAAIAAwACAAPQAgAFsAZABlAGYAYQB1AGwAdABdACAAbwB1AHQAbABpAGUAcgAgAGMAbwByAHIAZQBjAHQAaQBvAG4AIABhAHAAcABsAGkAZQBkACAAdABvACAAdgBhAGwAdQBlAHMAIABhAGIAbwB2AGUAIABhAG4AZAAgAGIAZQBsAG8AdwAgAHQAaABlACAAdABoAHIAZQBzAGgAbwBsAGQAcwBcAG4AIAAgACAAIAAgACAAIAAgACAAIAAgACAAIAAgACAAIAAgACAAIAAgACAAIAAgACAAIAAgACAAIAAgACAAIAAgACAAIAAgACAAIAAgACsAMQAgAD0AIABvAHUAdABsAGkAZQByACAAYwBvAHIAcgBlAGMAdABpAG8AbgAgAGEAcABwAGwAaQBlAGQAIAB0AG8AIAB2AGEAbAB1AGUAcwAgAGEAYgBvAHYAZQAgAHUAcABwAGUAcgAgAHQAaAByAGUAcwBoAG8AbABkACAAbwBuAGwAeQBcAG4AIAAgACAAIAAgACAAIAAgACAAIAAgACAAIAAgACAAIAAgACAAIAAgACAAIAAgACAAIAAgACAAIAAgACAAIAAgACAAIAAgACAAIAAgAC0AMQAgAD0AIABvAHUAdABsAGkAZQByACAAYwBvAHIAcgBlAGMAdABpAG8AbgAgAGEAcABwAGwAaQBlAGQAIAB0AG8AIAB2AGEAbAB1AGUAcwAgAGIAZQBsAG8AdwAgAGwAbwB3AGUAcgAgAHQAaAByAGUAcwBoAG8AbABkACAAbwBuAGwAeQBcAG4AIAAgACAAIAAgACAAIAAgACsAIAByAGUAcABsAGEAYwBlAF8AZQByAHIAbwByAHMAIAAgACAAIAA9ACAAKABvAHAAdABpAG8AbgBhAGwAKQAgAGEAIAB2AGEAbAB1AGUAIAB1AHMAZQBkACAAdABvACAAcgBlAHAAbABhAGMAZQAgAGEAbgB5ACAARQB4AGMAZQBsACAAZQByAHIAbwByACAAdgBhAGwAdQBlAHMAIABpAG4AIAB0AGgAZQAgAGEAcgByAGEAeQAgAGkAbgBwAHUAdABcAG4AIAAgACAAIAAgACAAIAAgACAAIAAgACAAIAAgACAAIAAgACAAIAAgACAAIAAgACAAIAAgACAAIAAgACAAIAAgAEkAZgAgAHQAaABlACAAaQBuAHAAdQB0ACAAcAByAG8AdgBpAGQAZQBkACAAaQBzACAAYQAgAG4AdQBtAGIAZQByACwAIAB0AGgAaQBzACAAdgBhAGwAdQBlACAAdwBpAGwAbAAgAGIAZQAgAHUAcwBlAGQAIAB0AG8AIAByAGUAcABsAGEAYwBlACAAYQBuAHkAIABlAHIAcgBvAHIAIAB2AGEAbAB1AGUAcwAgAGkAbgAgAHQAaABlACAAbQBhAGkAbgAgAGEAcgByAGEAeQBcAG4AIAAgACAAIAAgACAAIAAgACAAIAAgACAAIAAgACAAIAAgACAAIAAgACAAIAAgACAAIAAgACAAIAAgACAAIAAgAEkAZgAgAHQAaABlACAAaQBuAHAAdQB0ACAAcAByAG8AdgBpAGQAZQBkACAAaQBzACAAYQAgAGwAbwBnAGkAYwBhAGwALwBCAG8AbwBsAGUAYQBuACAAdgBhAGwAdQBlADoAXABuACAAIAAgACAAIAAgACAAIAAgACAAIAAgACAAIAAgACAAIAAgACAAIAAgACAAIAAgACAAIAAgACAAIAAgACAAIAAgACAAIAAgACAAVABSAFUARQAgAD0AIABbAGQAZQBmAGEAdQBsAHQAXQAgAGUAcgByAG8AcgAgAHYAYQBsAHUAZQBzACAAdwBpAGwAbAAgAGIAZQAgAHIAZQBwAGwAYQBjAGUAZAAgAHcAaQB0AGgAIABhACAAIwBOAC8AQQAgAHYAYQBsAHUAZQAgAFwAbgAgACAAIAAgACAAIAAgACAAIAAgACAAIAAgACAAIAAgACAAIAAgACAAIAAgACAAIAAgACAAIAAgACAAIAAgACAAIAAgACAAIABGAEEATABTAEUAIAA9ACAAZQByAHIAbwByACAAdgBhAGwAdQBlAHMAIAB3AGkAbABsACAAbgBvAHQAIABiAGUAIAByAGUAcABsAGEAYwBlAGQAIABhAG4AZAAgAHcAaQBsAGwAIABiAGUAIABpAG4AYwBsAHUAZABlAGQAIABpAG4AIABmAHUAbgBjAHQAaQBvAG4AIABjAGEAbABjAHUAbABhAHQAaQBvAG4AcwAgAGEAbgBkACAAbwB1AHQAcAB1AHQAXABuACAAIAAgACAAIAAgACAAIAArACAAcgBlAHAAbABhAGMAZQBfAGIAbABhAG4AawBzACAAIAAgACAAPQAgACgAbwBwAHQAaQBvAG4AYQBsACkAIABhACAAdgBhAGwAdQBlACAAdQBzAGUAZAAgAHQAbwAgAHIAZQBwAGwAYQBjAGUAIABhAG4AeQAgAGIAbABhAG4AawAgAGQAYQB0AGEAIABwAG8AaQBuAHQAcwAvAGMAZQBsAGwAcwAgAGkAbgAgAHQAaABlACAAYQByAHIAYQB5ACAAaQBuAHAAdQB0AFwAbgAgACAAIAAgACAAIAAgACAAIAAgACAAIAAgACAAIAAgACAAIAAgACAAIAAgACAAIAAgACAAIAAgACAAIAAgACAASQBmACAAdABoAGUAIABpAG4AcAB1AHQAIABwAHIAbwB2AGkAZABlAGQAIABpAHMAIABhACAAbgB1AG0AYgBlAHIALAAgAHQAaABpAHMAIAB2AGEAbAB1AGUAIAB3AGkAbABsACAAYgBlACAAdQBzAGUAZAAgAHQAbwAgAHIAZQBwAGwAYQBjAGUAIABhAG4AeQAgAGIAbABhAG4AawAgAHYAYQBsAHUAZQBzACAAaQBuACAAdABoAGUAIABtAGEAaQBuACAAYQByAHIAYQB5AFwAbgAgACAAIAAgACAAIAAgACAAIAAgACAAIAAgACAAIAAgACAAIAAgACAAIAAgACAAIAAgACAAIAAgACAAIAAgACAASQBmACAAdABoAGUAIABpAG4AcAB1AHQAIABwAHIAbwB2AGkAZABlAGQAIABpAHMAIABhACAAbABvAGcAaQBjAGEAbAAvAEIAbwBvAGwAZQBhAG4AIAB2AGEAbAB1AGUAOgBcAG4AIAAgACAAIAAgACAAIAAgACAAIAAgACAAIAAgACAAIAAgACAAIAAgACAAIAAgACAAIAAgACAAIAAgACAAIAAgACAAIAAgACAAIABUAFIAVQBFACAAPQAgAGIAbABhAG4AawAgAGQAYQB0AGEAIABwAG8AaQBuAHQAcwAgAHcAaQBsAGwAIABiAGUAIAByAGUAcABsAGEAYwBlAGQAIAB3AGkAdABoACAAYQAgACMATgAvAEEAIAB2AGEAbAB1AGUALAAgAGEAbgBkACAAcwBvACAAZQB4AGMAbAB1AGQAZQBkACAAZgByAG8AbQAgAGYAdQBuAGMAdABpAG8AbgAgAGMAYQBsAGMAdQBsAGEAdABpAG8AbgBzAFwAbgAgACAAIAAgACAAIAAgACAAIAAgACAAIAAgACAAIAAgACAAIAAgACAAIAAgACAAIAAgACAAIAAgACAAIAAgACAAIAAgACAAIABGAEEATABTAEUAIAA9ACAAWwBkAGUAZgBhAHUAbAB0AF0AIABiAGwAYQBuAGsAIABkAGEAdABhACAAcABvAGkAbgB0AHMAIAB3AGkAbABsACAAbgBvAHQAIABiAGUAIAByAGUAcABsAGEAYwBlAGQAIABhAG4AZAAgAHcAaQBsAGwAIABiAGUAIAB0AHIAZQBhAHQAZQBkACAAYQBzACAAMAAgACgAegBlAHIAbwApACAAdgBhAGwAdQBlAHMAIABpAG4AIABmAHUAbgBjAHQAaQBvAG4AIABjAGEAbABjAHUAbABhAHQAaQBvAG4AcwBcAG4AIAAgACAAIAAgACAAIAAgACsAIABlAHgAYwBsAHUAZABlAF8AcABlAHIAaQBvAGQAcwAgACAAIAA9ACAAKABvAHAAdABpAG8AbgBhAGwAKQAgAGEAbgAgAGEAcgByAGEAeQAgAG8AZgAgAHIAZQBsAGEAdABpAHYAZQAgAHIAbwB3AC8AYwBvAGwAdQBtAG4AIABpAG4AZABlAHgAIABwAG8AcwBpAHQAaQBvAG4AcwAgAGkAbgBkAGkAYwBhAHQAaQBuAGcAIAB3AGgAaQBjAGgAIABkAGEAdABhACAAcABvAGkAbgB0AHMAIABzAGgAbwB1AGwAZAAgAG4AbwB0ACAAYgBlACAAaQBuAGMAbAB1AGQAZQBkACAAaQBuACAAdABoAGUAIABjAGEAbABjAHUAbABhAHQAaQBvAG4AcwAsACAAYQBuAGQAIAB3AGkAbABsACAAYgBlACAAdQBuAGMAaABhAG4AZwBlAGQAIABpAG4AIAB0AGgAZQAgAG8AdQB0AHAAdQB0AFwAbgAgACAAIAAgAEUAcgByAG8AcgAgAGMAbwBkAGUAcwA6AFwAbgAgACAAIAAgACAAIAAgACAAIwBWAEEATABVAEUAIQAgACAAIAAgACAAPQAgAFIAZQBxAHUAaQByAGUAZAAgAGkAbgBwAHUAdAAgAHAAYQByAGEAbQBlAHQAZQByAHMAIAAoAGEAcgByAGEAeQAsACAAYwBvAGUAZgBmAGkAYwBpAGUAbgB0ACkAIABoAGEAdgBlACAAbgBvAHQAIABiAGUAZQBuACAAcAByAG8AdgBpAGQAZQBkACAAbwByACAAYQByAGUAIABpAG4AdgBhAGwAaQBkAFwAbgAgACAAIAAgACAAIAAgACAAIwBDAEEATABDACEAIAAgACAAIAAgACAAPQAgAFQAaABlACAAYwBvAGUAZgBmAGkAYwBpAGUAbgB0ACAAaQBuAHAAdQB0ACAAbQB1AHMAdAAgAGIAZQAgAGEAIABzAGkAbgBnAGwAZQAgAG4AdQBtAGIAZQByACwAIABhAG4AZAAgAHMAaABvAHUAbABkACAAYgBlACAAbgBvACAAbABlAHMAcwAgAHQAaABhAG4AIAAtADAALgA1AFwAbgAgACAAIAAgACAAIAAgACAAIwBWAEEATABVAEUAIQAgACAAIAAgACAAPQAgAFQAaABlACAAbwBwAHQAaQBvAG4AYQBsACAAbwBwAHQAaQBvAG4AIABpAG4AcAB1AHQAIABtAHUAcwB0ACAAYgBlACAAYQAgAHMAaQBuAGcAbABlACAAbgB1AG0AZQByAGkAYwAgAHYAYQBsAHUAZQAsACAAYQBuAGQAIABzAGgAbwB1AGwAZAAgAGIAZQAgAGUAaQB0AGgAZQByACAAMAAsACAAKwAxACwAIABvAHIAIAAtADEAXABuACAAIAAgACAAIAAgACAAIAAjAFYAQQBMAFUARQAhACAAIAAgACAAIAA9ACAAVABoAGUAIAByAGUAcABsAGEAYwBlAF8AZQByAHIAbwByAHMAIABhAG4AZAAgAHIAZQBwAGwAYQBjAGUAXwBiAGwAYQBuAGsAcwAgAGkAbgBwAHUAdAAgAHAAYQByAGEAbQBlAHQAZQByAHMAIABtAHUAcwB0ACAAYgBlACAAYQAgAHMAaQBuAGcAbABlACAAdgBhAGwAdQBlACAAYQBuAGQAIABuAG8AdAAgAGEAbgAgAGEAcgByAGEAeQAgAG8AZgAgAGkAbgBwAHUAdAAgAHYAYQBsAHUAZQBzAFwAbgAqAC8AXABuAE8AdQB0AGwAaQBlAHIAcwAgAD0AIABMAEEATQBCAEQAQQAoAFwAbgAgACAAIAAgAC8ALwAgAFAAYQByAGEAbQBlAHQAZQByACAAZABlAGYAaQBuAGkAdABpAG8AbgBzAFwAbgAgACAAIAAgAGEAcgByAGEAeQAsAFwAbgAgACAAIAAgAGMAbwBlAGYAZgBpAGMAaQBlAG4AdAAsAFwAbgAgACAAIAAgAFsAbwBwAHQAaQBvAG4AXQAsAFwAbgAgACAAIAAgAFsAcgBlAHAAbABhAGMAZQBfAGUAcgByAG8AcgBzAF0ALABcAG4AIAAgACAAIABbAHIAZQBwAGwAYQBjAGUAXwBiAGwAYQBuAGsAcwBdACwAXABuACAAIAAgACAAWwBlAHgAYwBsAHUAZABlAF8AcABlAHIAaQBvAGQAcwBdACwAXABuACAAIAAgACAALwAvACAATQBhAGkAbgAgAGYAdQBuAGMAdABpAG8AbgAgAGIAbwBkAHkALwBjAGEAbABjAHUAbABhAHQAaQBvAG4AcwBcAG4AIAAgACAAIABMAEUAVAAoAFwAbgAgACAAIAAgACAAIAAgACAAXwBmAG4AYwAsACAAYwBvAGUAZgBmAGkAYwBpAGUAbgB0ACwAXABuACAAIAAgACAAIAAgACAAIAAvAC8AIABEAGUAYQBsACAAdwBpAHQAaAAgAG8AcAB0AGkAbwBuAGEAbAAgAGkAbgBwAHUAdAAgAHAAYQByAGEAbQBlAHQAZQByAHMAIABhAG4AZAAgAHMAZQB0ACAAZABlAGYAYQB1AGwAdAAgAHYAYQBsAHUAZQBzACAAZgBvAHIAIABvAG0AaQB0AHQAZQBkACAAaQBuAHAAdQB0AHMAXABuACAAIAAgACAAIAAgACAAIABfAG8AcABuACwAIABJAEYAKABJAFMATwBNAEkAVABUAEUARAAoAG8AcAB0AGkAbwBuACkALAAgADAALAAgAEkATgBUACgAbwBwAHQAaQBvAG4AKQApACwAXABuACAAIAAgACAAIAAgACAAIABfAGUAcgByACwAIABJAEYAKABJAFMATwBNAEkAVABUAEUARAAoAHIAZQBwAGwAYQBjAGUAXwBlAHIAcgBvAHIAcwApACwAIABUAFIAVQBFACwAIABJAEYAKABJAFMATABPAEcASQBDAEEATAAoAHIAZQBwAGwAYQBjAGUAXwBlAHIAcgBvAHIAcwApACwAIAByAGUAcABsAGEAYwBlAF8AZQByAHIAbwByAHMALAAgAFQAUgBVAEUAKQApACwAXABuACAAIAAgACAAIAAgACAAIABfAHIAZQBwAEUALAAgAEkARgAoAEEATgBEACgASQBTAEwATwBHAEkAQwBBAEwAKAByAGUAcABsAGEAYwBlAF8AZQByAHIAbwByAHMAKQAsACAAXwBlAHIAcgApACwAIABOAEEAKAApACwAIAByAGUAcABsAGEAYwBlAF8AZQByAHIAbwByAHMAKQAsAFwAbgAgACAAIAAgACAAIAAgACAAXwBiAGwAbgBrACwAIABJAEYAKABJAFMATwBNAEkAVABUAEUARAAoAHIAZQBwAGwAYQBjAGUAXwBiAGwAYQBuAGsAcwApACwAIABGAEEATABTAEUALAAgAHIAZQBwAGwAYQBjAGUAXwBiAGwAYQBuAGsAcwApACwAXABuACAAIAAgACAAIAAgACAAIABfAHIAZQBwAEIALAAgAEkARgAoAEkAUwBMAE8ARwBJAEMAQQBMACgAXwBiAGwAbgBrACkALAAgAEkARgAoAF8AYgBsAG4AawAsACAATgBBACgAKQAsACAAMAApACwAIABfAGIAbABuAGsAKQAsAFwAbgAgACAAIAAgACAAIAAgACAAXwBlAHgAYwAsACAASQBGACgASQBTAE8ATQBJAFQAVABFAEQAKABlAHgAYwBsAHUAZABlAF8AcABlAHIAaQBvAGQAcwApACwAIAAwACwAIABOACgAZQB4AGMAbAB1AGQAZQBfAHAAZQByAGkAbwBkAHMAKQApACwAXABuACAAIAAgACAAIAAgACAAIAAvAC8AIABJAG4AcAB1AHQAIABwAGEAcgBhAG0AZQB0AGUAcgAgAGMAaABlAGMAawBzAFwAbgAgACAAIAAgACAAIAAgACAALwAvACAAIAAtAC0APgAgAGMAaABlAGMAawBzACAAdABoAGEAdAAgAHQAaABlACAAYwBvAGUAZgBmAGkAYwBpAGUAbgB0ACAAaQBuAHAAdQB0ACAAKABfAGYAbgBjACkAIABpAHMAIABhACAAdgBhAGwAaQBkACAAbgB1AG0AZQByAGkAYwAgAHYAYQBsAHUAZQAgAGEAbgBkACAAaQBzACAAdwBpAHQAaABpAG4AIAB0AGgAZQAgAGUAeABwAGUAYwB0AGUAZAAgAHIAYQBuAGcAZQBcAG4AIAAgACAAIAAgACAAIAAgAC8ALwAgACAALQAtAD4AIABjAGgAZQBjAGsAcwAgAHQAaABhAHQAIAB0AGgAZQAgAG8AcAB0AGkAbwBuAGEAbAAgAGkAbgBwAHUAdAAgAHAAYQByAGEAbQBlAHQAZQByAHMAIABhAHIAZQAgAHYAYQBsAGkAZAAgAHMAaQBuAGcAbABlACAAdgBhAGwAdQBlACAAaQBuAHAAdQB0AHMALAAgAG4AbwB0ACAAYQByAHIAYQB5AHMALAAgAGEAbgBkACAAYQByAGUAIAB3AGkAdABoAGkAbgAgAHQAaABlACAAZQB4AHAAZQBjAHQAZQBkACAAcgBhAG4AZwBlACAAdwBoAGUAcgBlACAAYQBwAHAAbABpAGMAYQBiAGwAZQBcAG4AIAAgACAAIAAgACAAIAAgAF8AaQBuAHAAQwBoAGsALAAgAEkARgAoAFwAbgAgACAAIAAgACAAIAAgACAAIAAgACAAIABPAFIAKABcAG4AIAAgACAAIAAgACAAIAAgACAAIAAgACAAIAAgACAAIABOAE8AVAAoAEkAUwBOAFUATQBCAEUAUgAoAF8AZgBuAGMAKQApACwAIABfAGYAbgBjACAAPAAgAC0AMAAuADUAXABuACAAIAAgACAAIAAgACAAIAAgACAAIAAgACkALAAgADIALAAgAEkARgAoAFwAbgAgACAAIAAgACAAIAAgACAAIAAgACAAIABPAFIAKABcAG4AIAAgACAAIAAgACAAIAAgACAAIAAgACAAIAAgACAAIABfAG8AcABuACAAPAAgAC0AMQAsACAAXwBvAHAAbgAgAD4AIAAxACwAXABuACAAIAAgACAAIAAgACAAIAAgACAAIAAgACAAIAAgACAAUgBPAFcAUwAoAG8AcAB0AGkAbwBuACkAIAA+ACAAMQAsACAAQwBPAEwAVQBNAE4AUwAoAG8AcAB0AGkAbwBuACkAIAA+ACAAMQAsAFwAbgAgACAAIAAgACAAIAAgACAAIAAgACAAIAAgACAAIAAgAFIATwBXAFMAKAByAGUAcABsAGEAYwBlAF8AZQByAHIAbwByAHMAKQAgAD4AIAAxACwAIABDAE8ATABVAE0ATgBTACgAcgBlAHAAbABhAGMAZQBfAGUAcgByAG8AcgBzACkAIAA+ACAAMQAsAFwAbgAgACAAIAAgACAAIAAgACAAIAAgACAAIAAgACAAIAAgAFIATwBXAFMAKAByAGUAcABsAGEAYwBlAF8AYgBsAGEAbgBrAHMAKQAgAD4AIAAxACwAIABDAE8ATABVAE0ATgBTACgAcgBlAHAAbABhAGMAZQBfAGIAbABhAG4AawBzACkAIAA+ACAAMQBcAG4AIAAgACAAIAAgACAAIAAgACAAIAAgACAAKQAsACAAMwAsACAAMQApAFwAbgAgACAAIAAgACAAIAAgACAAKQAsAFwAbgAgACAAIAAgACAAIAAgACAALwAvACAAVQBwAGQAYQB0AGkAbgBnACAAdABoAGUAIABtAGEAaQBuACAAaQBuAHAAdQB0ACAAYQByAHIAYQB5ACAAKABhAHIAcgBhAHkAKQAsACAAcgBlAHAAbABhAGMAaQBuAGcAIABhAG4AeQAgAGUAcgByAG8AcgAgAHYAYQBsAHUAZQBzACAAYQBuAGQAIABiAGwAYQBuAGsALwBlAG0AcAB0AHkAIABkAGEAdABhACAAcABvAGkAbgB0AHMAXABuACAAIAAgACAAIAAgACAAIABfAGEAcgByACwAIABNAEEAUAAoAGEAcgByAGEAeQAsACAATABBAE0AQgBEAEEAKABfAHYAYQBsACwAXABuACAAIAAgACAAIAAgACAAIAAgACAAIAAgAEkARgAoAEkAUwBFAFIAUgBPAFIAKABfAHYAYQBsACkALAAgAEkARgAoAF8AZQByAHIALAAgAF8AcgBlAHAARQAsACAAXwB2AGEAbAApACwAXABuACAAIAAgACAAIAAgACAAIAAgACAAIAAgAEkARgAoAEkAUwBCAEwAQQBOAEsAKABfAHYAYQBsACkALAAgAF8AcgBlAHAAQgAsACAAXwB2AGEAbAApACkAXABuACAAIAAgACAAIAAgACAAIAApACkALABcAG4AIAAgACAAIAAgACAAIAAgAC8ALwAgAEMAcgBlAGEAdABpAG4AZwAgAGEAbgAgAGEAcgByAGEAeQAgAG8AZgAgAHIAZQBsAGEAdABpAHYAZQAgAGkAbgBkAGUAeAAgAHYAYQBsAHUAZQBzACAAZgBvAHIAIABlAGEAYwBoACAAbwBmACAAdABoAGUAIABkAGEAdABhACAAcABvAGkAbgB0AHMAIABpAG4AIAB0AGgAZQAgAHUAcABkAGEAdABlAGQAIABhAHIAcgBhAHkAIAAoAF8AYQByAHIAKQBcAG4AIAAgACAAIAAgACAAIAAgAF8AaQBkAHgALAAgAFMARQBRAFUARQBOAEMARQAoAFIATwBXAFMAKABfAGEAcgByACkALAAgAEMATwBMAFUATQBOAFMAKABfAGEAcgByACkAKQAsAFwAbgAgACAAIAAgACAAIAAgACAALwAvACAARgBpAGwAdABlAHIAIAB0AGgAZQAgAHUAcABkAGEAdABlAGQAIABhAHIAcgBhAHkAIAAoAF8AYQByAHIAKQAgAHQAbwAgAHIAZQBtAG8AdgBlACAAZQB4AGMAbAB1AGQAZQBkACAAZABhAHQAYQAgAHAAbwBpAG4AdABzACAAKABfAGUAeABjACkAIABhAG4AZAAgAGEAbgB5ACAAZQByAHIAbwByACAAdgBhAGwAdQBlAHMAIAAoAGkAbgBjAC4AIAAjAE4ALwBBACAAdgBhAGwAdQBlAHMAKQBcAG4AIAAgACAAIAAgACAAIAAgAF8AZgBsAHQAcgAsACAARgBJAEwAVABFAFIAKABfAGEAcgByACwAXABuACAAIAAgACAAIAAgACAAIAAgACAAIAAgAEkAUwBOAEEAKABYAE0AQQBUAEMASAAoAF8AaQBkAHgALAAgAF8AZQB4AGMAKQApACAAKgBcAG4AIAAgACAAIAAgACAAIAAgACAAIAAgACAATgBPAFQAKABJAFMARQBSAFIATwBSACgAXwBhAHIAcgApACkAXABuACAAIAAgACAAIAAgACAAIAApACwAXABuACAAIAAgACAAIAAgACAAIAAvAC8AIABDAGEAbABjAHUAbABhAHQAZQAgAHQAaABlACAAbABvAHcAZQByACAAcQB1AGEAcgB0AGkAbABlACAAKABfAEwAUQApACwAIAB1AHAAcABlAHIAIABxAHUAYQByAHQAaQBsAGUAIAAoAF8AVQBRACkALAAgAGEAbgBkACAAaQBuAHQAZQByAC0AcQB1AGEAcgB0AGkAbABlACAAcgBhAG4AZwBlACAAKABfAEkAUQBSACkAIAB2AGEAbAB1AGUAcwAgAGYAcgBvAG0AIAB0AGgAZQAgAGYAaQBsAHQAZQByAGUAZAAgAGkAbgBwAHUAdAAgAGEAcgByAGEAeQAgACgAXwBmAGwAdAByACkAXABuACAAIAAgACAAIAAgACAAIABfAEwAUQAsACAAUQBVAEEAUgBUAEkATABFAC4ASQBOAEMAKABfAGYAbAB0AHIALAAgADEAKQAsAFwAbgAgACAAIAAgACAAIAAgACAAXwBVAFEALAAgAFEAVQBBAFIAVABJAEwARQAuAEkATgBDACgAXwBmAGwAdAByACwAIAAzACkALABcAG4AIAAgACAAIAAgACAAIAAgAF8ASQBRAFIALAAgAF8AVQBRACAALQAgAF8ATABRACwAXABuACAAIAAgACAAIAAgACAAIAAvAC8AIABVAHMAZQAgAHQAaABlACAAYwBhAGwAYwB1AGwAYQB0AGUAZAAgAEwAUQBSACwAIABVAFEAUgAsACAAYQBuAGQAIABJAFEAUgAgAHYAYQBsAHUAZQBzACAAYQBsAG8AbgBnACAAdwBpAHQAaAAgAHQAaABlACAAYwBvAGUAZgBmAGkAYwBpAGUAbgB0ACAAKABmAGUAbgBjAGUAKQAgAHYAYQBsAHUAZQAgAGkAbgBwAHUAdAAgACgAXwBmAG4AYwApACAAdABvACAAYwBhAGwAYwB1AGwAYQB0AGUAIAB0AGgAZQAgAGwAbwB3AGUAcgAgACgAXwBsAG8AdwApACAAYQBuAGQAIAB1AHAAcABlAHIAIAAoAF8AdQBwAHAAKQAgAHQAaAByAGUAcwBoAG8AbABkACAAdgBhAGwAdQBlAHMAXABuACAAIAAgACAAIAAgACAAIABfAGwAbwB3ACwAIABfAEwAUQAgAC0AIAAoAF8AZgBuAGMAIAAqACAAXwBJAFEAUgApACwAXABuACAAIAAgACAAIAAgACAAIABfAHUAcABwACwAIABfAFUAUQAgACsAIAAoAF8AZgBuAGMAIAAqACAAXwBJAFEAUgApACwAXABuACAAIAAgACAAIAAgACAAIAAvAC8AIABJAHQAZQByAGEAdABlACAAdABoAHIAbwB1AGcAaAAgAGUAYQBjAGgAIABkAGEAdABhACAAcABvAGkAbgB0ACAAaQBuACAAdABoAGUAIAB1AHAAZABhAHQAZQBkACAAbQBhAGkAbgAgAGkAbgBwAHUAdAAgAGEAcgByAGEAeQAgACgAXwBhAHIAcgApACAAdABvACAAYwBhAGwAYwB1AGwAYQB0AGUAIAB0AGgAZQAgAG8AdQB0AHAAdQB0ACAAYQByAHIAYQB5AFwAbgAgACAAIAAgACAAIAAgACAALwAvACAAIAAtAC0APgAgAHcAaABlAHIAZQAgAHQAaABlACAAZABhAHQAYQAgAHAAbwBpAG4AdABzACAAcgBlAGwAYQB0AGkAdgBlACAAaQBuAGQAZQB4ACAAdgBhAGwAdQBlACAAaQBzACAAZgBvAHUAbgBkACAAaQBuACAAdABoAGUAIABlAHgAYwBsAHUAZABlAGQAIABwAGUAcgBpAG8AZABzACAAYQByAHIAYQB5ACAAKABfAGUAeABjACkAIABuAG8AIABjAGgAYQBuAGcAZQAgAGkAcwAgAG0AYQBkAGUAIABpAG4AIAB0AGgAZQAgAG8AdQB0AHAAdQB0ACAAYQByAHIAYQB5AFwAbgAgACAAIAAgACAAIAAgACAALwAvACAAIAAtAC0APgAgAG4AbwBuAC0AZQB4AGMAbAB1AGQAZQBkACAAZABhAHQAYQAgAHAAbwBpAG4AdABzACAAYQByAGUAIABsAGkAbQBpAHQAZQBkACAAdABvACAAdABoAGUAIABsAG8AdwBlAHIAIAAoAF8AbABvAHcAKQAgAGEAbgBkACAAdQBwAHAAZQByACAAKABfAHUAcABwACkAIAB0AGgAcgBlAHMAaABvAGwAZAAgAHYAYQBsAHUAZQBzACAAYQBzACAAcgBlAHEAdQBpAHIAZQBkACwAIABiAGEAcwBlAGQAIABvAG4AIAB0AGgAZQAgAHUAcwBlAHIAIABvAHUAdABwAHUAdAAgAG8AcAB0AGkAbwBuAHMAIABpAG4AcAB1AHQAIAAoAF8AbwBwAG4AKQBcAG4AIAAgACAAIAAgACAAIAAgAF8AcgB0AG4ALAAgAE0AQQBQACgAXwBpAGQAeAAsACAAXwBhAHIAcgAsACAATABBAE0AQgBEAEEAKABfAGkALABfAHYALABcAG4AIAAgACAAIAAgACAAIAAgACAAIAAgACAASQBGACgASQBTAE4AVQBNAEIARQBSACgAWABNAEEAVABDAEgAKABfAGkALAAgAF8AZQB4AGMAKQApACwAIABfAHYALABcAG4AIAAgACAAIAAgACAAIAAgACAAIAAgACAASQBGACgAQQBOAEQAKABfAG8AcABuACAAPAA9ACAAMAAsACAAXwB2ACAAPAAgAF8AbABvAHcAKQAsACAATQBBAFgAKABfAHYALAAgAF8AbABvAHcAKQAsAFwAbgAgACAAIAAgACAAIAAgACAAIAAgACAAIABJAEYAKABBAE4ARAAoAF8AbwBwAG4AIAA+AD0AIAAwACwAIABfAHYAIAA+ACAAXwB1AHAAcAApACwAIABNAEkATgAoAF8AdgAsACAAXwB1AHAAcAApACwAXABuACAAIAAgACAAIAAgACAAIAAgACAAIAAgAF8AdgApACkAKQBcAG4AIAAgACAAIAAgACAAIAAgACkAKQAsAFwAbgAgACAAIAAgACAAIAAgACAALwAvACAAQwBoAGUAYwBrACAAaQBmACAAdABoAGUAIABpAG4AcAB1AHQAIABjAGgAZQBjAGsAcwAgAGgAYQB2AGUAIABmAGwAYQBnAGcAZQBkACAAKABfAGkAbgBwAEMAaABrACkAIAAtAC0AIABpAGYAIABzAG8AIAByAGUAdAB1AHIAbgAgAHQAaABlACAAYQBwAHAAcgBvAHAAcgBpAGEAdABlACAAZQByAHIAbwByACwAIABvAHQAaABlAHIAdwBpAHMAZQAgAHIAZQB0AHUAcgBuACAAdABoAGUAIABjAGEAbABjAHUAbABhAHQAZQBkACAAbwB1AHQAcAB1AHQAIABhAHIAcgBhAHkAIAAoAF8AcgB0AG4AKQBcAG4AIAAgACAAIAAgACAAIAAgAEMASABPAE8AUwBFACgAXwBpAG4AcABDAGgAawAsACAAXwByAHQAbgAsACAATABBAE0AQgBEAEEAKAAwACkALAAgACMAVgBBAEwAVQBFACEAKQBcAG4AIAAgACAAIAApAFwAbgApADsAIgB9AF0ALAAiAHAAcgBvAGoAZQBjAHQATgBhAG0AZQBzACIAOgBbACIAUgBYAEwAXwBTAG0AbwBvAHQAaABpAG4AZwAuAEEAYgBvAHUAdAAiACwAIgBSAFgATABfAFMAbQBvAG8AdABoAGkAbgBnAC4ARQB4AHAAUwBtAG8AbwB0AGgAaQBuAGcAIgAsACIAUgBYAEwAXwBTAG0AbwBvAHQAaABpAG4AZwAuAEkAbgB0AGUAcgBwAG8AbABhAHQAaQBvAG4AIgAsACIAUgBYAEwAXwBTAG0AbwBvAHQAaABpAG4AZwAuAE8AdQB0AGwAaQBlAHI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GcAYgAiAH0AfQA=</AFEJSONBlob>
</file>

<file path=customXml/itemProps1.xml><?xml version="1.0" encoding="utf-8"?>
<ds:datastoreItem xmlns:ds="http://schemas.openxmlformats.org/officeDocument/2006/customXml" ds:itemID="{4B0F4647-0577-40E7-865D-28E0BE3676F9}">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ExpSmoothing</vt:lpstr>
      <vt:lpstr>Interpolation</vt:lpstr>
      <vt:lpstr>Outliers</vt:lpstr>
      <vt:lpstr>VBA</vt:lpstr>
      <vt:lpstr>Lookups</vt:lpstr>
      <vt:lpstr>_OnOff</vt:lpstr>
      <vt:lpstr>_YesNo</vt:lpstr>
    </vt:vector>
  </TitlesOfParts>
  <Company>RXL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RXL Data Smoothing Lambda Functions</dc:title>
  <dc:subject>Excel LAMBDA function development</dc:subject>
  <dc:creator>Robert Silk</dc:creator>
  <cp:keywords>https://excel-bits.net</cp:keywords>
  <cp:lastModifiedBy>Robert Silk</cp:lastModifiedBy>
  <cp:lastPrinted>2025-12-05T21:54:57Z</cp:lastPrinted>
  <dcterms:created xsi:type="dcterms:W3CDTF">2025-07-23T10:04:11Z</dcterms:created>
  <dcterms:modified xsi:type="dcterms:W3CDTF">2026-05-11T11:18:43Z</dcterms:modified>
  <cp:category>LAMBDA functions</cp:category>
</cp:coreProperties>
</file>