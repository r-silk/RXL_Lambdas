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D:\Work\_RXL\Development\LAMBDA\"/>
    </mc:Choice>
  </mc:AlternateContent>
  <xr:revisionPtr revIDLastSave="0" documentId="13_ncr:1_{A8A765E2-A327-4561-8094-3C19207204D2}" xr6:coauthVersionLast="47" xr6:coauthVersionMax="47" xr10:uidLastSave="{00000000-0000-0000-0000-000000000000}"/>
  <bookViews>
    <workbookView xWindow="-108" yWindow="-108" windowWidth="23256" windowHeight="12456" xr2:uid="{1605ACE6-66F7-41A1-A7B9-6E9FA9C38EDF}"/>
  </bookViews>
  <sheets>
    <sheet name="MultiSub" sheetId="1" r:id="rId1"/>
    <sheet name="Demo" sheetId="2" r:id="rId2"/>
    <sheet name="VBA" sheetId="3" r:id="rId3"/>
    <sheet name="Lookups" sheetId="4" r:id="rId4"/>
  </sheets>
  <definedNames>
    <definedName name="_OnOff">Lookups!$C$6:$C$7</definedName>
    <definedName name="_YesNo">Lookups!$C$3:$C$4</definedName>
    <definedName name="LAMBDA_text_replacement_pairs__instance_num___regex_mode___case_sensitive__LET__arr_text__tbl_replacement_pairs__idx_SEQUENCE_ROWS__tbl____txt_CHOOSECOLS__tbl_1___rep_CHOOSECOLS__tbl__1___ins_IF_ISOMITTED_instance_num__0_INT_instance_num____iAr_OR_ROWS_">_xlfn.LAMBDA(_xlpm.text,_xlpm.replacement_pairs,_xlop.instance_num,_xlop.regex_mode,_xlop.case_sensitive,_xlfn.LET(_xlpm._arr,_xlpm.text,_xlpm._tbl,_xlpm.replacement_pairs,_xlpm._idx,_xlfn.SEQUENCE(ROWS(_xlpm._tbl)),_xlpm._txt,_xlfn.CHOOSECOLS(_xlpm._tbl,1),_xlpm._rep,_xlfn.CHOOSECOLS(_xlpm._tbl,-1),_xlpm._ins,IF(_xlfn.ISOMITTED(_xlpm.instance_num),0,INT(_xlpm.instance_num)),_xlpm._iAr,OR(ROWS(_xlpm._ins)&gt;1,COLUMNS(_xlpm._ins)&gt;1),_xlpm._num,IF(_xlpm._iAr,_xlfn.TOCOL(_xlpm._ins),_xlpm._ins),_xlpm._rgx,IF(_xlfn.ISOMITTED(_xlpm.regex_mode),0,INT(_xlpm.regex_mode)),_xlpm._css,IF(_xlfn.ISOMITTED(_xlpm.case_sensitive),1,INT(_xlpm.case_sensitive)),_xlpm._sen,IF(_xlpm._css,0,1),_xlpm._inpChk,IF(OR(COLUMNS(_xlpm._tbl)&lt;&gt;2,AND(ROWS(_xlpm._num)&gt;1,ROWS(_xlpm._num)&lt;&gt;ROWS(_xlpm._tbl))),2,IF(OR(_xlfn.REDUCE(0,_xlpm._txt,_xlfn.LAMBDA(_xlpm._acc,_xlpm._val,_xlpm._acc+IF(OR(ISBLANK(_xlpm._val),_xlpm._val=""),1,0)&gt;0)),AND(NOT(_xlpm._rgx),_xlpm._iAr,MIN(_xlpm._num)&lt;1),AND(NOT(ISNUMBER(_xlpm._rgx)),NOT(ISLOGICAL(_xlpm._rgx))),_xlpm._rgx&lt;0,_xlpm._rgx&gt;1,AND(NOT(ISNUMBER(_xlpm._css)),NOT(ISLOGICAL(_xlpm._css))),_xlpm._css&lt;0,_xlpm._css&gt;1),3,1)),_xlpm._typ,_xlfn.IFS(_xlpm._iAr,3,_xlpm._num&lt;&gt;0,2,TRUE,1)+IF(OR(_xlpm._sen,_xlpm._rgx),3,0),_xlpm._rtn,CHOOSE(_xlpm._typ,_xlfn.REDUCE(_xlpm._arr,_xlpm._idx,_xlfn.LAMBDA(_xlpm._acc,_xlpm._val,SUBSTITUTE(_xlpm._acc,INDEX(_xlpm._txt,_xlpm._val),INDEX(_xlpm._rep,_xlpm._val)))),_xlfn.REDUCE(_xlpm._arr,_xlpm._idx,_xlfn.LAMBDA(_xlpm._acc,_xlpm._val,SUBSTITUTE(_xlpm._acc,INDEX(_xlpm._txt,_xlpm._val),INDEX(_xlpm._rep,_xlpm._val),_xlpm._num))),_xlfn.REDUCE(_xlpm._arr,_xlpm._idx,_xlfn.LAMBDA(_xlpm._acc,_xlpm._val,SUBSTITUTE(_xlpm._acc,INDEX(_xlpm._txt,_xlpm._val),INDEX(_xlpm._rep,_xlpm._val),INDEX(_xlpm._num,_xlpm._val)))),_xlfn.REDUCE(_xlpm._arr,_xlpm._idx,_xlfn.LAMBDA(_xlpm._acc,_xlpm._val,_xlfn.REGEXREPLACE(_xlpm._acc,INDEX(_xlpm._txt,_xlpm._val),INDEX(_xlpm._rep,_xlpm._val),,_xlpm._sen))),_xlfn.REDUCE(_xlpm._arr,_xlpm._idx,_xlfn.LAMBDA(_xlpm._acc,_xlpm._val,_xlfn.REGEXREPLACE(_xlpm._acc,INDEX(_xlpm._txt,_xlpm._val),INDEX(_xlpm._rep,_xlpm._val),_xlpm._num,_xlpm._sen))),_xlfn.REDUCE(_xlpm._arr,_xlpm._idx,_xlfn.LAMBDA(_xlpm._acc,_xlpm._val,_xlfn.REGEXREPLACE(_xlpm._acc,INDEX(_xlpm._txt,_xlpm._val),INDEX(_xlpm._rep,_xlpm._val),INDEX(_xlpm._num,_xlpm._val),_xlpm._sen)))),CHOOSE(_xlpm._inpChk,_xlpm._rtn,_xlfn.LAMBDA(0),#VALUE!)))</definedName>
    <definedName name="RXL_MultiSub" comment="Matching and substitution of multiple text values in input text using an array of text:replacement pairs">_xlfn.LAMBDA(_xlpm.text,_xlpm.replacement_pairs,_xlop.instance_num,_xlop.regex_mode,_xlop.case_sensitive, _xlfn.LET(_xlpm._arr, _xlpm.text, _xlpm._tbl, _xlpm.replacement_pairs, _xlpm._idx, _xlfn.SEQUENCE(ROWS(_xlpm._tbl)), _xlpm._txt, _xlfn.CHOOSECOLS(_xlpm._tbl, 1), _xlpm._rep, _xlfn.CHOOSECOLS(_xlpm._tbl, -1), _xlpm._ins, IF(_xlfn.ISOMITTED(_xlpm.instance_num), 0, INT(_xlpm.instance_num)), _xlpm._iAr, OR(ROWS(_xlpm._ins) &gt; 1, COLUMNS(_xlpm._ins) &gt; 1), _xlpm._num, IF(_xlpm._iAr, _xlfn.TOCOL(_xlpm._ins), _xlpm._ins), _xlpm._rgx, IF(_xlfn.ISOMITTED(_xlpm.regex_mode), 0, INT(_xlpm.regex_mode)), _xlpm._css, IF(_xlfn.ISOMITTED(_xlpm.case_sensitive), 1, INT(_xlpm.case_sensitive)), _xlpm._sen, IF(_xlpm._css, 0, 1), _xlpm._inpChk, IF(OR(COLUMNS(_xlpm._tbl) &lt;&gt; 2, AND(ROWS(_xlpm._num) &gt; 1, ROWS(_xlpm._num) &lt;&gt; ROWS(_xlpm._tbl))), 2, IF(OR(_xlfn.REDUCE(0, _xlpm._txt, _xlfn.LAMBDA(_xlpm._acc,_xlpm._val, _xlpm._acc + IF(OR(ISBLANK(_xlpm._val), _xlpm._val = ""), 1, 0) &gt; 0)), AND(NOT(_xlpm._rgx), _xlpm._iAr, MIN(_xlpm._num) &lt; 1), AND(NOT(ISNUMBER(_xlpm._rgx)), NOT(ISLOGICAL(_xlpm._rgx))), _xlpm._rgx &lt; 0, _xlpm._rgx &gt; 1, AND(NOT(ISNUMBER(_xlpm._css)), NOT(ISLOGICAL(_xlpm._css))), _xlpm._css &lt; 0, _xlpm._css &gt; 1), 3, 1)), _xlpm._typ, _xlfn.IFS(_xlpm._iAr, 3, _xlpm._num &lt;&gt; 0, 2, TRUE, 1) + IF(OR(_xlpm._sen, _xlpm._rgx), 3, 0), _xlpm._rtn, CHOOSE(_xlpm._typ, _xlfn.REDUCE(_xlpm._arr, _xlpm._idx, _xlfn.LAMBDA(_xlpm._acc,_xlpm._val, SUBSTITUTE(_xlpm._acc, INDEX(_xlpm._txt, _xlpm._val), INDEX(_xlpm._rep, _xlpm._val)))), _xlfn.REDUCE(_xlpm._arr, _xlpm._idx, _xlfn.LAMBDA(_xlpm._acc,_xlpm._val, SUBSTITUTE(_xlpm._acc, INDEX(_xlpm._txt, _xlpm._val), INDEX(_xlpm._rep, _xlpm._val), _xlpm._num))), _xlfn.REDUCE(_xlpm._arr, _xlpm._idx, _xlfn.LAMBDA(_xlpm._acc,_xlpm._val, SUBSTITUTE(_xlpm._acc, INDEX(_xlpm._txt, _xlpm._val), INDEX(_xlpm._rep, _xlpm._val), INDEX(_xlpm._num, _xlpm._val)))), _xlfn.REDUCE(_xlpm._arr, _xlpm._idx, _xlfn.LAMBDA(_xlpm._acc,_xlpm._val, _xlfn.REGEXREPLACE(_xlpm._acc, INDEX(_xlpm._txt, _xlpm._val), INDEX(_xlpm._rep, _xlpm._val), , _xlpm._sen))), _xlfn.REDUCE(_xlpm._arr, _xlpm._idx, _xlfn.LAMBDA(_xlpm._acc,_xlpm._val, _xlfn.REGEXREPLACE(_xlpm._acc, INDEX(_xlpm._txt, _xlpm._val), INDEX(_xlpm._rep, _xlpm._val), _xlpm._num, _xlpm._sen))), _xlfn.REDUCE(_xlpm._arr, _xlpm._idx, _xlfn.LAMBDA(_xlpm._acc,_xlpm._val, _xlfn.REGEXREPLACE(_xlpm._acc, INDEX(_xlpm._txt, _xlpm._val), INDEX(_xlpm._rep, _xlpm._val), INDEX(_xlpm._num, _xlpm._val), _xlpm._sen)))), CHOOSE(_xlpm._inpChk, _xlpm._rtn, _xlfn.LAMBDA(0), #VALUE!)))</definedName>
    <definedName name="RXL_MultiSubNR" comment="(Non-RegEx version) Matching and substitution of multiple text values in input text using an array of text:replacement pairs">_xlfn.LAMBDA(_xlpm.text,_xlpm.replacement_pairs,_xlop.instance_num,_xlfn.LET(_xlpm._arr,_xlpm.text,_xlpm._tbl,_xlpm.replacement_pairs,_xlpm._idx,_xlfn.SEQUENCE(ROWS(_xlpm._tbl)),_xlpm._txt,_xlfn.CHOOSECOLS(_xlpm._tbl,1),_xlpm._rep,_xlfn.CHOOSECOLS(_xlpm._tbl,-1),_xlpm._ins,IF(_xlfn.ISOMITTED(_xlpm.instance_num),0,INT(_xlpm.instance_num)),_xlpm._iAr,OR(ROWS(_xlpm._ins)&gt;1,COLUMNS(_xlpm._ins)&gt;1),_xlpm._num,IF(_xlpm._iAr,_xlfn.TOCOL(_xlpm._ins),_xlpm._ins),_xlpm._inpChk,IF(OR(COLUMNS(_xlpm._tbl)&lt;&gt;2,AND(ROWS(_xlpm._num)&gt;1,ROWS(_xlpm._num)&lt;&gt;ROWS(_xlpm._tbl))),2,IF(OR(_xlfn.REDUCE(0,_xlpm._txt,_xlfn.LAMBDA(_xlpm._acc,_xlpm._val,_xlpm._acc+IF(OR(ISBLANK(_xlpm._val),_xlpm._val=""),1, 0)&gt;0)),AND(_xlpm._iAr,MIN(_xlpm._num)&lt;1)),3,1)),_xlpm._typ,_xlfn.IFS(_xlpm._iAr,3,_xlpm._num&lt;&gt;0,2,TRUE,1),_xlpm._rtn,CHOOSE(_xlpm._typ,_xlfn.REDUCE(_xlpm._arr,_xlpm._idx,_xlfn.LAMBDA(_xlpm._acc,_xlpm._val,SUBSTITUTE(_xlpm._acc,INDEX(_xlpm._txt,_xlpm._val),INDEX(_xlpm._rep,_xlpm._val)))),_xlfn.REDUCE(_xlpm._arr,_xlpm._idx,_xlfn.LAMBDA(_xlpm._acc,_xlpm._val,SUBSTITUTE(_xlpm._acc,INDEX(_xlpm._txt,_xlpm._val),INDEX(_xlpm._rep,_xlpm._val),_xlpm._num))),_xlfn.REDUCE(_xlpm._arr,_xlpm._idx,_xlfn.LAMBDA(_xlpm._acc,_xlpm._val,SUBSTITUTE(_xlpm._acc,INDEX(_xlpm._txt,_xlpm._val),INDEX(_xlpm._rep,_xlpm._val),INDEX(_xlpm._num,_xlpm._val))))),CHOOSE(_xlpm._inpChk,_xlpm._rtn,_xlfn.LAMBDA(0),#VALU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1" i="2" l="1" a="1"/>
  <c r="K71" i="2" s="1"/>
  <c r="Q71" i="2"/>
  <c r="K70" i="2" a="1"/>
  <c r="K70" i="2" s="1"/>
  <c r="Q70" i="2"/>
  <c r="K69" i="2" a="1"/>
  <c r="K69" i="2" s="1"/>
  <c r="Q69" i="2"/>
  <c r="K68" i="2" a="1"/>
  <c r="K68" i="2" s="1"/>
  <c r="K63" i="2" a="1"/>
  <c r="K63" i="2" s="1"/>
  <c r="N63" i="2"/>
  <c r="K62" i="2" a="1"/>
  <c r="K62" i="2" s="1"/>
  <c r="K23" i="2" a="1"/>
  <c r="K23" i="2" s="1"/>
  <c r="N62" i="2"/>
  <c r="K28" i="2" a="1"/>
  <c r="K55" i="2" a="1"/>
  <c r="K48" i="2" a="1"/>
  <c r="L55" i="2"/>
  <c r="L48" i="2"/>
  <c r="K39" i="2" a="1"/>
  <c r="L39" i="2"/>
  <c r="L32" i="2"/>
  <c r="K32" i="2" a="1"/>
  <c r="K18" i="2" a="1"/>
  <c r="K18" i="2" s="1"/>
  <c r="K15" i="2" a="1"/>
  <c r="K15" i="2" s="1"/>
  <c r="Q68" i="2"/>
  <c r="N23" i="2"/>
  <c r="N18" i="2"/>
  <c r="N15" i="2"/>
  <c r="B2" i="2"/>
  <c r="J327" i="1" a="1"/>
  <c r="J327" i="1" s="1"/>
  <c r="G327" i="1" a="1"/>
  <c r="G327" i="1" s="1"/>
  <c r="C327" i="1" a="1"/>
  <c r="C327" i="1" s="1"/>
  <c r="D295" i="1" a="1"/>
  <c r="D295" i="1" s="1"/>
  <c r="H293" i="1" s="1" a="1"/>
  <c r="H293" i="1" s="1"/>
  <c r="I293" i="1" a="1"/>
  <c r="I293" i="1" s="1"/>
  <c r="D273" i="1" a="1"/>
  <c r="D273" i="1" s="1"/>
  <c r="I262" i="1" a="1"/>
  <c r="I262" i="1" s="1"/>
  <c r="F262" i="1" a="1"/>
  <c r="F262" i="1" s="1"/>
  <c r="C262" i="1" a="1"/>
  <c r="C262" i="1" s="1"/>
  <c r="D237" i="1" a="1"/>
  <c r="D237" i="1" s="1"/>
  <c r="D232" i="1" a="1"/>
  <c r="D232" i="1" s="1"/>
  <c r="D236" i="1" s="1" a="1"/>
  <c r="D236" i="1" s="1"/>
  <c r="C214" i="1" a="1"/>
  <c r="C214" i="1" s="1"/>
  <c r="D202" i="1" a="1"/>
  <c r="I173" i="1" a="1"/>
  <c r="I173" i="1" s="1"/>
  <c r="F173" i="1" a="1"/>
  <c r="F173" i="1" s="1"/>
  <c r="C173" i="1" a="1"/>
  <c r="C173" i="1" s="1"/>
  <c r="I214" i="1" a="1"/>
  <c r="I214" i="1" s="1"/>
  <c r="F214" i="1" a="1"/>
  <c r="F214" i="1" s="1"/>
  <c r="I191" i="1" a="1"/>
  <c r="I191" i="1" s="1"/>
  <c r="F191" i="1" a="1"/>
  <c r="F191" i="1" s="1"/>
  <c r="C191" i="1" a="1"/>
  <c r="C191" i="1" s="1"/>
  <c r="I158" i="1" a="1"/>
  <c r="I158" i="1" s="1"/>
  <c r="C158" i="1" a="1"/>
  <c r="C158" i="1" s="1"/>
  <c r="F158" i="1" a="1"/>
  <c r="F158" i="1" s="1"/>
  <c r="F120" i="1" a="1"/>
  <c r="F120" i="1" s="1"/>
  <c r="J128" i="1" a="1"/>
  <c r="J128" i="1" s="1"/>
  <c r="C120" i="1" a="1"/>
  <c r="C120" i="1" s="1"/>
  <c r="C72" i="1" a="1"/>
  <c r="C72" i="1" s="1"/>
  <c r="C54" i="1" a="1"/>
  <c r="C54" i="1" s="1"/>
  <c r="G94" i="1" a="1"/>
  <c r="G94" i="1" s="1"/>
  <c r="C95" i="1" a="1"/>
  <c r="C95" i="1" s="1"/>
  <c r="G97" i="1" a="1"/>
  <c r="G97" i="1" s="1"/>
  <c r="D84" i="1" a="1"/>
  <c r="D84" i="1" s="1"/>
  <c r="D83" i="1" a="1"/>
  <c r="D83" i="1" s="1"/>
  <c r="I72" i="1" a="1"/>
  <c r="I72" i="1" s="1"/>
  <c r="F72" i="1" a="1"/>
  <c r="F72" i="1" s="1"/>
  <c r="I54" i="1" a="1"/>
  <c r="I54" i="1" s="1"/>
  <c r="F54" i="1" a="1"/>
  <c r="F54" i="1" s="1"/>
  <c r="I38" i="1" a="1"/>
  <c r="I38" i="1" s="1"/>
  <c r="C38" i="1" a="1"/>
  <c r="F38" i="1" a="1"/>
  <c r="F38" i="1" s="1"/>
  <c r="B71" i="3"/>
  <c r="B2" i="3"/>
  <c r="B24" i="1"/>
  <c r="K32" i="2" l="1"/>
  <c r="K39" i="2"/>
  <c r="K28" i="2"/>
  <c r="K55" i="2"/>
  <c r="K48" i="2"/>
  <c r="I327" i="1" a="1"/>
  <c r="I327" i="1" s="1"/>
  <c r="H214" i="1" a="1"/>
  <c r="H214" i="1" s="1"/>
  <c r="H262" i="1" a="1"/>
  <c r="H262" i="1" s="1"/>
  <c r="H173" i="1" a="1"/>
  <c r="H173" i="1" s="1"/>
  <c r="B34" i="1" a="1"/>
  <c r="B34" i="1" s="1"/>
  <c r="D202" i="1"/>
  <c r="H191" i="1" s="1" a="1"/>
  <c r="H158" i="1" a="1"/>
  <c r="H158" i="1" s="1"/>
  <c r="H72" i="1" a="1"/>
  <c r="H72" i="1" s="1"/>
  <c r="J120" i="1" a="1"/>
  <c r="J120" i="1" s="1"/>
  <c r="H54" i="1" a="1"/>
  <c r="H54" i="1" s="1"/>
  <c r="G96" i="1" a="1"/>
  <c r="G96" i="1" s="1"/>
  <c r="C38" i="1"/>
  <c r="H38" i="1" s="1" a="1"/>
  <c r="H38" i="1" s="1"/>
  <c r="B50" i="1" l="1" a="1"/>
  <c r="B50" i="1" s="1"/>
  <c r="H191" i="1"/>
  <c r="B68" i="1" l="1" a="1"/>
  <c r="B68" i="1" s="1"/>
  <c r="B92" i="1" l="1" a="1"/>
  <c r="B92" i="1" s="1"/>
  <c r="B117" i="1" l="1" a="1"/>
  <c r="B117" i="1" s="1"/>
  <c r="B155" i="1" l="1" a="1"/>
  <c r="B155" i="1" s="1"/>
  <c r="B170" i="1" l="1" a="1"/>
  <c r="B170" i="1" s="1"/>
  <c r="B188" i="1" l="1" a="1"/>
  <c r="B188" i="1" s="1"/>
  <c r="B211" i="1" l="1" a="1"/>
  <c r="B211" i="1" s="1"/>
  <c r="B228" i="1" l="1" a="1"/>
  <c r="B228" i="1" s="1"/>
  <c r="B259" i="1" s="1" a="1"/>
  <c r="B259" i="1" s="1"/>
  <c r="B291" i="1" l="1" a="1"/>
  <c r="B291" i="1" s="1"/>
  <c r="B324" i="1" s="1" a="1"/>
  <c r="B324" i="1" s="1"/>
  <c r="B366" i="1" s="1"/>
  <c r="B471"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<sst xmlns="http://schemas.openxmlformats.org/spreadsheetml/2006/main" count="532" uniqueCount="297">
  <si>
    <t>Purpose:</t>
  </si>
  <si>
    <t>Input data tables:</t>
  </si>
  <si>
    <t>Development</t>
  </si>
  <si>
    <t>Initial Development</t>
  </si>
  <si>
    <t>Approach:</t>
  </si>
  <si>
    <t>Final Version</t>
  </si>
  <si>
    <t>End of Sheet</t>
  </si>
  <si>
    <t>Description:</t>
  </si>
  <si>
    <t>Parameters:</t>
  </si>
  <si>
    <t>Errors:</t>
  </si>
  <si>
    <t>Notes:</t>
  </si>
  <si>
    <t>Function:</t>
  </si>
  <si>
    <t>Minimised version:</t>
  </si>
  <si>
    <t>[required]</t>
  </si>
  <si>
    <t>[optional]</t>
  </si>
  <si>
    <t>Instructions</t>
  </si>
  <si>
    <t>VBA Code</t>
  </si>
  <si>
    <t>A.</t>
  </si>
  <si>
    <t>Start by ensuring that you have this Workbook and the Workbook you wish to copy the function to open in the same Excel instance</t>
  </si>
  <si>
    <t>B.</t>
  </si>
  <si>
    <t>Open the VB Editor window</t>
  </si>
  <si>
    <t>C.</t>
  </si>
  <si>
    <t>D.</t>
  </si>
  <si>
    <t>In the code window which opens for ThisWorkbook, paste the VBA code from below exactly as written</t>
  </si>
  <si>
    <t>E.</t>
  </si>
  <si>
    <t>After copying the VBA code into code window, update line 11 replacing the text "Example.xlsx" with the name of your Excel Workbook/file</t>
  </si>
  <si>
    <t>F.</t>
  </si>
  <si>
    <t>Run the CopyLambda sub routine in ThisWorkbook module and check the Immediate window for the feedback message</t>
  </si>
  <si>
    <t xml:space="preserve">    </t>
  </si>
  <si>
    <t xml:space="preserve">    'Name of custom Lambda function to copy</t>
  </si>
  <si>
    <t xml:space="preserve">    On Error Resume Next</t>
  </si>
  <si>
    <t xml:space="preserve">        'Update "Example.xlsx" with name of the Workbook you wish to copy the function to</t>
  </si>
  <si>
    <t xml:space="preserve">    On Error GoTo 0</t>
  </si>
  <si>
    <t xml:space="preserve">        Exit Sub</t>
  </si>
  <si>
    <t xml:space="preserve">    End If</t>
  </si>
  <si>
    <t xml:space="preserve">        Err.Clear</t>
  </si>
  <si>
    <t xml:space="preserve">                              RefersTo:=nm.RefersTo, _</t>
  </si>
  <si>
    <t xml:space="preserve">                              Visible:=nm.Visible)</t>
  </si>
  <si>
    <t xml:space="preserve">            fn.Comment = nm.Comment</t>
  </si>
  <si>
    <t xml:space="preserve">        Else</t>
  </si>
  <si>
    <t xml:space="preserve">        End If</t>
  </si>
  <si>
    <t xml:space="preserve">    Else</t>
  </si>
  <si>
    <t>End Sub</t>
  </si>
  <si>
    <r>
      <rPr>
        <sz val="10"/>
        <color rgb="FF1E4FA8"/>
        <rFont val="Consolas"/>
        <family val="3"/>
      </rPr>
      <t>Private Sub</t>
    </r>
    <r>
      <rPr>
        <sz val="10"/>
        <color rgb="FF002138"/>
        <rFont val="Consolas"/>
        <family val="3"/>
      </rPr>
      <t xml:space="preserve"> CopyLambda()</t>
    </r>
  </si>
  <si>
    <r>
      <t xml:space="preserve">    </t>
    </r>
    <r>
      <rPr>
        <sz val="10"/>
        <color rgb="FF1E4FA8"/>
        <rFont val="Consolas"/>
        <family val="3"/>
      </rPr>
      <t>Dim</t>
    </r>
    <r>
      <rPr>
        <sz val="10"/>
        <color rgb="FF002138"/>
        <rFont val="Consolas"/>
        <family val="3"/>
      </rPr>
      <t xml:space="preserve"> wb </t>
    </r>
    <r>
      <rPr>
        <sz val="10"/>
        <color rgb="FF1E4FA8"/>
        <rFont val="Consolas"/>
        <family val="3"/>
      </rPr>
      <t>As</t>
    </r>
    <r>
      <rPr>
        <sz val="10"/>
        <color rgb="FF002138"/>
        <rFont val="Consolas"/>
        <family val="3"/>
      </rPr>
      <t xml:space="preserve"> Workbook, nm </t>
    </r>
    <r>
      <rPr>
        <sz val="10"/>
        <color rgb="FF1E4FA8"/>
        <rFont val="Consolas"/>
        <family val="3"/>
      </rPr>
      <t>As</t>
    </r>
    <r>
      <rPr>
        <sz val="10"/>
        <color rgb="FF002138"/>
        <rFont val="Consolas"/>
        <family val="3"/>
      </rPr>
      <t xml:space="preserve"> Name, fn </t>
    </r>
    <r>
      <rPr>
        <sz val="10"/>
        <color rgb="FF1E4FA8"/>
        <rFont val="Consolas"/>
        <family val="3"/>
      </rPr>
      <t>As</t>
    </r>
    <r>
      <rPr>
        <sz val="10"/>
        <color rgb="FF002138"/>
        <rFont val="Consolas"/>
        <family val="3"/>
      </rPr>
      <t xml:space="preserve"> Name</t>
    </r>
  </si>
  <si>
    <r>
      <t xml:space="preserve">    </t>
    </r>
    <r>
      <rPr>
        <sz val="10"/>
        <color rgb="FF1E4FA8"/>
        <rFont val="Consolas"/>
        <family val="3"/>
      </rPr>
      <t>Dim</t>
    </r>
    <r>
      <rPr>
        <sz val="10"/>
        <color rgb="FF002138"/>
        <rFont val="Consolas"/>
        <family val="3"/>
      </rPr>
      <t xml:space="preserve"> strLambda </t>
    </r>
    <r>
      <rPr>
        <sz val="10"/>
        <color rgb="FF1E4FA8"/>
        <rFont val="Consolas"/>
        <family val="3"/>
      </rPr>
      <t>As String</t>
    </r>
  </si>
  <si>
    <r>
      <t xml:space="preserve">        </t>
    </r>
    <r>
      <rPr>
        <sz val="10"/>
        <color rgb="FF1E4FA8"/>
        <rFont val="Consolas"/>
        <family val="3"/>
      </rPr>
      <t>Set</t>
    </r>
    <r>
      <rPr>
        <sz val="10"/>
        <color rgb="FF002138"/>
        <rFont val="Consolas"/>
        <family val="3"/>
      </rPr>
      <t xml:space="preserve"> wb = Application.Workbooks("Example.xlsx")</t>
    </r>
  </si>
  <si>
    <r>
      <t xml:space="preserve">    </t>
    </r>
    <r>
      <rPr>
        <sz val="10"/>
        <color rgb="FF1E4FA8"/>
        <rFont val="Consolas"/>
        <family val="3"/>
      </rPr>
      <t>If</t>
    </r>
    <r>
      <rPr>
        <sz val="10"/>
        <color rgb="FF002138"/>
        <rFont val="Consolas"/>
        <family val="3"/>
      </rPr>
      <t xml:space="preserve"> wb </t>
    </r>
    <r>
      <rPr>
        <sz val="10"/>
        <color rgb="FF1E4FA8"/>
        <rFont val="Consolas"/>
        <family val="3"/>
      </rPr>
      <t>Is Nothing Then</t>
    </r>
  </si>
  <si>
    <r>
      <t xml:space="preserve">        </t>
    </r>
    <r>
      <rPr>
        <sz val="10"/>
        <color rgb="FF1E4FA8"/>
        <rFont val="Consolas"/>
        <family val="3"/>
      </rPr>
      <t>Debug.Print</t>
    </r>
    <r>
      <rPr>
        <sz val="10"/>
        <color rgb="FF002138"/>
        <rFont val="Consolas"/>
        <family val="3"/>
      </rPr>
      <t xml:space="preserve"> "ERROR: Destination Workbook not found - please ensure it is open"</t>
    </r>
  </si>
  <si>
    <r>
      <t xml:space="preserve">        </t>
    </r>
    <r>
      <rPr>
        <sz val="10"/>
        <color rgb="FF1E4FA8"/>
        <rFont val="Consolas"/>
        <family val="3"/>
      </rPr>
      <t>Set</t>
    </r>
    <r>
      <rPr>
        <sz val="10"/>
        <color rgb="FF002138"/>
        <rFont val="Consolas"/>
        <family val="3"/>
      </rPr>
      <t xml:space="preserve"> nm = ThisWorkbook.Names(strLambda)</t>
    </r>
  </si>
  <si>
    <r>
      <t xml:space="preserve">    </t>
    </r>
    <r>
      <rPr>
        <sz val="10"/>
        <color rgb="FF1E4FA8"/>
        <rFont val="Consolas"/>
        <family val="3"/>
      </rPr>
      <t>If Not</t>
    </r>
    <r>
      <rPr>
        <sz val="10"/>
        <color rgb="FF002138"/>
        <rFont val="Consolas"/>
        <family val="3"/>
      </rPr>
      <t xml:space="preserve"> nm </t>
    </r>
    <r>
      <rPr>
        <sz val="10"/>
        <color rgb="FF1E4FA8"/>
        <rFont val="Consolas"/>
        <family val="3"/>
      </rPr>
      <t>Is Nothing Then</t>
    </r>
  </si>
  <si>
    <r>
      <t xml:space="preserve">        </t>
    </r>
    <r>
      <rPr>
        <sz val="10"/>
        <color rgb="FF1E4FA8"/>
        <rFont val="Consolas"/>
        <family val="3"/>
      </rPr>
      <t>Set</t>
    </r>
    <r>
      <rPr>
        <sz val="10"/>
        <color rgb="FF002138"/>
        <rFont val="Consolas"/>
        <family val="3"/>
      </rPr>
      <t xml:space="preserve"> fn = wb.Names.Add(Name:=nm.Name, _</t>
    </r>
  </si>
  <si>
    <r>
      <t xml:space="preserve">        </t>
    </r>
    <r>
      <rPr>
        <sz val="10"/>
        <color rgb="FF1E4FA8"/>
        <rFont val="Consolas"/>
        <family val="3"/>
      </rPr>
      <t>If</t>
    </r>
    <r>
      <rPr>
        <sz val="10"/>
        <color rgb="FF002138"/>
        <rFont val="Consolas"/>
        <family val="3"/>
      </rPr>
      <t xml:space="preserve"> Err.Number = 0 </t>
    </r>
    <r>
      <rPr>
        <sz val="10"/>
        <color rgb="FF1E4FA8"/>
        <rFont val="Consolas"/>
        <family val="3"/>
      </rPr>
      <t>Then</t>
    </r>
  </si>
  <si>
    <r>
      <t xml:space="preserve">            </t>
    </r>
    <r>
      <rPr>
        <sz val="10"/>
        <color rgb="FF1E4FA8"/>
        <rFont val="Consolas"/>
        <family val="3"/>
      </rPr>
      <t>Debug.Print</t>
    </r>
    <r>
      <rPr>
        <sz val="10"/>
        <color rgb="FF002138"/>
        <rFont val="Consolas"/>
        <family val="3"/>
      </rPr>
      <t xml:space="preserve"> "Success! -&gt; " &amp; strLambda &amp; " copied to " &amp; wb.Name</t>
    </r>
  </si>
  <si>
    <r>
      <t xml:space="preserve">            </t>
    </r>
    <r>
      <rPr>
        <sz val="10"/>
        <color rgb="FF1E4FA8"/>
        <rFont val="Consolas"/>
        <family val="3"/>
      </rPr>
      <t>Debug.Print</t>
    </r>
    <r>
      <rPr>
        <sz val="10"/>
        <color rgb="FF002138"/>
        <rFont val="Consolas"/>
        <family val="3"/>
      </rPr>
      <t xml:space="preserve"> "ERROR: Unable to copy " &amp; strLambda &amp; " to " &amp; wb.Name</t>
    </r>
  </si>
  <si>
    <r>
      <t xml:space="preserve">        </t>
    </r>
    <r>
      <rPr>
        <sz val="10"/>
        <color rgb="FF1E4FA8"/>
        <rFont val="Consolas"/>
        <family val="3"/>
      </rPr>
      <t>Debug.Print</t>
    </r>
    <r>
      <rPr>
        <sz val="10"/>
        <color rgb="FF002138"/>
        <rFont val="Consolas"/>
        <family val="3"/>
      </rPr>
      <t xml:space="preserve"> "ERROR: " &amp; strLambda &amp; " not found"</t>
    </r>
  </si>
  <si>
    <t>Lookup Tables</t>
  </si>
  <si>
    <t>_YesNo</t>
  </si>
  <si>
    <t>_OnOff</t>
  </si>
  <si>
    <t>Input</t>
  </si>
  <si>
    <t>MultiSub Function</t>
  </si>
  <si>
    <t>In order to copy across the RXL_MultiSub() function from this Workbook to your own project you can use the instructions and VBA code below .</t>
  </si>
  <si>
    <t>In the VB Editor Project Explorer window, select this Workbook (RXL_MultiSub.xlsx) and double click on the object named "ThisWorkbook"</t>
  </si>
  <si>
    <t>Also check line 7 of the code has the correct name of the function you wish to copy (i.e. "RXL_MultiSub")</t>
  </si>
  <si>
    <t xml:space="preserve">    strLambda = "RXL_MultiSub"</t>
  </si>
  <si>
    <t>A custom LAMBDA function which allows for multiple different text substitutions on the same array as a single operation</t>
  </si>
  <si>
    <t>Ideally allow for instance number, case sensitivity, and a RegEx matching mode</t>
  </si>
  <si>
    <t>Table 1</t>
  </si>
  <si>
    <t>Table 2</t>
  </si>
  <si>
    <t>Text</t>
  </si>
  <si>
    <t>Output</t>
  </si>
  <si>
    <t>Use a table of text:replacement pairs</t>
  </si>
  <si>
    <t>Alpha</t>
  </si>
  <si>
    <t>Bravo</t>
  </si>
  <si>
    <t>Charlie</t>
  </si>
  <si>
    <t>Delta</t>
  </si>
  <si>
    <t>Echo</t>
  </si>
  <si>
    <t>Foxtrot</t>
  </si>
  <si>
    <t>Golf</t>
  </si>
  <si>
    <t>Hotel</t>
  </si>
  <si>
    <t>India</t>
  </si>
  <si>
    <t>Juliet</t>
  </si>
  <si>
    <t>Substitution pairs</t>
  </si>
  <si>
    <t>RegEx</t>
  </si>
  <si>
    <t>golf</t>
  </si>
  <si>
    <t>INDIA</t>
  </si>
  <si>
    <t>Simple case sensitive replacement with SUBSTITUTE() function</t>
  </si>
  <si>
    <t xml:space="preserve"> -&gt; 1D vertical list</t>
  </si>
  <si>
    <t>Simple case sensitive replacement + optional instance number</t>
  </si>
  <si>
    <t>a</t>
  </si>
  <si>
    <t>e</t>
  </si>
  <si>
    <t>i</t>
  </si>
  <si>
    <t>o</t>
  </si>
  <si>
    <t>u</t>
  </si>
  <si>
    <t>_</t>
  </si>
  <si>
    <t>Simple case sensitive replacement + optional instance number array</t>
  </si>
  <si>
    <t xml:space="preserve">Single value: </t>
  </si>
  <si>
    <t xml:space="preserve">Horizontal array: </t>
  </si>
  <si>
    <t xml:space="preserve">Vertical array: </t>
  </si>
  <si>
    <t>Testing version (C) with 1D horizontal input array</t>
  </si>
  <si>
    <t>Table 3</t>
  </si>
  <si>
    <t>Testing version (C) with 2D input array</t>
  </si>
  <si>
    <t>Kilo</t>
  </si>
  <si>
    <t>Lima</t>
  </si>
  <si>
    <t>Mike</t>
  </si>
  <si>
    <t>November</t>
  </si>
  <si>
    <t>Oscar</t>
  </si>
  <si>
    <t>Papa</t>
  </si>
  <si>
    <t>Quebec</t>
  </si>
  <si>
    <t>Romeo</t>
  </si>
  <si>
    <t>Tango</t>
  </si>
  <si>
    <t>Sierra</t>
  </si>
  <si>
    <t>Uniform</t>
  </si>
  <si>
    <t>Victor</t>
  </si>
  <si>
    <t>X-ray</t>
  </si>
  <si>
    <t>Whiskey</t>
  </si>
  <si>
    <t>Input Checks &amp; Conversion to Lambda</t>
  </si>
  <si>
    <t>[aA]</t>
  </si>
  <si>
    <t>[eE]</t>
  </si>
  <si>
    <t>[iI]</t>
  </si>
  <si>
    <t>[oO]</t>
  </si>
  <si>
    <t>[uU]</t>
  </si>
  <si>
    <t xml:space="preserve">Input array: </t>
  </si>
  <si>
    <t xml:space="preserve">Instance type: </t>
  </si>
  <si>
    <t>Using RegEx to perform the text matching and replacement, allowing for effective case insensitive matching</t>
  </si>
  <si>
    <t>Testing using instance number option with the REGEXREPLACE() function</t>
  </si>
  <si>
    <t xml:space="preserve">Instance number: </t>
  </si>
  <si>
    <t xml:space="preserve">Note: </t>
  </si>
  <si>
    <t>The REGEXREPLACE() function allows for negative integer values in the [occurrence] parameter</t>
  </si>
  <si>
    <t>When a negative value is used the function counts match instances starting from the end of the string</t>
  </si>
  <si>
    <t>(none)</t>
  </si>
  <si>
    <t>Combining version (G) with the instance number options/functionality from version (C)</t>
  </si>
  <si>
    <t>Experimenting with the case_sensitivity parameter of the REGEXREPLACE() function</t>
  </si>
  <si>
    <t>Developing functionality for calculating correct function output based on input combinations</t>
  </si>
  <si>
    <t xml:space="preserve"> -&gt; using CHOOSE() function to determine calculated output to avoid nested IF() statements</t>
  </si>
  <si>
    <t xml:space="preserve"> -&gt; the IFS() and SWITCH() functions calculate all options before selecting the correct one, where as CHOOSE() only calculates the required option</t>
  </si>
  <si>
    <t xml:space="preserve">Case sensitive: </t>
  </si>
  <si>
    <t xml:space="preserve">RegEx mode: </t>
  </si>
  <si>
    <t xml:space="preserve">Output: </t>
  </si>
  <si>
    <t>Adding RegEx-based replacement option</t>
  </si>
  <si>
    <t>Combining version (C) and version (H) with version (J) functionality</t>
  </si>
  <si>
    <t xml:space="preserve">Replacement pairs: </t>
  </si>
  <si>
    <t>new_2</t>
  </si>
  <si>
    <t>new_1</t>
  </si>
  <si>
    <t>old_1</t>
  </si>
  <si>
    <t>old_2</t>
  </si>
  <si>
    <t>extra_1</t>
  </si>
  <si>
    <t>extra_2</t>
  </si>
  <si>
    <t>Instance</t>
  </si>
  <si>
    <t>Combining version (K) and version (L) + conversion to LAMBDA() function</t>
  </si>
  <si>
    <t>Input Checks for replacement_pairs parameter and optional parameters</t>
  </si>
  <si>
    <t>LET(</t>
  </si>
  <si>
    <t>_arr, text,</t>
  </si>
  <si>
    <t>_tbl, replacement_pairs,</t>
  </si>
  <si>
    <t>_idx, SEQUENCE(ROWS(_tbl)),</t>
  </si>
  <si>
    <t>_txt, CHOOSECOLS(_tbl, 1),</t>
  </si>
  <si>
    <t>_rep, CHOOSECOLS(_tbl, -1),</t>
  </si>
  <si>
    <t>_ins, IF( ISOMITTED(instance_num), 0, INT(instance_num)),</t>
  </si>
  <si>
    <t>_iAr, OR( ROWS(_ins) &gt; 1, COLUMNS(_ins) &gt; 1),</t>
  </si>
  <si>
    <t>_num, IF(_iAr, TOCOL(_ins), _ins),</t>
  </si>
  <si>
    <t>_rgx, IF( ISOMITTED(regex_mode), 0, INT(regex_mode)),</t>
  </si>
  <si>
    <t>_inpChk, IF(</t>
  </si>
  <si>
    <t>OR(</t>
  </si>
  <si>
    <t>COLUMNS(_tbl) &lt;&gt; 2,</t>
  </si>
  <si>
    <t>AND(ROWS(_num) &gt; 1, ROWS(_num) &lt;&gt; ROWS(_tbl))</t>
  </si>
  <si>
    <t>), 2, IF(</t>
  </si>
  <si>
    <t>REDUCE(0, _txt, LAMBDA(_acc,_val, _acc + IF(OR(ISBLANK(_val), _val = ""), 1, 0) &gt; 0)),</t>
  </si>
  <si>
    <t>AND(NOT(_rgx), _iAr, MIN(_num) &lt; 1),</t>
  </si>
  <si>
    <t>AND(NOT(ISNUMBER(_rgx)), NOT(ISLOGICAL(_rgx))), _rgx &lt; 0, _rgx &gt; 1,</t>
  </si>
  <si>
    <t>AND(NOT(ISNUMBER(_css)), NOT(ISLOGICAL(_css))), _css &lt; 0, _css &gt; 1</t>
  </si>
  <si>
    <t>), 3,</t>
  </si>
  <si>
    <t>1)</t>
  </si>
  <si>
    <t>),</t>
  </si>
  <si>
    <t>_rtn, CHOOSE(_typ,</t>
  </si>
  <si>
    <t>REDUCE(_arr, _idx, LAMBDA(_acc,_val, SUBSTITUTE(_acc, INDEX(_txt, _val), INDEX(_rep, _val)))),</t>
  </si>
  <si>
    <t>REDUCE(_arr, _idx, LAMBDA(_acc,_val, SUBSTITUTE(_acc, INDEX(_txt, _val), INDEX(_rep, _val), _num))),</t>
  </si>
  <si>
    <t>REDUCE(_arr, _idx, LAMBDA(_acc,_val, SUBSTITUTE(_acc, INDEX(_txt, _val), INDEX(_rep, _val), INDEX(_num, _val)))),</t>
  </si>
  <si>
    <t>CHOOSE(_inpChk, _rtn, LAMBDA(0), #VALUE!)</t>
  </si>
  <si>
    <t>)</t>
  </si>
  <si>
    <t>= LAMBDA(</t>
  </si>
  <si>
    <t>[case_sensitive],</t>
  </si>
  <si>
    <t>[regex_mode],</t>
  </si>
  <si>
    <t>[instance_num],</t>
  </si>
  <si>
    <t>text,</t>
  </si>
  <si>
    <t>replacement_pairs,</t>
  </si>
  <si>
    <t>text</t>
  </si>
  <si>
    <t>replacement_pairs</t>
  </si>
  <si>
    <t>instance_num</t>
  </si>
  <si>
    <t>regex_mode</t>
  </si>
  <si>
    <t>case_sensitive</t>
  </si>
  <si>
    <t>Using the native REGEXREPLACE() function in place of the SUBSTITUTE() function</t>
  </si>
  <si>
    <t>Including the same functionality for a single or array of instance numbers</t>
  </si>
  <si>
    <t>_css, IF( ISOMITTED(case_sensitive), 1, INT(case_sensitive)),</t>
  </si>
  <si>
    <t>_sen, IF(_css, 0, 1),</t>
  </si>
  <si>
    <t>_typ, IFS(_iAr, 3, _num &lt;&gt; 0, 2, TRUE, 1) + IF( OR(_sen, _rgx), 3, 0),</t>
  </si>
  <si>
    <t>REDUCE(_arr, _idx, LAMBDA(_acc,_val, REGEXREPLACE(_acc, INDEX(_txt, _val), INDEX(_rep, _val), , _sen))),</t>
  </si>
  <si>
    <t>REDUCE(_arr, _idx, LAMBDA(_acc,_val, REGEXREPLACE(_acc, INDEX(_txt, _val), INDEX(_rep, _val), _num, _sen))),</t>
  </si>
  <si>
    <t>REDUCE(_arr, _idx, LAMBDA(_acc,_val, REGEXREPLACE(_acc, INDEX(_txt, _val), INDEX(_rep, _val), INDEX(_num, _val), _sen)))</t>
  </si>
  <si>
    <t>=LAMBDA(text,replacement_pairs,[instance_num],[regex_mode],[case_sensitive],LET(_arr,text,_tbl,replacement_pairs,_idx,SEQUENCE(ROWS(_tbl)),_txt,CHOOSECOLS(_tbl,1),_rep,CHOOSECOLS(_tbl,-1),_ins,IF(ISOMITTED(instance_num),0,INT(instance_num)),_iAr,OR(ROWS(_ins)&gt;1,COLUMNS(_ins)&gt;1),_num,IF(_iAr,TOCOL(_ins),_ins),_rgx,IF(ISOMITTED(regex_mode),0,INT(regex_mode)),_css,IF(ISOMITTED(case_sensitive),1,INT(case_sensitive)),_sen,IF(_css,0,1),_inpChk,IF(OR(COLUMNS(_tbl)&lt;&gt;2,AND(ROWS(_num)&gt;1,ROWS(_num)&lt;&gt;ROWS(_tbl))),2,IF(OR(REDUCE(0,_txt,LAMBDA(_acc,_val,_acc+IF(OR(ISBLANK(_val),_val=""),1,0)&gt;0)),AND(NOT(_rgx),_iAr,MIN(_num)&lt;1),AND(NOT(ISNUMBER(_rgx)),NOT(ISLOGICAL(_rgx))),_rgx&lt;0,_rgx&gt;1,AND(NOT(ISNUMBER(_css)),NOT(ISLOGICAL(_css))),_css&lt;0,_css&gt;1),3,1)),_typ,IFS(_iAr,3,_num&lt;&gt;0,2,TRUE,1)+IF(OR(_sen,_rgx),3,0),_rtn,CHOOSE(_typ,REDUCE(_arr,_idx,LAMBDA(_acc,_val,SUBSTITUTE(_acc,INDEX(_txt,_val),INDEX(_rep,_val)))),REDUCE(_arr,_idx,LAMBDA(_acc,_val,SUBSTITUTE(_acc,INDEX(_txt,_val),INDEX(_rep,_val),_num))),REDUCE(_arr,_idx,LAMBDA(_acc,_val,SUBSTITUTE(_acc,INDEX(_txt,_val),INDEX(_rep,_val),INDEX(_num,_val)))),REDUCE(_arr,_idx,LAMBDA(_acc,_val,REGEXREPLACE(_acc,INDEX(_txt,_val),INDEX(_rep,_val),,_sen))),REDUCE(_arr,_idx,LAMBDA(_acc,_val,REGEXREPLACE(_acc,INDEX(_txt,_val),INDEX(_rep,_val),_num,_sen))),REDUCE(_arr,_idx,LAMBDA(_acc,_val,REGEXREPLACE(_acc,INDEX(_txt,_val),INDEX(_rep,_val),INDEX(_num,_val),_sen)))),CHOOSE(_inpChk,_rtn,LAMBDA(0),#VALUE!)))</t>
  </si>
  <si>
    <t>// Parameter definitions</t>
  </si>
  <si>
    <t>// Main function body/calculations</t>
  </si>
  <si>
    <t>// Input checks for the optional parameters and required parameters, returning the _inpChk value as 1-to-3</t>
  </si>
  <si>
    <t>// If the input checks (_inpChk) have flagged then the required Excel error code is returned,</t>
  </si>
  <si>
    <t>// otherwise the calculated result (_rtn) is returned</t>
  </si>
  <si>
    <t>// The case_sensitive value (_css) is reversed as the REGEXREPLACE() function uses 0/FALSE as case sensitive</t>
  </si>
  <si>
    <t>// and 1/TRUE as case insensitive matching</t>
  </si>
  <si>
    <t>// Dealing with optional parameters &amp; setting default values</t>
  </si>
  <si>
    <t>// Dealing with the required parameters and calculating the derived variables needed for the main calculation</t>
  </si>
  <si>
    <t>// Uses a CHOOSE() function to calculate only the required output calculation</t>
  </si>
  <si>
    <t>Substitute</t>
  </si>
  <si>
    <t>Additionally adding functionality for case insensitive matching</t>
  </si>
  <si>
    <t>// Based on the user inputs, determines which main calculation is required for the chosen output (_typ)</t>
  </si>
  <si>
    <t>the text string or array to search for matches and substitutions</t>
  </si>
  <si>
    <t>the table of text:replacement pairs in a set format</t>
  </si>
  <si>
    <t>Must be made up of two columns, but can have any number of rows</t>
  </si>
  <si>
    <t>-&gt; Column 2 should contain the replacement text for the substitution</t>
  </si>
  <si>
    <t>value or array of values indicating the instance number of the matching text/RegEx pattern which should be replaced in the source text</t>
  </si>
  <si>
    <t>In the RegEx matching mode input values can be positive (+) or negative (-)</t>
  </si>
  <si>
    <t>-&gt; for positive values, matches are counted from the start of the source text</t>
  </si>
  <si>
    <t>-&gt; for negative values, matches are counted from the end of the source text (reverse of standard)</t>
  </si>
  <si>
    <t>If a single input value is provided, then that instance number is used for all text:replacement pairs</t>
  </si>
  <si>
    <t>determines whether to use RegEx pattern matching</t>
  </si>
  <si>
    <t>determines whether to use case sensitive or case insensitive matching</t>
  </si>
  <si>
    <t>Can be entered as a number or a logical/Boolean value</t>
  </si>
  <si>
    <t>If an array of input values is provided, then the 1st instance value is used for the 1st text:replacement pair, 2nd instance number for the 2nd text:replacement pair, etc.</t>
  </si>
  <si>
    <r>
      <t>-&gt; Column 1 should contain the text or RegEx patterns to search for; cannot be blank cells/values or an empty string (</t>
    </r>
    <r>
      <rPr>
        <sz val="10"/>
        <color rgb="FF002138"/>
        <rFont val="Consolas"/>
        <family val="3"/>
      </rPr>
      <t>""</t>
    </r>
    <r>
      <rPr>
        <sz val="10"/>
        <color rgb="FF002138"/>
        <rFont val="Calibri"/>
        <family val="2"/>
        <scheme val="minor"/>
      </rPr>
      <t>)</t>
    </r>
  </si>
  <si>
    <r>
      <t xml:space="preserve">Can be entered as a number or a logical/Boolean value -&gt; </t>
    </r>
    <r>
      <rPr>
        <sz val="10"/>
        <color rgb="FF0000FF"/>
        <rFont val="Consolas"/>
        <family val="3"/>
      </rPr>
      <t>1</t>
    </r>
    <r>
      <rPr>
        <sz val="10"/>
        <color rgb="FF002138"/>
        <rFont val="Calibri"/>
        <family val="2"/>
        <scheme val="minor"/>
      </rPr>
      <t>/</t>
    </r>
    <r>
      <rPr>
        <sz val="10"/>
        <color rgb="FF0000FF"/>
        <rFont val="Consolas"/>
        <family val="3"/>
      </rPr>
      <t>TRUE</t>
    </r>
    <r>
      <rPr>
        <sz val="10"/>
        <color rgb="FF002138"/>
        <rFont val="Calibri"/>
        <family val="2"/>
        <scheme val="minor"/>
      </rPr>
      <t xml:space="preserve"> or </t>
    </r>
    <r>
      <rPr>
        <sz val="10"/>
        <color rgb="FF0000FF"/>
        <rFont val="Consolas"/>
        <family val="3"/>
      </rPr>
      <t>0</t>
    </r>
    <r>
      <rPr>
        <sz val="10"/>
        <color rgb="FF002138"/>
        <rFont val="Calibri"/>
        <family val="2"/>
        <scheme val="minor"/>
      </rPr>
      <t>/</t>
    </r>
    <r>
      <rPr>
        <sz val="10"/>
        <color rgb="FF0000FF"/>
        <rFont val="Consolas"/>
        <family val="3"/>
      </rPr>
      <t>FALSE</t>
    </r>
  </si>
  <si>
    <r>
      <rPr>
        <sz val="10"/>
        <color rgb="FF0000FF"/>
        <rFont val="Consolas"/>
        <family val="3"/>
      </rPr>
      <t>1</t>
    </r>
    <r>
      <rPr>
        <sz val="10"/>
        <color rgb="FF002138"/>
        <rFont val="Calibri"/>
        <family val="2"/>
        <scheme val="minor"/>
      </rPr>
      <t>/</t>
    </r>
    <r>
      <rPr>
        <sz val="10"/>
        <color rgb="FF0000FF"/>
        <rFont val="Consolas"/>
        <family val="3"/>
      </rPr>
      <t>TRUE</t>
    </r>
    <r>
      <rPr>
        <sz val="10"/>
        <color rgb="FF002138"/>
        <rFont val="Calibri"/>
        <family val="2"/>
        <scheme val="minor"/>
      </rPr>
      <t xml:space="preserve"> </t>
    </r>
  </si>
  <si>
    <t xml:space="preserve"> = case sensitive matching</t>
  </si>
  <si>
    <r>
      <rPr>
        <sz val="10"/>
        <color rgb="FF0000FF"/>
        <rFont val="Consolas"/>
        <family val="3"/>
      </rPr>
      <t>0</t>
    </r>
    <r>
      <rPr>
        <sz val="10"/>
        <color rgb="FF002138"/>
        <rFont val="Calibri"/>
        <family val="2"/>
        <scheme val="minor"/>
      </rPr>
      <t>/</t>
    </r>
    <r>
      <rPr>
        <sz val="10"/>
        <color rgb="FF0000FF"/>
        <rFont val="Consolas"/>
        <family val="3"/>
      </rPr>
      <t>FALSE</t>
    </r>
  </si>
  <si>
    <t xml:space="preserve"> = case insensitive matching</t>
  </si>
  <si>
    <r>
      <t xml:space="preserve">If no input value is provided, will </t>
    </r>
    <r>
      <rPr>
        <b/>
        <sz val="10"/>
        <color rgb="FF002138"/>
        <rFont val="Calibri"/>
        <family val="2"/>
        <scheme val="minor"/>
      </rPr>
      <t>default</t>
    </r>
    <r>
      <rPr>
        <sz val="10"/>
        <color rgb="FF002138"/>
        <rFont val="Calibri"/>
        <family val="2"/>
        <scheme val="minor"/>
      </rPr>
      <t xml:space="preserve"> to </t>
    </r>
    <r>
      <rPr>
        <sz val="10"/>
        <color rgb="FF0000FF"/>
        <rFont val="Consolas"/>
        <family val="3"/>
      </rPr>
      <t>1</t>
    </r>
    <r>
      <rPr>
        <sz val="10"/>
        <color rgb="FF002138"/>
        <rFont val="Calibri"/>
        <family val="2"/>
        <scheme val="minor"/>
      </rPr>
      <t>/</t>
    </r>
    <r>
      <rPr>
        <sz val="10"/>
        <color rgb="FF0000FF"/>
        <rFont val="Consolas"/>
        <family val="3"/>
      </rPr>
      <t>TRUE</t>
    </r>
  </si>
  <si>
    <r>
      <t xml:space="preserve">If no input value is provided, will </t>
    </r>
    <r>
      <rPr>
        <b/>
        <sz val="10"/>
        <color rgb="FF002138"/>
        <rFont val="Calibri"/>
        <family val="2"/>
        <scheme val="minor"/>
      </rPr>
      <t>default</t>
    </r>
    <r>
      <rPr>
        <sz val="10"/>
        <color rgb="FF002138"/>
        <rFont val="Calibri"/>
        <family val="2"/>
        <scheme val="minor"/>
      </rPr>
      <t xml:space="preserve"> to </t>
    </r>
    <r>
      <rPr>
        <sz val="10"/>
        <color rgb="FF0000FF"/>
        <rFont val="Consolas"/>
        <family val="3"/>
      </rPr>
      <t>0</t>
    </r>
    <r>
      <rPr>
        <sz val="10"/>
        <color rgb="FF002138"/>
        <rFont val="Calibri"/>
        <family val="2"/>
        <scheme val="minor"/>
      </rPr>
      <t>/</t>
    </r>
    <r>
      <rPr>
        <sz val="10"/>
        <color rgb="FF0000FF"/>
        <rFont val="Consolas"/>
        <family val="3"/>
      </rPr>
      <t>FALSE</t>
    </r>
  </si>
  <si>
    <r>
      <t xml:space="preserve">If no input value or a </t>
    </r>
    <r>
      <rPr>
        <sz val="10"/>
        <color rgb="FF0000FF"/>
        <rFont val="Consolas"/>
        <family val="3"/>
      </rPr>
      <t>0</t>
    </r>
    <r>
      <rPr>
        <sz val="10"/>
        <color rgb="FF002138"/>
        <rFont val="Calibri"/>
        <family val="2"/>
        <scheme val="minor"/>
      </rPr>
      <t xml:space="preserve"> (zero) value is provided (</t>
    </r>
    <r>
      <rPr>
        <b/>
        <sz val="10"/>
        <color rgb="FF002138"/>
        <rFont val="Calibri"/>
        <family val="2"/>
        <scheme val="minor"/>
      </rPr>
      <t>default</t>
    </r>
    <r>
      <rPr>
        <sz val="10"/>
        <color rgb="FF002138"/>
        <rFont val="Calibri"/>
        <family val="2"/>
        <scheme val="minor"/>
      </rPr>
      <t>) then all instances of matches will be replaced in the source text</t>
    </r>
  </si>
  <si>
    <t xml:space="preserve"> - must have exactly two columns, with the first column being the search text/RegEx pattern</t>
  </si>
  <si>
    <r>
      <t>Required input parameters (</t>
    </r>
    <r>
      <rPr>
        <sz val="10"/>
        <color rgb="FF0065A8"/>
        <rFont val="Consolas"/>
        <family val="3"/>
      </rPr>
      <t>text</t>
    </r>
    <r>
      <rPr>
        <sz val="10"/>
        <color rgb="FF002138"/>
        <rFont val="Calibri"/>
        <family val="2"/>
        <scheme val="minor"/>
      </rPr>
      <t xml:space="preserve">, </t>
    </r>
    <r>
      <rPr>
        <sz val="10"/>
        <color rgb="FF0065A8"/>
        <rFont val="Consolas"/>
        <family val="3"/>
      </rPr>
      <t>replacement_pairs</t>
    </r>
    <r>
      <rPr>
        <sz val="10"/>
        <color rgb="FF002138"/>
        <rFont val="Calibri"/>
        <family val="2"/>
        <scheme val="minor"/>
      </rPr>
      <t>) have not been provided</t>
    </r>
  </si>
  <si>
    <r>
      <t xml:space="preserve">The input provided for the </t>
    </r>
    <r>
      <rPr>
        <sz val="10"/>
        <color rgb="FF0065A8"/>
        <rFont val="Consolas"/>
        <family val="3"/>
      </rPr>
      <t>replacement_pairs</t>
    </r>
    <r>
      <rPr>
        <sz val="10"/>
        <color rgb="FF002138"/>
        <rFont val="Calibri"/>
        <family val="2"/>
        <scheme val="minor"/>
      </rPr>
      <t xml:space="preserve"> parameter is invalid</t>
    </r>
  </si>
  <si>
    <r>
      <t xml:space="preserve"> - the search text/RegEx patterns in the first column must not have any blanks values/cells or empty string values (</t>
    </r>
    <r>
      <rPr>
        <sz val="10"/>
        <color rgb="FF002138"/>
        <rFont val="Consolas"/>
        <family val="3"/>
      </rPr>
      <t>""</t>
    </r>
    <r>
      <rPr>
        <sz val="10"/>
        <color rgb="FF002138"/>
        <rFont val="Calibri"/>
        <family val="2"/>
        <scheme val="minor"/>
      </rPr>
      <t>)</t>
    </r>
  </si>
  <si>
    <r>
      <t xml:space="preserve">If an array of values has been provided for the </t>
    </r>
    <r>
      <rPr>
        <sz val="10"/>
        <color rgb="FF0065A8"/>
        <rFont val="Consolas"/>
        <family val="3"/>
      </rPr>
      <t>instance_num</t>
    </r>
    <r>
      <rPr>
        <sz val="10"/>
        <color rgb="FF002138"/>
        <rFont val="Calibri"/>
        <family val="2"/>
        <scheme val="minor"/>
      </rPr>
      <t xml:space="preserve"> parameter, the number of rows in the array does not match the number of rows in the </t>
    </r>
    <r>
      <rPr>
        <sz val="10"/>
        <color rgb="FF0065A8"/>
        <rFont val="Consolas"/>
        <family val="3"/>
      </rPr>
      <t>replacement_pairs</t>
    </r>
    <r>
      <rPr>
        <sz val="10"/>
        <color rgb="FF002138"/>
        <rFont val="Calibri"/>
        <family val="2"/>
        <scheme val="minor"/>
      </rPr>
      <t xml:space="preserve"> array</t>
    </r>
  </si>
  <si>
    <r>
      <t xml:space="preserve">The optional parameter </t>
    </r>
    <r>
      <rPr>
        <sz val="10"/>
        <color rgb="FF0065A8"/>
        <rFont val="Consolas"/>
        <family val="3"/>
      </rPr>
      <t>instance_num</t>
    </r>
    <r>
      <rPr>
        <sz val="10"/>
        <color rgb="FF002138"/>
        <rFont val="Calibri"/>
        <family val="2"/>
        <scheme val="minor"/>
      </rPr>
      <t xml:space="preserve"> input value(s) provided are invalid</t>
    </r>
  </si>
  <si>
    <r>
      <t xml:space="preserve">Optional parameters </t>
    </r>
    <r>
      <rPr>
        <sz val="10"/>
        <color rgb="FF0065A8"/>
        <rFont val="Consolas"/>
        <family val="3"/>
      </rPr>
      <t>regex_mode</t>
    </r>
    <r>
      <rPr>
        <sz val="10"/>
        <color rgb="FF002138"/>
        <rFont val="Calibri"/>
        <family val="2"/>
        <scheme val="minor"/>
      </rPr>
      <t xml:space="preserve"> and </t>
    </r>
    <r>
      <rPr>
        <sz val="10"/>
        <color rgb="FF0065A8"/>
        <rFont val="Consolas"/>
        <family val="3"/>
      </rPr>
      <t>case_sensitive</t>
    </r>
    <r>
      <rPr>
        <sz val="10"/>
        <color rgb="FF002138"/>
        <rFont val="Calibri"/>
        <family val="2"/>
        <scheme val="minor"/>
      </rPr>
      <t xml:space="preserve"> have invalid inputs provided</t>
    </r>
  </si>
  <si>
    <r>
      <t xml:space="preserve"> - must be either a number (</t>
    </r>
    <r>
      <rPr>
        <sz val="10"/>
        <color rgb="FF0000FF"/>
        <rFont val="Consolas"/>
        <family val="3"/>
      </rPr>
      <t>0</t>
    </r>
    <r>
      <rPr>
        <sz val="10"/>
        <color rgb="FF002138"/>
        <rFont val="Calibri"/>
        <family val="2"/>
        <scheme val="minor"/>
      </rPr>
      <t xml:space="preserve"> or </t>
    </r>
    <r>
      <rPr>
        <sz val="10"/>
        <color rgb="FF0000FF"/>
        <rFont val="Consolas"/>
        <family val="3"/>
      </rPr>
      <t>1</t>
    </r>
    <r>
      <rPr>
        <sz val="10"/>
        <color rgb="FF002138"/>
        <rFont val="Calibri"/>
        <family val="2"/>
        <scheme val="minor"/>
      </rPr>
      <t>) or a logical/Boolean value (</t>
    </r>
    <r>
      <rPr>
        <sz val="10"/>
        <color rgb="FF0000FF"/>
        <rFont val="Consolas"/>
        <family val="3"/>
      </rPr>
      <t>TRUE</t>
    </r>
    <r>
      <rPr>
        <sz val="10"/>
        <color rgb="FF002138"/>
        <rFont val="Calibri"/>
        <family val="2"/>
        <scheme val="minor"/>
      </rPr>
      <t>/</t>
    </r>
    <r>
      <rPr>
        <sz val="10"/>
        <color rgb="FF0000FF"/>
        <rFont val="Consolas"/>
        <family val="3"/>
      </rPr>
      <t>FALSE</t>
    </r>
    <r>
      <rPr>
        <sz val="10"/>
        <color rgb="FF002138"/>
        <rFont val="Calibri"/>
        <family val="2"/>
        <scheme val="minor"/>
      </rPr>
      <t>)</t>
    </r>
  </si>
  <si>
    <t xml:space="preserve"> - For standard mode, make use of native Excel SUBSTITUTE() function</t>
  </si>
  <si>
    <t xml:space="preserve"> - Optional input for instance number of the replacement, plus ability to provide an array of instance number values which matches the array of text:replacement pairs</t>
  </si>
  <si>
    <t>Demonstrating Function Usage</t>
  </si>
  <si>
    <t xml:space="preserve">Name: </t>
  </si>
  <si>
    <t xml:space="preserve">Description: </t>
  </si>
  <si>
    <t xml:space="preserve">Gist URL: </t>
  </si>
  <si>
    <t>RXL_MultiSub</t>
  </si>
  <si>
    <t>MultiSub()</t>
  </si>
  <si>
    <t xml:space="preserve"> -&gt; the SUBSTITUTE() function is case sensitive performing an exact match; there is no case sensitive option with this method</t>
  </si>
  <si>
    <t>Non-RegEx Version</t>
  </si>
  <si>
    <t>AND(_iAr, MIN(_num) &lt; 1)</t>
  </si>
  <si>
    <t>_typ, IFS(_iAr, 3, _num &lt;&gt; 0, 2, TRUE, 1),</t>
  </si>
  <si>
    <t>REDUCE(_arr, _idx, LAMBDA(_acc,_val, SUBSTITUTE(_acc, INDEX(_txt, _val), INDEX(_rep, _val), INDEX(_num, _val))))</t>
  </si>
  <si>
    <t>=LAMBDA(text,replacement_pairs,[instance_num],LET(_arr,text,_tbl,replacement_pairs,_idx,SEQUENCE(ROWS(_tbl)),_txt,CHOOSECOLS(_tbl,1),_rep,CHOOSECOLS(_tbl,-1),_ins,IF(ISOMITTED(instance_num),0,INT(instance_num)),_iAr,OR(ROWS(_ins)&gt;1,COLUMNS(_ins)&gt;1),_num,IF(_iAr,TOCOL(_ins),_ins),_inpChk,IF(OR(COLUMNS(_tbl)&lt;&gt;2,AND(ROWS(_num)&gt;1,ROWS(_num)&lt;&gt;ROWS(_tbl))),2,IF(OR(REDUCE(0,_txt,LAMBDA(_acc,_val,_acc+IF(OR(ISBLANK(_val),_val=""),1, 0)&gt;0)),AND(_iAr,MIN(_num)&lt;1)),3,1)),_typ,IFS(_iAr,3,_num&lt;&gt;0,2,TRUE,1),_rtn,CHOOSE(_typ,REDUCE(_arr,_idx,LAMBDA(_acc,_val,SUBSTITUTE(_acc,INDEX(_txt,_val),INDEX(_rep,_val)))),REDUCE(_arr,_idx,LAMBDA(_acc,_val,SUBSTITUTE(_acc,INDEX(_txt,_val),INDEX(_rep,_val),_num))),REDUCE(_arr,_idx,LAMBDA(_acc,_val,SUBSTITUTE(_acc,INDEX(_txt,_val),INDEX(_rep,_val),INDEX(_num,_val))))),CHOOSE(_inpChk,_rtn,LAMBDA(0),#VALUE!)))</t>
  </si>
  <si>
    <t xml:space="preserve"> - must use numbers only as either a single value or an array of numbers; numbers provided must be +1 or greater</t>
  </si>
  <si>
    <t xml:space="preserve"> - must use numbers only as either a single value or an array of numbers; for non-RegEx mode the numbers provided must be +1 or greater, for RegEx mode negative numbers may also be used</t>
  </si>
  <si>
    <t>By providing an array of text to find and the associated replacement values, multiple text substitutions can be made with a single function call.</t>
  </si>
  <si>
    <t>Custom Lambda function which allows for the substitution of text values in input text.</t>
  </si>
  <si>
    <t>Allows for case sensitive and case inseneitive matching modes as well as RegEx matching mode, as well as specifying the instance of match to be replaced.</t>
  </si>
  <si>
    <r>
      <rPr>
        <b/>
        <i/>
        <sz val="10"/>
        <color rgb="FF002138"/>
        <rFont val="Calibri"/>
        <family val="2"/>
        <scheme val="minor"/>
      </rPr>
      <t>Note</t>
    </r>
    <r>
      <rPr>
        <i/>
        <sz val="10"/>
        <color rgb="FF002138"/>
        <rFont val="Calibri"/>
        <family val="2"/>
        <scheme val="minor"/>
      </rPr>
      <t xml:space="preserve"> - where an array of values is used, it must be a 1D array and the number of values in the array must match the number of text:replacement pairs</t>
    </r>
  </si>
  <si>
    <t>https://gist.github.com/r-silk/9fe74ec5112540f5eac9a224a48965ea</t>
  </si>
  <si>
    <t>Matching and substitution of multiple text values in input text using an array of text:replacement pairs</t>
  </si>
  <si>
    <t>Demonstrating basic usage with a single text input</t>
  </si>
  <si>
    <t xml:space="preserve">Input: </t>
  </si>
  <si>
    <t>This is a test text string</t>
  </si>
  <si>
    <t>Match:</t>
  </si>
  <si>
    <t>Replacement:</t>
  </si>
  <si>
    <t>input</t>
  </si>
  <si>
    <t>Single word substitution</t>
  </si>
  <si>
    <t>Multi-word substitution</t>
  </si>
  <si>
    <t>Single character subsitution</t>
  </si>
  <si>
    <t>an</t>
  </si>
  <si>
    <t>test</t>
  </si>
  <si>
    <t>string</t>
  </si>
  <si>
    <t>phrase</t>
  </si>
  <si>
    <t>Multi-character substitution -- case sensitive</t>
  </si>
  <si>
    <t>Multi-character substitution -- non-case sensitive</t>
  </si>
  <si>
    <t>Demonstrating usage with an array of text inputs</t>
  </si>
  <si>
    <t>Multi-character substitution -- non-case sensitive using RegEx mode</t>
  </si>
  <si>
    <t>[aeiouAEIOU]</t>
  </si>
  <si>
    <t>Part-word substitution</t>
  </si>
  <si>
    <t>My favourite animals are cats.</t>
  </si>
  <si>
    <t>I have a pet cat at home.</t>
  </si>
  <si>
    <t>cat</t>
  </si>
  <si>
    <t>dog</t>
  </si>
  <si>
    <t>Demonstrating usage of instance_num input parameter</t>
  </si>
  <si>
    <t>Demonstrating usage of RegEx mode</t>
  </si>
  <si>
    <t>is</t>
  </si>
  <si>
    <t>\bis</t>
  </si>
  <si>
    <t>Single pattern substitution -- using RegEx mode</t>
  </si>
  <si>
    <t>This is a text string which can be divided into a string of characters.</t>
  </si>
  <si>
    <t>array</t>
  </si>
  <si>
    <t>Single word subsitution -- using different match instance numbers</t>
  </si>
  <si>
    <t xml:space="preserve"> - Where the instance_num input parameter is used, then only the match instance for the text to find will be; if the instance_num parameter is omitted than all matches will be replaced</t>
  </si>
  <si>
    <t xml:space="preserve"> -&gt; if no match instance is found for the input provided (e.g. the instance_num input is 3 but there are only two matches) then no replacement will made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</si>
</sst>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0_);\(#,##0\);\-_)"/>
    <numFmt numFmtId="165" formatCode="0.00%;\(0.00\)%;&quot;--&quot;_)"/>
    <numFmt numFmtId="166" formatCode="d\-mmm\-yyyy"/>
    <numFmt numFmtId="167" formatCode="_(* #,##0.00_);_(* \(#,##0.00\);_(* &quot;-&quot;??_);_(@_)"/>
    <numFmt numFmtId="168" formatCode="#,##0_);\(#,##0\);\ \-_)"/>
    <numFmt numFmtId="169" formatCode="0_);\(0\);\-_)"/>
    <numFmt numFmtId="170" formatCode="_(&quot;£&quot;* #,##0.00_);_(&quot;£&quot;* \(#,##0.00\);_(&quot;£&quot;* &quot;-&quot;??_);_(@_)"/>
    <numFmt numFmtId="171" formatCode="&quot;£&quot;#,##0.0,\ \K_);&quot;£&quot;\(#,##0.0,\ \K\);&quot;£&quot;0_)"/>
    <numFmt numFmtId="172" formatCode="[Red]&quot;CHECK&quot;;[Red]&quot;ERROR&quot;;&quot;OK&quot;"/>
    <numFmt numFmtId="173" formatCode="#,##0_);[Red]\(#,##0\);\ \-_)"/>
    <numFmt numFmtId="174" formatCode="0.00%;[Red]\(0.00\)%;&quot;--&quot;_)"/>
    <numFmt numFmtId="175" formatCode="mmm\-yyyy_)"/>
    <numFmt numFmtId="176" formatCode="0_);[Red]\(0\);\-_)"/>
    <numFmt numFmtId="177" formatCode="00\."/>
    <numFmt numFmtId="178" formatCode="&quot;Yes (1)&quot;;[Red]&quot;Err&quot;;&quot;No (0)&quot;"/>
    <numFmt numFmtId="179" formatCode="&quot;On (1)&quot;;[Red]&quot;Err&quot;;&quot;Off (0)&quot;"/>
  </numFmts>
  <fonts count="50" x14ac:knownFonts="1">
    <font>
      <sz val="10"/>
      <color rgb="FF002138"/>
      <name val="Calibri"/>
      <family val="2"/>
      <scheme val="minor"/>
    </font>
    <font>
      <sz val="10"/>
      <color theme="1"/>
      <name val="Calibri"/>
      <family val="2"/>
    </font>
    <font>
      <sz val="10"/>
      <color rgb="FF3F3F76"/>
      <name val="Calibri"/>
      <family val="2"/>
    </font>
    <font>
      <b/>
      <sz val="10"/>
      <color rgb="FF3F3F3F"/>
      <name val="Calibri"/>
      <family val="2"/>
    </font>
    <font>
      <b/>
      <sz val="10"/>
      <color rgb="FFFA7D00"/>
      <name val="Calibri"/>
      <family val="2"/>
    </font>
    <font>
      <sz val="10"/>
      <color rgb="FFFA7D00"/>
      <name val="Calibri"/>
      <family val="2"/>
    </font>
    <font>
      <b/>
      <sz val="10"/>
      <color theme="0"/>
      <name val="Calibri"/>
      <family val="2"/>
    </font>
    <font>
      <b/>
      <sz val="10"/>
      <color theme="1"/>
      <name val="Calibri"/>
      <family val="2"/>
    </font>
    <font>
      <sz val="10"/>
      <color theme="0"/>
      <name val="Calibri"/>
      <family val="2"/>
    </font>
    <font>
      <sz val="10"/>
      <color rgb="FF9C0006"/>
      <name val="Calibri"/>
      <family val="2"/>
      <scheme val="minor"/>
    </font>
    <font>
      <sz val="10"/>
      <color theme="1"/>
      <name val="Calibri"/>
      <family val="2"/>
      <scheme val="minor"/>
    </font>
    <font>
      <b/>
      <sz val="10"/>
      <color theme="1"/>
      <name val="Calibri"/>
      <family val="2"/>
      <scheme val="minor"/>
    </font>
    <font>
      <sz val="10"/>
      <color rgb="FF3F9C35"/>
      <name val="Consolas"/>
      <family val="3"/>
    </font>
    <font>
      <sz val="10"/>
      <color rgb="FF002138"/>
      <name val="Calibri"/>
      <family val="2"/>
      <scheme val="minor"/>
    </font>
    <font>
      <sz val="10"/>
      <color rgb="FF0000FF"/>
      <name val="Calibri"/>
      <family val="2"/>
      <scheme val="minor"/>
    </font>
    <font>
      <i/>
      <sz val="10"/>
      <color rgb="FF808080"/>
      <name val="Calibri"/>
      <family val="2"/>
      <scheme val="minor"/>
    </font>
    <font>
      <b/>
      <i/>
      <sz val="10"/>
      <color rgb="FF195C89"/>
      <name val="Calibri"/>
      <family val="2"/>
      <scheme val="minor"/>
    </font>
    <font>
      <sz val="10"/>
      <color rgb="FF006100"/>
      <name val="Calibri"/>
      <family val="2"/>
      <scheme val="minor"/>
    </font>
    <font>
      <b/>
      <sz val="12"/>
      <color rgb="FFFFFFFF"/>
      <name val="Arial"/>
      <family val="2"/>
      <scheme val="major"/>
    </font>
    <font>
      <b/>
      <sz val="11"/>
      <color rgb="FFFFFFFF"/>
      <name val="Arial"/>
      <family val="2"/>
      <scheme val="major"/>
    </font>
    <font>
      <b/>
      <sz val="10"/>
      <color rgb="FF595959"/>
      <name val="Arial"/>
      <family val="2"/>
      <scheme val="major"/>
    </font>
    <font>
      <sz val="10"/>
      <color theme="0" tint="-0.249977111117893"/>
      <name val="Calibri"/>
      <family val="2"/>
      <scheme val="minor"/>
    </font>
    <font>
      <sz val="10"/>
      <color rgb="FF195C89"/>
      <name val="Calibri"/>
      <family val="2"/>
      <scheme val="minor"/>
    </font>
    <font>
      <sz val="12"/>
      <color rgb="FF195C89"/>
      <name val="Arial"/>
      <family val="2"/>
      <scheme val="major"/>
    </font>
    <font>
      <sz val="10"/>
      <color theme="0"/>
      <name val="Calibri"/>
      <family val="2"/>
      <scheme val="minor"/>
    </font>
    <font>
      <sz val="10"/>
      <color theme="0" tint="-0.34998626667073579"/>
      <name val="Calibri"/>
      <family val="2"/>
      <scheme val="minor"/>
    </font>
    <font>
      <i/>
      <sz val="10"/>
      <color rgb="FF33B9F2"/>
      <name val="Calibri"/>
      <family val="2"/>
      <scheme val="minor"/>
    </font>
    <font>
      <sz val="10"/>
      <color rgb="FF9C5700"/>
      <name val="Calibri"/>
      <family val="2"/>
      <scheme val="minor"/>
    </font>
    <font>
      <i/>
      <sz val="10"/>
      <color rgb="FFFF8225"/>
      <name val="Calibri"/>
      <family val="2"/>
      <scheme val="minor"/>
    </font>
    <font>
      <sz val="10"/>
      <color rgb="FFB400B4"/>
      <name val="Calibri"/>
      <family val="2"/>
      <scheme val="minor"/>
    </font>
    <font>
      <sz val="10"/>
      <color rgb="FF8C0000"/>
      <name val="Calibri"/>
      <family val="2"/>
      <scheme val="minor"/>
    </font>
    <font>
      <b/>
      <sz val="12"/>
      <color rgb="FF195C89"/>
      <name val="Arial"/>
      <family val="2"/>
      <scheme val="major"/>
    </font>
    <font>
      <b/>
      <sz val="16"/>
      <color rgb="FF0E2550"/>
      <name val="Arial"/>
      <family val="2"/>
      <scheme val="major"/>
    </font>
    <font>
      <sz val="10"/>
      <color rgb="FFB4B4B4"/>
      <name val="Calibri"/>
      <family val="2"/>
      <scheme val="minor"/>
    </font>
    <font>
      <sz val="10"/>
      <color rgb="FFFF0000"/>
      <name val="Calibri"/>
      <family val="2"/>
      <scheme val="minor"/>
    </font>
    <font>
      <b/>
      <sz val="14"/>
      <color rgb="FFFFFFFF"/>
      <name val="Arial"/>
      <family val="2"/>
      <scheme val="major"/>
    </font>
    <font>
      <b/>
      <sz val="10"/>
      <color rgb="FF002138"/>
      <name val="Calibri"/>
      <family val="2"/>
      <scheme val="minor"/>
    </font>
    <font>
      <b/>
      <i/>
      <sz val="10"/>
      <color rgb="FF002138"/>
      <name val="Calibri"/>
      <family val="2"/>
      <scheme val="minor"/>
    </font>
    <font>
      <u/>
      <sz val="10"/>
      <color rgb="FF002138"/>
      <name val="Calibri"/>
      <family val="2"/>
      <scheme val="minor"/>
    </font>
    <font>
      <sz val="10"/>
      <color rgb="FF0065A8"/>
      <name val="Consolas"/>
      <family val="3"/>
    </font>
    <font>
      <sz val="10"/>
      <color rgb="FFC00000"/>
      <name val="Consolas"/>
      <family val="3"/>
    </font>
    <font>
      <b/>
      <sz val="10"/>
      <color rgb="FFB75EE1"/>
      <name val="Calibri"/>
      <family val="2"/>
      <scheme val="minor"/>
    </font>
    <font>
      <b/>
      <sz val="10"/>
      <color rgb="FFFC6017"/>
      <name val="Calibri"/>
      <family val="2"/>
      <scheme val="minor"/>
    </font>
    <font>
      <sz val="10"/>
      <color rgb="FF002138"/>
      <name val="Consolas"/>
      <family val="3"/>
    </font>
    <font>
      <sz val="10"/>
      <color rgb="FF1E4FA8"/>
      <name val="Consolas"/>
      <family val="3"/>
    </font>
    <font>
      <b/>
      <i/>
      <sz val="10"/>
      <color rgb="FFFF8225"/>
      <name val="Calibri"/>
      <family val="2"/>
      <scheme val="minor"/>
    </font>
    <font>
      <i/>
      <sz val="10"/>
      <color rgb="FF002138"/>
      <name val="Calibri"/>
      <family val="2"/>
      <scheme val="minor"/>
    </font>
    <font>
      <sz val="10"/>
      <color rgb="FF0000FF"/>
      <name val="Consolas"/>
      <family val="3"/>
    </font>
    <font>
      <sz val="10"/>
      <color rgb="FF002138"/>
      <name val="Calibri"/>
      <family val="3"/>
      <scheme val="minor"/>
    </font>
    <font>
      <u/>
      <sz val="10"/>
      <color theme="10"/>
      <name val="Calibri"/>
      <family val="2"/>
      <scheme val="minor"/>
    </font>
  </fonts>
  <fills count="2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rgb="FFFEE6CE"/>
        <bgColor indexed="64"/>
      </patternFill>
    </fill>
    <fill>
      <patternFill patternType="solid">
        <fgColor rgb="FF198B83"/>
        <bgColor indexed="64"/>
      </patternFill>
    </fill>
    <fill>
      <patternFill patternType="solid">
        <fgColor rgb="FF56BAB8"/>
        <bgColor indexed="64"/>
      </patternFill>
    </fill>
    <fill>
      <patternFill patternType="solid">
        <fgColor rgb="FFE6D3B8"/>
        <bgColor indexed="64"/>
      </patternFill>
    </fill>
    <fill>
      <patternFill patternType="solid">
        <fgColor rgb="FFF7ECDD"/>
        <bgColor indexed="64"/>
      </patternFill>
    </fill>
    <fill>
      <patternFill patternType="solid">
        <fgColor rgb="FFFFFFD2"/>
        <bgColor indexed="64"/>
      </patternFill>
    </fill>
    <fill>
      <patternFill patternType="solid">
        <fgColor rgb="FFF9E7FF"/>
        <bgColor indexed="64"/>
      </patternFill>
    </fill>
    <fill>
      <patternFill patternType="solid">
        <fgColor rgb="FFEBFAFA"/>
        <bgColor indexed="64"/>
      </patternFill>
    </fill>
    <fill>
      <patternFill patternType="solid">
        <fgColor rgb="FFFF4F4F"/>
        <bgColor indexed="64"/>
      </patternFill>
    </fill>
    <fill>
      <patternFill patternType="solid">
        <fgColor rgb="FFFFC000"/>
        <bgColor indexed="64"/>
      </patternFill>
    </fill>
    <fill>
      <patternFill patternType="solid">
        <fgColor rgb="FFF8F200"/>
        <bgColor indexed="64"/>
      </patternFill>
    </fill>
    <fill>
      <patternFill patternType="solid">
        <fgColor rgb="FFBEE4E3"/>
        <bgColor indexed="64"/>
      </patternFill>
    </fill>
    <fill>
      <patternFill patternType="lightUp">
        <fgColor theme="0" tint="-0.34998626667073579"/>
        <bgColor auto="1"/>
      </patternFill>
    </fill>
    <fill>
      <patternFill patternType="solid">
        <fgColor rgb="FFE4E6E8"/>
        <bgColor indexed="64"/>
      </patternFill>
    </fill>
  </fills>
  <borders count="24">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hair">
        <color theme="1" tint="0.24994659260841701"/>
      </left>
      <right style="hair">
        <color theme="1" tint="0.24994659260841701"/>
      </right>
      <top style="hair">
        <color theme="1" tint="0.24994659260841701"/>
      </top>
      <bottom style="hair">
        <color theme="1" tint="0.24994659260841701"/>
      </bottom>
      <diagonal/>
    </border>
    <border>
      <left style="hair">
        <color theme="1" tint="0.24994659260841701"/>
      </left>
      <right style="hair">
        <color theme="1" tint="0.24994659260841701"/>
      </right>
      <top style="thin">
        <color theme="1" tint="0.24994659260841701"/>
      </top>
      <bottom style="hair">
        <color theme="1" tint="0.24994659260841701"/>
      </bottom>
      <diagonal/>
    </border>
    <border>
      <left style="hair">
        <color theme="1" tint="0.24994659260841701"/>
      </left>
      <right style="hair">
        <color theme="1" tint="0.24994659260841701"/>
      </right>
      <top style="thin">
        <color theme="1" tint="0.24994659260841701"/>
      </top>
      <bottom style="double">
        <color theme="1" tint="0.24994659260841701"/>
      </bottom>
      <diagonal/>
    </border>
    <border>
      <left/>
      <right/>
      <top style="medium">
        <color theme="5"/>
      </top>
      <bottom/>
      <diagonal/>
    </border>
    <border>
      <left style="thin">
        <color rgb="FF198B83"/>
      </left>
      <right style="thin">
        <color rgb="FF198B83"/>
      </right>
      <top style="thin">
        <color rgb="FF198B83"/>
      </top>
      <bottom style="thin">
        <color rgb="FF198B83"/>
      </bottom>
      <diagonal/>
    </border>
    <border>
      <left style="thin">
        <color rgb="FF56BAB8"/>
      </left>
      <right style="thin">
        <color rgb="FF56BAB8"/>
      </right>
      <top style="thin">
        <color rgb="FF56BAB8"/>
      </top>
      <bottom style="thin">
        <color rgb="FF56BAB8"/>
      </bottom>
      <diagonal/>
    </border>
    <border>
      <left style="thin">
        <color rgb="FFE6D3B8"/>
      </left>
      <right style="thin">
        <color rgb="FFE6D3B8"/>
      </right>
      <top style="thin">
        <color rgb="FFE6D3B8"/>
      </top>
      <bottom style="thin">
        <color rgb="FFE6D3B8"/>
      </bottom>
      <diagonal/>
    </border>
    <border>
      <left style="thin">
        <color rgb="FFF7ECDD"/>
      </left>
      <right style="thin">
        <color rgb="FFF7ECDD"/>
      </right>
      <top style="thin">
        <color rgb="FFF7ECDD"/>
      </top>
      <bottom style="thin">
        <color rgb="FFF7ECDD"/>
      </bottom>
      <diagonal/>
    </border>
    <border>
      <left/>
      <right/>
      <top style="thin">
        <color theme="4"/>
      </top>
      <bottom/>
      <diagonal/>
    </border>
    <border>
      <left/>
      <right/>
      <top/>
      <bottom style="medium">
        <color theme="5"/>
      </bottom>
      <diagonal/>
    </border>
    <border>
      <left style="hair">
        <color rgb="FF0082B3"/>
      </left>
      <right style="hair">
        <color rgb="FF0082B3"/>
      </right>
      <top style="hair">
        <color rgb="FF0082B3"/>
      </top>
      <bottom style="hair">
        <color rgb="FF0082B3"/>
      </bottom>
      <diagonal/>
    </border>
    <border>
      <left/>
      <right/>
      <top/>
      <bottom style="medium">
        <color theme="4" tint="-0.24994659260841701"/>
      </bottom>
      <diagonal/>
    </border>
    <border>
      <left style="hair">
        <color theme="1" tint="0.24994659260841701"/>
      </left>
      <right style="hair">
        <color theme="1" tint="0.24994659260841701"/>
      </right>
      <top/>
      <bottom style="hair">
        <color theme="1" tint="0.24994659260841701"/>
      </bottom>
      <diagonal/>
    </border>
    <border>
      <left/>
      <right style="medium">
        <color theme="4" tint="-0.24994659260841701"/>
      </right>
      <top/>
      <bottom/>
      <diagonal/>
    </border>
    <border>
      <left style="hair">
        <color theme="1" tint="0.24994659260841701"/>
      </left>
      <right/>
      <top style="hair">
        <color theme="1" tint="0.24994659260841701"/>
      </top>
      <bottom style="hair">
        <color theme="1" tint="0.24994659260841701"/>
      </bottom>
      <diagonal/>
    </border>
    <border>
      <left/>
      <right/>
      <top style="hair">
        <color theme="1" tint="0.24994659260841701"/>
      </top>
      <bottom style="hair">
        <color theme="1" tint="0.24994659260841701"/>
      </bottom>
      <diagonal/>
    </border>
    <border>
      <left/>
      <right style="hair">
        <color theme="1" tint="0.24994659260841701"/>
      </right>
      <top style="hair">
        <color theme="1" tint="0.24994659260841701"/>
      </top>
      <bottom style="hair">
        <color theme="1" tint="0.24994659260841701"/>
      </bottom>
      <diagonal/>
    </border>
  </borders>
  <cellStyleXfs count="73">
    <xf numFmtId="0" fontId="0" fillId="0" borderId="0"/>
    <xf numFmtId="167" fontId="13" fillId="0" borderId="0" applyNumberFormat="0" applyAlignment="0" applyProtection="0"/>
    <xf numFmtId="170" fontId="13" fillId="0" borderId="0" applyNumberFormat="0" applyAlignment="0" applyProtection="0"/>
    <xf numFmtId="171" fontId="1" fillId="0" borderId="0" applyFont="0" applyFill="0" applyBorder="0" applyAlignment="0" applyProtection="0"/>
    <xf numFmtId="9" fontId="13" fillId="0" borderId="0" applyNumberFormat="0" applyAlignment="0" applyProtection="0"/>
    <xf numFmtId="0" fontId="32" fillId="0" borderId="0" applyAlignment="0" applyProtection="0"/>
    <xf numFmtId="0" fontId="18" fillId="11" borderId="11" applyNumberFormat="0" applyAlignment="0" applyProtection="0"/>
    <xf numFmtId="0" fontId="19" fillId="12" borderId="12" applyNumberFormat="0" applyAlignment="0" applyProtection="0"/>
    <xf numFmtId="0" fontId="20" fillId="13" borderId="13" applyNumberFormat="0" applyAlignment="0" applyProtection="0"/>
    <xf numFmtId="0" fontId="20" fillId="14" borderId="14" applyNumberFormat="0" applyAlignment="0" applyProtection="0"/>
    <xf numFmtId="0" fontId="17" fillId="2" borderId="0" applyNumberFormat="0" applyBorder="0" applyAlignment="0" applyProtection="0"/>
    <xf numFmtId="0" fontId="9" fillId="3" borderId="0" applyNumberFormat="0" applyBorder="0" applyAlignment="0" applyProtection="0"/>
    <xf numFmtId="0" fontId="27" fillId="4" borderId="0" applyNumberFormat="0" applyBorder="0" applyAlignment="0" applyProtection="0"/>
    <xf numFmtId="0" fontId="2" fillId="5" borderId="1" applyNumberFormat="0" applyAlignment="0" applyProtection="0"/>
    <xf numFmtId="0" fontId="3" fillId="6" borderId="2" applyNumberFormat="0" applyAlignment="0" applyProtection="0"/>
    <xf numFmtId="0" fontId="4" fillId="6" borderId="1" applyNumberFormat="0" applyAlignment="0" applyProtection="0"/>
    <xf numFmtId="0" fontId="5" fillId="0" borderId="3" applyNumberFormat="0" applyFill="0" applyAlignment="0" applyProtection="0"/>
    <xf numFmtId="0" fontId="6" fillId="7" borderId="4" applyNumberFormat="0" applyAlignment="0" applyProtection="0"/>
    <xf numFmtId="164" fontId="34" fillId="0" borderId="0" applyNumberFormat="0" applyFill="0" applyBorder="0" applyAlignment="0" applyProtection="0"/>
    <xf numFmtId="0" fontId="1" fillId="8" borderId="5" applyNumberFormat="0" applyFont="0" applyAlignment="0" applyProtection="0"/>
    <xf numFmtId="164" fontId="15" fillId="0" borderId="0" applyNumberFormat="0" applyFill="0" applyBorder="0" applyAlignment="0" applyProtection="0"/>
    <xf numFmtId="0" fontId="7" fillId="0" borderId="6" applyNumberFormat="0" applyFill="0" applyAlignment="0" applyProtection="0"/>
    <xf numFmtId="0" fontId="8" fillId="9" borderId="0" applyNumberFormat="0" applyBorder="0" applyAlignment="0" applyProtection="0"/>
    <xf numFmtId="164" fontId="10" fillId="0" borderId="7" applyAlignment="0"/>
    <xf numFmtId="165" fontId="10" fillId="0" borderId="7" applyAlignment="0"/>
    <xf numFmtId="166" fontId="10" fillId="0" borderId="7" applyAlignment="0"/>
    <xf numFmtId="164" fontId="10" fillId="0" borderId="8" applyNumberFormat="0" applyAlignment="0"/>
    <xf numFmtId="164" fontId="11" fillId="0" borderId="9" applyNumberFormat="0" applyAlignment="0"/>
    <xf numFmtId="0" fontId="12" fillId="0" borderId="0" applyFill="0" applyBorder="0" applyAlignment="0"/>
    <xf numFmtId="168" fontId="14" fillId="10" borderId="7" applyAlignment="0">
      <protection locked="0"/>
    </xf>
    <xf numFmtId="165" fontId="14" fillId="10" borderId="7" applyAlignment="0">
      <protection locked="0"/>
    </xf>
    <xf numFmtId="166" fontId="14" fillId="10" borderId="7" applyAlignment="0">
      <protection locked="0"/>
    </xf>
    <xf numFmtId="169" fontId="14" fillId="10" borderId="7" applyAlignment="0">
      <protection locked="0"/>
    </xf>
    <xf numFmtId="0" fontId="16" fillId="0" borderId="10" applyFill="0">
      <alignment vertical="center"/>
    </xf>
    <xf numFmtId="172" fontId="21" fillId="0" borderId="0" applyFill="0">
      <alignment horizontal="center"/>
    </xf>
    <xf numFmtId="168" fontId="14" fillId="15" borderId="7" applyAlignment="0">
      <protection locked="0"/>
    </xf>
    <xf numFmtId="165" fontId="14" fillId="15" borderId="7" applyAlignment="0">
      <protection locked="0"/>
    </xf>
    <xf numFmtId="166" fontId="14" fillId="15" borderId="7" applyAlignment="0">
      <protection locked="0"/>
    </xf>
    <xf numFmtId="169" fontId="14" fillId="15" borderId="7" applyAlignment="0">
      <protection locked="0"/>
    </xf>
    <xf numFmtId="164" fontId="22" fillId="16" borderId="7" applyAlignment="0">
      <protection locked="0"/>
    </xf>
    <xf numFmtId="0" fontId="23" fillId="0" borderId="0">
      <alignment vertical="center"/>
    </xf>
    <xf numFmtId="168" fontId="14" fillId="17" borderId="7" applyAlignment="0"/>
    <xf numFmtId="164" fontId="24" fillId="18" borderId="0">
      <alignment horizontal="center"/>
    </xf>
    <xf numFmtId="164" fontId="24" fillId="19" borderId="0">
      <alignment horizontal="center"/>
    </xf>
    <xf numFmtId="164" fontId="25" fillId="20" borderId="0">
      <alignment horizontal="center"/>
    </xf>
    <xf numFmtId="0" fontId="26" fillId="0" borderId="0"/>
    <xf numFmtId="0" fontId="28" fillId="0" borderId="0" applyNumberFormat="0" applyFill="0" applyBorder="0" applyAlignment="0"/>
    <xf numFmtId="0" fontId="22" fillId="0" borderId="0" applyNumberFormat="0" applyFill="0" applyBorder="0" applyAlignment="0"/>
    <xf numFmtId="173" fontId="10" fillId="0" borderId="0" applyFill="0" applyAlignment="0"/>
    <xf numFmtId="174" fontId="10" fillId="0" borderId="0" applyFill="0" applyAlignment="0"/>
    <xf numFmtId="175" fontId="10" fillId="0" borderId="0" applyFill="0" applyAlignment="0"/>
    <xf numFmtId="164" fontId="11" fillId="0" borderId="15" applyNumberFormat="0" applyFill="0" applyAlignment="0"/>
    <xf numFmtId="176" fontId="10" fillId="0" borderId="0" applyFill="0" applyAlignment="0"/>
    <xf numFmtId="164" fontId="11" fillId="0" borderId="6" applyNumberFormat="0" applyFill="0" applyAlignment="0"/>
    <xf numFmtId="168" fontId="29" fillId="0" borderId="7" applyAlignment="0"/>
    <xf numFmtId="165" fontId="29" fillId="0" borderId="7" applyAlignment="0"/>
    <xf numFmtId="166" fontId="29" fillId="0" borderId="7" applyAlignment="0"/>
    <xf numFmtId="168" fontId="29" fillId="0" borderId="8" applyNumberFormat="0" applyAlignment="0"/>
    <xf numFmtId="169" fontId="29" fillId="0" borderId="7" applyAlignment="0"/>
    <xf numFmtId="168" fontId="30" fillId="0" borderId="7" applyAlignment="0"/>
    <xf numFmtId="165" fontId="30" fillId="0" borderId="7" applyAlignment="0"/>
    <xf numFmtId="166" fontId="30" fillId="0" borderId="7" applyAlignment="0"/>
    <xf numFmtId="168" fontId="30" fillId="0" borderId="8" applyNumberFormat="0" applyAlignment="0"/>
    <xf numFmtId="169" fontId="30" fillId="0" borderId="7" applyAlignment="0"/>
    <xf numFmtId="0" fontId="31" fillId="0" borderId="16"/>
    <xf numFmtId="169" fontId="10" fillId="21" borderId="0" applyAlignment="0" applyProtection="0"/>
    <xf numFmtId="0" fontId="33" fillId="0" borderId="0" applyNumberFormat="0" applyFill="0" applyBorder="0">
      <alignment horizontal="center"/>
    </xf>
    <xf numFmtId="0" fontId="25" fillId="22" borderId="17" applyNumberFormat="0" applyBorder="0" applyAlignment="0" applyProtection="0"/>
    <xf numFmtId="164" fontId="10" fillId="23" borderId="7"/>
    <xf numFmtId="165" fontId="10" fillId="23" borderId="7"/>
    <xf numFmtId="164" fontId="10" fillId="23" borderId="8" applyNumberFormat="0"/>
    <xf numFmtId="164" fontId="10" fillId="23" borderId="9" applyNumberFormat="0"/>
    <xf numFmtId="0" fontId="49" fillId="0" borderId="0" applyNumberFormat="0" applyFill="0" applyBorder="0" applyAlignment="0" applyProtection="0"/>
  </cellStyleXfs>
  <cellXfs count="67">
    <xf numFmtId="0" fontId="0" fillId="0" borderId="0" xfId="0"/>
    <xf numFmtId="0" fontId="18" fillId="11" borderId="11" xfId="6"/>
    <xf numFmtId="0" fontId="35" fillId="11" borderId="11" xfId="6" applyFont="1" applyAlignment="1">
      <alignment horizontal="left" vertical="center" indent="1"/>
    </xf>
    <xf numFmtId="0" fontId="36" fillId="0" borderId="0" xfId="0" applyFont="1"/>
    <xf numFmtId="0" fontId="37" fillId="0" borderId="0" xfId="0" applyFont="1"/>
    <xf numFmtId="0" fontId="31" fillId="0" borderId="16" xfId="64"/>
    <xf numFmtId="177" fontId="31" fillId="0" borderId="16" xfId="64" applyNumberFormat="1"/>
    <xf numFmtId="0" fontId="20" fillId="14" borderId="14" xfId="9"/>
    <xf numFmtId="0" fontId="20" fillId="14" borderId="14" xfId="9" applyAlignment="1">
      <alignment horizontal="left" indent="1"/>
    </xf>
    <xf numFmtId="0" fontId="38" fillId="0" borderId="0" xfId="0" applyFont="1"/>
    <xf numFmtId="0" fontId="36" fillId="0" borderId="0" xfId="0" applyFont="1" applyAlignment="1">
      <alignment horizontal="center"/>
    </xf>
    <xf numFmtId="0" fontId="16" fillId="0" borderId="10" xfId="33">
      <alignment vertical="center"/>
    </xf>
    <xf numFmtId="0" fontId="12" fillId="0" borderId="0" xfId="28"/>
    <xf numFmtId="0" fontId="39" fillId="0" borderId="0" xfId="28" applyFont="1"/>
    <xf numFmtId="0" fontId="40" fillId="0" borderId="0" xfId="28" applyFont="1"/>
    <xf numFmtId="0" fontId="41" fillId="0" borderId="0" xfId="0" applyFont="1"/>
    <xf numFmtId="0" fontId="42" fillId="0" borderId="0" xfId="0" applyFont="1"/>
    <xf numFmtId="0" fontId="6" fillId="9" borderId="18" xfId="22" applyFont="1" applyBorder="1" applyAlignment="1">
      <alignment horizontal="center"/>
    </xf>
    <xf numFmtId="0" fontId="0" fillId="0" borderId="0" xfId="0" applyAlignment="1">
      <alignment horizontal="right"/>
    </xf>
    <xf numFmtId="0" fontId="43" fillId="0" borderId="0" xfId="0" applyFont="1"/>
    <xf numFmtId="0" fontId="12" fillId="0" borderId="0" xfId="0" applyFont="1"/>
    <xf numFmtId="0" fontId="44" fillId="0" borderId="0" xfId="0" applyFont="1"/>
    <xf numFmtId="0" fontId="33" fillId="0" borderId="0" xfId="0" applyFont="1"/>
    <xf numFmtId="0" fontId="26" fillId="0" borderId="0" xfId="45"/>
    <xf numFmtId="178" fontId="14" fillId="17" borderId="7" xfId="41" applyNumberFormat="1"/>
    <xf numFmtId="179" fontId="14" fillId="17" borderId="7" xfId="41" applyNumberFormat="1"/>
    <xf numFmtId="164" fontId="10" fillId="0" borderId="7" xfId="23"/>
    <xf numFmtId="169" fontId="14" fillId="15" borderId="7" xfId="38">
      <protection locked="0"/>
    </xf>
    <xf numFmtId="169" fontId="14" fillId="15" borderId="19" xfId="38" applyBorder="1">
      <protection locked="0"/>
    </xf>
    <xf numFmtId="169" fontId="29" fillId="0" borderId="7" xfId="58"/>
    <xf numFmtId="168" fontId="14" fillId="15" borderId="7" xfId="35">
      <protection locked="0"/>
    </xf>
    <xf numFmtId="169" fontId="14" fillId="15" borderId="7" xfId="38" applyAlignment="1">
      <alignment horizontal="center"/>
      <protection locked="0"/>
    </xf>
    <xf numFmtId="0" fontId="6" fillId="9" borderId="20" xfId="22" applyFont="1" applyBorder="1" applyAlignment="1">
      <alignment horizontal="center"/>
    </xf>
    <xf numFmtId="168" fontId="29" fillId="0" borderId="7" xfId="54"/>
    <xf numFmtId="169" fontId="29" fillId="0" borderId="7" xfId="58" applyAlignment="1">
      <alignment horizontal="center"/>
    </xf>
    <xf numFmtId="0" fontId="6" fillId="9" borderId="18" xfId="22" applyFont="1" applyBorder="1" applyAlignment="1">
      <alignment horizontal="centerContinuous"/>
    </xf>
    <xf numFmtId="0" fontId="45" fillId="0" borderId="0" xfId="46" applyFont="1" applyAlignment="1">
      <alignment horizontal="right"/>
    </xf>
    <xf numFmtId="0" fontId="28" fillId="0" borderId="0" xfId="46"/>
    <xf numFmtId="178" fontId="14" fillId="15" borderId="7" xfId="35" applyNumberFormat="1" applyAlignment="1">
      <alignment horizontal="center"/>
      <protection locked="0"/>
    </xf>
    <xf numFmtId="164" fontId="10" fillId="0" borderId="21" xfId="23" applyBorder="1"/>
    <xf numFmtId="164" fontId="10" fillId="0" borderId="22" xfId="23" applyBorder="1"/>
    <xf numFmtId="164" fontId="10" fillId="0" borderId="23" xfId="23" applyBorder="1"/>
    <xf numFmtId="164" fontId="10" fillId="0" borderId="7" xfId="23" applyAlignment="1">
      <alignment horizontal="center"/>
    </xf>
    <xf numFmtId="0" fontId="39" fillId="0" borderId="0" xfId="28" quotePrefix="1" applyFont="1"/>
    <xf numFmtId="0" fontId="39" fillId="0" borderId="0" xfId="28" applyFont="1" applyAlignment="1">
      <alignment horizontal="left" indent="2"/>
    </xf>
    <xf numFmtId="0" fontId="39" fillId="0" borderId="0" xfId="28" quotePrefix="1" applyFont="1" applyAlignment="1">
      <alignment horizontal="left" indent="2"/>
    </xf>
    <xf numFmtId="0" fontId="12" fillId="0" borderId="0" xfId="28" quotePrefix="1" applyAlignment="1">
      <alignment horizontal="left" indent="2"/>
    </xf>
    <xf numFmtId="0" fontId="39" fillId="0" borderId="0" xfId="28" applyFont="1" applyAlignment="1">
      <alignment horizontal="left" indent="4"/>
    </xf>
    <xf numFmtId="0" fontId="39" fillId="0" borderId="0" xfId="28" applyFont="1" applyAlignment="1">
      <alignment horizontal="left" indent="6"/>
    </xf>
    <xf numFmtId="0" fontId="39" fillId="0" borderId="0" xfId="28" applyFont="1" applyAlignment="1">
      <alignment horizontal="left" indent="8"/>
    </xf>
    <xf numFmtId="0" fontId="12" fillId="0" borderId="0" xfId="28" quotePrefix="1" applyAlignment="1">
      <alignment horizontal="left" indent="4"/>
    </xf>
    <xf numFmtId="168" fontId="0" fillId="0" borderId="0" xfId="0" applyNumberFormat="1"/>
    <xf numFmtId="0" fontId="0" fillId="0" borderId="0" xfId="0" applyAlignment="1">
      <alignment horizontal="left" indent="1"/>
    </xf>
    <xf numFmtId="0" fontId="0" fillId="0" borderId="0" xfId="0" quotePrefix="1" applyAlignment="1">
      <alignment horizontal="left" indent="2"/>
    </xf>
    <xf numFmtId="0" fontId="46" fillId="0" borderId="0" xfId="0" applyFont="1" applyAlignment="1">
      <alignment horizontal="left" indent="2"/>
    </xf>
    <xf numFmtId="0" fontId="48" fillId="0" borderId="0" xfId="0" applyFont="1" applyAlignment="1">
      <alignment horizontal="center"/>
    </xf>
    <xf numFmtId="0" fontId="36" fillId="0" borderId="0" xfId="0" applyFont="1" applyAlignment="1">
      <alignment horizontal="right"/>
    </xf>
    <xf numFmtId="0" fontId="39" fillId="0" borderId="0" xfId="28" quotePrefix="1" applyFont="1" applyAlignment="1">
      <alignment horizontal="left" indent="4"/>
    </xf>
    <xf numFmtId="0" fontId="39" fillId="0" borderId="0" xfId="28" quotePrefix="1" applyFont="1" applyAlignment="1">
      <alignment horizontal="left" indent="6"/>
    </xf>
    <xf numFmtId="0" fontId="39" fillId="0" borderId="0" xfId="28" quotePrefix="1" applyFont="1" applyAlignment="1">
      <alignment horizontal="left" indent="8"/>
    </xf>
    <xf numFmtId="0" fontId="49" fillId="0" borderId="0" xfId="72"/>
    <xf numFmtId="168" fontId="14" fillId="15" borderId="21" xfId="35" applyBorder="1">
      <protection locked="0"/>
    </xf>
    <xf numFmtId="168" fontId="14" fillId="15" borderId="22" xfId="35" applyBorder="1">
      <protection locked="0"/>
    </xf>
    <xf numFmtId="168" fontId="14" fillId="15" borderId="23" xfId="35" applyBorder="1">
      <protection locked="0"/>
    </xf>
    <xf numFmtId="169" fontId="14" fillId="15" borderId="21" xfId="38" applyBorder="1">
      <protection locked="0"/>
    </xf>
    <xf numFmtId="169" fontId="14" fillId="15" borderId="22" xfId="38" applyBorder="1">
      <protection locked="0"/>
    </xf>
    <xf numFmtId="169" fontId="14" fillId="15" borderId="23" xfId="38" applyBorder="1">
      <protection locked="0"/>
    </xf>
  </cellXfs>
  <cellStyles count="73">
    <cellStyle name="Accent1" xfId="22" builtinId="29"/>
    <cellStyle name="Bad" xfId="11" builtinId="27" customBuiltin="1"/>
    <cellStyle name="Calc - #" xfId="23" xr:uid="{F527EAFB-9F21-4BF1-AB18-B9A0BD4A7DCE}"/>
    <cellStyle name="Calc - %" xfId="24" xr:uid="{B73BDC4B-EC5F-495F-B8DD-9CC9AFA094CD}"/>
    <cellStyle name="Calc - Date" xfId="25" xr:uid="{7FC39344-F211-4BFD-800E-6EDBD190C715}"/>
    <cellStyle name="Calc - SubTotal" xfId="26" xr:uid="{B747823A-4DDD-4DE0-8CFC-14512AD7E0EC}"/>
    <cellStyle name="Calc - Total" xfId="27" xr:uid="{AAC59D60-FCEA-4BC1-8825-5BF7455A753C}"/>
    <cellStyle name="Calculation" xfId="15" builtinId="22" hidden="1"/>
    <cellStyle name="Check Cell" xfId="17" builtinId="23" hidden="1"/>
    <cellStyle name="Code" xfId="28" xr:uid="{CC17487D-1AEE-4EC7-95C2-6FF3200998CE}"/>
    <cellStyle name="Comma" xfId="1" builtinId="3" customBuiltin="1"/>
    <cellStyle name="Const - #" xfId="29" xr:uid="{16DDC202-7BE8-49F5-BB4C-EE2E04B76A7F}"/>
    <cellStyle name="Const - %" xfId="30" xr:uid="{01FF21C3-3B2C-4872-A64A-2DA3A9CC2CC7}"/>
    <cellStyle name="Const - Date" xfId="31" xr:uid="{DF3B3F73-88CF-4712-8230-73E32434CCD2}"/>
    <cellStyle name="Const - Text" xfId="32" xr:uid="{5ACFC0C8-67F1-4096-8A9A-F661A0E2B434}"/>
    <cellStyle name="Currency" xfId="2" builtinId="4" customBuiltin="1"/>
    <cellStyle name="Currency [0]" xfId="3" builtinId="7" customBuiltin="1"/>
    <cellStyle name="Explanatory Text" xfId="20" builtinId="53" customBuiltin="1"/>
    <cellStyle name="Footer" xfId="33" xr:uid="{1F9EB5B0-555B-40BD-876F-473041F25D9B}"/>
    <cellStyle name="Good" xfId="10" builtinId="26" customBuiltin="1"/>
    <cellStyle name="Heading 1" xfId="6" builtinId="16" customBuiltin="1"/>
    <cellStyle name="Heading 2" xfId="7" builtinId="17" customBuiltin="1"/>
    <cellStyle name="Heading 3" xfId="8" builtinId="18" customBuiltin="1"/>
    <cellStyle name="Heading 4" xfId="9" builtinId="19" customBuiltin="1"/>
    <cellStyle name="Hyperlink" xfId="72" builtinId="8"/>
    <cellStyle name="Inline Check" xfId="34" xr:uid="{101F02E8-2838-41A7-8214-0374CC7B518D}"/>
    <cellStyle name="Input" xfId="13" builtinId="20" hidden="1"/>
    <cellStyle name="Input - #" xfId="35" xr:uid="{7B84B54C-D703-46E5-A833-103D69CE7DFA}"/>
    <cellStyle name="Input - %" xfId="36" xr:uid="{44A14ABD-7FFF-4BF3-AED0-80584C5E846D}"/>
    <cellStyle name="Input - Date" xfId="37" xr:uid="{3C2CCE4F-178E-41A3-8F73-93CBCAEA609E}"/>
    <cellStyle name="Input - Text" xfId="38" xr:uid="{CDF2651F-12F5-47E9-8BA0-4DABC80B02F2}"/>
    <cellStyle name="Linked Cell" xfId="16" builtinId="24" hidden="1"/>
    <cellStyle name="Macro Paste" xfId="39" xr:uid="{F1812E6D-12D4-49DB-B2D2-E551232C423E}"/>
    <cellStyle name="Message Bar" xfId="40" xr:uid="{A02976FC-7976-42D2-82C5-EA274F32FABA}"/>
    <cellStyle name="Model Author Input" xfId="41" xr:uid="{C583F0F1-45A6-4586-96E8-75EC31CF0666}"/>
    <cellStyle name="Model Error" xfId="42" xr:uid="{644AECB1-54C0-48FF-82A0-E08709610E24}"/>
    <cellStyle name="Model Input Error" xfId="43" xr:uid="{B3A7F809-DFBD-41F6-9CF0-B40624C75F27}"/>
    <cellStyle name="Model Warning" xfId="44" xr:uid="{A03939A6-C7BA-4E9A-B549-967583859A6A}"/>
    <cellStyle name="Named Range" xfId="45" xr:uid="{275844C8-9B52-409F-AE9B-84FF95DA1E68}"/>
    <cellStyle name="Neutral" xfId="12" builtinId="28" customBuiltin="1"/>
    <cellStyle name="Normal" xfId="0" builtinId="0" customBuiltin="1"/>
    <cellStyle name="Note" xfId="19" builtinId="10" hidden="1"/>
    <cellStyle name="Notes" xfId="46" xr:uid="{20FE8002-5D33-459F-98D1-E4338740A446}"/>
    <cellStyle name="Notes - Alt Text" xfId="47" xr:uid="{C09C7139-A902-4225-9E3F-63561174F775}"/>
    <cellStyle name="Output" xfId="14" builtinId="21" hidden="1"/>
    <cellStyle name="Output - #" xfId="48" xr:uid="{E631C746-0265-491F-8B40-ED707907FAAE}"/>
    <cellStyle name="Output - %" xfId="49" xr:uid="{D5D89274-E7F3-41FD-8BE0-9595E54AAFF2}"/>
    <cellStyle name="Output - Date" xfId="50" xr:uid="{64D62534-B1AA-4F78-A3DB-2CC792E6288A}"/>
    <cellStyle name="Output - SubTotal" xfId="51" xr:uid="{A4E183F7-93B2-4EB8-82EC-694F7AB1B5B7}"/>
    <cellStyle name="Output - Text" xfId="52" xr:uid="{D1B0CAC4-52BC-4A57-BB70-DDEA4F26E6DF}"/>
    <cellStyle name="Output - Total" xfId="53" xr:uid="{F98D9ABB-35B4-4033-B70D-CC0B41C2DBCA}"/>
    <cellStyle name="Per cent" xfId="4" builtinId="5" customBuiltin="1"/>
    <cellStyle name="Ref.In - #" xfId="54" xr:uid="{41310CFB-2DF5-4CA0-92AF-BE6CB4385395}"/>
    <cellStyle name="Ref.In - %" xfId="55" xr:uid="{958DF7C1-B4A8-46BF-924D-810B84053D05}"/>
    <cellStyle name="Ref.In - Date" xfId="56" xr:uid="{C87005B1-84FB-4B52-8185-D8D785D9052C}"/>
    <cellStyle name="Ref.In - SubTotal" xfId="57" xr:uid="{F89760D9-25EC-4993-885C-E98BCF99273B}"/>
    <cellStyle name="Ref.In - Text" xfId="58" xr:uid="{AC350664-1E77-4BCE-90C4-CFE384C1A2E5}"/>
    <cellStyle name="Ref.Out - #" xfId="59" xr:uid="{434685C1-1F86-4041-B1C9-885D53C5482F}"/>
    <cellStyle name="Ref.Out - %" xfId="60" xr:uid="{EE04B78B-3C5A-41C8-AED7-611620098EF0}"/>
    <cellStyle name="Ref.Out - Date" xfId="61" xr:uid="{06B45D01-090D-4C0C-8112-4B418F857554}"/>
    <cellStyle name="Ref.Out - SubTotal" xfId="62" xr:uid="{62F08507-ECFC-4F0F-9EAB-4B323DBE7583}"/>
    <cellStyle name="Ref.Out - Text" xfId="63" xr:uid="{021B4016-0690-4161-8F6E-35C55FC37C79}"/>
    <cellStyle name="SubTitle" xfId="64" xr:uid="{142B9831-CAD2-46E9-9016-267120C83808}"/>
    <cellStyle name="Time Line" xfId="65" xr:uid="{2EBAD60B-CF70-4D6C-A510-578356F6A31F}"/>
    <cellStyle name="Title" xfId="5" builtinId="15" customBuiltin="1"/>
    <cellStyle name="Total" xfId="21" builtinId="25" hidden="1"/>
    <cellStyle name="Units Label" xfId="66" xr:uid="{11E93F07-8FCD-453E-A771-47821A05E7F2}"/>
    <cellStyle name="Unused" xfId="67" xr:uid="{471A4086-F6A4-4469-A395-49FE623CA01A}"/>
    <cellStyle name="Variance - #" xfId="68" xr:uid="{8AB82A9F-321D-4E37-AD6E-F6BEBE18CCBC}"/>
    <cellStyle name="Variance - %" xfId="69" xr:uid="{00300491-D755-4C48-BD67-2DD65D84CA95}"/>
    <cellStyle name="Variance - SubTotal" xfId="70" xr:uid="{67CB1D2E-ED93-49F0-8940-8BB9FA2CBF62}"/>
    <cellStyle name="Variance - Total" xfId="71" xr:uid="{90E21E44-5177-4D55-8CF1-3C1B8979A605}"/>
    <cellStyle name="Warning Text" xfId="18" builtinId="11" customBuiltin="1"/>
  </cellStyles>
  <dxfs count="0"/>
  <tableStyles count="0" defaultTableStyle="TableStyleMedium2" defaultPivotStyle="PivotStyleLight16"/>
  <colors>
    <mruColors>
      <color rgb="FF0000FF"/>
      <color rgb="FF0065A8"/>
      <color rgb="FFB4B4B4"/>
      <color rgb="FF1E4FA8"/>
      <color rgb="FF3F9C35"/>
      <color rgb="FFFC6017"/>
      <color rgb="FFB75E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Types" Target="richData/rdRichValueTypes.xml"/><Relationship Id="rId5" Type="http://schemas.openxmlformats.org/officeDocument/2006/relationships/theme" Target="theme/theme1.xml"/><Relationship Id="rId10" Type="http://schemas.microsoft.com/office/2017/06/relationships/rdRichValueStructure" Target="richData/rdrichvaluestructure.xml"/><Relationship Id="rId4" Type="http://schemas.openxmlformats.org/officeDocument/2006/relationships/worksheet" Target="worksheets/sheet4.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30480</xdr:colOff>
      <xdr:row>0</xdr:row>
      <xdr:rowOff>40005</xdr:rowOff>
    </xdr:from>
    <xdr:to>
      <xdr:col>2</xdr:col>
      <xdr:colOff>45720</xdr:colOff>
      <xdr:row>0</xdr:row>
      <xdr:rowOff>357447</xdr:rowOff>
    </xdr:to>
    <xdr:pic>
      <xdr:nvPicPr>
        <xdr:cNvPr id="2" name="Logo_Small" descr="A black and white logo&#10;&#10;AI-generated content may be incorrect.">
          <a:extLst>
            <a:ext uri="{FF2B5EF4-FFF2-40B4-BE49-F238E27FC236}">
              <a16:creationId xmlns:a16="http://schemas.microsoft.com/office/drawing/2014/main" id="{D7B8D236-8F0F-4A21-AAB5-1437009F34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80" y="40005"/>
          <a:ext cx="609600" cy="3174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30480</xdr:colOff>
      <xdr:row>0</xdr:row>
      <xdr:rowOff>40005</xdr:rowOff>
    </xdr:from>
    <xdr:to>
      <xdr:col>2</xdr:col>
      <xdr:colOff>45720</xdr:colOff>
      <xdr:row>0</xdr:row>
      <xdr:rowOff>357447</xdr:rowOff>
    </xdr:to>
    <xdr:pic>
      <xdr:nvPicPr>
        <xdr:cNvPr id="2" name="Logo_Small" descr="A black and white logo&#10;&#10;AI-generated content may be incorrect.">
          <a:extLst>
            <a:ext uri="{FF2B5EF4-FFF2-40B4-BE49-F238E27FC236}">
              <a16:creationId xmlns:a16="http://schemas.microsoft.com/office/drawing/2014/main" id="{EF595F1A-1B28-4FE6-A15A-EB28991B15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80" y="40005"/>
          <a:ext cx="609600" cy="31744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30480</xdr:colOff>
      <xdr:row>0</xdr:row>
      <xdr:rowOff>40005</xdr:rowOff>
    </xdr:from>
    <xdr:to>
      <xdr:col>2</xdr:col>
      <xdr:colOff>45720</xdr:colOff>
      <xdr:row>0</xdr:row>
      <xdr:rowOff>357447</xdr:rowOff>
    </xdr:to>
    <xdr:pic>
      <xdr:nvPicPr>
        <xdr:cNvPr id="2" name="Logo_Small" descr="A black and white logo&#10;&#10;AI-generated content may be incorrect.">
          <a:extLst>
            <a:ext uri="{FF2B5EF4-FFF2-40B4-BE49-F238E27FC236}">
              <a16:creationId xmlns:a16="http://schemas.microsoft.com/office/drawing/2014/main" id="{80EF98B5-2B2B-422C-AE28-0A1B137032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80" y="40005"/>
          <a:ext cx="609600" cy="317442"/>
        </a:xfrm>
        <a:prstGeom prst="rect">
          <a:avLst/>
        </a:prstGeom>
      </xdr:spPr>
    </xdr:pic>
    <xdr:clientData/>
  </xdr:twoCellAnchor>
  <xdr:twoCellAnchor editAs="oneCell">
    <xdr:from>
      <xdr:col>2</xdr:col>
      <xdr:colOff>0</xdr:colOff>
      <xdr:row>7</xdr:row>
      <xdr:rowOff>45721</xdr:rowOff>
    </xdr:from>
    <xdr:to>
      <xdr:col>10</xdr:col>
      <xdr:colOff>464613</xdr:colOff>
      <xdr:row>15</xdr:row>
      <xdr:rowOff>30008</xdr:rowOff>
    </xdr:to>
    <xdr:pic>
      <xdr:nvPicPr>
        <xdr:cNvPr id="3" name="Picture 2">
          <a:extLst>
            <a:ext uri="{FF2B5EF4-FFF2-40B4-BE49-F238E27FC236}">
              <a16:creationId xmlns:a16="http://schemas.microsoft.com/office/drawing/2014/main" id="{09249DB6-7C85-7E9D-E96B-03E8F04A09CA}"/>
            </a:ext>
          </a:extLst>
        </xdr:cNvPr>
        <xdr:cNvPicPr>
          <a:picLocks noChangeAspect="1"/>
        </xdr:cNvPicPr>
      </xdr:nvPicPr>
      <xdr:blipFill>
        <a:blip xmlns:r="http://schemas.openxmlformats.org/officeDocument/2006/relationships" r:embed="rId2"/>
        <a:stretch>
          <a:fillRect/>
        </a:stretch>
      </xdr:blipFill>
      <xdr:spPr>
        <a:xfrm>
          <a:off x="594360" y="1508761"/>
          <a:ext cx="5341413" cy="1386367"/>
        </a:xfrm>
        <a:prstGeom prst="rect">
          <a:avLst/>
        </a:prstGeom>
      </xdr:spPr>
    </xdr:pic>
    <xdr:clientData/>
  </xdr:twoCellAnchor>
  <xdr:twoCellAnchor editAs="oneCell">
    <xdr:from>
      <xdr:col>2</xdr:col>
      <xdr:colOff>1</xdr:colOff>
      <xdr:row>17</xdr:row>
      <xdr:rowOff>45720</xdr:rowOff>
    </xdr:from>
    <xdr:to>
      <xdr:col>8</xdr:col>
      <xdr:colOff>503502</xdr:colOff>
      <xdr:row>36</xdr:row>
      <xdr:rowOff>458</xdr:rowOff>
    </xdr:to>
    <xdr:pic>
      <xdr:nvPicPr>
        <xdr:cNvPr id="4" name="Picture 3">
          <a:extLst>
            <a:ext uri="{FF2B5EF4-FFF2-40B4-BE49-F238E27FC236}">
              <a16:creationId xmlns:a16="http://schemas.microsoft.com/office/drawing/2014/main" id="{05071EAF-A188-7419-350D-2BAD3E5E3614}"/>
            </a:ext>
          </a:extLst>
        </xdr:cNvPr>
        <xdr:cNvPicPr>
          <a:picLocks noChangeAspect="1"/>
        </xdr:cNvPicPr>
      </xdr:nvPicPr>
      <xdr:blipFill>
        <a:blip xmlns:r="http://schemas.openxmlformats.org/officeDocument/2006/relationships" r:embed="rId3"/>
        <a:stretch>
          <a:fillRect/>
        </a:stretch>
      </xdr:blipFill>
      <xdr:spPr>
        <a:xfrm>
          <a:off x="594361" y="3261360"/>
          <a:ext cx="4161101" cy="3284678"/>
        </a:xfrm>
        <a:prstGeom prst="rect">
          <a:avLst/>
        </a:prstGeom>
      </xdr:spPr>
    </xdr:pic>
    <xdr:clientData/>
  </xdr:twoCellAnchor>
  <xdr:twoCellAnchor editAs="oneCell">
    <xdr:from>
      <xdr:col>2</xdr:col>
      <xdr:colOff>0</xdr:colOff>
      <xdr:row>40</xdr:row>
      <xdr:rowOff>45720</xdr:rowOff>
    </xdr:from>
    <xdr:to>
      <xdr:col>17</xdr:col>
      <xdr:colOff>443298</xdr:colOff>
      <xdr:row>62</xdr:row>
      <xdr:rowOff>15774</xdr:rowOff>
    </xdr:to>
    <xdr:pic>
      <xdr:nvPicPr>
        <xdr:cNvPr id="5" name="Picture 4">
          <a:extLst>
            <a:ext uri="{FF2B5EF4-FFF2-40B4-BE49-F238E27FC236}">
              <a16:creationId xmlns:a16="http://schemas.microsoft.com/office/drawing/2014/main" id="{B985633E-FEBB-EB8B-246C-ED394D474E39}"/>
            </a:ext>
          </a:extLst>
        </xdr:cNvPr>
        <xdr:cNvPicPr>
          <a:picLocks noChangeAspect="1"/>
        </xdr:cNvPicPr>
      </xdr:nvPicPr>
      <xdr:blipFill>
        <a:blip xmlns:r="http://schemas.openxmlformats.org/officeDocument/2006/relationships" r:embed="rId4"/>
        <a:stretch>
          <a:fillRect/>
        </a:stretch>
      </xdr:blipFill>
      <xdr:spPr>
        <a:xfrm>
          <a:off x="594360" y="7292340"/>
          <a:ext cx="9587298" cy="3825774"/>
        </a:xfrm>
        <a:prstGeom prst="rect">
          <a:avLst/>
        </a:prstGeom>
      </xdr:spPr>
    </xdr:pic>
    <xdr:clientData/>
  </xdr:twoCellAnchor>
  <xdr:twoCellAnchor editAs="oneCell">
    <xdr:from>
      <xdr:col>2</xdr:col>
      <xdr:colOff>1</xdr:colOff>
      <xdr:row>64</xdr:row>
      <xdr:rowOff>53340</xdr:rowOff>
    </xdr:from>
    <xdr:to>
      <xdr:col>8</xdr:col>
      <xdr:colOff>175796</xdr:colOff>
      <xdr:row>68</xdr:row>
      <xdr:rowOff>106786</xdr:rowOff>
    </xdr:to>
    <xdr:pic>
      <xdr:nvPicPr>
        <xdr:cNvPr id="6" name="Picture 5">
          <a:extLst>
            <a:ext uri="{FF2B5EF4-FFF2-40B4-BE49-F238E27FC236}">
              <a16:creationId xmlns:a16="http://schemas.microsoft.com/office/drawing/2014/main" id="{21BCC801-046F-4D32-8BDF-0405585E7942}"/>
            </a:ext>
          </a:extLst>
        </xdr:cNvPr>
        <xdr:cNvPicPr>
          <a:picLocks noChangeAspect="1"/>
        </xdr:cNvPicPr>
      </xdr:nvPicPr>
      <xdr:blipFill>
        <a:blip xmlns:r="http://schemas.openxmlformats.org/officeDocument/2006/relationships" r:embed="rId5"/>
        <a:stretch>
          <a:fillRect/>
        </a:stretch>
      </xdr:blipFill>
      <xdr:spPr>
        <a:xfrm>
          <a:off x="594361" y="11506200"/>
          <a:ext cx="3833395" cy="75448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32385</xdr:colOff>
      <xdr:row>0</xdr:row>
      <xdr:rowOff>40005</xdr:rowOff>
    </xdr:from>
    <xdr:to>
      <xdr:col>2</xdr:col>
      <xdr:colOff>47625</xdr:colOff>
      <xdr:row>0</xdr:row>
      <xdr:rowOff>357447</xdr:rowOff>
    </xdr:to>
    <xdr:pic>
      <xdr:nvPicPr>
        <xdr:cNvPr id="2" name="Logo_Small" descr="A black and white logo&#10;&#10;AI-generated content may be incorrect.">
          <a:extLst>
            <a:ext uri="{FF2B5EF4-FFF2-40B4-BE49-F238E27FC236}">
              <a16:creationId xmlns:a16="http://schemas.microsoft.com/office/drawing/2014/main" id="{D9D81A61-76F2-4DB1-8E70-310D7B4E78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385" y="40005"/>
          <a:ext cx="609600" cy="317442"/>
        </a:xfrm>
        <a:prstGeom prst="rect">
          <a:avLst/>
        </a:prstGeom>
      </xdr:spPr>
    </xdr:pic>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0</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RXL Custom Theme">
  <a:themeElements>
    <a:clrScheme name="RXL Custom Theme">
      <a:dk1>
        <a:srgbClr val="002138"/>
      </a:dk1>
      <a:lt1>
        <a:sysClr val="window" lastClr="FFFFFF"/>
      </a:lt1>
      <a:dk2>
        <a:srgbClr val="002138"/>
      </a:dk2>
      <a:lt2>
        <a:srgbClr val="F8F8F8"/>
      </a:lt2>
      <a:accent1>
        <a:srgbClr val="198B83"/>
      </a:accent1>
      <a:accent2>
        <a:srgbClr val="56BAB8"/>
      </a:accent2>
      <a:accent3>
        <a:srgbClr val="FC6017"/>
      </a:accent3>
      <a:accent4>
        <a:srgbClr val="F88D24"/>
      </a:accent4>
      <a:accent5>
        <a:srgbClr val="E6D3B8"/>
      </a:accent5>
      <a:accent6>
        <a:srgbClr val="B75EE1"/>
      </a:accent6>
      <a:hlink>
        <a:srgbClr val="467886"/>
      </a:hlink>
      <a:folHlink>
        <a:srgbClr val="96607D"/>
      </a:folHlink>
    </a:clrScheme>
    <a:fontScheme name="RXL Custom Theme">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3"/>
        </a:solidFill>
        <a:ln w="28575">
          <a:solidFill>
            <a:schemeClr val="accent3">
              <a:lumMod val="75000"/>
            </a:schemeClr>
          </a:solidFill>
        </a:ln>
        <a:effectLst>
          <a:outerShdw blurRad="50800" dist="38100" dir="5400000" algn="t" rotWithShape="0">
            <a:prstClr val="black">
              <a:alpha val="40000"/>
            </a:prstClr>
          </a:outerShdw>
        </a:effectLst>
      </a:spPr>
      <a:bodyPr vertOverflow="clip" horzOverflow="clip" rtlCol="0" anchor="ctr"/>
      <a:lstStyle>
        <a:defPPr algn="ctr">
          <a:defRPr sz="1200" kern="1200">
            <a:solidFill>
              <a:schemeClr val="bg1"/>
            </a:solidFill>
            <a:latin typeface="+mj-lt"/>
            <a:cs typeface="Arial" panose="020B0604020202020204" pitchFamily="34" charset="0"/>
          </a:defRPr>
        </a:defPPr>
      </a:lstStyle>
      <a:style>
        <a:lnRef idx="2">
          <a:schemeClr val="accent1">
            <a:shade val="15000"/>
          </a:schemeClr>
        </a:lnRef>
        <a:fillRef idx="1">
          <a:schemeClr val="accent1"/>
        </a:fillRef>
        <a:effectRef idx="0">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7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70C07B9-759E-44BC-BF22-F0368B3E4AF9}">
  <we:reference id="wa200003696" version="1.3.0.0" store="en-GB" storeType="OMEX"/>
  <we:alternateReferences>
    <we:reference id="WA200003696" version="1.3.0.0" store="" storeType="OMEX"/>
  </we:alternateReferences>
  <we:properties>
    <we:property name="projectV0_1-56c6e055-265e-4713-816e-a646dbb708de" value="{&quot;kind&quot;:&quot;AFEJSONBlobNode&quot;,&quot;id&quot;:&quot;{4ED90558-9DA4-4CBE-9A3D-0506F78439B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gist.github.com/r-silk/9fe74ec5112540f5eac9a224a48965ea"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552DF-5E7E-48A8-8173-924613C01CE9}">
  <sheetPr codeName="Sheet1"/>
  <dimension ref="B1:T553"/>
  <sheetViews>
    <sheetView showGridLines="0" tabSelected="1" workbookViewId="0">
      <pane ySplit="1" topLeftCell="A2" activePane="bottomLeft" state="frozen"/>
      <selection pane="bottomLeft"/>
    </sheetView>
  </sheetViews>
  <sheetFormatPr defaultRowHeight="13.8" x14ac:dyDescent="0.3"/>
  <cols>
    <col min="1" max="2" width="4.33203125" customWidth="1"/>
    <col min="3" max="3" width="9.109375" customWidth="1"/>
  </cols>
  <sheetData>
    <row r="1" spans="2:16" s="1" customFormat="1" ht="30" customHeight="1" x14ac:dyDescent="0.3">
      <c r="C1" s="2" t="s">
        <v>60</v>
      </c>
    </row>
    <row r="3" spans="2:16" x14ac:dyDescent="0.3">
      <c r="B3" s="4" t="s">
        <v>0</v>
      </c>
    </row>
    <row r="4" spans="2:16" x14ac:dyDescent="0.3">
      <c r="C4" t="s">
        <v>65</v>
      </c>
    </row>
    <row r="5" spans="2:16" x14ac:dyDescent="0.3">
      <c r="C5" t="s">
        <v>71</v>
      </c>
    </row>
    <row r="6" spans="2:16" x14ac:dyDescent="0.3">
      <c r="C6" t="s">
        <v>66</v>
      </c>
    </row>
    <row r="8" spans="2:16" x14ac:dyDescent="0.3">
      <c r="B8" s="4" t="s">
        <v>1</v>
      </c>
    </row>
    <row r="9" spans="2:16" ht="14.4" thickBot="1" x14ac:dyDescent="0.35">
      <c r="C9" s="17" t="s">
        <v>67</v>
      </c>
      <c r="E9" s="35" t="s">
        <v>68</v>
      </c>
      <c r="F9" s="35"/>
      <c r="G9" s="35"/>
      <c r="I9" s="17" t="s">
        <v>69</v>
      </c>
      <c r="J9" s="17" t="s">
        <v>209</v>
      </c>
      <c r="L9" s="17" t="s">
        <v>69</v>
      </c>
      <c r="M9" s="17" t="s">
        <v>209</v>
      </c>
      <c r="O9" s="17" t="s">
        <v>83</v>
      </c>
      <c r="P9" s="17" t="s">
        <v>209</v>
      </c>
    </row>
    <row r="10" spans="2:16" x14ac:dyDescent="0.3">
      <c r="C10" s="28" t="s">
        <v>72</v>
      </c>
      <c r="E10" s="27" t="s">
        <v>72</v>
      </c>
      <c r="F10" s="27" t="s">
        <v>73</v>
      </c>
      <c r="G10" s="27" t="s">
        <v>74</v>
      </c>
      <c r="I10" s="27" t="s">
        <v>72</v>
      </c>
      <c r="J10" s="27">
        <v>111</v>
      </c>
      <c r="L10" s="31" t="s">
        <v>89</v>
      </c>
      <c r="M10" s="31" t="s">
        <v>94</v>
      </c>
      <c r="O10" s="31" t="s">
        <v>117</v>
      </c>
      <c r="P10" s="31" t="s">
        <v>94</v>
      </c>
    </row>
    <row r="11" spans="2:16" x14ac:dyDescent="0.3">
      <c r="C11" s="27" t="s">
        <v>73</v>
      </c>
      <c r="E11" s="27" t="s">
        <v>75</v>
      </c>
      <c r="F11" s="27" t="s">
        <v>76</v>
      </c>
      <c r="G11" s="27" t="s">
        <v>77</v>
      </c>
      <c r="I11" s="27" t="s">
        <v>74</v>
      </c>
      <c r="J11" s="27">
        <v>333</v>
      </c>
      <c r="L11" s="31" t="s">
        <v>90</v>
      </c>
      <c r="M11" s="31" t="s">
        <v>94</v>
      </c>
      <c r="O11" s="31" t="s">
        <v>118</v>
      </c>
      <c r="P11" s="31" t="s">
        <v>94</v>
      </c>
    </row>
    <row r="12" spans="2:16" x14ac:dyDescent="0.3">
      <c r="C12" s="27" t="s">
        <v>74</v>
      </c>
      <c r="E12" s="27" t="s">
        <v>78</v>
      </c>
      <c r="F12" s="27" t="s">
        <v>79</v>
      </c>
      <c r="G12" s="27" t="s">
        <v>80</v>
      </c>
      <c r="I12" s="27" t="s">
        <v>76</v>
      </c>
      <c r="J12" s="27">
        <v>555</v>
      </c>
      <c r="L12" s="31" t="s">
        <v>91</v>
      </c>
      <c r="M12" s="31" t="s">
        <v>94</v>
      </c>
      <c r="O12" s="31" t="s">
        <v>119</v>
      </c>
      <c r="P12" s="31" t="s">
        <v>94</v>
      </c>
    </row>
    <row r="13" spans="2:16" x14ac:dyDescent="0.3">
      <c r="C13" s="27" t="s">
        <v>75</v>
      </c>
      <c r="E13" s="27" t="s">
        <v>81</v>
      </c>
      <c r="F13" s="27" t="s">
        <v>102</v>
      </c>
      <c r="G13" s="27" t="s">
        <v>103</v>
      </c>
      <c r="I13" s="27" t="s">
        <v>84</v>
      </c>
      <c r="J13" s="27">
        <v>777</v>
      </c>
      <c r="L13" s="31" t="s">
        <v>92</v>
      </c>
      <c r="M13" s="31" t="s">
        <v>94</v>
      </c>
      <c r="O13" s="31" t="s">
        <v>120</v>
      </c>
      <c r="P13" s="31" t="s">
        <v>94</v>
      </c>
    </row>
    <row r="14" spans="2:16" x14ac:dyDescent="0.3">
      <c r="C14" s="27" t="s">
        <v>76</v>
      </c>
      <c r="E14" s="27" t="s">
        <v>104</v>
      </c>
      <c r="F14" s="27" t="s">
        <v>105</v>
      </c>
      <c r="G14" s="27" t="s">
        <v>106</v>
      </c>
      <c r="I14" s="27" t="s">
        <v>85</v>
      </c>
      <c r="J14" s="27">
        <v>999</v>
      </c>
      <c r="L14" s="31" t="s">
        <v>93</v>
      </c>
      <c r="M14" s="31" t="s">
        <v>94</v>
      </c>
      <c r="O14" s="31" t="s">
        <v>121</v>
      </c>
      <c r="P14" s="31" t="s">
        <v>94</v>
      </c>
    </row>
    <row r="15" spans="2:16" x14ac:dyDescent="0.3">
      <c r="C15" s="27" t="s">
        <v>77</v>
      </c>
      <c r="E15" s="27" t="s">
        <v>107</v>
      </c>
      <c r="F15" s="27" t="s">
        <v>108</v>
      </c>
      <c r="G15" s="27" t="s">
        <v>109</v>
      </c>
    </row>
    <row r="16" spans="2:16" x14ac:dyDescent="0.3">
      <c r="C16" s="27" t="s">
        <v>78</v>
      </c>
      <c r="E16" s="27" t="s">
        <v>111</v>
      </c>
      <c r="F16" s="27" t="s">
        <v>110</v>
      </c>
      <c r="G16" s="27" t="s">
        <v>112</v>
      </c>
    </row>
    <row r="17" spans="2:20" x14ac:dyDescent="0.3">
      <c r="C17" s="27" t="s">
        <v>79</v>
      </c>
      <c r="E17" s="27" t="s">
        <v>113</v>
      </c>
      <c r="F17" s="27" t="s">
        <v>115</v>
      </c>
      <c r="G17" s="27" t="s">
        <v>114</v>
      </c>
    </row>
    <row r="18" spans="2:20" x14ac:dyDescent="0.3">
      <c r="C18" s="27" t="s">
        <v>80</v>
      </c>
    </row>
    <row r="19" spans="2:20" x14ac:dyDescent="0.3">
      <c r="C19" s="27" t="s">
        <v>81</v>
      </c>
    </row>
    <row r="21" spans="2:20" x14ac:dyDescent="0.3">
      <c r="C21" s="32" t="s">
        <v>100</v>
      </c>
      <c r="D21" s="27" t="s">
        <v>72</v>
      </c>
      <c r="E21" s="27" t="s">
        <v>73</v>
      </c>
      <c r="F21" s="27" t="s">
        <v>74</v>
      </c>
      <c r="G21" s="27" t="s">
        <v>75</v>
      </c>
      <c r="H21" s="27" t="s">
        <v>76</v>
      </c>
      <c r="I21" s="27" t="s">
        <v>77</v>
      </c>
      <c r="J21" s="27" t="s">
        <v>78</v>
      </c>
      <c r="K21" s="27" t="s">
        <v>79</v>
      </c>
      <c r="L21" s="27" t="s">
        <v>80</v>
      </c>
      <c r="M21" s="27" t="s">
        <v>81</v>
      </c>
    </row>
    <row r="24" spans="2:20" s="5" customFormat="1" ht="16.2" thickBot="1" x14ac:dyDescent="0.35">
      <c r="B24" s="6">
        <f xml:space="preserve"> MAX(B$1:B23) + 1</f>
        <v>1</v>
      </c>
      <c r="C24" s="5" t="s">
        <v>2</v>
      </c>
    </row>
    <row r="26" spans="2:20" x14ac:dyDescent="0.3">
      <c r="B26" s="8" t="s">
        <v>3</v>
      </c>
      <c r="C26" s="7"/>
      <c r="D26" s="7"/>
      <c r="E26" s="7"/>
      <c r="F26" s="7"/>
      <c r="G26" s="7"/>
      <c r="H26" s="7"/>
      <c r="I26" s="7"/>
      <c r="J26" s="7"/>
      <c r="K26" s="7"/>
      <c r="L26" s="7"/>
      <c r="M26" s="7"/>
      <c r="N26" s="7"/>
      <c r="O26" s="7"/>
      <c r="P26" s="7"/>
      <c r="Q26" s="7"/>
      <c r="R26" s="7"/>
      <c r="S26" s="7"/>
      <c r="T26" s="7"/>
    </row>
    <row r="28" spans="2:20" x14ac:dyDescent="0.3">
      <c r="C28" s="9" t="s">
        <v>4</v>
      </c>
    </row>
    <row r="29" spans="2:20" x14ac:dyDescent="0.3">
      <c r="C29" t="s">
        <v>242</v>
      </c>
    </row>
    <row r="30" spans="2:20" x14ac:dyDescent="0.3">
      <c r="C30" s="52" t="s">
        <v>250</v>
      </c>
    </row>
    <row r="31" spans="2:20" x14ac:dyDescent="0.3">
      <c r="C31" t="s">
        <v>243</v>
      </c>
    </row>
    <row r="34" spans="2:9" x14ac:dyDescent="0.3">
      <c r="B34" s="10" t="str" cm="1">
        <f t="array" ref="B34" xml:space="preserve"> "(" &amp; _xlfn.UNICHAR( 65 + SUMPRODUCT(--(_xlfn.REGEXTEST(B$1:B33, "^\([A-Z]\)$")))) &amp; ")"</f>
        <v>(A)</v>
      </c>
      <c r="C34" s="3" t="s">
        <v>86</v>
      </c>
    </row>
    <row r="35" spans="2:9" x14ac:dyDescent="0.3">
      <c r="C35" s="3" t="s">
        <v>87</v>
      </c>
    </row>
    <row r="37" spans="2:9" ht="14.4" thickBot="1" x14ac:dyDescent="0.35">
      <c r="C37" s="35" t="s">
        <v>82</v>
      </c>
      <c r="D37" s="35"/>
      <c r="F37" s="17" t="s">
        <v>59</v>
      </c>
      <c r="H37" s="17" t="s">
        <v>70</v>
      </c>
    </row>
    <row r="38" spans="2:9" x14ac:dyDescent="0.3">
      <c r="C38" s="29" t="str" cm="1">
        <f t="array" ref="C38:D42" xml:space="preserve"> $I$10:$J$14</f>
        <v>Alpha</v>
      </c>
      <c r="D38" s="29">
        <v>111</v>
      </c>
      <c r="F38" s="29" t="str" cm="1">
        <f t="array" ref="F38:F47" xml:space="preserve"> $C$10:$C$19</f>
        <v>Alpha</v>
      </c>
      <c r="H38" s="26" t="str" cm="1">
        <f t="array" ref="H38:H47" xml:space="preserve"> _xlfn.LET(
  _xlpm._arr,_xlfn.ANCHORARRAY( F38),
  _xlpm._tbl,_xlfn.ANCHORARRAY( C38),
  _xlpm._idx, _xlfn.SEQUENCE(ROWS(_xlpm._tbl)),
  _xlpm._txt, _xlfn.CHOOSECOLS(_xlpm._tbl, 1),
  _xlpm._rep, _xlfn.CHOOSECOLS(_xlpm._tbl, -1),
  _xlpm._rtn, _xlfn.REDUCE(_xlpm._arr, _xlpm._idx, _xlfn.LAMBDA(_xlpm._acc,_xlpm._val, SUBSTITUTE(_xlpm._acc, INDEX(_xlpm._txt, _xlpm._val), INDEX(_xlpm._rep, _xlpm._val)))),
  _xlpm._rtn
)</f>
        <v>111</v>
      </c>
      <c r="I38" s="12" t="str" cm="1">
        <f t="array" aca="1" ref="I38:I46" ca="1" xml:space="preserve"> _xlfn.TEXTSPLIT( _xlfn.FORMULATEXT(H38), , CHAR(10))</f>
        <v>= LET(</v>
      </c>
    </row>
    <row r="39" spans="2:9" x14ac:dyDescent="0.3">
      <c r="C39" s="29" t="str">
        <v>Charlie</v>
      </c>
      <c r="D39" s="29">
        <v>333</v>
      </c>
      <c r="F39" s="29" t="str">
        <v>Bravo</v>
      </c>
      <c r="H39" s="26" t="str">
        <v>Bravo</v>
      </c>
      <c r="I39" s="12" t="str">
        <f ca="1"/>
        <v xml:space="preserve">  _arr, F38#,</v>
      </c>
    </row>
    <row r="40" spans="2:9" x14ac:dyDescent="0.3">
      <c r="C40" s="29" t="str">
        <v>Echo</v>
      </c>
      <c r="D40" s="29">
        <v>555</v>
      </c>
      <c r="F40" s="29" t="str">
        <v>Charlie</v>
      </c>
      <c r="H40" s="26" t="str">
        <v>333</v>
      </c>
      <c r="I40" s="12" t="str">
        <f ca="1"/>
        <v xml:space="preserve">  _tbl, C38#,</v>
      </c>
    </row>
    <row r="41" spans="2:9" x14ac:dyDescent="0.3">
      <c r="C41" s="29" t="str">
        <v>golf</v>
      </c>
      <c r="D41" s="29">
        <v>777</v>
      </c>
      <c r="F41" s="29" t="str">
        <v>Delta</v>
      </c>
      <c r="H41" s="26" t="str">
        <v>Delta</v>
      </c>
      <c r="I41" s="12" t="str">
        <f ca="1"/>
        <v xml:space="preserve">  _idx, SEQUENCE(ROWS(_tbl)),</v>
      </c>
    </row>
    <row r="42" spans="2:9" x14ac:dyDescent="0.3">
      <c r="C42" s="29" t="str">
        <v>INDIA</v>
      </c>
      <c r="D42" s="29">
        <v>999</v>
      </c>
      <c r="F42" s="29" t="str">
        <v>Echo</v>
      </c>
      <c r="H42" s="26" t="str">
        <v>555</v>
      </c>
      <c r="I42" s="12" t="str">
        <f ca="1"/>
        <v xml:space="preserve">  _txt, CHOOSECOLS(_tbl, 1),</v>
      </c>
    </row>
    <row r="43" spans="2:9" x14ac:dyDescent="0.3">
      <c r="F43" s="29" t="str">
        <v>Foxtrot</v>
      </c>
      <c r="H43" s="26" t="str">
        <v>Foxtrot</v>
      </c>
      <c r="I43" s="12" t="str">
        <f ca="1"/>
        <v xml:space="preserve">  _rep, CHOOSECOLS(_tbl, -1),</v>
      </c>
    </row>
    <row r="44" spans="2:9" x14ac:dyDescent="0.3">
      <c r="F44" s="29" t="str">
        <v>Golf</v>
      </c>
      <c r="H44" s="26" t="str">
        <v>Golf</v>
      </c>
      <c r="I44" s="12" t="str">
        <f ca="1"/>
        <v xml:space="preserve">  _rtn, REDUCE(_arr, _idx, LAMBDA(_acc,_val, SUBSTITUTE(_acc, INDEX(_txt, _val), INDEX(_rep, _val)))),</v>
      </c>
    </row>
    <row r="45" spans="2:9" x14ac:dyDescent="0.3">
      <c r="F45" s="29" t="str">
        <v>Hotel</v>
      </c>
      <c r="H45" s="26" t="str">
        <v>Hotel</v>
      </c>
      <c r="I45" s="12" t="str">
        <f ca="1"/>
        <v xml:space="preserve">  _rtn</v>
      </c>
    </row>
    <row r="46" spans="2:9" x14ac:dyDescent="0.3">
      <c r="F46" s="29" t="str">
        <v>India</v>
      </c>
      <c r="H46" s="26" t="str">
        <v>India</v>
      </c>
      <c r="I46" s="12" t="str">
        <f ca="1"/>
        <v>)</v>
      </c>
    </row>
    <row r="47" spans="2:9" x14ac:dyDescent="0.3">
      <c r="F47" s="29" t="str">
        <v>Juliet</v>
      </c>
      <c r="H47" s="26" t="str">
        <v>Juliet</v>
      </c>
    </row>
    <row r="50" spans="2:9" x14ac:dyDescent="0.3">
      <c r="B50" s="10" t="str" cm="1">
        <f t="array" ref="B50" xml:space="preserve"> "(" &amp; _xlfn.UNICHAR( 65 + SUMPRODUCT(--(_xlfn.REGEXTEST(B$1:B49, "^\([A-Z]\)$")))) &amp; ")"</f>
        <v>(B)</v>
      </c>
      <c r="C50" s="3" t="s">
        <v>88</v>
      </c>
    </row>
    <row r="51" spans="2:9" x14ac:dyDescent="0.3">
      <c r="C51" s="3" t="s">
        <v>87</v>
      </c>
    </row>
    <row r="53" spans="2:9" ht="14.4" thickBot="1" x14ac:dyDescent="0.35">
      <c r="C53" s="35" t="s">
        <v>82</v>
      </c>
      <c r="D53" s="35"/>
      <c r="F53" s="17" t="s">
        <v>59</v>
      </c>
      <c r="H53" s="17" t="s">
        <v>70</v>
      </c>
    </row>
    <row r="54" spans="2:9" x14ac:dyDescent="0.3">
      <c r="C54" s="34" t="str" cm="1">
        <f t="array" ref="C54:D58" xml:space="preserve"> $L$10:$M$14</f>
        <v>a</v>
      </c>
      <c r="D54" s="34" t="str">
        <v>_</v>
      </c>
      <c r="F54" s="29" t="str" cm="1">
        <f t="array" ref="F54:F63" xml:space="preserve"> $C$10:$C$19</f>
        <v>Alpha</v>
      </c>
      <c r="H54" s="26" t="str" cm="1">
        <f t="array" ref="H54:H63" xml:space="preserve"> _xlfn.LET(
  _xlpm._arr,_xlfn.ANCHORARRAY( F54),
  _xlpm._num, IF( ISBLANK(D60), 0, INT(D60)),
  _xlpm._tbl,_xlfn.ANCHORARRAY( C54),
  _xlpm._idx, _xlfn.SEQUENCE(ROWS(_xlpm._tbl)),
  _xlpm._txt, _xlfn.CHOOSECOLS(_xlpm._tbl, 1),
  _xlpm._rep, _xlfn.CHOOSECOLS(_xlpm._tbl, -1),
  _xlpm._rtn, IF(_xlpm._num &lt;&gt; 0,
    _xlfn.REDUCE(_xlpm._arr, _xlpm._idx, _xlfn.LAMBDA(_xlpm._acc,_xlpm._val, SUBSTITUTE(_xlpm._acc, INDEX(_xlpm._txt, _xlpm._val), INDEX(_xlpm._rep, _xlpm._val), _xlpm._num))),
    _xlfn.REDUCE(_xlpm._arr, _xlpm._idx, _xlfn.LAMBDA(_xlpm._acc,_xlpm._val, SUBSTITUTE(_xlpm._acc, INDEX(_xlpm._txt, _xlpm._val), INDEX(_xlpm._rep, _xlpm._val))))
  ),
  _xlpm._rtn
)</f>
        <v>Alph_</v>
      </c>
      <c r="I54" s="12" t="str" cm="1">
        <f t="array" aca="1" ref="I54:I66" ca="1" xml:space="preserve"> _xlfn.TEXTSPLIT( _xlfn.FORMULATEXT(H54), , CHAR(10))</f>
        <v>= LET(</v>
      </c>
    </row>
    <row r="55" spans="2:9" x14ac:dyDescent="0.3">
      <c r="C55" s="34" t="str">
        <v>e</v>
      </c>
      <c r="D55" s="34" t="str">
        <v>_</v>
      </c>
      <c r="F55" s="29" t="str">
        <v>Bravo</v>
      </c>
      <c r="H55" s="26" t="str">
        <v>Br_v_</v>
      </c>
      <c r="I55" s="12" t="str">
        <f ca="1"/>
        <v xml:space="preserve">  _arr, F54#,</v>
      </c>
    </row>
    <row r="56" spans="2:9" x14ac:dyDescent="0.3">
      <c r="C56" s="34" t="str">
        <v>i</v>
      </c>
      <c r="D56" s="34" t="str">
        <v>_</v>
      </c>
      <c r="F56" s="29" t="str">
        <v>Charlie</v>
      </c>
      <c r="H56" s="26" t="str">
        <v>Ch_rl__</v>
      </c>
      <c r="I56" s="12" t="str">
        <f ca="1"/>
        <v xml:space="preserve">  _num, IF( ISBLANK(D60), 0, INT(D60)),</v>
      </c>
    </row>
    <row r="57" spans="2:9" x14ac:dyDescent="0.3">
      <c r="C57" s="34" t="str">
        <v>o</v>
      </c>
      <c r="D57" s="34" t="str">
        <v>_</v>
      </c>
      <c r="F57" s="29" t="str">
        <v>Delta</v>
      </c>
      <c r="H57" s="26" t="str">
        <v>D_lt_</v>
      </c>
      <c r="I57" s="12" t="str">
        <f ca="1"/>
        <v xml:space="preserve">  _tbl, C54#,</v>
      </c>
    </row>
    <row r="58" spans="2:9" x14ac:dyDescent="0.3">
      <c r="C58" s="34" t="str">
        <v>u</v>
      </c>
      <c r="D58" s="34" t="str">
        <v>_</v>
      </c>
      <c r="F58" s="29" t="str">
        <v>Echo</v>
      </c>
      <c r="H58" s="26" t="str">
        <v>Ech_</v>
      </c>
      <c r="I58" s="12" t="str">
        <f ca="1"/>
        <v xml:space="preserve">  _idx, SEQUENCE(ROWS(_tbl)),</v>
      </c>
    </row>
    <row r="59" spans="2:9" x14ac:dyDescent="0.3">
      <c r="F59" s="29" t="str">
        <v>Foxtrot</v>
      </c>
      <c r="H59" s="26" t="str">
        <v>F_xtr_t</v>
      </c>
      <c r="I59" s="12" t="str">
        <f ca="1"/>
        <v xml:space="preserve">  _txt, CHOOSECOLS(_tbl, 1),</v>
      </c>
    </row>
    <row r="60" spans="2:9" x14ac:dyDescent="0.3">
      <c r="C60" s="18" t="s">
        <v>126</v>
      </c>
      <c r="D60" s="30">
        <v>0</v>
      </c>
      <c r="F60" s="29" t="str">
        <v>Golf</v>
      </c>
      <c r="H60" s="26" t="str">
        <v>G_lf</v>
      </c>
      <c r="I60" s="12" t="str">
        <f ca="1"/>
        <v xml:space="preserve">  _rep, CHOOSECOLS(_tbl, -1),</v>
      </c>
    </row>
    <row r="61" spans="2:9" x14ac:dyDescent="0.3">
      <c r="F61" s="29" t="str">
        <v>Hotel</v>
      </c>
      <c r="H61" s="26" t="str">
        <v>H_t_l</v>
      </c>
      <c r="I61" s="12" t="str">
        <f ca="1"/>
        <v xml:space="preserve">  _rtn, IF(_num &lt;&gt; 0,</v>
      </c>
    </row>
    <row r="62" spans="2:9" x14ac:dyDescent="0.3">
      <c r="F62" s="29" t="str">
        <v>India</v>
      </c>
      <c r="H62" s="26" t="str">
        <v>Ind__</v>
      </c>
      <c r="I62" s="12" t="str">
        <f ca="1"/>
        <v xml:space="preserve">    REDUCE(_arr, _idx, LAMBDA(_acc,_val, SUBSTITUTE(_acc, INDEX(_txt, _val), INDEX(_rep, _val), _num))),</v>
      </c>
    </row>
    <row r="63" spans="2:9" x14ac:dyDescent="0.3">
      <c r="F63" s="29" t="str">
        <v>Juliet</v>
      </c>
      <c r="H63" s="26" t="str">
        <v>J_l__t</v>
      </c>
      <c r="I63" s="12" t="str">
        <f ca="1"/>
        <v xml:space="preserve">    REDUCE(_arr, _idx, LAMBDA(_acc,_val, SUBSTITUTE(_acc, INDEX(_txt, _val), INDEX(_rep, _val))))</v>
      </c>
    </row>
    <row r="64" spans="2:9" x14ac:dyDescent="0.3">
      <c r="I64" s="12" t="str">
        <f ca="1"/>
        <v xml:space="preserve">  ),</v>
      </c>
    </row>
    <row r="65" spans="2:9" x14ac:dyDescent="0.3">
      <c r="I65" s="12" t="str">
        <f ca="1"/>
        <v xml:space="preserve">  _rtn</v>
      </c>
    </row>
    <row r="66" spans="2:9" x14ac:dyDescent="0.3">
      <c r="I66" s="12" t="str">
        <f ca="1"/>
        <v>)</v>
      </c>
    </row>
    <row r="68" spans="2:9" x14ac:dyDescent="0.3">
      <c r="B68" s="10" t="str" cm="1">
        <f t="array" ref="B68" xml:space="preserve"> "(" &amp; _xlfn.UNICHAR( 65 + SUMPRODUCT(--(_xlfn.REGEXTEST(B$1:B67, "^\([A-Z]\)$")))) &amp; ")"</f>
        <v>(C)</v>
      </c>
      <c r="C68" s="3" t="s">
        <v>95</v>
      </c>
    </row>
    <row r="69" spans="2:9" x14ac:dyDescent="0.3">
      <c r="C69" s="3" t="s">
        <v>87</v>
      </c>
    </row>
    <row r="71" spans="2:9" ht="14.4" thickBot="1" x14ac:dyDescent="0.35">
      <c r="C71" s="35" t="s">
        <v>82</v>
      </c>
      <c r="D71" s="35"/>
      <c r="F71" s="17" t="s">
        <v>59</v>
      </c>
      <c r="H71" s="17" t="s">
        <v>70</v>
      </c>
    </row>
    <row r="72" spans="2:9" x14ac:dyDescent="0.3">
      <c r="C72" s="34" t="str" cm="1">
        <f t="array" ref="C72:D76" xml:space="preserve"> $L$10:$M$14</f>
        <v>a</v>
      </c>
      <c r="D72" s="34" t="str">
        <v>_</v>
      </c>
      <c r="F72" s="29" t="str" cm="1">
        <f t="array" ref="F72:F81" xml:space="preserve"> $C$10:$C$19</f>
        <v>Alpha</v>
      </c>
      <c r="H72" s="26" t="str" cm="1">
        <f t="array" ref="H72:H81" xml:space="preserve"> _xlfn.LET(
  _xlpm._arr,_xlfn.ANCHORARRAY( F72),
  _xlpm.instance_num,_xlfn.ANCHORARRAY( D83),
  _xlpm._ins, IF( ISBLANK(_xlpm.instance_num), 0, INT(_xlpm.instance_num)),
  _xlpm._iAr, OR( ROWS(_xlpm._ins) &gt; 1, COLUMNS(_xlpm._ins) &gt; 1),
  _xlpm._num, IF(_xlpm._iAr, _xlfn.TOCOL(_xlpm._ins), _xlpm._ins),
  _xlpm._tbl,_xlfn.ANCHORARRAY( C72),
  _xlpm._idx, _xlfn.SEQUENCE(ROWS(_xlpm._tbl)),
  _xlpm._txt, _xlfn.CHOOSECOLS(_xlpm._tbl, 1),
  _xlpm._rep, _xlfn.CHOOSECOLS(_xlpm._tbl, -1),
  _xlpm._rtn, IF(_xlpm._iAr,
    _xlfn.REDUCE(_xlpm._arr, _xlpm._idx, _xlfn.LAMBDA(_xlpm._acc,_xlpm._val, SUBSTITUTE(_xlpm._acc, INDEX(_xlpm._txt, _xlpm._val), INDEX(_xlpm._rep, _xlpm._val), INDEX(_xlpm._num, _xlpm._val)))),
    IF(_xlpm._num &lt;&gt; 0,
      _xlfn.REDUCE(_xlpm._arr, _xlpm._idx, _xlfn.LAMBDA(_xlpm._acc,_xlpm._val, SUBSTITUTE(_xlpm._acc, INDEX(_xlpm._txt, _xlpm._val), INDEX(_xlpm._rep, _xlpm._val), _xlpm._num))),
      _xlfn.REDUCE(_xlpm._arr, _xlpm._idx, _xlfn.LAMBDA(_xlpm._acc,_xlpm._val, SUBSTITUTE(_xlpm._acc, INDEX(_xlpm._txt, _xlpm._val), INDEX(_xlpm._rep, _xlpm._val))))
    )
  ),
  _xlpm._rtn
)</f>
        <v>Alph_</v>
      </c>
      <c r="I72" s="12" t="str" cm="1">
        <f t="array" aca="1" ref="I72:I90" ca="1" xml:space="preserve"> _xlfn.TEXTSPLIT( _xlfn.FORMULATEXT(H72), , CHAR(10))</f>
        <v>= LET(</v>
      </c>
    </row>
    <row r="73" spans="2:9" x14ac:dyDescent="0.3">
      <c r="C73" s="34" t="str">
        <v>e</v>
      </c>
      <c r="D73" s="34" t="str">
        <v>_</v>
      </c>
      <c r="F73" s="29" t="str">
        <v>Bravo</v>
      </c>
      <c r="H73" s="26" t="str">
        <v>Br_v_</v>
      </c>
      <c r="I73" s="12" t="str">
        <f ca="1"/>
        <v xml:space="preserve">  _arr, F72#,</v>
      </c>
    </row>
    <row r="74" spans="2:9" x14ac:dyDescent="0.3">
      <c r="C74" s="34" t="str">
        <v>i</v>
      </c>
      <c r="D74" s="34" t="str">
        <v>_</v>
      </c>
      <c r="F74" s="29" t="str">
        <v>Charlie</v>
      </c>
      <c r="H74" s="26" t="str">
        <v>Ch_rl__</v>
      </c>
      <c r="I74" s="12" t="str">
        <f ca="1"/>
        <v xml:space="preserve">  instance_num, D83#,</v>
      </c>
    </row>
    <row r="75" spans="2:9" x14ac:dyDescent="0.3">
      <c r="C75" s="34" t="str">
        <v>o</v>
      </c>
      <c r="D75" s="34" t="str">
        <v>_</v>
      </c>
      <c r="F75" s="29" t="str">
        <v>Delta</v>
      </c>
      <c r="H75" s="26" t="str">
        <v>D_lt_</v>
      </c>
      <c r="I75" s="12" t="str">
        <f ca="1"/>
        <v xml:space="preserve">  _ins, IF( ISBLANK(instance_num), 0, INT(instance_num)),</v>
      </c>
    </row>
    <row r="76" spans="2:9" x14ac:dyDescent="0.3">
      <c r="C76" s="34" t="str">
        <v>u</v>
      </c>
      <c r="D76" s="34" t="str">
        <v>_</v>
      </c>
      <c r="F76" s="29" t="str">
        <v>Echo</v>
      </c>
      <c r="H76" s="26" t="str">
        <v>Ech_</v>
      </c>
      <c r="I76" s="12" t="str">
        <f ca="1"/>
        <v xml:space="preserve">  _iAr, OR( ROWS(_ins) &gt; 1, COLUMNS(_ins) &gt; 1),</v>
      </c>
    </row>
    <row r="77" spans="2:9" x14ac:dyDescent="0.3">
      <c r="F77" s="29" t="str">
        <v>Foxtrot</v>
      </c>
      <c r="H77" s="26" t="str">
        <v>F_xtrot</v>
      </c>
      <c r="I77" s="12" t="str">
        <f ca="1"/>
        <v xml:space="preserve">  _num, IF(_iAr, TOCOL(_ins), _ins),</v>
      </c>
    </row>
    <row r="78" spans="2:9" x14ac:dyDescent="0.3">
      <c r="F78" s="29" t="str">
        <v>Golf</v>
      </c>
      <c r="H78" s="26" t="str">
        <v>G_lf</v>
      </c>
      <c r="I78" s="12" t="str">
        <f ca="1"/>
        <v xml:space="preserve">  _tbl, C72#,</v>
      </c>
    </row>
    <row r="79" spans="2:9" x14ac:dyDescent="0.3">
      <c r="F79" s="29" t="str">
        <v>Hotel</v>
      </c>
      <c r="H79" s="26" t="str">
        <v>H_t_l</v>
      </c>
      <c r="I79" s="12" t="str">
        <f ca="1"/>
        <v xml:space="preserve">  _idx, SEQUENCE(ROWS(_tbl)),</v>
      </c>
    </row>
    <row r="80" spans="2:9" x14ac:dyDescent="0.3">
      <c r="F80" s="29" t="str">
        <v>India</v>
      </c>
      <c r="H80" s="26" t="str">
        <v>Ind__</v>
      </c>
      <c r="I80" s="12" t="str">
        <f ca="1"/>
        <v xml:space="preserve">  _txt, CHOOSECOLS(_tbl, 1),</v>
      </c>
    </row>
    <row r="81" spans="2:16" x14ac:dyDescent="0.3">
      <c r="F81" s="29" t="str">
        <v>Juliet</v>
      </c>
      <c r="H81" s="26" t="str">
        <v>J_l__t</v>
      </c>
      <c r="I81" s="12" t="str">
        <f ca="1"/>
        <v xml:space="preserve">  _rep, CHOOSECOLS(_tbl, -1),</v>
      </c>
    </row>
    <row r="82" spans="2:16" x14ac:dyDescent="0.3">
      <c r="C82" s="18" t="s">
        <v>96</v>
      </c>
      <c r="D82" s="30">
        <v>0</v>
      </c>
      <c r="I82" s="12" t="str">
        <f ca="1"/>
        <v xml:space="preserve">  _rtn, IF(_iAr,</v>
      </c>
    </row>
    <row r="83" spans="2:16" x14ac:dyDescent="0.3">
      <c r="C83" s="18" t="s">
        <v>97</v>
      </c>
      <c r="D83" s="30" cm="1">
        <f t="array" ref="D83:H83" xml:space="preserve"> {1,1,1,1,1}</f>
        <v>1</v>
      </c>
      <c r="E83" s="30">
        <v>1</v>
      </c>
      <c r="F83" s="30">
        <v>1</v>
      </c>
      <c r="G83" s="30">
        <v>1</v>
      </c>
      <c r="H83" s="30">
        <v>1</v>
      </c>
      <c r="I83" s="12" t="str">
        <f ca="1"/>
        <v xml:space="preserve">    REDUCE(_arr, _idx, LAMBDA(_acc,_val, SUBSTITUTE(_acc, INDEX(_txt, _val), INDEX(_rep, _val), INDEX(_num, _val)))),</v>
      </c>
    </row>
    <row r="84" spans="2:16" x14ac:dyDescent="0.3">
      <c r="C84" s="18" t="s">
        <v>98</v>
      </c>
      <c r="D84" s="30" cm="1">
        <f t="array" ref="D84:D88" xml:space="preserve"> {2;2;2;2;2}</f>
        <v>2</v>
      </c>
      <c r="I84" s="12" t="str">
        <f ca="1"/>
        <v xml:space="preserve">    IF(_num &lt;&gt; 0,</v>
      </c>
    </row>
    <row r="85" spans="2:16" x14ac:dyDescent="0.3">
      <c r="D85" s="30">
        <v>2</v>
      </c>
      <c r="I85" s="12" t="str">
        <f ca="1"/>
        <v xml:space="preserve">      REDUCE(_arr, _idx, LAMBDA(_acc,_val, SUBSTITUTE(_acc, INDEX(_txt, _val), INDEX(_rep, _val), _num))),</v>
      </c>
    </row>
    <row r="86" spans="2:16" x14ac:dyDescent="0.3">
      <c r="D86" s="30">
        <v>2</v>
      </c>
      <c r="I86" s="12" t="str">
        <f ca="1"/>
        <v xml:space="preserve">      REDUCE(_arr, _idx, LAMBDA(_acc,_val, SUBSTITUTE(_acc, INDEX(_txt, _val), INDEX(_rep, _val))))</v>
      </c>
    </row>
    <row r="87" spans="2:16" x14ac:dyDescent="0.3">
      <c r="D87" s="30">
        <v>2</v>
      </c>
      <c r="I87" s="12" t="str">
        <f ca="1"/>
        <v xml:space="preserve">    )</v>
      </c>
    </row>
    <row r="88" spans="2:16" x14ac:dyDescent="0.3">
      <c r="D88" s="30">
        <v>2</v>
      </c>
      <c r="I88" s="12" t="str">
        <f ca="1"/>
        <v xml:space="preserve">  ),</v>
      </c>
    </row>
    <row r="89" spans="2:16" x14ac:dyDescent="0.3">
      <c r="I89" s="12" t="str">
        <f ca="1"/>
        <v xml:space="preserve">  _rtn</v>
      </c>
    </row>
    <row r="90" spans="2:16" x14ac:dyDescent="0.3">
      <c r="I90" s="12" t="str">
        <f ca="1"/>
        <v>)</v>
      </c>
    </row>
    <row r="92" spans="2:16" x14ac:dyDescent="0.3">
      <c r="B92" s="10" t="str" cm="1">
        <f t="array" ref="B92" xml:space="preserve"> "(" &amp; _xlfn.UNICHAR( 65 + SUMPRODUCT(--(_xlfn.REGEXTEST(B$1:B91, "^\([A-Z]\)$")))) &amp; ")"</f>
        <v>(D)</v>
      </c>
      <c r="C92" s="3" t="s">
        <v>99</v>
      </c>
    </row>
    <row r="94" spans="2:16" ht="14.4" thickBot="1" x14ac:dyDescent="0.35">
      <c r="C94" s="35" t="s">
        <v>82</v>
      </c>
      <c r="D94" s="35"/>
      <c r="F94" s="32" t="s">
        <v>59</v>
      </c>
      <c r="G94" s="33" t="str" cm="1">
        <f t="array" ref="G94:P94" xml:space="preserve"> $D$21:$M$21</f>
        <v>Alpha</v>
      </c>
      <c r="H94" s="33" t="str">
        <v>Bravo</v>
      </c>
      <c r="I94" s="33" t="str">
        <v>Charlie</v>
      </c>
      <c r="J94" s="33" t="str">
        <v>Delta</v>
      </c>
      <c r="K94" s="33" t="str">
        <v>Echo</v>
      </c>
      <c r="L94" s="33" t="str">
        <v>Foxtrot</v>
      </c>
      <c r="M94" s="33" t="str">
        <v>Golf</v>
      </c>
      <c r="N94" s="33" t="str">
        <v>Hotel</v>
      </c>
      <c r="O94" s="33" t="str">
        <v>India</v>
      </c>
      <c r="P94" s="33" t="str">
        <v>Juliet</v>
      </c>
    </row>
    <row r="95" spans="2:16" x14ac:dyDescent="0.3">
      <c r="C95" s="29" t="str" cm="1">
        <f t="array" ref="C95:D99" xml:space="preserve"> $I$10:$J$14</f>
        <v>Alpha</v>
      </c>
      <c r="D95" s="29">
        <v>111</v>
      </c>
    </row>
    <row r="96" spans="2:16" x14ac:dyDescent="0.3">
      <c r="C96" s="29" t="str">
        <v>Charlie</v>
      </c>
      <c r="D96" s="29">
        <v>333</v>
      </c>
      <c r="F96" s="32" t="s">
        <v>70</v>
      </c>
      <c r="G96" s="26" t="str" cm="1">
        <f t="array" ref="G96:P96" xml:space="preserve"> _xlfn.LET(
  _xlpm._arr,_xlfn.ANCHORARRAY( G94),
  _xlpm.instance_num, ,
  _xlpm._ins, IF( ISBLANK(_xlpm.instance_num), 0, INT(_xlpm.instance_num)),
  _xlpm._iAr, OR( ROWS(_xlpm._ins) &gt; 1, COLUMNS(_xlpm._ins) &gt; 1),
  _xlpm._num, IF(_xlpm._iAr, _xlfn.TOCOL(_xlpm._ins), _xlpm._ins),
  _xlpm._tbl,_xlfn.ANCHORARRAY( C95),
  _xlpm._idx, _xlfn.SEQUENCE(ROWS(_xlpm._tbl)),
  _xlpm._txt, _xlfn.CHOOSECOLS(_xlpm._tbl, 1),
  _xlpm._rep, _xlfn.CHOOSECOLS(_xlpm._tbl, -1),
  _xlpm._rtn, IF(_xlpm._iAr,
    _xlfn.REDUCE(_xlpm._arr, _xlpm._idx, _xlfn.LAMBDA(_xlpm._acc,_xlpm._val, SUBSTITUTE(_xlpm._acc, INDEX(_xlpm._txt, _xlpm._val), INDEX(_xlpm._rep, _xlpm._val), INDEX(_xlpm._num, _xlpm._val)))),
    IF(_xlpm._num &lt;&gt; 0,
      _xlfn.REDUCE(_xlpm._arr, _xlpm._idx, _xlfn.LAMBDA(_xlpm._acc,_xlpm._val, SUBSTITUTE(_xlpm._acc, INDEX(_xlpm._txt, _xlpm._val), INDEX(_xlpm._rep, _xlpm._val), _xlpm._num))),
      _xlfn.REDUCE(_xlpm._arr, _xlpm._idx, _xlfn.LAMBDA(_xlpm._acc,_xlpm._val, SUBSTITUTE(_xlpm._acc, INDEX(_xlpm._txt, _xlpm._val), INDEX(_xlpm._rep, _xlpm._val))))
    )
  ),
  _xlpm._rtn
)</f>
        <v>111</v>
      </c>
      <c r="H96" s="26" t="str">
        <v>Bravo</v>
      </c>
      <c r="I96" s="26" t="str">
        <v>333</v>
      </c>
      <c r="J96" s="26" t="str">
        <v>Delta</v>
      </c>
      <c r="K96" s="26" t="str">
        <v>555</v>
      </c>
      <c r="L96" s="26" t="str">
        <v>Foxtrot</v>
      </c>
      <c r="M96" s="26" t="str">
        <v>Golf</v>
      </c>
      <c r="N96" s="26" t="str">
        <v>Hotel</v>
      </c>
      <c r="O96" s="26" t="str">
        <v>India</v>
      </c>
      <c r="P96" s="26" t="str">
        <v>Juliet</v>
      </c>
    </row>
    <row r="97" spans="3:7" x14ac:dyDescent="0.3">
      <c r="C97" s="29" t="str">
        <v>Echo</v>
      </c>
      <c r="D97" s="29">
        <v>555</v>
      </c>
      <c r="G97" s="12" t="str" cm="1">
        <f t="array" aca="1" ref="G97:G115" ca="1" xml:space="preserve"> _xlfn.TEXTSPLIT( _xlfn.FORMULATEXT(G96), , CHAR(10))</f>
        <v>= LET(</v>
      </c>
    </row>
    <row r="98" spans="3:7" x14ac:dyDescent="0.3">
      <c r="C98" s="29" t="str">
        <v>golf</v>
      </c>
      <c r="D98" s="29">
        <v>777</v>
      </c>
      <c r="G98" s="12" t="str">
        <f ca="1"/>
        <v xml:space="preserve">  _arr, G94#,</v>
      </c>
    </row>
    <row r="99" spans="3:7" x14ac:dyDescent="0.3">
      <c r="C99" s="29" t="str">
        <v>INDIA</v>
      </c>
      <c r="D99" s="29">
        <v>999</v>
      </c>
      <c r="G99" s="12" t="str">
        <f ca="1"/>
        <v xml:space="preserve">  instance_num, ,</v>
      </c>
    </row>
    <row r="100" spans="3:7" x14ac:dyDescent="0.3">
      <c r="G100" s="12" t="str">
        <f ca="1"/>
        <v xml:space="preserve">  _ins, IF( ISBLANK(instance_num), 0, INT(instance_num)),</v>
      </c>
    </row>
    <row r="101" spans="3:7" x14ac:dyDescent="0.3">
      <c r="G101" s="12" t="str">
        <f ca="1"/>
        <v xml:space="preserve">  _iAr, OR( ROWS(_ins) &gt; 1, COLUMNS(_ins) &gt; 1),</v>
      </c>
    </row>
    <row r="102" spans="3:7" x14ac:dyDescent="0.3">
      <c r="G102" s="12" t="str">
        <f ca="1"/>
        <v xml:space="preserve">  _num, IF(_iAr, TOCOL(_ins), _ins),</v>
      </c>
    </row>
    <row r="103" spans="3:7" x14ac:dyDescent="0.3">
      <c r="G103" s="12" t="str">
        <f ca="1"/>
        <v xml:space="preserve">  _tbl, C95#,</v>
      </c>
    </row>
    <row r="104" spans="3:7" x14ac:dyDescent="0.3">
      <c r="G104" s="12" t="str">
        <f ca="1"/>
        <v xml:space="preserve">  _idx, SEQUENCE(ROWS(_tbl)),</v>
      </c>
    </row>
    <row r="105" spans="3:7" x14ac:dyDescent="0.3">
      <c r="G105" s="12" t="str">
        <f ca="1"/>
        <v xml:space="preserve">  _txt, CHOOSECOLS(_tbl, 1),</v>
      </c>
    </row>
    <row r="106" spans="3:7" x14ac:dyDescent="0.3">
      <c r="G106" s="12" t="str">
        <f ca="1"/>
        <v xml:space="preserve">  _rep, CHOOSECOLS(_tbl, -1),</v>
      </c>
    </row>
    <row r="107" spans="3:7" x14ac:dyDescent="0.3">
      <c r="G107" s="12" t="str">
        <f ca="1"/>
        <v xml:space="preserve">  _rtn, IF(_iAr,</v>
      </c>
    </row>
    <row r="108" spans="3:7" x14ac:dyDescent="0.3">
      <c r="G108" s="12" t="str">
        <f ca="1"/>
        <v xml:space="preserve">    REDUCE(_arr, _idx, LAMBDA(_acc,_val, SUBSTITUTE(_acc, INDEX(_txt, _val), INDEX(_rep, _val), INDEX(_num, _val)))),</v>
      </c>
    </row>
    <row r="109" spans="3:7" x14ac:dyDescent="0.3">
      <c r="G109" s="12" t="str">
        <f ca="1"/>
        <v xml:space="preserve">    IF(_num &lt;&gt; 0,</v>
      </c>
    </row>
    <row r="110" spans="3:7" x14ac:dyDescent="0.3">
      <c r="G110" s="12" t="str">
        <f ca="1"/>
        <v xml:space="preserve">      REDUCE(_arr, _idx, LAMBDA(_acc,_val, SUBSTITUTE(_acc, INDEX(_txt, _val), INDEX(_rep, _val), _num))),</v>
      </c>
    </row>
    <row r="111" spans="3:7" x14ac:dyDescent="0.3">
      <c r="G111" s="12" t="str">
        <f ca="1"/>
        <v xml:space="preserve">      REDUCE(_arr, _idx, LAMBDA(_acc,_val, SUBSTITUTE(_acc, INDEX(_txt, _val), INDEX(_rep, _val))))</v>
      </c>
    </row>
    <row r="112" spans="3:7" x14ac:dyDescent="0.3">
      <c r="G112" s="12" t="str">
        <f ca="1"/>
        <v xml:space="preserve">    )</v>
      </c>
    </row>
    <row r="113" spans="2:12" x14ac:dyDescent="0.3">
      <c r="G113" s="12" t="str">
        <f ca="1"/>
        <v xml:space="preserve">  ),</v>
      </c>
    </row>
    <row r="114" spans="2:12" x14ac:dyDescent="0.3">
      <c r="G114" s="12" t="str">
        <f ca="1"/>
        <v xml:space="preserve">  _rtn</v>
      </c>
    </row>
    <row r="115" spans="2:12" x14ac:dyDescent="0.3">
      <c r="G115" s="12" t="str">
        <f ca="1"/>
        <v>)</v>
      </c>
    </row>
    <row r="117" spans="2:12" x14ac:dyDescent="0.3">
      <c r="B117" s="10" t="str" cm="1">
        <f t="array" ref="B117" xml:space="preserve"> "(" &amp; _xlfn.UNICHAR( 65 + SUMPRODUCT(--(_xlfn.REGEXTEST(B$1:B116, "^\([A-Z]\)$")))) &amp; ")"</f>
        <v>(E)</v>
      </c>
      <c r="C117" s="3" t="s">
        <v>101</v>
      </c>
    </row>
    <row r="119" spans="2:12" ht="14.4" thickBot="1" x14ac:dyDescent="0.35">
      <c r="C119" s="35" t="s">
        <v>82</v>
      </c>
      <c r="D119" s="35"/>
      <c r="F119" s="35" t="s">
        <v>59</v>
      </c>
      <c r="G119" s="35"/>
      <c r="H119" s="35"/>
      <c r="J119" s="35" t="s">
        <v>70</v>
      </c>
      <c r="K119" s="35"/>
      <c r="L119" s="35"/>
    </row>
    <row r="120" spans="2:12" x14ac:dyDescent="0.3">
      <c r="C120" s="34" t="str" cm="1">
        <f t="array" ref="C120:D124" xml:space="preserve"> $L$10:$M$14</f>
        <v>a</v>
      </c>
      <c r="D120" s="34" t="str">
        <v>_</v>
      </c>
      <c r="F120" s="29" t="str" cm="1">
        <f t="array" ref="F120:H127" xml:space="preserve"> $E$10:$G$17</f>
        <v>Alpha</v>
      </c>
      <c r="G120" s="29" t="str">
        <v>Bravo</v>
      </c>
      <c r="H120" s="29" t="str">
        <v>Charlie</v>
      </c>
      <c r="J120" s="26" t="str" cm="1">
        <f t="array" ref="J120:L127" xml:space="preserve"> _xlfn.LET(
  _xlpm._arr,_xlfn.ANCHORARRAY( F120),
  _xlpm.instance_num, ,
  _xlpm._ins, IF( ISBLANK(_xlpm.instance_num), 0, INT(_xlpm.instance_num)),
  _xlpm._iAr, OR( ROWS(_xlpm._ins) &gt; 1, COLUMNS(_xlpm._ins) &gt; 1),
  _xlpm._num, IF(_xlpm._iAr, _xlfn.TOCOL(_xlpm._ins), _xlpm._ins),
  _xlpm._tbl,_xlfn.ANCHORARRAY( C120),
  _xlpm._idx, _xlfn.SEQUENCE(ROWS(_xlpm._tbl)),
  _xlpm._txt, _xlfn.CHOOSECOLS(_xlpm._tbl, 1),
  _xlpm._rep, _xlfn.CHOOSECOLS(_xlpm._tbl, -1),
  _xlpm._rtn, IF(_xlpm._iAr,
    _xlfn.REDUCE(_xlpm._arr, _xlpm._idx, _xlfn.LAMBDA(_xlpm._acc,_xlpm._val, SUBSTITUTE(_xlpm._acc, INDEX(_xlpm._txt, _xlpm._val), INDEX(_xlpm._rep, _xlpm._val), INDEX(_xlpm._num, _xlpm._val)))),
    IF(_xlpm._num &lt;&gt; 0,
      _xlfn.REDUCE(_xlpm._arr, _xlpm._idx, _xlfn.LAMBDA(_xlpm._acc,_xlpm._val, SUBSTITUTE(_xlpm._acc, INDEX(_xlpm._txt, _xlpm._val), INDEX(_xlpm._rep, _xlpm._val), _xlpm._num))),
      _xlfn.REDUCE(_xlpm._arr, _xlpm._idx, _xlfn.LAMBDA(_xlpm._acc,_xlpm._val, SUBSTITUTE(_xlpm._acc, INDEX(_xlpm._txt, _xlpm._val), INDEX(_xlpm._rep, _xlpm._val))))
    )
  ),
  _xlpm._rtn
)</f>
        <v>Alph_</v>
      </c>
      <c r="K120" s="26" t="str">
        <v>Br_v_</v>
      </c>
      <c r="L120" s="26" t="str">
        <v>Ch_rl__</v>
      </c>
    </row>
    <row r="121" spans="2:12" x14ac:dyDescent="0.3">
      <c r="C121" s="34" t="str">
        <v>e</v>
      </c>
      <c r="D121" s="34" t="str">
        <v>_</v>
      </c>
      <c r="F121" s="29" t="str">
        <v>Delta</v>
      </c>
      <c r="G121" s="29" t="str">
        <v>Echo</v>
      </c>
      <c r="H121" s="29" t="str">
        <v>Foxtrot</v>
      </c>
      <c r="J121" s="26" t="str">
        <v>D_lt_</v>
      </c>
      <c r="K121" s="26" t="str">
        <v>Ech_</v>
      </c>
      <c r="L121" s="26" t="str">
        <v>F_xtr_t</v>
      </c>
    </row>
    <row r="122" spans="2:12" x14ac:dyDescent="0.3">
      <c r="C122" s="34" t="str">
        <v>i</v>
      </c>
      <c r="D122" s="34" t="str">
        <v>_</v>
      </c>
      <c r="F122" s="29" t="str">
        <v>Golf</v>
      </c>
      <c r="G122" s="29" t="str">
        <v>Hotel</v>
      </c>
      <c r="H122" s="29" t="str">
        <v>India</v>
      </c>
      <c r="J122" s="26" t="str">
        <v>G_lf</v>
      </c>
      <c r="K122" s="26" t="str">
        <v>H_t_l</v>
      </c>
      <c r="L122" s="26" t="str">
        <v>Ind__</v>
      </c>
    </row>
    <row r="123" spans="2:12" x14ac:dyDescent="0.3">
      <c r="C123" s="34" t="str">
        <v>o</v>
      </c>
      <c r="D123" s="34" t="str">
        <v>_</v>
      </c>
      <c r="F123" s="29" t="str">
        <v>Juliet</v>
      </c>
      <c r="G123" s="29" t="str">
        <v>Kilo</v>
      </c>
      <c r="H123" s="29" t="str">
        <v>Lima</v>
      </c>
      <c r="J123" s="26" t="str">
        <v>J_l__t</v>
      </c>
      <c r="K123" s="26" t="str">
        <v>K_l_</v>
      </c>
      <c r="L123" s="26" t="str">
        <v>L_m_</v>
      </c>
    </row>
    <row r="124" spans="2:12" x14ac:dyDescent="0.3">
      <c r="C124" s="34" t="str">
        <v>u</v>
      </c>
      <c r="D124" s="34" t="str">
        <v>_</v>
      </c>
      <c r="F124" s="29" t="str">
        <v>Mike</v>
      </c>
      <c r="G124" s="29" t="str">
        <v>November</v>
      </c>
      <c r="H124" s="29" t="str">
        <v>Oscar</v>
      </c>
      <c r="J124" s="26" t="str">
        <v>M_k_</v>
      </c>
      <c r="K124" s="26" t="str">
        <v>N_v_mb_r</v>
      </c>
      <c r="L124" s="26" t="str">
        <v>Osc_r</v>
      </c>
    </row>
    <row r="125" spans="2:12" x14ac:dyDescent="0.3">
      <c r="F125" s="29" t="str">
        <v>Papa</v>
      </c>
      <c r="G125" s="29" t="str">
        <v>Quebec</v>
      </c>
      <c r="H125" s="29" t="str">
        <v>Romeo</v>
      </c>
      <c r="J125" s="26" t="str">
        <v>P_p_</v>
      </c>
      <c r="K125" s="26" t="str">
        <v>Q__b_c</v>
      </c>
      <c r="L125" s="26" t="str">
        <v>R_m__</v>
      </c>
    </row>
    <row r="126" spans="2:12" x14ac:dyDescent="0.3">
      <c r="F126" s="29" t="str">
        <v>Sierra</v>
      </c>
      <c r="G126" s="29" t="str">
        <v>Tango</v>
      </c>
      <c r="H126" s="29" t="str">
        <v>Uniform</v>
      </c>
      <c r="J126" s="26" t="str">
        <v>S__rr_</v>
      </c>
      <c r="K126" s="26" t="str">
        <v>T_ng_</v>
      </c>
      <c r="L126" s="26" t="str">
        <v>Un_f_rm</v>
      </c>
    </row>
    <row r="127" spans="2:12" x14ac:dyDescent="0.3">
      <c r="F127" s="29" t="str">
        <v>Victor</v>
      </c>
      <c r="G127" s="29" t="str">
        <v>Whiskey</v>
      </c>
      <c r="H127" s="29" t="str">
        <v>X-ray</v>
      </c>
      <c r="J127" s="26" t="str">
        <v>V_ct_r</v>
      </c>
      <c r="K127" s="26" t="str">
        <v>Wh_sk_y</v>
      </c>
      <c r="L127" s="26" t="str">
        <v>X-r_y</v>
      </c>
    </row>
    <row r="128" spans="2:12" x14ac:dyDescent="0.3">
      <c r="J128" s="12" t="str" cm="1">
        <f t="array" aca="1" ref="J128:J146" ca="1" xml:space="preserve"> _xlfn.TEXTSPLIT( _xlfn.FORMULATEXT(J120), , CHAR(10))</f>
        <v>= LET(</v>
      </c>
    </row>
    <row r="129" spans="10:10" x14ac:dyDescent="0.3">
      <c r="J129" s="12" t="str">
        <f ca="1"/>
        <v xml:space="preserve">  _arr, F120#,</v>
      </c>
    </row>
    <row r="130" spans="10:10" x14ac:dyDescent="0.3">
      <c r="J130" s="12" t="str">
        <f ca="1"/>
        <v xml:space="preserve">  instance_num, ,</v>
      </c>
    </row>
    <row r="131" spans="10:10" x14ac:dyDescent="0.3">
      <c r="J131" s="12" t="str">
        <f ca="1"/>
        <v xml:space="preserve">  _ins, IF( ISBLANK(instance_num), 0, INT(instance_num)),</v>
      </c>
    </row>
    <row r="132" spans="10:10" x14ac:dyDescent="0.3">
      <c r="J132" s="12" t="str">
        <f ca="1"/>
        <v xml:space="preserve">  _iAr, OR( ROWS(_ins) &gt; 1, COLUMNS(_ins) &gt; 1),</v>
      </c>
    </row>
    <row r="133" spans="10:10" x14ac:dyDescent="0.3">
      <c r="J133" s="12" t="str">
        <f ca="1"/>
        <v xml:space="preserve">  _num, IF(_iAr, TOCOL(_ins), _ins),</v>
      </c>
    </row>
    <row r="134" spans="10:10" x14ac:dyDescent="0.3">
      <c r="J134" s="12" t="str">
        <f ca="1"/>
        <v xml:space="preserve">  _tbl, C120#,</v>
      </c>
    </row>
    <row r="135" spans="10:10" x14ac:dyDescent="0.3">
      <c r="J135" s="12" t="str">
        <f ca="1"/>
        <v xml:space="preserve">  _idx, SEQUENCE(ROWS(_tbl)),</v>
      </c>
    </row>
    <row r="136" spans="10:10" x14ac:dyDescent="0.3">
      <c r="J136" s="12" t="str">
        <f ca="1"/>
        <v xml:space="preserve">  _txt, CHOOSECOLS(_tbl, 1),</v>
      </c>
    </row>
    <row r="137" spans="10:10" x14ac:dyDescent="0.3">
      <c r="J137" s="12" t="str">
        <f ca="1"/>
        <v xml:space="preserve">  _rep, CHOOSECOLS(_tbl, -1),</v>
      </c>
    </row>
    <row r="138" spans="10:10" x14ac:dyDescent="0.3">
      <c r="J138" s="12" t="str">
        <f ca="1"/>
        <v xml:space="preserve">  _rtn, IF(_iAr,</v>
      </c>
    </row>
    <row r="139" spans="10:10" x14ac:dyDescent="0.3">
      <c r="J139" s="12" t="str">
        <f ca="1"/>
        <v xml:space="preserve">    REDUCE(_arr, _idx, LAMBDA(_acc,_val, SUBSTITUTE(_acc, INDEX(_txt, _val), INDEX(_rep, _val), INDEX(_num, _val)))),</v>
      </c>
    </row>
    <row r="140" spans="10:10" x14ac:dyDescent="0.3">
      <c r="J140" s="12" t="str">
        <f ca="1"/>
        <v xml:space="preserve">    IF(_num &lt;&gt; 0,</v>
      </c>
    </row>
    <row r="141" spans="10:10" x14ac:dyDescent="0.3">
      <c r="J141" s="12" t="str">
        <f ca="1"/>
        <v xml:space="preserve">      REDUCE(_arr, _idx, LAMBDA(_acc,_val, SUBSTITUTE(_acc, INDEX(_txt, _val), INDEX(_rep, _val), _num))),</v>
      </c>
    </row>
    <row r="142" spans="10:10" x14ac:dyDescent="0.3">
      <c r="J142" s="12" t="str">
        <f ca="1"/>
        <v xml:space="preserve">      REDUCE(_arr, _idx, LAMBDA(_acc,_val, SUBSTITUTE(_acc, INDEX(_txt, _val), INDEX(_rep, _val))))</v>
      </c>
    </row>
    <row r="143" spans="10:10" x14ac:dyDescent="0.3">
      <c r="J143" s="12" t="str">
        <f ca="1"/>
        <v xml:space="preserve">    )</v>
      </c>
    </row>
    <row r="144" spans="10:10" x14ac:dyDescent="0.3">
      <c r="J144" s="12" t="str">
        <f ca="1"/>
        <v xml:space="preserve">  ),</v>
      </c>
    </row>
    <row r="145" spans="2:20" x14ac:dyDescent="0.3">
      <c r="J145" s="12" t="str">
        <f ca="1"/>
        <v xml:space="preserve">  _rtn</v>
      </c>
    </row>
    <row r="146" spans="2:20" x14ac:dyDescent="0.3">
      <c r="J146" s="12" t="str">
        <f ca="1"/>
        <v>)</v>
      </c>
    </row>
    <row r="148" spans="2:20" x14ac:dyDescent="0.3">
      <c r="B148" s="8" t="s">
        <v>139</v>
      </c>
      <c r="C148" s="7"/>
      <c r="D148" s="7"/>
      <c r="E148" s="7"/>
      <c r="F148" s="7"/>
      <c r="G148" s="7"/>
      <c r="H148" s="7"/>
      <c r="I148" s="7"/>
      <c r="J148" s="7"/>
      <c r="K148" s="7"/>
      <c r="L148" s="7"/>
      <c r="M148" s="7"/>
      <c r="N148" s="7"/>
      <c r="O148" s="7"/>
      <c r="P148" s="7"/>
      <c r="Q148" s="7"/>
      <c r="R148" s="7"/>
      <c r="S148" s="7"/>
      <c r="T148" s="7"/>
    </row>
    <row r="150" spans="2:20" x14ac:dyDescent="0.3">
      <c r="C150" s="9" t="s">
        <v>4</v>
      </c>
    </row>
    <row r="151" spans="2:20" x14ac:dyDescent="0.3">
      <c r="C151" t="s">
        <v>190</v>
      </c>
    </row>
    <row r="152" spans="2:20" x14ac:dyDescent="0.3">
      <c r="C152" t="s">
        <v>191</v>
      </c>
    </row>
    <row r="153" spans="2:20" x14ac:dyDescent="0.3">
      <c r="C153" t="s">
        <v>210</v>
      </c>
    </row>
    <row r="155" spans="2:20" x14ac:dyDescent="0.3">
      <c r="B155" s="10" t="str" cm="1">
        <f t="array" ref="B155" xml:space="preserve"> "(" &amp; _xlfn.UNICHAR( 65 + SUMPRODUCT(--(_xlfn.REGEXTEST(B$1:B149, "^\([A-Z]\)$")))) &amp; ")"</f>
        <v>(F)</v>
      </c>
      <c r="C155" s="3" t="s">
        <v>124</v>
      </c>
    </row>
    <row r="157" spans="2:20" ht="14.4" thickBot="1" x14ac:dyDescent="0.35">
      <c r="C157" s="35" t="s">
        <v>82</v>
      </c>
      <c r="D157" s="35"/>
      <c r="F157" s="17" t="s">
        <v>59</v>
      </c>
      <c r="H157" s="17" t="s">
        <v>70</v>
      </c>
    </row>
    <row r="158" spans="2:20" x14ac:dyDescent="0.3">
      <c r="C158" s="34" t="str" cm="1">
        <f t="array" ref="C158:D162" xml:space="preserve"> $O$10:$P$14</f>
        <v>[aA]</v>
      </c>
      <c r="D158" s="34" t="str">
        <v>_</v>
      </c>
      <c r="F158" s="29" t="str" cm="1">
        <f t="array" ref="F158:F167" xml:space="preserve"> $C$10:$C$19</f>
        <v>Alpha</v>
      </c>
      <c r="H158" s="26" t="str" cm="1">
        <f t="array" ref="H158:H167" xml:space="preserve"> _xlfn.LET(
  _xlpm._arr,_xlfn.ANCHORARRAY( F158),
  _xlpm._tbl,_xlfn.ANCHORARRAY( C158),
  _xlpm._idx, _xlfn.SEQUENCE(ROWS(_xlpm._tbl)),
  _xlpm._txt, _xlfn.CHOOSECOLS(_xlpm._tbl, 1),
  _xlpm._rep, _xlfn.CHOOSECOLS(_xlpm._tbl, -1),
  _xlpm._rtn, _xlfn.REDUCE(_xlpm._arr, _xlpm._idx, _xlfn.LAMBDA(_xlpm._acc,_xlpm._val, _xlfn.REGEXREPLACE(_xlpm._acc, INDEX(_xlpm._txt, _xlpm._val), INDEX(_xlpm._rep, _xlpm._val)))),
  _xlpm._rtn
)</f>
        <v>_lph_</v>
      </c>
      <c r="I158" s="12" t="str" cm="1">
        <f t="array" aca="1" ref="I158:I166" ca="1" xml:space="preserve"> _xlfn.TEXTSPLIT( _xlfn.FORMULATEXT(H158), , CHAR(10))</f>
        <v>= LET(</v>
      </c>
    </row>
    <row r="159" spans="2:20" x14ac:dyDescent="0.3">
      <c r="C159" s="34" t="str">
        <v>[eE]</v>
      </c>
      <c r="D159" s="34" t="str">
        <v>_</v>
      </c>
      <c r="F159" s="29" t="str">
        <v>Bravo</v>
      </c>
      <c r="H159" s="26" t="str">
        <v>Br_v_</v>
      </c>
      <c r="I159" s="12" t="str">
        <f ca="1"/>
        <v xml:space="preserve">  _arr, F158#,</v>
      </c>
    </row>
    <row r="160" spans="2:20" x14ac:dyDescent="0.3">
      <c r="C160" s="34" t="str">
        <v>[iI]</v>
      </c>
      <c r="D160" s="34" t="str">
        <v>_</v>
      </c>
      <c r="F160" s="29" t="str">
        <v>Charlie</v>
      </c>
      <c r="H160" s="26" t="str">
        <v>Ch_rl__</v>
      </c>
      <c r="I160" s="12" t="str">
        <f ca="1"/>
        <v xml:space="preserve">  _tbl, C158#,</v>
      </c>
    </row>
    <row r="161" spans="2:9" x14ac:dyDescent="0.3">
      <c r="C161" s="34" t="str">
        <v>[oO]</v>
      </c>
      <c r="D161" s="34" t="str">
        <v>_</v>
      </c>
      <c r="F161" s="29" t="str">
        <v>Delta</v>
      </c>
      <c r="H161" s="26" t="str">
        <v>D_lt_</v>
      </c>
      <c r="I161" s="12" t="str">
        <f ca="1"/>
        <v xml:space="preserve">  _idx, SEQUENCE(ROWS(_tbl)),</v>
      </c>
    </row>
    <row r="162" spans="2:9" x14ac:dyDescent="0.3">
      <c r="C162" s="34" t="str">
        <v>[uU]</v>
      </c>
      <c r="D162" s="34" t="str">
        <v>_</v>
      </c>
      <c r="F162" s="29" t="str">
        <v>Echo</v>
      </c>
      <c r="H162" s="26" t="str">
        <v>_ch_</v>
      </c>
      <c r="I162" s="12" t="str">
        <f ca="1"/>
        <v xml:space="preserve">  _txt, CHOOSECOLS(_tbl, 1),</v>
      </c>
    </row>
    <row r="163" spans="2:9" x14ac:dyDescent="0.3">
      <c r="F163" s="29" t="str">
        <v>Foxtrot</v>
      </c>
      <c r="H163" s="26" t="str">
        <v>F_xtr_t</v>
      </c>
      <c r="I163" s="12" t="str">
        <f ca="1"/>
        <v xml:space="preserve">  _rep, CHOOSECOLS(_tbl, -1),</v>
      </c>
    </row>
    <row r="164" spans="2:9" x14ac:dyDescent="0.3">
      <c r="F164" s="29" t="str">
        <v>Golf</v>
      </c>
      <c r="H164" s="26" t="str">
        <v>G_lf</v>
      </c>
      <c r="I164" s="12" t="str">
        <f ca="1"/>
        <v xml:space="preserve">  _rtn, REDUCE(_arr, _idx, LAMBDA(_acc,_val, REGEXREPLACE(_acc, INDEX(_txt, _val), INDEX(_rep, _val)))),</v>
      </c>
    </row>
    <row r="165" spans="2:9" x14ac:dyDescent="0.3">
      <c r="F165" s="29" t="str">
        <v>Hotel</v>
      </c>
      <c r="H165" s="26" t="str">
        <v>H_t_l</v>
      </c>
      <c r="I165" s="12" t="str">
        <f ca="1"/>
        <v xml:space="preserve">  _rtn</v>
      </c>
    </row>
    <row r="166" spans="2:9" x14ac:dyDescent="0.3">
      <c r="F166" s="29" t="str">
        <v>India</v>
      </c>
      <c r="H166" s="26" t="str">
        <v>_nd__</v>
      </c>
      <c r="I166" s="12" t="str">
        <f ca="1"/>
        <v>)</v>
      </c>
    </row>
    <row r="167" spans="2:9" x14ac:dyDescent="0.3">
      <c r="F167" s="29" t="str">
        <v>Juliet</v>
      </c>
      <c r="H167" s="26" t="str">
        <v>J_l__t</v>
      </c>
    </row>
    <row r="170" spans="2:9" x14ac:dyDescent="0.3">
      <c r="B170" s="10" t="str" cm="1">
        <f t="array" ref="B170" xml:space="preserve"> "(" &amp; _xlfn.UNICHAR( 65 + SUMPRODUCT(--(_xlfn.REGEXTEST(B$1:B169, "^\([A-Z]\)$")))) &amp; ")"</f>
        <v>(G)</v>
      </c>
      <c r="C170" s="3" t="s">
        <v>125</v>
      </c>
    </row>
    <row r="172" spans="2:9" ht="14.4" thickBot="1" x14ac:dyDescent="0.35">
      <c r="C172" s="35" t="s">
        <v>82</v>
      </c>
      <c r="D172" s="35"/>
      <c r="F172" s="17" t="s">
        <v>59</v>
      </c>
      <c r="H172" s="17" t="s">
        <v>70</v>
      </c>
    </row>
    <row r="173" spans="2:9" x14ac:dyDescent="0.3">
      <c r="C173" s="34" t="str" cm="1">
        <f t="array" ref="C173:D177" xml:space="preserve"> $O$10:$P$14</f>
        <v>[aA]</v>
      </c>
      <c r="D173" s="34" t="str">
        <v>_</v>
      </c>
      <c r="F173" s="29" t="str" cm="1">
        <f t="array" ref="F173:F182" xml:space="preserve"> $C$10:$C$19</f>
        <v>Alpha</v>
      </c>
      <c r="H173" s="26" t="str" cm="1">
        <f t="array" ref="H173:H182" xml:space="preserve"> _xlfn.LET(
  _xlpm._arr,_xlfn.ANCHORARRAY( F173),
  _xlpm._num, D180,
  _xlpm._tbl,_xlfn.ANCHORARRAY( C173),
  _xlpm._idx, _xlfn.SEQUENCE(ROWS(_xlpm._tbl)),
  _xlpm._txt, _xlfn.CHOOSECOLS(_xlpm._tbl, 1),
  _xlpm._rep, _xlfn.CHOOSECOLS(_xlpm._tbl, -1),
  _xlpm._rtn, _xlfn.REDUCE(_xlpm._arr, _xlpm._idx, _xlfn.LAMBDA(_xlpm._acc,_xlpm._val, _xlfn.REGEXREPLACE(_xlpm._acc, INDEX(_xlpm._txt, _xlpm._val), INDEX(_xlpm._rep, _xlpm._val), _xlpm._num))),
  _xlpm._rtn
)</f>
        <v>_lpha</v>
      </c>
      <c r="I173" s="12" t="str" cm="1">
        <f t="array" aca="1" ref="I173:I182" ca="1" xml:space="preserve"> _xlfn.TEXTSPLIT( _xlfn.FORMULATEXT(H173), , CHAR(10))</f>
        <v>= LET(</v>
      </c>
    </row>
    <row r="174" spans="2:9" x14ac:dyDescent="0.3">
      <c r="C174" s="34" t="str">
        <v>[eE]</v>
      </c>
      <c r="D174" s="34" t="str">
        <v>_</v>
      </c>
      <c r="F174" s="29" t="str">
        <v>Bravo</v>
      </c>
      <c r="H174" s="26" t="str">
        <v>Br_v_</v>
      </c>
      <c r="I174" s="12" t="str">
        <f ca="1"/>
        <v xml:space="preserve">  _arr, F173#,</v>
      </c>
    </row>
    <row r="175" spans="2:9" x14ac:dyDescent="0.3">
      <c r="C175" s="34" t="str">
        <v>[iI]</v>
      </c>
      <c r="D175" s="34" t="str">
        <v>_</v>
      </c>
      <c r="F175" s="29" t="str">
        <v>Charlie</v>
      </c>
      <c r="H175" s="26" t="str">
        <v>Ch_rl__</v>
      </c>
      <c r="I175" s="12" t="str">
        <f ca="1"/>
        <v xml:space="preserve">  _num, D180,</v>
      </c>
    </row>
    <row r="176" spans="2:9" x14ac:dyDescent="0.3">
      <c r="C176" s="34" t="str">
        <v>[oO]</v>
      </c>
      <c r="D176" s="34" t="str">
        <v>_</v>
      </c>
      <c r="F176" s="29" t="str">
        <v>Delta</v>
      </c>
      <c r="H176" s="26" t="str">
        <v>D_lt_</v>
      </c>
      <c r="I176" s="12" t="str">
        <f ca="1"/>
        <v xml:space="preserve">  _tbl, C173#,</v>
      </c>
    </row>
    <row r="177" spans="2:9" x14ac:dyDescent="0.3">
      <c r="C177" s="34" t="str">
        <v>[uU]</v>
      </c>
      <c r="D177" s="34" t="str">
        <v>_</v>
      </c>
      <c r="F177" s="29" t="str">
        <v>Echo</v>
      </c>
      <c r="H177" s="26" t="str">
        <v>_ch_</v>
      </c>
      <c r="I177" s="12" t="str">
        <f ca="1"/>
        <v xml:space="preserve">  _idx, SEQUENCE(ROWS(_tbl)),</v>
      </c>
    </row>
    <row r="178" spans="2:9" x14ac:dyDescent="0.3">
      <c r="F178" s="29" t="str">
        <v>Foxtrot</v>
      </c>
      <c r="H178" s="26" t="str">
        <v>F_xtrot</v>
      </c>
      <c r="I178" s="12" t="str">
        <f ca="1"/>
        <v xml:space="preserve">  _txt, CHOOSECOLS(_tbl, 1),</v>
      </c>
    </row>
    <row r="179" spans="2:9" x14ac:dyDescent="0.3">
      <c r="F179" s="29" t="str">
        <v>Golf</v>
      </c>
      <c r="H179" s="26" t="str">
        <v>G_lf</v>
      </c>
      <c r="I179" s="12" t="str">
        <f ca="1"/>
        <v xml:space="preserve">  _rep, CHOOSECOLS(_tbl, -1),</v>
      </c>
    </row>
    <row r="180" spans="2:9" x14ac:dyDescent="0.3">
      <c r="C180" s="18" t="s">
        <v>126</v>
      </c>
      <c r="D180" s="30">
        <v>1</v>
      </c>
      <c r="F180" s="29" t="str">
        <v>Hotel</v>
      </c>
      <c r="H180" s="26" t="str">
        <v>H_t_l</v>
      </c>
      <c r="I180" s="12" t="str">
        <f ca="1"/>
        <v xml:space="preserve">  _rtn, REDUCE(_arr, _idx, LAMBDA(_acc,_val, REGEXREPLACE(_acc, INDEX(_txt, _val), INDEX(_rep, _val), _num))),</v>
      </c>
    </row>
    <row r="181" spans="2:9" x14ac:dyDescent="0.3">
      <c r="F181" s="29" t="str">
        <v>India</v>
      </c>
      <c r="H181" s="26" t="str">
        <v>_ndi_</v>
      </c>
      <c r="I181" s="12" t="str">
        <f ca="1"/>
        <v xml:space="preserve">  _rtn</v>
      </c>
    </row>
    <row r="182" spans="2:9" x14ac:dyDescent="0.3">
      <c r="F182" s="29" t="str">
        <v>Juliet</v>
      </c>
      <c r="H182" s="26" t="str">
        <v>J_l__t</v>
      </c>
      <c r="I182" s="12" t="str">
        <f ca="1"/>
        <v>)</v>
      </c>
    </row>
    <row r="184" spans="2:9" x14ac:dyDescent="0.3">
      <c r="C184" s="36" t="s">
        <v>127</v>
      </c>
      <c r="D184" s="37" t="s">
        <v>128</v>
      </c>
    </row>
    <row r="185" spans="2:9" x14ac:dyDescent="0.3">
      <c r="D185" s="37" t="s">
        <v>129</v>
      </c>
    </row>
    <row r="188" spans="2:9" x14ac:dyDescent="0.3">
      <c r="B188" s="10" t="str" cm="1">
        <f t="array" ref="B188" xml:space="preserve"> "(" &amp; _xlfn.UNICHAR( 65 + SUMPRODUCT(--(_xlfn.REGEXTEST(B$1:B187, "^\([A-Z]\)$")))) &amp; ")"</f>
        <v>(H)</v>
      </c>
      <c r="C188" s="3" t="s">
        <v>131</v>
      </c>
    </row>
    <row r="190" spans="2:9" ht="14.4" thickBot="1" x14ac:dyDescent="0.35">
      <c r="C190" s="35" t="s">
        <v>82</v>
      </c>
      <c r="D190" s="35"/>
      <c r="F190" s="17" t="s">
        <v>59</v>
      </c>
      <c r="H190" s="17" t="s">
        <v>70</v>
      </c>
    </row>
    <row r="191" spans="2:9" x14ac:dyDescent="0.3">
      <c r="C191" s="34" t="str" cm="1">
        <f t="array" ref="C191:D195" xml:space="preserve"> $O$10:$P$14</f>
        <v>[aA]</v>
      </c>
      <c r="D191" s="34" t="str">
        <v>_</v>
      </c>
      <c r="F191" s="29" t="str" cm="1">
        <f t="array" ref="F191:F200" xml:space="preserve"> $C$10:$C$19</f>
        <v>Alpha</v>
      </c>
      <c r="H191" s="26" t="str" cm="1">
        <f t="array" ref="H191:H200" xml:space="preserve"> _xlfn.LET(
  _xlpm._arr,_xlfn.ANCHORARRAY( F191),
  _xlpm.instance_num,_xlfn.ANCHORARRAY( D202),
  _xlpm._ins, IF( ISBLANK(_xlpm.instance_num), 0, INT(_xlpm.instance_num)),
  _xlpm._iAr, OR( ROWS(_xlpm._ins) &gt; 1, COLUMNS(_xlpm._ins) &gt; 1),
  _xlpm._num, IF(_xlpm._iAr, _xlfn.TOCOL(_xlpm._ins), _xlpm._ins),
  _xlpm._tbl,_xlfn.ANCHORARRAY( C191),
  _xlpm._idx, _xlfn.SEQUENCE(ROWS(_xlpm._tbl)),
  _xlpm._txt, _xlfn.CHOOSECOLS(_xlpm._tbl, 1),
  _xlpm._rep, _xlfn.CHOOSECOLS(_xlpm._tbl, -1),
  _xlpm._rtn, IF(_xlpm._iAr,
    _xlfn.REDUCE(_xlpm._arr, _xlpm._idx, _xlfn.LAMBDA(_xlpm._acc,_xlpm._val, _xlfn.REGEXREPLACE(_xlpm._acc, INDEX(_xlpm._txt, _xlpm._val), INDEX(_xlpm._rep, _xlpm._val), INDEX(_xlpm._num, _xlpm._val)))),
    IF(_xlpm._num &lt;&gt; 0,
      _xlfn.REDUCE(_xlpm._arr, _xlpm._idx, _xlfn.LAMBDA(_xlpm._acc,_xlpm._val, _xlfn.REGEXREPLACE(_xlpm._acc, INDEX(_xlpm._txt, _xlpm._val), INDEX(_xlpm._rep, _xlpm._val), _xlpm._num))),
      _xlfn.REDUCE(_xlpm._arr, _xlpm._idx, _xlfn.LAMBDA(_xlpm._acc,_xlpm._val, _xlfn.REGEXREPLACE(_xlpm._acc, INDEX(_xlpm._txt, _xlpm._val), INDEX(_xlpm._rep, _xlpm._val))))
    )
  ),
  _xlpm._rtn
)</f>
        <v>_lph_</v>
      </c>
      <c r="I191" s="12" t="str" cm="1">
        <f t="array" aca="1" ref="I191:I209" ca="1" xml:space="preserve"> _xlfn.TEXTSPLIT( _xlfn.FORMULATEXT(H191), , CHAR(10))</f>
        <v>= LET(</v>
      </c>
    </row>
    <row r="192" spans="2:9" x14ac:dyDescent="0.3">
      <c r="C192" s="34" t="str">
        <v>[eE]</v>
      </c>
      <c r="D192" s="34" t="str">
        <v>_</v>
      </c>
      <c r="F192" s="29" t="str">
        <v>Bravo</v>
      </c>
      <c r="H192" s="26" t="str">
        <v>Br_v_</v>
      </c>
      <c r="I192" s="12" t="str">
        <f ca="1"/>
        <v xml:space="preserve">  _arr, F191#,</v>
      </c>
    </row>
    <row r="193" spans="3:9" x14ac:dyDescent="0.3">
      <c r="C193" s="34" t="str">
        <v>[iI]</v>
      </c>
      <c r="D193" s="34" t="str">
        <v>_</v>
      </c>
      <c r="F193" s="29" t="str">
        <v>Charlie</v>
      </c>
      <c r="H193" s="26" t="str">
        <v>Ch_rl__</v>
      </c>
      <c r="I193" s="12" t="str">
        <f ca="1"/>
        <v xml:space="preserve">  instance_num, D202#,</v>
      </c>
    </row>
    <row r="194" spans="3:9" x14ac:dyDescent="0.3">
      <c r="C194" s="34" t="str">
        <v>[oO]</v>
      </c>
      <c r="D194" s="34" t="str">
        <v>_</v>
      </c>
      <c r="F194" s="29" t="str">
        <v>Delta</v>
      </c>
      <c r="H194" s="26" t="str">
        <v>D_lt_</v>
      </c>
      <c r="I194" s="12" t="str">
        <f ca="1"/>
        <v xml:space="preserve">  _ins, IF( ISBLANK(instance_num), 0, INT(instance_num)),</v>
      </c>
    </row>
    <row r="195" spans="3:9" x14ac:dyDescent="0.3">
      <c r="C195" s="34" t="str">
        <v>[uU]</v>
      </c>
      <c r="D195" s="34" t="str">
        <v>_</v>
      </c>
      <c r="F195" s="29" t="str">
        <v>Echo</v>
      </c>
      <c r="H195" s="26" t="str">
        <v>_ch_</v>
      </c>
      <c r="I195" s="12" t="str">
        <f ca="1"/>
        <v xml:space="preserve">  _iAr, OR( ROWS(_ins) &gt; 1, COLUMNS(_ins) &gt; 1),</v>
      </c>
    </row>
    <row r="196" spans="3:9" x14ac:dyDescent="0.3">
      <c r="F196" s="29" t="str">
        <v>Foxtrot</v>
      </c>
      <c r="H196" s="26" t="str">
        <v>F_xtr_t</v>
      </c>
      <c r="I196" s="12" t="str">
        <f ca="1"/>
        <v xml:space="preserve">  _num, IF(_iAr, TOCOL(_ins), _ins),</v>
      </c>
    </row>
    <row r="197" spans="3:9" x14ac:dyDescent="0.3">
      <c r="F197" s="29" t="str">
        <v>Golf</v>
      </c>
      <c r="H197" s="26" t="str">
        <v>G_lf</v>
      </c>
      <c r="I197" s="12" t="str">
        <f ca="1"/>
        <v xml:space="preserve">  _tbl, C191#,</v>
      </c>
    </row>
    <row r="198" spans="3:9" x14ac:dyDescent="0.3">
      <c r="F198" s="29" t="str">
        <v>Hotel</v>
      </c>
      <c r="H198" s="26" t="str">
        <v>H_t_l</v>
      </c>
      <c r="I198" s="12" t="str">
        <f ca="1"/>
        <v xml:space="preserve">  _idx, SEQUENCE(ROWS(_tbl)),</v>
      </c>
    </row>
    <row r="199" spans="3:9" x14ac:dyDescent="0.3">
      <c r="F199" s="29" t="str">
        <v>India</v>
      </c>
      <c r="H199" s="26" t="str">
        <v>_nd__</v>
      </c>
      <c r="I199" s="12" t="str">
        <f ca="1"/>
        <v xml:space="preserve">  _txt, CHOOSECOLS(_tbl, 1),</v>
      </c>
    </row>
    <row r="200" spans="3:9" x14ac:dyDescent="0.3">
      <c r="F200" s="29" t="str">
        <v>Juliet</v>
      </c>
      <c r="H200" s="26" t="str">
        <v>J_l__t</v>
      </c>
      <c r="I200" s="12" t="str">
        <f ca="1"/>
        <v xml:space="preserve">  _rep, CHOOSECOLS(_tbl, -1),</v>
      </c>
    </row>
    <row r="201" spans="3:9" x14ac:dyDescent="0.3">
      <c r="C201" s="18" t="s">
        <v>123</v>
      </c>
      <c r="D201" s="30" t="s">
        <v>130</v>
      </c>
      <c r="I201" s="12" t="str">
        <f ca="1"/>
        <v xml:space="preserve">  _rtn, IF(_iAr,</v>
      </c>
    </row>
    <row r="202" spans="3:9" x14ac:dyDescent="0.3">
      <c r="C202" s="18" t="s">
        <v>122</v>
      </c>
      <c r="D202" s="30" cm="1">
        <f t="array" ref="D202" xml:space="preserve"> _xlfn.IFS(
  D201 = "Single", {1},
  D201 = "Vertical", {1;1;1;1;1},
  D201 = "Horizontal", {1,1,1,1,1},
  TRUE, {0}
)</f>
        <v>0</v>
      </c>
      <c r="E202" s="30"/>
      <c r="F202" s="30"/>
      <c r="G202" s="30"/>
      <c r="H202" s="30"/>
      <c r="I202" s="12" t="str">
        <f ca="1"/>
        <v xml:space="preserve">    REDUCE(_arr, _idx, LAMBDA(_acc,_val, REGEXREPLACE(_acc, INDEX(_txt, _val), INDEX(_rep, _val), INDEX(_num, _val)))),</v>
      </c>
    </row>
    <row r="203" spans="3:9" x14ac:dyDescent="0.3">
      <c r="D203" s="30"/>
      <c r="I203" s="12" t="str">
        <f ca="1"/>
        <v xml:space="preserve">    IF(_num &lt;&gt; 0,</v>
      </c>
    </row>
    <row r="204" spans="3:9" x14ac:dyDescent="0.3">
      <c r="D204" s="30"/>
      <c r="I204" s="12" t="str">
        <f ca="1"/>
        <v xml:space="preserve">      REDUCE(_arr, _idx, LAMBDA(_acc,_val, REGEXREPLACE(_acc, INDEX(_txt, _val), INDEX(_rep, _val), _num))),</v>
      </c>
    </row>
    <row r="205" spans="3:9" x14ac:dyDescent="0.3">
      <c r="D205" s="30"/>
      <c r="I205" s="12" t="str">
        <f ca="1"/>
        <v xml:space="preserve">      REDUCE(_arr, _idx, LAMBDA(_acc,_val, REGEXREPLACE(_acc, INDEX(_txt, _val), INDEX(_rep, _val))))</v>
      </c>
    </row>
    <row r="206" spans="3:9" x14ac:dyDescent="0.3">
      <c r="D206" s="30"/>
      <c r="I206" s="12" t="str">
        <f ca="1"/>
        <v xml:space="preserve">    )</v>
      </c>
    </row>
    <row r="207" spans="3:9" x14ac:dyDescent="0.3">
      <c r="I207" s="12" t="str">
        <f ca="1"/>
        <v xml:space="preserve">  ),</v>
      </c>
    </row>
    <row r="208" spans="3:9" x14ac:dyDescent="0.3">
      <c r="I208" s="12" t="str">
        <f ca="1"/>
        <v xml:space="preserve">  _rtn</v>
      </c>
    </row>
    <row r="209" spans="2:9" x14ac:dyDescent="0.3">
      <c r="I209" s="12" t="str">
        <f ca="1"/>
        <v>)</v>
      </c>
    </row>
    <row r="211" spans="2:9" x14ac:dyDescent="0.3">
      <c r="B211" s="10" t="str" cm="1">
        <f t="array" ref="B211" xml:space="preserve"> "(" &amp; _xlfn.UNICHAR( 65 + SUMPRODUCT(--(_xlfn.REGEXTEST(B$1:B210, "^\([A-Z]\)$")))) &amp; ")"</f>
        <v>(I)</v>
      </c>
      <c r="C211" s="3" t="s">
        <v>132</v>
      </c>
    </row>
    <row r="213" spans="2:9" ht="14.4" thickBot="1" x14ac:dyDescent="0.35">
      <c r="C213" s="35" t="s">
        <v>82</v>
      </c>
      <c r="D213" s="35"/>
      <c r="F213" s="17" t="s">
        <v>59</v>
      </c>
      <c r="H213" s="17" t="s">
        <v>70</v>
      </c>
    </row>
    <row r="214" spans="2:9" x14ac:dyDescent="0.3">
      <c r="C214" s="34" t="str" cm="1">
        <f t="array" ref="C214:D218" xml:space="preserve"> $I$10:$J$14</f>
        <v>Alpha</v>
      </c>
      <c r="D214" s="34">
        <v>111</v>
      </c>
      <c r="F214" s="29" t="str" cm="1">
        <f t="array" ref="F214:F223" xml:space="preserve"> $C$10:$C$19</f>
        <v>Alpha</v>
      </c>
      <c r="H214" s="26" t="str" cm="1">
        <f t="array" ref="H214:H223" xml:space="preserve"> _xlfn.LET(
  _xlpm._arr,_xlfn.ANCHORARRAY( F214),
  _xlpm._tbl,_xlfn.ANCHORARRAY( C214),
  _xlpm._idx, _xlfn.SEQUENCE(ROWS(_xlpm._tbl)),
  _xlpm._txt, _xlfn.CHOOSECOLS(_xlpm._tbl, 1),
  _xlpm._rep, _xlfn.CHOOSECOLS(_xlpm._tbl, -1),
  _xlpm._css, IF(D221, 0, 1),
  _xlpm._rtn, IF(_xlpm._css,
    _xlfn.REDUCE(_xlpm._arr, _xlpm._idx, _xlfn.LAMBDA(_xlpm._acc,_xlpm._val, _xlfn.REGEXREPLACE(_xlpm._acc, INDEX(_xlpm._txt, _xlpm._val), INDEX(_xlpm._rep, _xlpm._val), , _xlpm._css))),
    _xlfn.REDUCE(_xlpm._arr, _xlpm._idx, _xlfn.LAMBDA(_xlpm._acc,_xlpm._val, _xlfn.REGEXREPLACE(_xlpm._acc, INDEX(_xlpm._txt, _xlpm._val), INDEX(_xlpm._rep, _xlpm._val))))
  ),
  _xlpm._rtn
)</f>
        <v>111</v>
      </c>
      <c r="I214" s="12" t="str" cm="1">
        <f t="array" aca="1" ref="I214:I226" ca="1" xml:space="preserve"> _xlfn.TEXTSPLIT( _xlfn.FORMULATEXT(H214), , CHAR(10))</f>
        <v>= LET(</v>
      </c>
    </row>
    <row r="215" spans="2:9" x14ac:dyDescent="0.3">
      <c r="C215" s="34" t="str">
        <v>Charlie</v>
      </c>
      <c r="D215" s="34">
        <v>333</v>
      </c>
      <c r="F215" s="29" t="str">
        <v>Bravo</v>
      </c>
      <c r="H215" s="26" t="str">
        <v>Bravo</v>
      </c>
      <c r="I215" s="12" t="str">
        <f ca="1"/>
        <v xml:space="preserve">  _arr, F214#,</v>
      </c>
    </row>
    <row r="216" spans="2:9" x14ac:dyDescent="0.3">
      <c r="C216" s="34" t="str">
        <v>Echo</v>
      </c>
      <c r="D216" s="34">
        <v>555</v>
      </c>
      <c r="F216" s="29" t="str">
        <v>Charlie</v>
      </c>
      <c r="H216" s="26" t="str">
        <v>333</v>
      </c>
      <c r="I216" s="12" t="str">
        <f ca="1"/>
        <v xml:space="preserve">  _tbl, C214#,</v>
      </c>
    </row>
    <row r="217" spans="2:9" x14ac:dyDescent="0.3">
      <c r="C217" s="34" t="str">
        <v>golf</v>
      </c>
      <c r="D217" s="34">
        <v>777</v>
      </c>
      <c r="F217" s="29" t="str">
        <v>Delta</v>
      </c>
      <c r="H217" s="26" t="str">
        <v>Delta</v>
      </c>
      <c r="I217" s="12" t="str">
        <f ca="1"/>
        <v xml:space="preserve">  _idx, SEQUENCE(ROWS(_tbl)),</v>
      </c>
    </row>
    <row r="218" spans="2:9" x14ac:dyDescent="0.3">
      <c r="C218" s="34" t="str">
        <v>INDIA</v>
      </c>
      <c r="D218" s="34">
        <v>999</v>
      </c>
      <c r="F218" s="29" t="str">
        <v>Echo</v>
      </c>
      <c r="H218" s="26" t="str">
        <v>555</v>
      </c>
      <c r="I218" s="12" t="str">
        <f ca="1"/>
        <v xml:space="preserve">  _txt, CHOOSECOLS(_tbl, 1),</v>
      </c>
    </row>
    <row r="219" spans="2:9" x14ac:dyDescent="0.3">
      <c r="F219" s="29" t="str">
        <v>Foxtrot</v>
      </c>
      <c r="H219" s="26" t="str">
        <v>Foxtrot</v>
      </c>
      <c r="I219" s="12" t="str">
        <f ca="1"/>
        <v xml:space="preserve">  _rep, CHOOSECOLS(_tbl, -1),</v>
      </c>
    </row>
    <row r="220" spans="2:9" x14ac:dyDescent="0.3">
      <c r="F220" s="29" t="str">
        <v>Golf</v>
      </c>
      <c r="H220" s="26" t="str">
        <v>777</v>
      </c>
      <c r="I220" s="12" t="str">
        <f ca="1"/>
        <v xml:space="preserve">  _css, IF(D221, 0, 1),</v>
      </c>
    </row>
    <row r="221" spans="2:9" x14ac:dyDescent="0.3">
      <c r="C221" s="18" t="s">
        <v>136</v>
      </c>
      <c r="D221" s="38">
        <v>0</v>
      </c>
      <c r="F221" s="29" t="str">
        <v>Hotel</v>
      </c>
      <c r="H221" s="26" t="str">
        <v>Hotel</v>
      </c>
      <c r="I221" s="12" t="str">
        <f ca="1"/>
        <v xml:space="preserve">  _rtn, IF(_css,</v>
      </c>
    </row>
    <row r="222" spans="2:9" x14ac:dyDescent="0.3">
      <c r="F222" s="29" t="str">
        <v>India</v>
      </c>
      <c r="H222" s="26" t="str">
        <v>999</v>
      </c>
      <c r="I222" s="12" t="str">
        <f ca="1"/>
        <v xml:space="preserve">    REDUCE(_arr, _idx, LAMBDA(_acc,_val, REGEXREPLACE(_acc, INDEX(_txt, _val), INDEX(_rep, _val), , _css))),</v>
      </c>
    </row>
    <row r="223" spans="2:9" x14ac:dyDescent="0.3">
      <c r="F223" s="29" t="str">
        <v>Juliet</v>
      </c>
      <c r="H223" s="26" t="str">
        <v>Juliet</v>
      </c>
      <c r="I223" s="12" t="str">
        <f ca="1"/>
        <v xml:space="preserve">    REDUCE(_arr, _idx, LAMBDA(_acc,_val, REGEXREPLACE(_acc, INDEX(_txt, _val), INDEX(_rep, _val))))</v>
      </c>
    </row>
    <row r="224" spans="2:9" x14ac:dyDescent="0.3">
      <c r="I224" s="12" t="str">
        <f ca="1"/>
        <v xml:space="preserve">  ),</v>
      </c>
    </row>
    <row r="225" spans="2:9" x14ac:dyDescent="0.3">
      <c r="I225" s="12" t="str">
        <f ca="1"/>
        <v xml:space="preserve">  _rtn</v>
      </c>
    </row>
    <row r="226" spans="2:9" x14ac:dyDescent="0.3">
      <c r="I226" s="12" t="str">
        <f ca="1"/>
        <v>)</v>
      </c>
    </row>
    <row r="228" spans="2:9" x14ac:dyDescent="0.3">
      <c r="B228" s="10" t="str" cm="1">
        <f t="array" ref="B228" xml:space="preserve"> "(" &amp; _xlfn.UNICHAR( 65 + SUMPRODUCT(--(_xlfn.REGEXTEST(B$1:B227, "^\([A-Z]\)$")))) &amp; ")"</f>
        <v>(J)</v>
      </c>
      <c r="C228" s="3" t="s">
        <v>133</v>
      </c>
    </row>
    <row r="229" spans="2:9" x14ac:dyDescent="0.3">
      <c r="C229" s="3" t="s">
        <v>134</v>
      </c>
    </row>
    <row r="230" spans="2:9" x14ac:dyDescent="0.3">
      <c r="C230" s="3" t="s">
        <v>135</v>
      </c>
    </row>
    <row r="232" spans="2:9" x14ac:dyDescent="0.3">
      <c r="C232" s="18" t="s">
        <v>126</v>
      </c>
      <c r="D232" s="30" cm="1">
        <f t="array" ref="D232:E232" xml:space="preserve"> {1,2}</f>
        <v>1</v>
      </c>
      <c r="E232" s="30">
        <v>2</v>
      </c>
      <c r="F232" s="30"/>
    </row>
    <row r="233" spans="2:9" x14ac:dyDescent="0.3">
      <c r="C233" s="18" t="s">
        <v>137</v>
      </c>
      <c r="D233" s="30">
        <v>0</v>
      </c>
    </row>
    <row r="234" spans="2:9" x14ac:dyDescent="0.3">
      <c r="C234" s="18" t="s">
        <v>136</v>
      </c>
      <c r="D234" s="30">
        <v>1</v>
      </c>
    </row>
    <row r="236" spans="2:9" x14ac:dyDescent="0.3">
      <c r="C236" s="18" t="s">
        <v>138</v>
      </c>
      <c r="D236" s="39" t="str" cm="1">
        <f t="array" ref="D236" xml:space="preserve"> _xlfn.LET(
  _xlpm.instance_num,_xlfn.ANCHORARRAY( D232),
  _xlpm.regex_mode, D233,
  _xlpm.case_sensitive, D234,
  _xlpm._ins, IF( ISBLANK(_xlpm.instance_num), 0, INT(_xlpm.instance_num)),
  _xlpm._iAr, OR( ROWS(_xlpm._ins) &gt; 1, COLUMNS(_xlpm._ins) &gt; 1),
  _xlpm._num, IF(_xlpm._iAr, _xlfn.TOCOL(_xlpm._ins), _xlpm._ins),
  _xlpm._rgx, IF( ISBLANK(_xlpm.regex_mode), 0, INT(_xlpm.regex_mode)),
  _xlpm._css, IF( ISBLANK(_xlpm.case_sensitive), 1, INT(_xlpm.case_sensitive)),
  _xlpm._sen, IF(_xlpm._css, 0, 1),
  _xlpm._typ, _xlfn.IFS(_xlpm._iAr, 3, _xlpm._num &lt;&gt; 0, 2, TRUE, 1) + IF( OR(_xlpm._sen, _xlpm._rgx), 3, 0),
  _xlpm._rtn, CHOOSE(_xlpm._typ,
    "Normal mode, all instances",
    "Normal mode, single instance value",
    "Normal mode, array of instance values",
    "RegEx mode, all instances",
    "RegEx mode, single instance value",
    "RegEx mode, array of instance values"
  ),
  _xlpm._rtn
)</f>
        <v>Normal mode, array of instance values</v>
      </c>
      <c r="E236" s="40"/>
      <c r="F236" s="40"/>
      <c r="G236" s="41"/>
    </row>
    <row r="237" spans="2:9" x14ac:dyDescent="0.3">
      <c r="D237" s="12" t="str" cm="1">
        <f t="array" aca="1" ref="D237:D257" ca="1" xml:space="preserve"> _xlfn.TEXTSPLIT( _xlfn.FORMULATEXT(D236), , CHAR(10))</f>
        <v>= LET(</v>
      </c>
    </row>
    <row r="238" spans="2:9" x14ac:dyDescent="0.3">
      <c r="D238" s="12" t="str">
        <f ca="1"/>
        <v xml:space="preserve">  instance_num, D232#,</v>
      </c>
    </row>
    <row r="239" spans="2:9" x14ac:dyDescent="0.3">
      <c r="D239" s="12" t="str">
        <f ca="1"/>
        <v xml:space="preserve">  regex_mode, D233,</v>
      </c>
    </row>
    <row r="240" spans="2:9" x14ac:dyDescent="0.3">
      <c r="D240" s="12" t="str">
        <f ca="1"/>
        <v xml:space="preserve">  case_sensitive, D234,</v>
      </c>
    </row>
    <row r="241" spans="4:4" x14ac:dyDescent="0.3">
      <c r="D241" s="12" t="str">
        <f ca="1"/>
        <v xml:space="preserve">  _ins, IF( ISBLANK(instance_num), 0, INT(instance_num)),</v>
      </c>
    </row>
    <row r="242" spans="4:4" x14ac:dyDescent="0.3">
      <c r="D242" s="12" t="str">
        <f ca="1"/>
        <v xml:space="preserve">  _iAr, OR( ROWS(_ins) &gt; 1, COLUMNS(_ins) &gt; 1),</v>
      </c>
    </row>
    <row r="243" spans="4:4" x14ac:dyDescent="0.3">
      <c r="D243" s="12" t="str">
        <f ca="1"/>
        <v xml:space="preserve">  _num, IF(_iAr, TOCOL(_ins), _ins),</v>
      </c>
    </row>
    <row r="244" spans="4:4" x14ac:dyDescent="0.3">
      <c r="D244" s="12" t="str">
        <f ca="1"/>
        <v xml:space="preserve">  _rgx, IF( ISBLANK(regex_mode), 0, INT(regex_mode)),</v>
      </c>
    </row>
    <row r="245" spans="4:4" x14ac:dyDescent="0.3">
      <c r="D245" s="12" t="str">
        <f ca="1"/>
        <v xml:space="preserve">  _css, IF( ISBLANK(case_sensitive), 1, INT(case_sensitive)),</v>
      </c>
    </row>
    <row r="246" spans="4:4" x14ac:dyDescent="0.3">
      <c r="D246" s="12" t="str">
        <f ca="1"/>
        <v xml:space="preserve">  _sen, IF(_css, 0, 1),</v>
      </c>
    </row>
    <row r="247" spans="4:4" x14ac:dyDescent="0.3">
      <c r="D247" s="12" t="str">
        <f ca="1"/>
        <v xml:space="preserve">  _typ, IFS(_iAr, 3, _num &lt;&gt; 0, 2, TRUE, 1) + IF( OR(_sen, _rgx), 3, 0),</v>
      </c>
    </row>
    <row r="248" spans="4:4" x14ac:dyDescent="0.3">
      <c r="D248" s="12" t="str">
        <f ca="1"/>
        <v xml:space="preserve">  _rtn, CHOOSE(_typ,</v>
      </c>
    </row>
    <row r="249" spans="4:4" x14ac:dyDescent="0.3">
      <c r="D249" s="12" t="str">
        <f ca="1"/>
        <v xml:space="preserve">    "Normal mode, all instances",</v>
      </c>
    </row>
    <row r="250" spans="4:4" x14ac:dyDescent="0.3">
      <c r="D250" s="12" t="str">
        <f ca="1"/>
        <v xml:space="preserve">    "Normal mode, single instance value",</v>
      </c>
    </row>
    <row r="251" spans="4:4" x14ac:dyDescent="0.3">
      <c r="D251" s="12" t="str">
        <f ca="1"/>
        <v xml:space="preserve">    "Normal mode, array of instance values",</v>
      </c>
    </row>
    <row r="252" spans="4:4" x14ac:dyDescent="0.3">
      <c r="D252" s="12" t="str">
        <f ca="1"/>
        <v xml:space="preserve">    "RegEx mode, all instances",</v>
      </c>
    </row>
    <row r="253" spans="4:4" x14ac:dyDescent="0.3">
      <c r="D253" s="12" t="str">
        <f ca="1"/>
        <v xml:space="preserve">    "RegEx mode, single instance value",</v>
      </c>
    </row>
    <row r="254" spans="4:4" x14ac:dyDescent="0.3">
      <c r="D254" s="12" t="str">
        <f ca="1"/>
        <v xml:space="preserve">    "RegEx mode, array of instance values"</v>
      </c>
    </row>
    <row r="255" spans="4:4" x14ac:dyDescent="0.3">
      <c r="D255" s="12" t="str">
        <f ca="1"/>
        <v xml:space="preserve">  ),</v>
      </c>
    </row>
    <row r="256" spans="4:4" x14ac:dyDescent="0.3">
      <c r="D256" s="12" t="str">
        <f ca="1"/>
        <v xml:space="preserve">  _rtn</v>
      </c>
    </row>
    <row r="257" spans="2:9" x14ac:dyDescent="0.3">
      <c r="D257" s="12" t="str">
        <f ca="1"/>
        <v>)</v>
      </c>
    </row>
    <row r="259" spans="2:9" x14ac:dyDescent="0.3">
      <c r="B259" s="10" t="str" cm="1">
        <f t="array" ref="B259" xml:space="preserve"> "(" &amp; _xlfn.UNICHAR( 65 + SUMPRODUCT(--(_xlfn.REGEXTEST(B$1:B258, "^\([A-Z]\)$")))) &amp; ")"</f>
        <v>(K)</v>
      </c>
      <c r="C259" s="3" t="s">
        <v>140</v>
      </c>
    </row>
    <row r="261" spans="2:9" ht="14.4" thickBot="1" x14ac:dyDescent="0.35">
      <c r="C261" s="35" t="s">
        <v>82</v>
      </c>
      <c r="D261" s="35"/>
      <c r="F261" s="17" t="s">
        <v>59</v>
      </c>
      <c r="H261" s="17" t="s">
        <v>70</v>
      </c>
    </row>
    <row r="262" spans="2:9" x14ac:dyDescent="0.3">
      <c r="C262" s="34" t="str" cm="1">
        <f t="array" ref="C262:D266" xml:space="preserve"> $I$10:$J$14</f>
        <v>Alpha</v>
      </c>
      <c r="D262" s="34">
        <v>111</v>
      </c>
      <c r="F262" s="29" t="str" cm="1">
        <f t="array" ref="F262:F271" xml:space="preserve"> $C$10:$C$19</f>
        <v>Alpha</v>
      </c>
      <c r="H262" s="26" t="str" cm="1">
        <f t="array" ref="H262:H271" xml:space="preserve"> _xlfn.LET(
  _xlpm.instance_num,_xlfn.ANCHORARRAY( D273),
  _xlpm.regex_mode, D274,
  _xlpm.case_sensitive, D275,
  _xlpm._arr,_xlfn.ANCHORARRAY( F262),
  _xlpm._tbl,_xlfn.ANCHORARRAY( C262),
  _xlpm._idx, _xlfn.SEQUENCE(ROWS(_xlpm._tbl)),
  _xlpm._txt, _xlfn.CHOOSECOLS(_xlpm._tbl, 1),
  _xlpm._rep, _xlfn.CHOOSECOLS(_xlpm._tbl, -1),
  _xlpm._ins, IF( ISBLANK(_xlpm.instance_num), 0, INT(_xlpm.instance_num)),
  _xlpm._iAr, OR( ROWS(_xlpm._ins) &gt; 1, COLUMNS(_xlpm._ins) &gt; 1),
  _xlpm._num, IF(_xlpm._iAr, _xlfn.TOCOL(_xlpm._ins), _xlpm._ins),
  _xlpm._rgx, IF( ISBLANK(_xlpm.regex_mode), 0, INT(_xlpm.regex_mode)),
  _xlpm._css, IF( ISBLANK(_xlpm.case_sensitive), 1, INT(_xlpm.case_sensitive)),
  _xlpm._sen, IF(_xlpm._css, 0, 1),
  _xlpm._typ, _xlfn.IFS(_xlpm._iAr, 3, _xlpm._num &lt;&gt; 0, 2, TRUE, 1) + IF( OR(_xlpm._sen, _xlpm._rgx), 3, 0),
  _xlpm._rtn, CHOOSE(_xlpm._typ,
    _xlfn.REDUCE(_xlpm._arr, _xlpm._idx, _xlfn.LAMBDA(_xlpm._acc,_xlpm._val, SUBSTITUTE(_xlpm._acc, INDEX(_xlpm._txt, _xlpm._val), INDEX(_xlpm._rep, _xlpm._val)))),
    _xlfn.REDUCE(_xlpm._arr, _xlpm._idx, _xlfn.LAMBDA(_xlpm._acc,_xlpm._val, SUBSTITUTE(_xlpm._acc, INDEX(_xlpm._txt, _xlpm._val), INDEX(_xlpm._rep, _xlpm._val), _xlpm._num))),
    _xlfn.REDUCE(_xlpm._arr, _xlpm._idx, _xlfn.LAMBDA(_xlpm._acc,_xlpm._val, SUBSTITUTE(_xlpm._acc, INDEX(_xlpm._txt, _xlpm._val), INDEX(_xlpm._rep, _xlpm._val), INDEX(_xlpm._num, _xlpm._val)))),
    _xlfn.REDUCE(_xlpm._arr, _xlpm._idx, _xlfn.LAMBDA(_xlpm._acc,_xlpm._val, _xlfn.REGEXREPLACE(_xlpm._acc, INDEX(_xlpm._txt, _xlpm._val), INDEX(_xlpm._rep, _xlpm._val), , _xlpm._sen))),
    _xlfn.REDUCE(_xlpm._arr, _xlpm._idx, _xlfn.LAMBDA(_xlpm._acc,_xlpm._val, _xlfn.REGEXREPLACE(_xlpm._acc, INDEX(_xlpm._txt, _xlpm._val), INDEX(_xlpm._rep, _xlpm._val), _xlpm._num, _xlpm._sen))),
    _xlfn.REDUCE(_xlpm._arr, _xlpm._idx, _xlfn.LAMBDA(_xlpm._acc,_xlpm._val, _xlfn.REGEXREPLACE(_xlpm._acc, INDEX(_xlpm._txt, _xlpm._val), INDEX(_xlpm._rep, _xlpm._val), INDEX(_xlpm._num, _xlpm._val), _xlpm._sen)))
  ),
  _xlpm._rtn
)</f>
        <v>111</v>
      </c>
      <c r="I262" s="12" t="str" cm="1">
        <f t="array" aca="1" ref="I262:I287" ca="1" xml:space="preserve"> _xlfn.TEXTSPLIT( _xlfn.FORMULATEXT(H262), , CHAR(10))</f>
        <v>= LET(</v>
      </c>
    </row>
    <row r="263" spans="2:9" x14ac:dyDescent="0.3">
      <c r="C263" s="34" t="str">
        <v>Charlie</v>
      </c>
      <c r="D263" s="34">
        <v>333</v>
      </c>
      <c r="F263" s="29" t="str">
        <v>Bravo</v>
      </c>
      <c r="H263" s="26" t="str">
        <v>Bravo</v>
      </c>
      <c r="I263" s="12" t="str">
        <f ca="1"/>
        <v xml:space="preserve">  instance_num, D273#,</v>
      </c>
    </row>
    <row r="264" spans="2:9" x14ac:dyDescent="0.3">
      <c r="C264" s="34" t="str">
        <v>Echo</v>
      </c>
      <c r="D264" s="34">
        <v>555</v>
      </c>
      <c r="F264" s="29" t="str">
        <v>Charlie</v>
      </c>
      <c r="H264" s="26" t="str">
        <v>333</v>
      </c>
      <c r="I264" s="12" t="str">
        <f ca="1"/>
        <v xml:space="preserve">  regex_mode, D274,</v>
      </c>
    </row>
    <row r="265" spans="2:9" x14ac:dyDescent="0.3">
      <c r="C265" s="34" t="str">
        <v>golf</v>
      </c>
      <c r="D265" s="34">
        <v>777</v>
      </c>
      <c r="F265" s="29" t="str">
        <v>Delta</v>
      </c>
      <c r="H265" s="26" t="str">
        <v>Delta</v>
      </c>
      <c r="I265" s="12" t="str">
        <f ca="1"/>
        <v xml:space="preserve">  case_sensitive, D275,</v>
      </c>
    </row>
    <row r="266" spans="2:9" x14ac:dyDescent="0.3">
      <c r="C266" s="34" t="str">
        <v>INDIA</v>
      </c>
      <c r="D266" s="34">
        <v>999</v>
      </c>
      <c r="F266" s="29" t="str">
        <v>Echo</v>
      </c>
      <c r="H266" s="26" t="str">
        <v>555</v>
      </c>
      <c r="I266" s="12" t="str">
        <f ca="1"/>
        <v xml:space="preserve">  _arr, F262#,</v>
      </c>
    </row>
    <row r="267" spans="2:9" x14ac:dyDescent="0.3">
      <c r="F267" s="29" t="str">
        <v>Foxtrot</v>
      </c>
      <c r="H267" s="26" t="str">
        <v>Foxtrot</v>
      </c>
      <c r="I267" s="12" t="str">
        <f ca="1"/>
        <v xml:space="preserve">  _tbl, C262#,</v>
      </c>
    </row>
    <row r="268" spans="2:9" x14ac:dyDescent="0.3">
      <c r="F268" s="29" t="str">
        <v>Golf</v>
      </c>
      <c r="H268" s="26" t="str">
        <v>Golf</v>
      </c>
      <c r="I268" s="12" t="str">
        <f ca="1"/>
        <v xml:space="preserve">  _idx, SEQUENCE(ROWS(_tbl)),</v>
      </c>
    </row>
    <row r="269" spans="2:9" x14ac:dyDescent="0.3">
      <c r="F269" s="29" t="str">
        <v>Hotel</v>
      </c>
      <c r="H269" s="26" t="str">
        <v>Hotel</v>
      </c>
      <c r="I269" s="12" t="str">
        <f ca="1"/>
        <v xml:space="preserve">  _txt, CHOOSECOLS(_tbl, 1),</v>
      </c>
    </row>
    <row r="270" spans="2:9" x14ac:dyDescent="0.3">
      <c r="F270" s="29" t="str">
        <v>India</v>
      </c>
      <c r="H270" s="26" t="str">
        <v>India</v>
      </c>
      <c r="I270" s="12" t="str">
        <f ca="1"/>
        <v xml:space="preserve">  _rep, CHOOSECOLS(_tbl, -1),</v>
      </c>
    </row>
    <row r="271" spans="2:9" x14ac:dyDescent="0.3">
      <c r="F271" s="29" t="str">
        <v>Juliet</v>
      </c>
      <c r="H271" s="26" t="str">
        <v>Juliet</v>
      </c>
      <c r="I271" s="12" t="str">
        <f ca="1"/>
        <v xml:space="preserve">  _ins, IF( ISBLANK(instance_num), 0, INT(instance_num)),</v>
      </c>
    </row>
    <row r="272" spans="2:9" x14ac:dyDescent="0.3">
      <c r="I272" s="12" t="str">
        <f ca="1"/>
        <v xml:space="preserve">  _iAr, OR( ROWS(_ins) &gt; 1, COLUMNS(_ins) &gt; 1),</v>
      </c>
    </row>
    <row r="273" spans="3:9" x14ac:dyDescent="0.3">
      <c r="C273" s="18" t="s">
        <v>126</v>
      </c>
      <c r="D273" s="30" cm="1">
        <f t="array" ref="D273" xml:space="preserve"> {1}</f>
        <v>1</v>
      </c>
      <c r="E273" s="30"/>
      <c r="F273" s="30"/>
      <c r="G273" s="30"/>
      <c r="H273" s="30"/>
      <c r="I273" s="12" t="str">
        <f ca="1"/>
        <v xml:space="preserve">  _num, IF(_iAr, TOCOL(_ins), _ins),</v>
      </c>
    </row>
    <row r="274" spans="3:9" x14ac:dyDescent="0.3">
      <c r="C274" s="18" t="s">
        <v>137</v>
      </c>
      <c r="D274" s="38">
        <v>0</v>
      </c>
      <c r="I274" s="12" t="str">
        <f ca="1"/>
        <v xml:space="preserve">  _rgx, IF( ISBLANK(regex_mode), 0, INT(regex_mode)),</v>
      </c>
    </row>
    <row r="275" spans="3:9" x14ac:dyDescent="0.3">
      <c r="C275" s="18" t="s">
        <v>136</v>
      </c>
      <c r="D275" s="38">
        <v>1</v>
      </c>
      <c r="I275" s="12" t="str">
        <f ca="1"/>
        <v xml:space="preserve">  _css, IF( ISBLANK(case_sensitive), 1, INT(case_sensitive)),</v>
      </c>
    </row>
    <row r="276" spans="3:9" x14ac:dyDescent="0.3">
      <c r="I276" s="12" t="str">
        <f ca="1"/>
        <v xml:space="preserve">  _sen, IF(_css, 0, 1),</v>
      </c>
    </row>
    <row r="277" spans="3:9" x14ac:dyDescent="0.3">
      <c r="I277" s="12" t="str">
        <f ca="1"/>
        <v xml:space="preserve">  _typ, IFS(_iAr, 3, _num &lt;&gt; 0, 2, TRUE, 1) + IF( OR(_sen, _rgx), 3, 0),</v>
      </c>
    </row>
    <row r="278" spans="3:9" x14ac:dyDescent="0.3">
      <c r="I278" s="12" t="str">
        <f ca="1"/>
        <v xml:space="preserve">  _rtn, CHOOSE(_typ,</v>
      </c>
    </row>
    <row r="279" spans="3:9" x14ac:dyDescent="0.3">
      <c r="I279" s="12" t="str">
        <f ca="1"/>
        <v xml:space="preserve">    REDUCE(_arr, _idx, LAMBDA(_acc,_val, SUBSTITUTE(_acc, INDEX(_txt, _val), INDEX(_rep, _val)))),</v>
      </c>
    </row>
    <row r="280" spans="3:9" x14ac:dyDescent="0.3">
      <c r="I280" s="12" t="str">
        <f ca="1"/>
        <v xml:space="preserve">    REDUCE(_arr, _idx, LAMBDA(_acc,_val, SUBSTITUTE(_acc, INDEX(_txt, _val), INDEX(_rep, _val), _num))),</v>
      </c>
    </row>
    <row r="281" spans="3:9" x14ac:dyDescent="0.3">
      <c r="I281" s="12" t="str">
        <f ca="1"/>
        <v xml:space="preserve">    REDUCE(_arr, _idx, LAMBDA(_acc,_val, SUBSTITUTE(_acc, INDEX(_txt, _val), INDEX(_rep, _val), INDEX(_num, _val)))),</v>
      </c>
    </row>
    <row r="282" spans="3:9" x14ac:dyDescent="0.3">
      <c r="I282" s="12" t="str">
        <f ca="1"/>
        <v xml:space="preserve">    REDUCE(_arr, _idx, LAMBDA(_acc,_val, REGEXREPLACE(_acc, INDEX(_txt, _val), INDEX(_rep, _val), , _sen))),</v>
      </c>
    </row>
    <row r="283" spans="3:9" x14ac:dyDescent="0.3">
      <c r="I283" s="12" t="str">
        <f ca="1"/>
        <v xml:space="preserve">    REDUCE(_arr, _idx, LAMBDA(_acc,_val, REGEXREPLACE(_acc, INDEX(_txt, _val), INDEX(_rep, _val), _num, _sen))),</v>
      </c>
    </row>
    <row r="284" spans="3:9" x14ac:dyDescent="0.3">
      <c r="I284" s="12" t="str">
        <f ca="1"/>
        <v xml:space="preserve">    REDUCE(_arr, _idx, LAMBDA(_acc,_val, REGEXREPLACE(_acc, INDEX(_txt, _val), INDEX(_rep, _val), INDEX(_num, _val), _sen)))</v>
      </c>
    </row>
    <row r="285" spans="3:9" x14ac:dyDescent="0.3">
      <c r="I285" s="12" t="str">
        <f ca="1"/>
        <v xml:space="preserve">  ),</v>
      </c>
    </row>
    <row r="286" spans="3:9" x14ac:dyDescent="0.3">
      <c r="I286" s="12" t="str">
        <f ca="1"/>
        <v xml:space="preserve">  _rtn</v>
      </c>
    </row>
    <row r="287" spans="3:9" x14ac:dyDescent="0.3">
      <c r="I287" s="12" t="str">
        <f ca="1"/>
        <v>)</v>
      </c>
    </row>
    <row r="289" spans="2:20" x14ac:dyDescent="0.3">
      <c r="B289" s="8" t="s">
        <v>116</v>
      </c>
      <c r="C289" s="7"/>
      <c r="D289" s="7"/>
      <c r="E289" s="7"/>
      <c r="F289" s="7"/>
      <c r="G289" s="7"/>
      <c r="H289" s="7"/>
      <c r="I289" s="7"/>
      <c r="J289" s="7"/>
      <c r="K289" s="7"/>
      <c r="L289" s="7"/>
      <c r="M289" s="7"/>
      <c r="N289" s="7"/>
      <c r="O289" s="7"/>
      <c r="P289" s="7"/>
      <c r="Q289" s="7"/>
      <c r="R289" s="7"/>
      <c r="S289" s="7"/>
      <c r="T289" s="7"/>
    </row>
    <row r="291" spans="2:20" x14ac:dyDescent="0.3">
      <c r="B291" s="10" t="str" cm="1">
        <f t="array" ref="B291" xml:space="preserve"> "(" &amp; _xlfn.UNICHAR( 65 + SUMPRODUCT(--(_xlfn.REGEXTEST(B$1:B290, "^\([A-Z]\)$")))) &amp; ")"</f>
        <v>(L)</v>
      </c>
      <c r="C291" s="3" t="s">
        <v>150</v>
      </c>
    </row>
    <row r="293" spans="2:20" x14ac:dyDescent="0.3">
      <c r="C293" s="18" t="s">
        <v>141</v>
      </c>
      <c r="D293" s="30" t="s">
        <v>144</v>
      </c>
      <c r="E293" s="30" t="s">
        <v>143</v>
      </c>
      <c r="F293" s="30" t="s">
        <v>146</v>
      </c>
      <c r="G293" s="18" t="s">
        <v>138</v>
      </c>
      <c r="H293" s="42" t="str" cm="1">
        <f t="array" ref="H293" xml:space="preserve"> _xlfn.LET(
  _xlpm.replacement_pairs, D293:E294,
  _xlpm.instance_num,_xlfn.ANCHORARRAY( D295),
  _xlpm.regex_mode, D296,
  _xlpm.case_sensitive, D297,
  _xlpm._tbl, _xlpm.replacement_pairs,
  _xlpm._idx, _xlfn.SEQUENCE(ROWS(_xlpm._tbl)),
  _xlpm._txt, _xlfn.CHOOSECOLS(_xlpm._tbl, 1),
  _xlpm._rep, _xlfn.CHOOSECOLS(_xlpm._tbl, -1),
  _xlpm._ins, IF( ISBLANK(_xlpm.instance_num), 0, INT(_xlpm.instance_num)),
  _xlpm._iAr, OR( ROWS(_xlpm._ins) &gt; 1, COLUMNS(_xlpm._ins) &gt; 1),
  _xlpm._num, IF(_xlpm._iAr, _xlfn.TOCOL(_xlpm._ins), _xlpm._ins),
  _xlpm._rgx, IF( ISBLANK(_xlpm.regex_mode), 0, INT(_xlpm.regex_mode)),
  _xlpm._css, IF( ISBLANK(_xlpm.case_sensitive), 1, INT(_xlpm.case_sensitive)),
  _xlpm._inpChk, IF(
    OR(
      COLUMNS(_xlpm._tbl) &lt;&gt; 2,
      AND(ROWS(_xlpm._num) &gt; 1, ROWS(_xlpm._num) &lt;&gt; ROWS(_xlpm._tbl))
    ), 2, IF(
    OR(
      _xlfn.REDUCE(0, _xlpm._txt, _xlfn.LAMBDA(_xlpm._acc,_xlpm._val, _xlpm._acc + IF(OR(ISBLANK(_xlpm._val), _xlpm._val = ""), 1, 0) &gt; 0)),
      AND(NOT(_xlpm._rgx), MIN(_xlpm._num) &lt; 0),
      AND(NOT(ISNUMBER(_xlpm._rgx)), NOT(ISLOGICAL(_xlpm._rgx))), _xlpm._rgx &lt; 0, _xlpm._rgx &gt; 1,
      AND(NOT(ISNUMBER(_xlpm._css)), NOT(ISLOGICAL(_xlpm._css))), _xlpm._css &lt; 0, _xlpm._css &gt; 1
    ), 3,
    1)
  ),
  CHOOSE(_xlpm._inpChk, "OK", _xlfn.LAMBDA(0), #VALUE!)
)</f>
        <v>OK</v>
      </c>
      <c r="I293" s="12" t="str" cm="1">
        <f t="array" aca="1" ref="I293:I321" ca="1" xml:space="preserve"> _xlfn.TEXTSPLIT( _xlfn.FORMULATEXT(H293), , CHAR(10))</f>
        <v>= LET(</v>
      </c>
    </row>
    <row r="294" spans="2:20" x14ac:dyDescent="0.3">
      <c r="C294" s="18"/>
      <c r="D294" s="30" t="s">
        <v>145</v>
      </c>
      <c r="E294" s="30" t="s">
        <v>142</v>
      </c>
      <c r="F294" s="30" t="s">
        <v>147</v>
      </c>
      <c r="G294" s="18"/>
      <c r="I294" s="12" t="str">
        <f ca="1"/>
        <v xml:space="preserve">  replacement_pairs, D293:E294,</v>
      </c>
    </row>
    <row r="295" spans="2:20" x14ac:dyDescent="0.3">
      <c r="C295" s="18" t="s">
        <v>126</v>
      </c>
      <c r="D295" s="30" cm="1">
        <f t="array" ref="D295" xml:space="preserve"> {1}</f>
        <v>1</v>
      </c>
      <c r="E295" s="30"/>
      <c r="F295" s="30"/>
      <c r="I295" s="12" t="str">
        <f ca="1"/>
        <v xml:space="preserve">  instance_num, D295#,</v>
      </c>
    </row>
    <row r="296" spans="2:20" x14ac:dyDescent="0.3">
      <c r="C296" s="18" t="s">
        <v>137</v>
      </c>
      <c r="D296" s="30"/>
      <c r="I296" s="12" t="str">
        <f ca="1"/>
        <v xml:space="preserve">  regex_mode, D296,</v>
      </c>
    </row>
    <row r="297" spans="2:20" x14ac:dyDescent="0.3">
      <c r="C297" s="18" t="s">
        <v>136</v>
      </c>
      <c r="D297" s="30">
        <v>0</v>
      </c>
      <c r="I297" s="12" t="str">
        <f ca="1"/>
        <v xml:space="preserve">  case_sensitive, D297,</v>
      </c>
    </row>
    <row r="298" spans="2:20" x14ac:dyDescent="0.3">
      <c r="I298" s="12" t="str">
        <f ca="1"/>
        <v xml:space="preserve">  _tbl, replacement_pairs,</v>
      </c>
    </row>
    <row r="299" spans="2:20" x14ac:dyDescent="0.3">
      <c r="D299" s="51"/>
      <c r="I299" s="12" t="str">
        <f ca="1"/>
        <v xml:space="preserve">  _idx, SEQUENCE(ROWS(_tbl)),</v>
      </c>
    </row>
    <row r="300" spans="2:20" x14ac:dyDescent="0.3">
      <c r="I300" s="12" t="str">
        <f ca="1"/>
        <v xml:space="preserve">  _txt, CHOOSECOLS(_tbl, 1),</v>
      </c>
    </row>
    <row r="301" spans="2:20" x14ac:dyDescent="0.3">
      <c r="I301" s="12" t="str">
        <f ca="1"/>
        <v xml:space="preserve">  _rep, CHOOSECOLS(_tbl, -1),</v>
      </c>
    </row>
    <row r="302" spans="2:20" x14ac:dyDescent="0.3">
      <c r="I302" s="12" t="str">
        <f ca="1"/>
        <v xml:space="preserve">  _ins, IF( ISBLANK(instance_num), 0, INT(instance_num)),</v>
      </c>
    </row>
    <row r="303" spans="2:20" x14ac:dyDescent="0.3">
      <c r="I303" s="12" t="str">
        <f ca="1"/>
        <v xml:space="preserve">  _iAr, OR( ROWS(_ins) &gt; 1, COLUMNS(_ins) &gt; 1),</v>
      </c>
    </row>
    <row r="304" spans="2:20" x14ac:dyDescent="0.3">
      <c r="I304" s="12" t="str">
        <f ca="1"/>
        <v xml:space="preserve">  _num, IF(_iAr, TOCOL(_ins), _ins),</v>
      </c>
    </row>
    <row r="305" spans="9:9" x14ac:dyDescent="0.3">
      <c r="I305" s="12" t="str">
        <f ca="1"/>
        <v xml:space="preserve">  _rgx, IF( ISBLANK(regex_mode), 0, INT(regex_mode)),</v>
      </c>
    </row>
    <row r="306" spans="9:9" x14ac:dyDescent="0.3">
      <c r="I306" s="12" t="str">
        <f ca="1"/>
        <v xml:space="preserve">  _css, IF( ISBLANK(case_sensitive), 1, INT(case_sensitive)),</v>
      </c>
    </row>
    <row r="307" spans="9:9" x14ac:dyDescent="0.3">
      <c r="I307" s="12" t="str">
        <f ca="1"/>
        <v xml:space="preserve">  _inpChk, IF(</v>
      </c>
    </row>
    <row r="308" spans="9:9" x14ac:dyDescent="0.3">
      <c r="I308" s="12" t="str">
        <f ca="1"/>
        <v xml:space="preserve">    OR(</v>
      </c>
    </row>
    <row r="309" spans="9:9" x14ac:dyDescent="0.3">
      <c r="I309" s="12" t="str">
        <f ca="1"/>
        <v xml:space="preserve">      COLUMNS(_tbl) &lt;&gt; 2,</v>
      </c>
    </row>
    <row r="310" spans="9:9" x14ac:dyDescent="0.3">
      <c r="I310" s="12" t="str">
        <f ca="1"/>
        <v xml:space="preserve">      AND(ROWS(_num) &gt; 1, ROWS(_num) &lt;&gt; ROWS(_tbl))</v>
      </c>
    </row>
    <row r="311" spans="9:9" x14ac:dyDescent="0.3">
      <c r="I311" s="12" t="str">
        <f ca="1"/>
        <v xml:space="preserve">    ), 2, IF(</v>
      </c>
    </row>
    <row r="312" spans="9:9" x14ac:dyDescent="0.3">
      <c r="I312" s="12" t="str">
        <f ca="1"/>
        <v xml:space="preserve">    OR(</v>
      </c>
    </row>
    <row r="313" spans="9:9" x14ac:dyDescent="0.3">
      <c r="I313" s="12" t="str">
        <f ca="1"/>
        <v xml:space="preserve">      REDUCE(0, _txt, LAMBDA(_acc,_val, _acc + IF(OR(ISBLANK(_val), _val = ""), 1, 0) &gt; 0)),</v>
      </c>
    </row>
    <row r="314" spans="9:9" x14ac:dyDescent="0.3">
      <c r="I314" s="12" t="str">
        <f ca="1"/>
        <v xml:space="preserve">      AND(NOT(_rgx), MIN(_num) &lt; 0),</v>
      </c>
    </row>
    <row r="315" spans="9:9" x14ac:dyDescent="0.3">
      <c r="I315" s="12" t="str">
        <f ca="1"/>
        <v xml:space="preserve">      AND(NOT(ISNUMBER(_rgx)), NOT(ISLOGICAL(_rgx))), _rgx &lt; 0, _rgx &gt; 1,</v>
      </c>
    </row>
    <row r="316" spans="9:9" x14ac:dyDescent="0.3">
      <c r="I316" s="12" t="str">
        <f ca="1"/>
        <v xml:space="preserve">      AND(NOT(ISNUMBER(_css)), NOT(ISLOGICAL(_css))), _css &lt; 0, _css &gt; 1</v>
      </c>
    </row>
    <row r="317" spans="9:9" x14ac:dyDescent="0.3">
      <c r="I317" s="12" t="str">
        <f ca="1"/>
        <v xml:space="preserve">    ), 3,</v>
      </c>
    </row>
    <row r="318" spans="9:9" x14ac:dyDescent="0.3">
      <c r="I318" s="12" t="str">
        <f ca="1"/>
        <v xml:space="preserve">    1)</v>
      </c>
    </row>
    <row r="319" spans="9:9" x14ac:dyDescent="0.3">
      <c r="I319" s="12" t="str">
        <f ca="1"/>
        <v xml:space="preserve">  ),</v>
      </c>
    </row>
    <row r="320" spans="9:9" x14ac:dyDescent="0.3">
      <c r="I320" s="12" t="str">
        <f ca="1"/>
        <v xml:space="preserve">  CHOOSE(_inpChk, "OK", LAMBDA(0), #VALUE!)</v>
      </c>
    </row>
    <row r="321" spans="2:10" x14ac:dyDescent="0.3">
      <c r="I321" s="12" t="str">
        <f ca="1"/>
        <v>)</v>
      </c>
    </row>
    <row r="324" spans="2:10" x14ac:dyDescent="0.3">
      <c r="B324" s="10" t="str" cm="1">
        <f t="array" ref="B324" xml:space="preserve"> "(" &amp; _xlfn.UNICHAR( 65 + SUMPRODUCT(--(_xlfn.REGEXTEST(B$1:B323, "^\([A-Z]\)$")))) &amp; ")"</f>
        <v>(M)</v>
      </c>
      <c r="C324" s="3" t="s">
        <v>149</v>
      </c>
    </row>
    <row r="326" spans="2:10" ht="14.4" thickBot="1" x14ac:dyDescent="0.35">
      <c r="C326" s="35" t="s">
        <v>82</v>
      </c>
      <c r="D326" s="35"/>
      <c r="E326" s="17" t="s">
        <v>148</v>
      </c>
      <c r="G326" s="17" t="s">
        <v>59</v>
      </c>
      <c r="I326" s="17" t="s">
        <v>70</v>
      </c>
      <c r="J326" s="12"/>
    </row>
    <row r="327" spans="2:10" x14ac:dyDescent="0.3">
      <c r="C327" s="34" t="str" cm="1">
        <f t="array" ref="C327:D331" xml:space="preserve"> $I$10:$J$14</f>
        <v>Alpha</v>
      </c>
      <c r="D327" s="34">
        <v>111</v>
      </c>
      <c r="E327" s="30">
        <v>1</v>
      </c>
      <c r="G327" s="29" t="str" cm="1">
        <f t="array" ref="G327:G336" xml:space="preserve"> $C$10:$C$19</f>
        <v>Alpha</v>
      </c>
      <c r="I327" s="26" t="str" cm="1">
        <f t="array" ref="I327:I336" xml:space="preserve"> _xlfn.LAMBDA(_xlpm.text,_xlpm.replacement_pairs,_xlop.instance_num,_xlop.regex_mode,_xlop.case_sensitive,
  _xlfn.LET(
    _xlpm._arr, _xlpm.text,
    _xlpm._tbl, _xlpm.replacement_pairs,
    _xlpm._idx, _xlfn.SEQUENCE(ROWS(_xlpm._tbl)),
    _xlpm._txt, _xlfn.CHOOSECOLS(_xlpm._tbl, 1),
    _xlpm._rep, _xlfn.CHOOSECOLS(_xlpm._tbl, -1),
    _xlpm._ins, IF( _xlfn.ISOMITTED(_xlpm.instance_num), 0, INT(_xlpm.instance_num)),
    _xlpm._iAr, OR( ROWS(_xlpm._ins) &gt; 1, COLUMNS(_xlpm._ins) &gt; 1),
    _xlpm._num, IF(_xlpm._iAr, _xlfn.TOCOL(_xlpm._ins), _xlpm._ins),
    _xlpm._rgx, IF( _xlfn.ISOMITTED(_xlpm.regex_mode), 0, INT(_xlpm.regex_mode)),
    _xlpm._css, IF( _xlfn.ISOMITTED(_xlpm.case_sensitive), 1, INT(_xlpm.case_sensitive)),
    _xlpm._sen, IF(_xlpm._css, 0, 1),
    _xlpm._inpChk, IF(
      OR(
        COLUMNS(_xlpm._tbl) &lt;&gt; 2,
        AND(ROWS(_xlpm._num) &gt; 1, ROWS(_xlpm._num) &lt;&gt; ROWS(_xlpm._tbl))
      ), 2, IF(
      OR(
        _xlfn.REDUCE(0, _xlpm._txt, _xlfn.LAMBDA(_xlpm._acc,_xlpm._val, _xlpm._acc + IF(OR(ISBLANK(_xlpm._val), _xlpm._val = ""), 1, 0) &gt; 0)),
        AND(NOT(_xlpm._rgx), _xlpm._iAr, MIN(_xlpm._num) &lt; 1),
        AND(NOT(ISNUMBER(_xlpm._rgx)), NOT(ISLOGICAL(_xlpm._rgx))), _xlpm._rgx &lt; 0, _xlpm._rgx &gt; 1,
        AND(NOT(ISNUMBER(_xlpm._css)), NOT(ISLOGICAL(_xlpm._css))), _xlpm._css &lt; 0, _xlpm._css &gt; 1
      ), 3,
      1)
    ),
    _xlpm._typ, _xlfn.IFS(_xlpm._iAr, 3, _xlpm._num &lt;&gt; 0, 2, TRUE, 1) + IF( OR(_xlpm._sen, _xlpm._rgx), 3, 0),
    _xlpm._rtn, CHOOSE(_xlpm._typ,
      _xlfn.REDUCE(_xlpm._arr, _xlpm._idx, _xlfn.LAMBDA(_xlpm._acc,_xlpm._val, SUBSTITUTE(_xlpm._acc, INDEX(_xlpm._txt, _xlpm._val), INDEX(_xlpm._rep, _xlpm._val)))),
      _xlfn.REDUCE(_xlpm._arr, _xlpm._idx, _xlfn.LAMBDA(_xlpm._acc,_xlpm._val, SUBSTITUTE(_xlpm._acc, INDEX(_xlpm._txt, _xlpm._val), INDEX(_xlpm._rep, _xlpm._val), _xlpm._num))),
      _xlfn.REDUCE(_xlpm._arr, _xlpm._idx, _xlfn.LAMBDA(_xlpm._acc,_xlpm._val, SUBSTITUTE(_xlpm._acc, INDEX(_xlpm._txt, _xlpm._val), INDEX(_xlpm._rep, _xlpm._val), INDEX(_xlpm._num, _xlpm._val)))),
      _xlfn.REDUCE(_xlpm._arr, _xlpm._idx, _xlfn.LAMBDA(_xlpm._acc,_xlpm._val, _xlfn.REGEXREPLACE(_xlpm._acc, INDEX(_xlpm._txt, _xlpm._val), INDEX(_xlpm._rep, _xlpm._val), , _xlpm._sen))),
      _xlfn.REDUCE(_xlpm._arr, _xlpm._idx, _xlfn.LAMBDA(_xlpm._acc,_xlpm._val, _xlfn.REGEXREPLACE(_xlpm._acc, INDEX(_xlpm._txt, _xlpm._val), INDEX(_xlpm._rep, _xlpm._val), _xlpm._num, _xlpm._sen))),
      _xlfn.REDUCE(_xlpm._arr, _xlpm._idx, _xlfn.LAMBDA(_xlpm._acc,_xlpm._val, _xlfn.REGEXREPLACE(_xlpm._acc, INDEX(_xlpm._txt, _xlpm._val), INDEX(_xlpm._rep, _xlpm._val), INDEX(_xlpm._num, _xlpm._val), _xlpm._sen)))
    ),
    CHOOSE(_xlpm._inpChk, _xlpm._rtn, _xlfn.LAMBDA(0), #VALUE!)
  )
)(_xlfn.ANCHORARRAY(G327),_xlfn.ANCHORARRAY( C327), E327:E331, E334, E335)</f>
        <v>111</v>
      </c>
      <c r="J327" s="12" t="str" cm="1">
        <f t="array" aca="1" ref="J327:J364" ca="1" xml:space="preserve"> _xlfn.TEXTSPLIT( _xlfn.FORMULATEXT(I327), , CHAR(10))</f>
        <v>= LAMBDA(text,replacement_pairs,[instance_num],[regex_mode],[case_sensitive],</v>
      </c>
    </row>
    <row r="328" spans="2:10" x14ac:dyDescent="0.3">
      <c r="C328" s="34" t="str">
        <v>Charlie</v>
      </c>
      <c r="D328" s="34">
        <v>333</v>
      </c>
      <c r="E328" s="30">
        <v>1</v>
      </c>
      <c r="G328" s="29" t="str">
        <v>Bravo</v>
      </c>
      <c r="I328" s="26" t="str">
        <v>Bravo</v>
      </c>
      <c r="J328" s="12" t="str">
        <f ca="1"/>
        <v xml:space="preserve">  LET(</v>
      </c>
    </row>
    <row r="329" spans="2:10" x14ac:dyDescent="0.3">
      <c r="C329" s="34" t="str">
        <v>Echo</v>
      </c>
      <c r="D329" s="34">
        <v>555</v>
      </c>
      <c r="E329" s="30">
        <v>1</v>
      </c>
      <c r="G329" s="29" t="str">
        <v>Charlie</v>
      </c>
      <c r="I329" s="26" t="str">
        <v>333</v>
      </c>
      <c r="J329" s="12" t="str">
        <f ca="1"/>
        <v xml:space="preserve">    _arr, text,</v>
      </c>
    </row>
    <row r="330" spans="2:10" x14ac:dyDescent="0.3">
      <c r="C330" s="34" t="str">
        <v>golf</v>
      </c>
      <c r="D330" s="34">
        <v>777</v>
      </c>
      <c r="E330" s="30">
        <v>1</v>
      </c>
      <c r="G330" s="29" t="str">
        <v>Delta</v>
      </c>
      <c r="I330" s="26" t="str">
        <v>Delta</v>
      </c>
      <c r="J330" s="12" t="str">
        <f ca="1"/>
        <v xml:space="preserve">    _tbl, replacement_pairs,</v>
      </c>
    </row>
    <row r="331" spans="2:10" x14ac:dyDescent="0.3">
      <c r="C331" s="34" t="str">
        <v>INDIA</v>
      </c>
      <c r="D331" s="34">
        <v>999</v>
      </c>
      <c r="E331" s="30">
        <v>1</v>
      </c>
      <c r="G331" s="29" t="str">
        <v>Echo</v>
      </c>
      <c r="I331" s="26" t="str">
        <v>555</v>
      </c>
      <c r="J331" s="12" t="str">
        <f ca="1"/>
        <v xml:space="preserve">    _idx, SEQUENCE(ROWS(_tbl)),</v>
      </c>
    </row>
    <row r="332" spans="2:10" x14ac:dyDescent="0.3">
      <c r="G332" s="29" t="str">
        <v>Foxtrot</v>
      </c>
      <c r="I332" s="26" t="str">
        <v>Foxtrot</v>
      </c>
      <c r="J332" s="12" t="str">
        <f ca="1"/>
        <v xml:space="preserve">    _txt, CHOOSECOLS(_tbl, 1),</v>
      </c>
    </row>
    <row r="333" spans="2:10" x14ac:dyDescent="0.3">
      <c r="D333" s="18" t="s">
        <v>126</v>
      </c>
      <c r="E333" s="30">
        <v>0</v>
      </c>
      <c r="G333" s="29" t="str">
        <v>Golf</v>
      </c>
      <c r="I333" s="26" t="str">
        <v>Golf</v>
      </c>
      <c r="J333" s="12" t="str">
        <f ca="1"/>
        <v xml:space="preserve">    _rep, CHOOSECOLS(_tbl, -1),</v>
      </c>
    </row>
    <row r="334" spans="2:10" x14ac:dyDescent="0.3">
      <c r="D334" s="18" t="s">
        <v>137</v>
      </c>
      <c r="E334" s="30">
        <v>0</v>
      </c>
      <c r="G334" s="29" t="str">
        <v>Hotel</v>
      </c>
      <c r="I334" s="26" t="str">
        <v>Hotel</v>
      </c>
      <c r="J334" s="12" t="str">
        <f ca="1"/>
        <v xml:space="preserve">    _ins, IF( ISOMITTED(instance_num), 0, INT(instance_num)),</v>
      </c>
    </row>
    <row r="335" spans="2:10" x14ac:dyDescent="0.3">
      <c r="D335" s="18" t="s">
        <v>136</v>
      </c>
      <c r="E335" s="30">
        <v>1</v>
      </c>
      <c r="G335" s="29" t="str">
        <v>India</v>
      </c>
      <c r="I335" s="26" t="str">
        <v>India</v>
      </c>
      <c r="J335" s="12" t="str">
        <f ca="1"/>
        <v xml:space="preserve">    _iAr, OR( ROWS(_ins) &gt; 1, COLUMNS(_ins) &gt; 1),</v>
      </c>
    </row>
    <row r="336" spans="2:10" x14ac:dyDescent="0.3">
      <c r="G336" s="29" t="str">
        <v>Juliet</v>
      </c>
      <c r="I336" s="26" t="str">
        <v>Juliet</v>
      </c>
      <c r="J336" s="12" t="str">
        <f ca="1"/>
        <v xml:space="preserve">    _num, IF(_iAr, TOCOL(_ins), _ins),</v>
      </c>
    </row>
    <row r="337" spans="10:10" x14ac:dyDescent="0.3">
      <c r="J337" s="12" t="str">
        <f ca="1"/>
        <v xml:space="preserve">    _rgx, IF( ISOMITTED(regex_mode), 0, INT(regex_mode)),</v>
      </c>
    </row>
    <row r="338" spans="10:10" x14ac:dyDescent="0.3">
      <c r="J338" s="12" t="str">
        <f ca="1"/>
        <v xml:space="preserve">    _css, IF( ISOMITTED(case_sensitive), 1, INT(case_sensitive)),</v>
      </c>
    </row>
    <row r="339" spans="10:10" x14ac:dyDescent="0.3">
      <c r="J339" s="12" t="str">
        <f ca="1"/>
        <v xml:space="preserve">    _sen, IF(_css, 0, 1),</v>
      </c>
    </row>
    <row r="340" spans="10:10" x14ac:dyDescent="0.3">
      <c r="J340" s="12" t="str">
        <f ca="1"/>
        <v xml:space="preserve">    _inpChk, IF(</v>
      </c>
    </row>
    <row r="341" spans="10:10" x14ac:dyDescent="0.3">
      <c r="J341" s="12" t="str">
        <f ca="1"/>
        <v xml:space="preserve">      OR(</v>
      </c>
    </row>
    <row r="342" spans="10:10" x14ac:dyDescent="0.3">
      <c r="J342" s="12" t="str">
        <f ca="1"/>
        <v xml:space="preserve">        COLUMNS(_tbl) &lt;&gt; 2,</v>
      </c>
    </row>
    <row r="343" spans="10:10" x14ac:dyDescent="0.3">
      <c r="J343" s="12" t="str">
        <f ca="1"/>
        <v xml:space="preserve">        AND(ROWS(_num) &gt; 1, ROWS(_num) &lt;&gt; ROWS(_tbl))</v>
      </c>
    </row>
    <row r="344" spans="10:10" x14ac:dyDescent="0.3">
      <c r="J344" s="12" t="str">
        <f ca="1"/>
        <v xml:space="preserve">      ), 2, IF(</v>
      </c>
    </row>
    <row r="345" spans="10:10" x14ac:dyDescent="0.3">
      <c r="J345" s="12" t="str">
        <f ca="1"/>
        <v xml:space="preserve">      OR(</v>
      </c>
    </row>
    <row r="346" spans="10:10" x14ac:dyDescent="0.3">
      <c r="J346" s="12" t="str">
        <f ca="1"/>
        <v xml:space="preserve">        REDUCE(0, _txt, LAMBDA(_acc,_val, _acc + IF(OR(ISBLANK(_val), _val = ""), 1, 0) &gt; 0)),</v>
      </c>
    </row>
    <row r="347" spans="10:10" x14ac:dyDescent="0.3">
      <c r="J347" s="12" t="str">
        <f ca="1"/>
        <v xml:space="preserve">        AND(NOT(_rgx), _iAr, MIN(_num) &lt; 1),</v>
      </c>
    </row>
    <row r="348" spans="10:10" x14ac:dyDescent="0.3">
      <c r="J348" s="12" t="str">
        <f ca="1"/>
        <v xml:space="preserve">        AND(NOT(ISNUMBER(_rgx)), NOT(ISLOGICAL(_rgx))), _rgx &lt; 0, _rgx &gt; 1,</v>
      </c>
    </row>
    <row r="349" spans="10:10" x14ac:dyDescent="0.3">
      <c r="J349" s="12" t="str">
        <f ca="1"/>
        <v xml:space="preserve">        AND(NOT(ISNUMBER(_css)), NOT(ISLOGICAL(_css))), _css &lt; 0, _css &gt; 1</v>
      </c>
    </row>
    <row r="350" spans="10:10" x14ac:dyDescent="0.3">
      <c r="J350" s="12" t="str">
        <f ca="1"/>
        <v xml:space="preserve">      ), 3,</v>
      </c>
    </row>
    <row r="351" spans="10:10" x14ac:dyDescent="0.3">
      <c r="J351" s="12" t="str">
        <f ca="1"/>
        <v xml:space="preserve">      1)</v>
      </c>
    </row>
    <row r="352" spans="10:10" x14ac:dyDescent="0.3">
      <c r="J352" s="12" t="str">
        <f ca="1"/>
        <v xml:space="preserve">    ),</v>
      </c>
    </row>
    <row r="353" spans="2:10" x14ac:dyDescent="0.3">
      <c r="J353" s="12" t="str">
        <f ca="1"/>
        <v xml:space="preserve">    _typ, IFS(_iAr, 3, _num &lt;&gt; 0, 2, TRUE, 1) + IF( OR(_sen, _rgx), 3, 0),</v>
      </c>
    </row>
    <row r="354" spans="2:10" x14ac:dyDescent="0.3">
      <c r="J354" s="12" t="str">
        <f ca="1"/>
        <v xml:space="preserve">    _rtn, CHOOSE(_typ,</v>
      </c>
    </row>
    <row r="355" spans="2:10" x14ac:dyDescent="0.3">
      <c r="J355" s="12" t="str">
        <f ca="1"/>
        <v xml:space="preserve">      REDUCE(_arr, _idx, LAMBDA(_acc,_val, SUBSTITUTE(_acc, INDEX(_txt, _val), INDEX(_rep, _val)))),</v>
      </c>
    </row>
    <row r="356" spans="2:10" x14ac:dyDescent="0.3">
      <c r="J356" s="12" t="str">
        <f ca="1"/>
        <v xml:space="preserve">      REDUCE(_arr, _idx, LAMBDA(_acc,_val, SUBSTITUTE(_acc, INDEX(_txt, _val), INDEX(_rep, _val), _num))),</v>
      </c>
    </row>
    <row r="357" spans="2:10" x14ac:dyDescent="0.3">
      <c r="J357" s="12" t="str">
        <f ca="1"/>
        <v xml:space="preserve">      REDUCE(_arr, _idx, LAMBDA(_acc,_val, SUBSTITUTE(_acc, INDEX(_txt, _val), INDEX(_rep, _val), INDEX(_num, _val)))),</v>
      </c>
    </row>
    <row r="358" spans="2:10" x14ac:dyDescent="0.3">
      <c r="J358" s="12" t="str">
        <f ca="1"/>
        <v xml:space="preserve">      REDUCE(_arr, _idx, LAMBDA(_acc,_val, REGEXREPLACE(_acc, INDEX(_txt, _val), INDEX(_rep, _val), , _sen))),</v>
      </c>
    </row>
    <row r="359" spans="2:10" x14ac:dyDescent="0.3">
      <c r="J359" s="12" t="str">
        <f ca="1"/>
        <v xml:space="preserve">      REDUCE(_arr, _idx, LAMBDA(_acc,_val, REGEXREPLACE(_acc, INDEX(_txt, _val), INDEX(_rep, _val), _num, _sen))),</v>
      </c>
    </row>
    <row r="360" spans="2:10" x14ac:dyDescent="0.3">
      <c r="J360" s="12" t="str">
        <f ca="1"/>
        <v xml:space="preserve">      REDUCE(_arr, _idx, LAMBDA(_acc,_val, REGEXREPLACE(_acc, INDEX(_txt, _val), INDEX(_rep, _val), INDEX(_num, _val), _sen)))</v>
      </c>
    </row>
    <row r="361" spans="2:10" x14ac:dyDescent="0.3">
      <c r="J361" s="12" t="str">
        <f ca="1"/>
        <v xml:space="preserve">    ),</v>
      </c>
    </row>
    <row r="362" spans="2:10" x14ac:dyDescent="0.3">
      <c r="J362" s="12" t="str">
        <f ca="1"/>
        <v xml:space="preserve">    CHOOSE(_inpChk, _rtn, LAMBDA(0), #VALUE!)</v>
      </c>
    </row>
    <row r="363" spans="2:10" x14ac:dyDescent="0.3">
      <c r="J363" s="12" t="str">
        <f ca="1"/>
        <v xml:space="preserve">  )</v>
      </c>
    </row>
    <row r="364" spans="2:10" x14ac:dyDescent="0.3">
      <c r="J364" s="12" t="str">
        <f ca="1"/>
        <v>)(G327#, C327#, E327:E331, E334, E335)</v>
      </c>
    </row>
    <row r="366" spans="2:10" s="5" customFormat="1" ht="16.2" thickBot="1" x14ac:dyDescent="0.35">
      <c r="B366" s="6">
        <f xml:space="preserve"> MAX(B$1:B365) + 1</f>
        <v>2</v>
      </c>
      <c r="C366" s="5" t="s">
        <v>5</v>
      </c>
    </row>
    <row r="368" spans="2:10" x14ac:dyDescent="0.3">
      <c r="B368" s="3" t="s">
        <v>7</v>
      </c>
    </row>
    <row r="369" spans="2:6" x14ac:dyDescent="0.3">
      <c r="C369" t="s">
        <v>259</v>
      </c>
    </row>
    <row r="370" spans="2:6" x14ac:dyDescent="0.3">
      <c r="C370" t="s">
        <v>258</v>
      </c>
    </row>
    <row r="371" spans="2:6" x14ac:dyDescent="0.3">
      <c r="C371" t="s">
        <v>260</v>
      </c>
    </row>
    <row r="373" spans="2:6" x14ac:dyDescent="0.3">
      <c r="B373" s="3" t="s">
        <v>8</v>
      </c>
    </row>
    <row r="374" spans="2:6" x14ac:dyDescent="0.3">
      <c r="C374" s="13" t="s">
        <v>185</v>
      </c>
      <c r="E374" s="15" t="s">
        <v>13</v>
      </c>
      <c r="F374" t="s">
        <v>212</v>
      </c>
    </row>
    <row r="375" spans="2:6" x14ac:dyDescent="0.3">
      <c r="C375" s="13" t="s">
        <v>186</v>
      </c>
      <c r="E375" s="15" t="s">
        <v>13</v>
      </c>
      <c r="F375" t="s">
        <v>213</v>
      </c>
    </row>
    <row r="376" spans="2:6" x14ac:dyDescent="0.3">
      <c r="F376" s="52" t="s">
        <v>214</v>
      </c>
    </row>
    <row r="377" spans="2:6" x14ac:dyDescent="0.3">
      <c r="F377" s="53" t="s">
        <v>225</v>
      </c>
    </row>
    <row r="378" spans="2:6" x14ac:dyDescent="0.3">
      <c r="F378" s="53" t="s">
        <v>215</v>
      </c>
    </row>
    <row r="379" spans="2:6" x14ac:dyDescent="0.3">
      <c r="C379" s="13" t="s">
        <v>187</v>
      </c>
      <c r="E379" s="16" t="s">
        <v>14</v>
      </c>
      <c r="F379" t="s">
        <v>216</v>
      </c>
    </row>
    <row r="380" spans="2:6" x14ac:dyDescent="0.3">
      <c r="F380" s="52" t="s">
        <v>233</v>
      </c>
    </row>
    <row r="381" spans="2:6" x14ac:dyDescent="0.3">
      <c r="F381" s="52" t="s">
        <v>220</v>
      </c>
    </row>
    <row r="382" spans="2:6" x14ac:dyDescent="0.3">
      <c r="F382" s="52" t="s">
        <v>224</v>
      </c>
    </row>
    <row r="383" spans="2:6" x14ac:dyDescent="0.3">
      <c r="F383" s="54" t="s">
        <v>261</v>
      </c>
    </row>
    <row r="384" spans="2:6" x14ac:dyDescent="0.3">
      <c r="F384" s="52" t="s">
        <v>217</v>
      </c>
    </row>
    <row r="385" spans="2:8" x14ac:dyDescent="0.3">
      <c r="F385" s="53" t="s">
        <v>218</v>
      </c>
    </row>
    <row r="386" spans="2:8" x14ac:dyDescent="0.3">
      <c r="F386" s="53" t="s">
        <v>219</v>
      </c>
    </row>
    <row r="387" spans="2:8" x14ac:dyDescent="0.3">
      <c r="C387" s="13" t="s">
        <v>188</v>
      </c>
      <c r="E387" s="16" t="s">
        <v>14</v>
      </c>
      <c r="F387" t="s">
        <v>221</v>
      </c>
    </row>
    <row r="388" spans="2:8" x14ac:dyDescent="0.3">
      <c r="C388" s="13"/>
      <c r="E388" s="16"/>
      <c r="F388" s="52" t="s">
        <v>226</v>
      </c>
    </row>
    <row r="389" spans="2:8" x14ac:dyDescent="0.3">
      <c r="C389" s="13"/>
      <c r="E389" s="16"/>
      <c r="F389" s="52" t="s">
        <v>232</v>
      </c>
    </row>
    <row r="390" spans="2:8" x14ac:dyDescent="0.3">
      <c r="C390" s="13" t="s">
        <v>189</v>
      </c>
      <c r="E390" s="16" t="s">
        <v>14</v>
      </c>
      <c r="F390" t="s">
        <v>222</v>
      </c>
    </row>
    <row r="391" spans="2:8" x14ac:dyDescent="0.3">
      <c r="F391" s="52" t="s">
        <v>223</v>
      </c>
    </row>
    <row r="392" spans="2:8" x14ac:dyDescent="0.3">
      <c r="G392" s="55" t="s">
        <v>227</v>
      </c>
      <c r="H392" t="s">
        <v>228</v>
      </c>
    </row>
    <row r="393" spans="2:8" x14ac:dyDescent="0.3">
      <c r="G393" s="55" t="s">
        <v>229</v>
      </c>
      <c r="H393" t="s">
        <v>230</v>
      </c>
    </row>
    <row r="394" spans="2:8" x14ac:dyDescent="0.3">
      <c r="F394" s="52" t="s">
        <v>231</v>
      </c>
    </row>
    <row r="396" spans="2:8" x14ac:dyDescent="0.3">
      <c r="B396" s="3" t="s">
        <v>9</v>
      </c>
    </row>
    <row r="397" spans="2:8" x14ac:dyDescent="0.3">
      <c r="C397" s="14" t="e">
        <v>#VALUE!</v>
      </c>
      <c r="E397" t="s">
        <v>235</v>
      </c>
    </row>
    <row r="398" spans="2:8" x14ac:dyDescent="0.3">
      <c r="C398" s="14" t="e" vm="1">
        <v>#VALUE!</v>
      </c>
      <c r="E398" t="s">
        <v>236</v>
      </c>
    </row>
    <row r="399" spans="2:8" x14ac:dyDescent="0.3">
      <c r="E399" s="52" t="s">
        <v>234</v>
      </c>
    </row>
    <row r="400" spans="2:8" x14ac:dyDescent="0.3">
      <c r="E400" s="52" t="s">
        <v>237</v>
      </c>
    </row>
    <row r="401" spans="2:5" x14ac:dyDescent="0.3">
      <c r="C401" s="14" t="e" vm="1">
        <v>#VALUE!</v>
      </c>
      <c r="E401" t="s">
        <v>238</v>
      </c>
    </row>
    <row r="402" spans="2:5" x14ac:dyDescent="0.3">
      <c r="C402" s="14" t="e">
        <v>#VALUE!</v>
      </c>
      <c r="E402" t="s">
        <v>239</v>
      </c>
    </row>
    <row r="403" spans="2:5" x14ac:dyDescent="0.3">
      <c r="C403" s="14"/>
      <c r="E403" s="52" t="s">
        <v>257</v>
      </c>
    </row>
    <row r="404" spans="2:5" x14ac:dyDescent="0.3">
      <c r="C404" s="14" t="e">
        <v>#VALUE!</v>
      </c>
      <c r="E404" t="s">
        <v>240</v>
      </c>
    </row>
    <row r="405" spans="2:5" x14ac:dyDescent="0.3">
      <c r="E405" s="52" t="s">
        <v>241</v>
      </c>
    </row>
    <row r="407" spans="2:5" x14ac:dyDescent="0.3">
      <c r="B407" s="3" t="s">
        <v>10</v>
      </c>
    </row>
    <row r="408" spans="2:5" x14ac:dyDescent="0.3">
      <c r="C408" t="s">
        <v>295</v>
      </c>
    </row>
    <row r="409" spans="2:5" x14ac:dyDescent="0.3">
      <c r="C409" s="52" t="s">
        <v>296</v>
      </c>
    </row>
    <row r="411" spans="2:5" x14ac:dyDescent="0.3">
      <c r="B411" s="3" t="s">
        <v>11</v>
      </c>
    </row>
    <row r="412" spans="2:5" x14ac:dyDescent="0.3">
      <c r="C412" s="43" t="s">
        <v>179</v>
      </c>
    </row>
    <row r="413" spans="2:5" x14ac:dyDescent="0.3">
      <c r="C413" s="46" t="s">
        <v>199</v>
      </c>
    </row>
    <row r="414" spans="2:5" x14ac:dyDescent="0.3">
      <c r="C414" s="45" t="s">
        <v>183</v>
      </c>
    </row>
    <row r="415" spans="2:5" x14ac:dyDescent="0.3">
      <c r="C415" s="45" t="s">
        <v>184</v>
      </c>
    </row>
    <row r="416" spans="2:5" x14ac:dyDescent="0.3">
      <c r="C416" s="45" t="s">
        <v>182</v>
      </c>
    </row>
    <row r="417" spans="3:3" x14ac:dyDescent="0.3">
      <c r="C417" s="45" t="s">
        <v>181</v>
      </c>
    </row>
    <row r="418" spans="3:3" x14ac:dyDescent="0.3">
      <c r="C418" s="45" t="s">
        <v>180</v>
      </c>
    </row>
    <row r="419" spans="3:3" x14ac:dyDescent="0.3">
      <c r="C419" s="46" t="s">
        <v>200</v>
      </c>
    </row>
    <row r="420" spans="3:3" x14ac:dyDescent="0.3">
      <c r="C420" s="44" t="s">
        <v>151</v>
      </c>
    </row>
    <row r="421" spans="3:3" x14ac:dyDescent="0.3">
      <c r="C421" s="50" t="s">
        <v>207</v>
      </c>
    </row>
    <row r="422" spans="3:3" x14ac:dyDescent="0.3">
      <c r="C422" s="47" t="s">
        <v>152</v>
      </c>
    </row>
    <row r="423" spans="3:3" x14ac:dyDescent="0.3">
      <c r="C423" s="47" t="s">
        <v>153</v>
      </c>
    </row>
    <row r="424" spans="3:3" x14ac:dyDescent="0.3">
      <c r="C424" s="47" t="s">
        <v>154</v>
      </c>
    </row>
    <row r="425" spans="3:3" x14ac:dyDescent="0.3">
      <c r="C425" s="47" t="s">
        <v>155</v>
      </c>
    </row>
    <row r="426" spans="3:3" x14ac:dyDescent="0.3">
      <c r="C426" s="47" t="s">
        <v>156</v>
      </c>
    </row>
    <row r="427" spans="3:3" x14ac:dyDescent="0.3">
      <c r="C427" s="50" t="s">
        <v>206</v>
      </c>
    </row>
    <row r="428" spans="3:3" x14ac:dyDescent="0.3">
      <c r="C428" s="47" t="s">
        <v>157</v>
      </c>
    </row>
    <row r="429" spans="3:3" x14ac:dyDescent="0.3">
      <c r="C429" s="47" t="s">
        <v>158</v>
      </c>
    </row>
    <row r="430" spans="3:3" x14ac:dyDescent="0.3">
      <c r="C430" s="47" t="s">
        <v>159</v>
      </c>
    </row>
    <row r="431" spans="3:3" x14ac:dyDescent="0.3">
      <c r="C431" s="47" t="s">
        <v>160</v>
      </c>
    </row>
    <row r="432" spans="3:3" x14ac:dyDescent="0.3">
      <c r="C432" s="47" t="s">
        <v>192</v>
      </c>
    </row>
    <row r="433" spans="3:3" x14ac:dyDescent="0.3">
      <c r="C433" s="50" t="s">
        <v>204</v>
      </c>
    </row>
    <row r="434" spans="3:3" x14ac:dyDescent="0.3">
      <c r="C434" s="50" t="s">
        <v>205</v>
      </c>
    </row>
    <row r="435" spans="3:3" x14ac:dyDescent="0.3">
      <c r="C435" s="47" t="s">
        <v>193</v>
      </c>
    </row>
    <row r="436" spans="3:3" x14ac:dyDescent="0.3">
      <c r="C436" s="50" t="s">
        <v>201</v>
      </c>
    </row>
    <row r="437" spans="3:3" x14ac:dyDescent="0.3">
      <c r="C437" s="47" t="s">
        <v>161</v>
      </c>
    </row>
    <row r="438" spans="3:3" x14ac:dyDescent="0.3">
      <c r="C438" s="48" t="s">
        <v>162</v>
      </c>
    </row>
    <row r="439" spans="3:3" x14ac:dyDescent="0.3">
      <c r="C439" s="49" t="s">
        <v>163</v>
      </c>
    </row>
    <row r="440" spans="3:3" x14ac:dyDescent="0.3">
      <c r="C440" s="49" t="s">
        <v>164</v>
      </c>
    </row>
    <row r="441" spans="3:3" x14ac:dyDescent="0.3">
      <c r="C441" s="48" t="s">
        <v>165</v>
      </c>
    </row>
    <row r="442" spans="3:3" x14ac:dyDescent="0.3">
      <c r="C442" s="48" t="s">
        <v>162</v>
      </c>
    </row>
    <row r="443" spans="3:3" x14ac:dyDescent="0.3">
      <c r="C443" s="49" t="s">
        <v>166</v>
      </c>
    </row>
    <row r="444" spans="3:3" x14ac:dyDescent="0.3">
      <c r="C444" s="49" t="s">
        <v>167</v>
      </c>
    </row>
    <row r="445" spans="3:3" x14ac:dyDescent="0.3">
      <c r="C445" s="49" t="s">
        <v>168</v>
      </c>
    </row>
    <row r="446" spans="3:3" x14ac:dyDescent="0.3">
      <c r="C446" s="49" t="s">
        <v>169</v>
      </c>
    </row>
    <row r="447" spans="3:3" x14ac:dyDescent="0.3">
      <c r="C447" s="48" t="s">
        <v>170</v>
      </c>
    </row>
    <row r="448" spans="3:3" x14ac:dyDescent="0.3">
      <c r="C448" s="48" t="s">
        <v>171</v>
      </c>
    </row>
    <row r="449" spans="3:3" x14ac:dyDescent="0.3">
      <c r="C449" s="47" t="s">
        <v>172</v>
      </c>
    </row>
    <row r="450" spans="3:3" x14ac:dyDescent="0.3">
      <c r="C450" s="50" t="s">
        <v>211</v>
      </c>
    </row>
    <row r="451" spans="3:3" x14ac:dyDescent="0.3">
      <c r="C451" s="47" t="s">
        <v>194</v>
      </c>
    </row>
    <row r="452" spans="3:3" x14ac:dyDescent="0.3">
      <c r="C452" s="50" t="s">
        <v>208</v>
      </c>
    </row>
    <row r="453" spans="3:3" x14ac:dyDescent="0.3">
      <c r="C453" s="47" t="s">
        <v>173</v>
      </c>
    </row>
    <row r="454" spans="3:3" x14ac:dyDescent="0.3">
      <c r="C454" s="48" t="s">
        <v>174</v>
      </c>
    </row>
    <row r="455" spans="3:3" x14ac:dyDescent="0.3">
      <c r="C455" s="48" t="s">
        <v>175</v>
      </c>
    </row>
    <row r="456" spans="3:3" x14ac:dyDescent="0.3">
      <c r="C456" s="48" t="s">
        <v>176</v>
      </c>
    </row>
    <row r="457" spans="3:3" x14ac:dyDescent="0.3">
      <c r="C457" s="48" t="s">
        <v>195</v>
      </c>
    </row>
    <row r="458" spans="3:3" x14ac:dyDescent="0.3">
      <c r="C458" s="48" t="s">
        <v>196</v>
      </c>
    </row>
    <row r="459" spans="3:3" x14ac:dyDescent="0.3">
      <c r="C459" s="48" t="s">
        <v>197</v>
      </c>
    </row>
    <row r="460" spans="3:3" x14ac:dyDescent="0.3">
      <c r="C460" s="47" t="s">
        <v>172</v>
      </c>
    </row>
    <row r="461" spans="3:3" x14ac:dyDescent="0.3">
      <c r="C461" s="50" t="s">
        <v>202</v>
      </c>
    </row>
    <row r="462" spans="3:3" x14ac:dyDescent="0.3">
      <c r="C462" s="50" t="s">
        <v>203</v>
      </c>
    </row>
    <row r="463" spans="3:3" x14ac:dyDescent="0.3">
      <c r="C463" s="47" t="s">
        <v>177</v>
      </c>
    </row>
    <row r="464" spans="3:3" x14ac:dyDescent="0.3">
      <c r="C464" s="44" t="s">
        <v>178</v>
      </c>
    </row>
    <row r="465" spans="2:6" x14ac:dyDescent="0.3">
      <c r="C465" s="13" t="s">
        <v>178</v>
      </c>
    </row>
    <row r="467" spans="2:6" x14ac:dyDescent="0.3">
      <c r="C467" s="3" t="s">
        <v>12</v>
      </c>
    </row>
    <row r="468" spans="2:6" x14ac:dyDescent="0.3">
      <c r="C468" s="43" t="s">
        <v>198</v>
      </c>
    </row>
    <row r="471" spans="2:6" s="5" customFormat="1" ht="16.2" thickBot="1" x14ac:dyDescent="0.35">
      <c r="B471" s="6">
        <f xml:space="preserve"> MAX(B$1:B470) + 1</f>
        <v>3</v>
      </c>
      <c r="C471" s="5" t="s">
        <v>251</v>
      </c>
    </row>
    <row r="473" spans="2:6" x14ac:dyDescent="0.3">
      <c r="B473" s="3" t="s">
        <v>7</v>
      </c>
    </row>
    <row r="474" spans="2:6" x14ac:dyDescent="0.3">
      <c r="C474" t="s">
        <v>259</v>
      </c>
    </row>
    <row r="475" spans="2:6" x14ac:dyDescent="0.3">
      <c r="C475" t="s">
        <v>258</v>
      </c>
    </row>
    <row r="477" spans="2:6" x14ac:dyDescent="0.3">
      <c r="B477" s="3" t="s">
        <v>8</v>
      </c>
    </row>
    <row r="478" spans="2:6" x14ac:dyDescent="0.3">
      <c r="C478" s="13" t="s">
        <v>185</v>
      </c>
      <c r="E478" s="15" t="s">
        <v>13</v>
      </c>
      <c r="F478" t="s">
        <v>212</v>
      </c>
    </row>
    <row r="479" spans="2:6" x14ac:dyDescent="0.3">
      <c r="C479" s="13" t="s">
        <v>186</v>
      </c>
      <c r="E479" s="15" t="s">
        <v>13</v>
      </c>
      <c r="F479" t="s">
        <v>213</v>
      </c>
    </row>
    <row r="480" spans="2:6" x14ac:dyDescent="0.3">
      <c r="F480" s="52" t="s">
        <v>214</v>
      </c>
    </row>
    <row r="481" spans="2:6" x14ac:dyDescent="0.3">
      <c r="F481" s="53" t="s">
        <v>225</v>
      </c>
    </row>
    <row r="482" spans="2:6" x14ac:dyDescent="0.3">
      <c r="F482" s="53" t="s">
        <v>215</v>
      </c>
    </row>
    <row r="483" spans="2:6" x14ac:dyDescent="0.3">
      <c r="C483" s="13" t="s">
        <v>187</v>
      </c>
      <c r="E483" s="16" t="s">
        <v>14</v>
      </c>
      <c r="F483" t="s">
        <v>216</v>
      </c>
    </row>
    <row r="484" spans="2:6" x14ac:dyDescent="0.3">
      <c r="F484" s="52" t="s">
        <v>233</v>
      </c>
    </row>
    <row r="485" spans="2:6" x14ac:dyDescent="0.3">
      <c r="F485" s="52" t="s">
        <v>220</v>
      </c>
    </row>
    <row r="486" spans="2:6" x14ac:dyDescent="0.3">
      <c r="F486" s="52" t="s">
        <v>224</v>
      </c>
    </row>
    <row r="487" spans="2:6" x14ac:dyDescent="0.3">
      <c r="F487" s="54" t="s">
        <v>261</v>
      </c>
    </row>
    <row r="488" spans="2:6" x14ac:dyDescent="0.3">
      <c r="F488" s="52" t="s">
        <v>217</v>
      </c>
    </row>
    <row r="489" spans="2:6" x14ac:dyDescent="0.3">
      <c r="F489" s="53" t="s">
        <v>218</v>
      </c>
    </row>
    <row r="490" spans="2:6" x14ac:dyDescent="0.3">
      <c r="F490" s="53" t="s">
        <v>219</v>
      </c>
    </row>
    <row r="492" spans="2:6" x14ac:dyDescent="0.3">
      <c r="B492" s="3" t="s">
        <v>9</v>
      </c>
    </row>
    <row r="493" spans="2:6" x14ac:dyDescent="0.3">
      <c r="C493" s="14" t="e">
        <v>#VALUE!</v>
      </c>
      <c r="E493" t="s">
        <v>235</v>
      </c>
    </row>
    <row r="494" spans="2:6" x14ac:dyDescent="0.3">
      <c r="C494" s="14" t="e" vm="1">
        <v>#VALUE!</v>
      </c>
      <c r="E494" t="s">
        <v>236</v>
      </c>
    </row>
    <row r="495" spans="2:6" x14ac:dyDescent="0.3">
      <c r="E495" s="52" t="s">
        <v>234</v>
      </c>
    </row>
    <row r="496" spans="2:6" x14ac:dyDescent="0.3">
      <c r="E496" s="52" t="s">
        <v>237</v>
      </c>
    </row>
    <row r="497" spans="2:5" x14ac:dyDescent="0.3">
      <c r="C497" s="14" t="e" vm="1">
        <v>#VALUE!</v>
      </c>
      <c r="E497" t="s">
        <v>238</v>
      </c>
    </row>
    <row r="498" spans="2:5" x14ac:dyDescent="0.3">
      <c r="C498" s="14" t="e">
        <v>#VALUE!</v>
      </c>
      <c r="E498" t="s">
        <v>239</v>
      </c>
    </row>
    <row r="499" spans="2:5" x14ac:dyDescent="0.3">
      <c r="C499" s="14"/>
      <c r="E499" s="52" t="s">
        <v>256</v>
      </c>
    </row>
    <row r="501" spans="2:5" x14ac:dyDescent="0.3">
      <c r="B501" s="3" t="s">
        <v>10</v>
      </c>
    </row>
    <row r="502" spans="2:5" x14ac:dyDescent="0.3">
      <c r="C502" t="s">
        <v>295</v>
      </c>
    </row>
    <row r="503" spans="2:5" x14ac:dyDescent="0.3">
      <c r="C503" s="52" t="s">
        <v>296</v>
      </c>
    </row>
    <row r="505" spans="2:5" x14ac:dyDescent="0.3">
      <c r="B505" s="3" t="s">
        <v>11</v>
      </c>
    </row>
    <row r="506" spans="2:5" x14ac:dyDescent="0.3">
      <c r="C506" s="43" t="s">
        <v>179</v>
      </c>
    </row>
    <row r="507" spans="2:5" x14ac:dyDescent="0.3">
      <c r="C507" s="46" t="s">
        <v>199</v>
      </c>
    </row>
    <row r="508" spans="2:5" x14ac:dyDescent="0.3">
      <c r="C508" s="45" t="s">
        <v>183</v>
      </c>
    </row>
    <row r="509" spans="2:5" x14ac:dyDescent="0.3">
      <c r="C509" s="45" t="s">
        <v>184</v>
      </c>
    </row>
    <row r="510" spans="2:5" x14ac:dyDescent="0.3">
      <c r="C510" s="45" t="s">
        <v>182</v>
      </c>
    </row>
    <row r="511" spans="2:5" x14ac:dyDescent="0.3">
      <c r="C511" s="46" t="s">
        <v>200</v>
      </c>
    </row>
    <row r="512" spans="2:5" x14ac:dyDescent="0.3">
      <c r="C512" s="45" t="s">
        <v>151</v>
      </c>
    </row>
    <row r="513" spans="3:3" x14ac:dyDescent="0.3">
      <c r="C513" s="50" t="s">
        <v>207</v>
      </c>
    </row>
    <row r="514" spans="3:3" x14ac:dyDescent="0.3">
      <c r="C514" s="57" t="s">
        <v>152</v>
      </c>
    </row>
    <row r="515" spans="3:3" x14ac:dyDescent="0.3">
      <c r="C515" s="57" t="s">
        <v>153</v>
      </c>
    </row>
    <row r="516" spans="3:3" x14ac:dyDescent="0.3">
      <c r="C516" s="57" t="s">
        <v>154</v>
      </c>
    </row>
    <row r="517" spans="3:3" x14ac:dyDescent="0.3">
      <c r="C517" s="57" t="s">
        <v>155</v>
      </c>
    </row>
    <row r="518" spans="3:3" x14ac:dyDescent="0.3">
      <c r="C518" s="57" t="s">
        <v>156</v>
      </c>
    </row>
    <row r="519" spans="3:3" x14ac:dyDescent="0.3">
      <c r="C519" s="50" t="s">
        <v>206</v>
      </c>
    </row>
    <row r="520" spans="3:3" x14ac:dyDescent="0.3">
      <c r="C520" s="57" t="s">
        <v>157</v>
      </c>
    </row>
    <row r="521" spans="3:3" x14ac:dyDescent="0.3">
      <c r="C521" s="57" t="s">
        <v>158</v>
      </c>
    </row>
    <row r="522" spans="3:3" x14ac:dyDescent="0.3">
      <c r="C522" s="57" t="s">
        <v>159</v>
      </c>
    </row>
    <row r="523" spans="3:3" x14ac:dyDescent="0.3">
      <c r="C523" s="50" t="s">
        <v>201</v>
      </c>
    </row>
    <row r="524" spans="3:3" x14ac:dyDescent="0.3">
      <c r="C524" s="57" t="s">
        <v>161</v>
      </c>
    </row>
    <row r="525" spans="3:3" x14ac:dyDescent="0.3">
      <c r="C525" s="58" t="s">
        <v>162</v>
      </c>
    </row>
    <row r="526" spans="3:3" x14ac:dyDescent="0.3">
      <c r="C526" s="59" t="s">
        <v>163</v>
      </c>
    </row>
    <row r="527" spans="3:3" x14ac:dyDescent="0.3">
      <c r="C527" s="59" t="s">
        <v>164</v>
      </c>
    </row>
    <row r="528" spans="3:3" x14ac:dyDescent="0.3">
      <c r="C528" s="58" t="s">
        <v>165</v>
      </c>
    </row>
    <row r="529" spans="3:3" x14ac:dyDescent="0.3">
      <c r="C529" s="58" t="s">
        <v>162</v>
      </c>
    </row>
    <row r="530" spans="3:3" x14ac:dyDescent="0.3">
      <c r="C530" s="59" t="s">
        <v>166</v>
      </c>
    </row>
    <row r="531" spans="3:3" x14ac:dyDescent="0.3">
      <c r="C531" s="59" t="s">
        <v>252</v>
      </c>
    </row>
    <row r="532" spans="3:3" x14ac:dyDescent="0.3">
      <c r="C532" s="58" t="s">
        <v>170</v>
      </c>
    </row>
    <row r="533" spans="3:3" x14ac:dyDescent="0.3">
      <c r="C533" s="58" t="s">
        <v>171</v>
      </c>
    </row>
    <row r="534" spans="3:3" x14ac:dyDescent="0.3">
      <c r="C534" s="57" t="s">
        <v>172</v>
      </c>
    </row>
    <row r="535" spans="3:3" x14ac:dyDescent="0.3">
      <c r="C535" s="50" t="s">
        <v>211</v>
      </c>
    </row>
    <row r="536" spans="3:3" x14ac:dyDescent="0.3">
      <c r="C536" s="57" t="s">
        <v>253</v>
      </c>
    </row>
    <row r="537" spans="3:3" x14ac:dyDescent="0.3">
      <c r="C537" s="50" t="s">
        <v>208</v>
      </c>
    </row>
    <row r="538" spans="3:3" x14ac:dyDescent="0.3">
      <c r="C538" s="57" t="s">
        <v>173</v>
      </c>
    </row>
    <row r="539" spans="3:3" x14ac:dyDescent="0.3">
      <c r="C539" s="58" t="s">
        <v>174</v>
      </c>
    </row>
    <row r="540" spans="3:3" x14ac:dyDescent="0.3">
      <c r="C540" s="58" t="s">
        <v>175</v>
      </c>
    </row>
    <row r="541" spans="3:3" x14ac:dyDescent="0.3">
      <c r="C541" s="58" t="s">
        <v>254</v>
      </c>
    </row>
    <row r="542" spans="3:3" x14ac:dyDescent="0.3">
      <c r="C542" s="57" t="s">
        <v>172</v>
      </c>
    </row>
    <row r="543" spans="3:3" x14ac:dyDescent="0.3">
      <c r="C543" s="50" t="s">
        <v>202</v>
      </c>
    </row>
    <row r="544" spans="3:3" x14ac:dyDescent="0.3">
      <c r="C544" s="50" t="s">
        <v>203</v>
      </c>
    </row>
    <row r="545" spans="2:3" x14ac:dyDescent="0.3">
      <c r="C545" s="57" t="s">
        <v>177</v>
      </c>
    </row>
    <row r="546" spans="2:3" x14ac:dyDescent="0.3">
      <c r="C546" s="45" t="s">
        <v>178</v>
      </c>
    </row>
    <row r="547" spans="2:3" x14ac:dyDescent="0.3">
      <c r="C547" s="43" t="s">
        <v>178</v>
      </c>
    </row>
    <row r="549" spans="2:3" x14ac:dyDescent="0.3">
      <c r="C549" s="3" t="s">
        <v>12</v>
      </c>
    </row>
    <row r="550" spans="2:3" x14ac:dyDescent="0.3">
      <c r="C550" s="43" t="s">
        <v>255</v>
      </c>
    </row>
    <row r="552" spans="2:3" ht="14.4" thickBot="1" x14ac:dyDescent="0.35"/>
    <row r="553" spans="2:3" s="11" customFormat="1" x14ac:dyDescent="0.3">
      <c r="B553" s="11" t="s">
        <v>6</v>
      </c>
    </row>
  </sheetData>
  <dataValidations disablePrompts="1" count="2">
    <dataValidation type="list" allowBlank="1" showInputMessage="1" showErrorMessage="1" sqref="D201" xr:uid="{893ED3B8-8A5A-4E3F-83D4-2FE62185DD0C}">
      <formula1>"(none),Single,Horizontal,Vertical"</formula1>
    </dataValidation>
    <dataValidation type="list" allowBlank="1" showInputMessage="1" showErrorMessage="1" sqref="D221 D274:D275" xr:uid="{C520C3AA-940A-43A7-A6A7-0A899E51329A}">
      <formula1>_YesNo</formula1>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0E627-DCE2-49CE-85EF-5C2806AE3971}">
  <sheetPr codeName="Sheet2"/>
  <dimension ref="B1:T74"/>
  <sheetViews>
    <sheetView showGridLines="0" workbookViewId="0">
      <pane ySplit="1" topLeftCell="A2" activePane="bottomLeft" state="frozen"/>
      <selection pane="bottomLeft"/>
    </sheetView>
  </sheetViews>
  <sheetFormatPr defaultColWidth="9.109375" defaultRowHeight="13.8" x14ac:dyDescent="0.3"/>
  <cols>
    <col min="1" max="2" width="4.33203125" customWidth="1"/>
    <col min="3" max="3" width="4.6640625" customWidth="1"/>
  </cols>
  <sheetData>
    <row r="1" spans="2:20" s="1" customFormat="1" ht="30" customHeight="1" x14ac:dyDescent="0.3">
      <c r="C1" s="2" t="s">
        <v>60</v>
      </c>
    </row>
    <row r="2" spans="2:20" s="5" customFormat="1" ht="16.2" thickBot="1" x14ac:dyDescent="0.35">
      <c r="B2" s="6">
        <f xml:space="preserve"> MAX(B$1:B1) + 1</f>
        <v>1</v>
      </c>
      <c r="C2" s="5" t="s">
        <v>244</v>
      </c>
    </row>
    <row r="4" spans="2:20" x14ac:dyDescent="0.3">
      <c r="D4" s="56" t="s">
        <v>245</v>
      </c>
      <c r="E4" t="s">
        <v>248</v>
      </c>
    </row>
    <row r="5" spans="2:20" x14ac:dyDescent="0.3">
      <c r="D5" s="56" t="s">
        <v>246</v>
      </c>
      <c r="E5" t="s">
        <v>263</v>
      </c>
    </row>
    <row r="6" spans="2:20" x14ac:dyDescent="0.3">
      <c r="E6" t="s">
        <v>260</v>
      </c>
    </row>
    <row r="7" spans="2:20" x14ac:dyDescent="0.3">
      <c r="D7" s="56" t="s">
        <v>247</v>
      </c>
      <c r="E7" s="60" t="s">
        <v>262</v>
      </c>
    </row>
    <row r="10" spans="2:20" x14ac:dyDescent="0.3">
      <c r="B10" s="8" t="s">
        <v>249</v>
      </c>
      <c r="C10" s="7"/>
      <c r="D10" s="7"/>
      <c r="E10" s="7"/>
      <c r="F10" s="7"/>
      <c r="G10" s="7"/>
      <c r="H10" s="7"/>
      <c r="I10" s="7"/>
      <c r="J10" s="7"/>
      <c r="K10" s="7"/>
      <c r="L10" s="7"/>
      <c r="M10" s="7"/>
      <c r="N10" s="7"/>
      <c r="O10" s="7"/>
      <c r="P10" s="7"/>
      <c r="Q10" s="7"/>
      <c r="R10" s="7"/>
      <c r="S10" s="7"/>
      <c r="T10" s="7"/>
    </row>
    <row r="12" spans="2:20" x14ac:dyDescent="0.3">
      <c r="C12" s="4" t="s">
        <v>264</v>
      </c>
    </row>
    <row r="14" spans="2:20" x14ac:dyDescent="0.3">
      <c r="D14" t="s">
        <v>265</v>
      </c>
      <c r="H14" t="s">
        <v>267</v>
      </c>
      <c r="I14" t="s">
        <v>268</v>
      </c>
      <c r="K14" t="s">
        <v>270</v>
      </c>
    </row>
    <row r="15" spans="2:20" x14ac:dyDescent="0.3">
      <c r="D15" s="61" t="s">
        <v>266</v>
      </c>
      <c r="E15" s="62"/>
      <c r="F15" s="63"/>
      <c r="H15" s="27" t="s">
        <v>185</v>
      </c>
      <c r="I15" s="27" t="s">
        <v>269</v>
      </c>
      <c r="K15" s="39" t="str" cm="1">
        <f t="array" ref="K15" xml:space="preserve"> RXL_MultiSub(D15, H15:I15)</f>
        <v>This is a test input string</v>
      </c>
      <c r="L15" s="40"/>
      <c r="M15" s="41"/>
      <c r="N15" s="12" t="str">
        <f ca="1" xml:space="preserve"> _xlfn.FORMULATEXT(K15)</f>
        <v>= RXL_MultiSub(D15, H15:I15)</v>
      </c>
    </row>
    <row r="17" spans="3:14" x14ac:dyDescent="0.3">
      <c r="K17" t="s">
        <v>271</v>
      </c>
    </row>
    <row r="18" spans="3:14" x14ac:dyDescent="0.3">
      <c r="D18" s="61" t="s">
        <v>266</v>
      </c>
      <c r="E18" s="62"/>
      <c r="F18" s="63"/>
      <c r="H18" s="27" t="s">
        <v>89</v>
      </c>
      <c r="I18" s="27" t="s">
        <v>273</v>
      </c>
      <c r="K18" s="39" t="str" cm="1">
        <f t="array" ref="K18" xml:space="preserve"> RXL_MultiSub(D18, H18:I20)</f>
        <v>This is an input text phrase</v>
      </c>
      <c r="L18" s="40"/>
      <c r="M18" s="41"/>
      <c r="N18" s="12" t="str">
        <f ca="1" xml:space="preserve"> _xlfn.FORMULATEXT(K18)</f>
        <v>= RXL_MultiSub(D18, H18:I20)</v>
      </c>
    </row>
    <row r="19" spans="3:14" x14ac:dyDescent="0.3">
      <c r="H19" s="27" t="s">
        <v>274</v>
      </c>
      <c r="I19" s="27" t="s">
        <v>269</v>
      </c>
    </row>
    <row r="20" spans="3:14" x14ac:dyDescent="0.3">
      <c r="H20" s="27" t="s">
        <v>275</v>
      </c>
      <c r="I20" s="27" t="s">
        <v>276</v>
      </c>
    </row>
    <row r="22" spans="3:14" x14ac:dyDescent="0.3">
      <c r="K22" t="s">
        <v>272</v>
      </c>
    </row>
    <row r="23" spans="3:14" x14ac:dyDescent="0.3">
      <c r="D23" s="61" t="s">
        <v>266</v>
      </c>
      <c r="E23" s="62"/>
      <c r="F23" s="63"/>
      <c r="H23" s="27" t="s">
        <v>91</v>
      </c>
      <c r="I23" s="27" t="s">
        <v>94</v>
      </c>
      <c r="K23" s="39" t="str" cm="1">
        <f t="array" ref="K23" xml:space="preserve"> RXL_MultiSub(D23, H23:I23)</f>
        <v>Th_s _s a test text str_ng</v>
      </c>
      <c r="L23" s="40"/>
      <c r="M23" s="41"/>
      <c r="N23" s="12" t="str">
        <f ca="1" xml:space="preserve"> _xlfn.FORMULATEXT(K23)</f>
        <v>= RXL_MultiSub(D23, H23:I23)</v>
      </c>
    </row>
    <row r="26" spans="3:14" x14ac:dyDescent="0.3">
      <c r="C26" s="4" t="s">
        <v>279</v>
      </c>
    </row>
    <row r="27" spans="3:14" x14ac:dyDescent="0.3">
      <c r="K27" t="s">
        <v>282</v>
      </c>
    </row>
    <row r="28" spans="3:14" x14ac:dyDescent="0.3">
      <c r="D28" s="64" t="s">
        <v>283</v>
      </c>
      <c r="E28" s="65"/>
      <c r="F28" s="66"/>
      <c r="H28" s="27" t="s">
        <v>285</v>
      </c>
      <c r="I28" s="27" t="s">
        <v>286</v>
      </c>
      <c r="K28" s="39" t="str" cm="1">
        <f t="array" ref="K28:K29" xml:space="preserve"> RXL_MultiSub(D28:D29, H28:I28)</f>
        <v>My favourite animals are dogs.</v>
      </c>
      <c r="L28" s="40"/>
      <c r="M28" s="41"/>
    </row>
    <row r="29" spans="3:14" x14ac:dyDescent="0.3">
      <c r="D29" s="64" t="s">
        <v>284</v>
      </c>
      <c r="E29" s="65"/>
      <c r="F29" s="66"/>
      <c r="K29" s="39" t="str">
        <v>I have a pet dog at home.</v>
      </c>
      <c r="L29" s="40"/>
      <c r="M29" s="41"/>
    </row>
    <row r="31" spans="3:14" x14ac:dyDescent="0.3">
      <c r="K31" t="s">
        <v>277</v>
      </c>
    </row>
    <row r="32" spans="3:14" x14ac:dyDescent="0.3">
      <c r="F32" s="27" t="s">
        <v>72</v>
      </c>
      <c r="H32" s="27" t="s">
        <v>89</v>
      </c>
      <c r="I32" s="27" t="s">
        <v>94</v>
      </c>
      <c r="K32" s="26" t="str" cm="1">
        <f t="array" ref="K32:K36" xml:space="preserve"> RXL_MultiSub(F32:F36, H32:I36)</f>
        <v>Alph_</v>
      </c>
      <c r="L32" s="12" t="str">
        <f ca="1" xml:space="preserve"> _xlfn.FORMULATEXT(K32)</f>
        <v>= RXL_MultiSub(F32:F36, H32:I36)</v>
      </c>
    </row>
    <row r="33" spans="3:12" x14ac:dyDescent="0.3">
      <c r="F33" s="27" t="s">
        <v>73</v>
      </c>
      <c r="H33" s="27" t="s">
        <v>90</v>
      </c>
      <c r="I33" s="27" t="s">
        <v>94</v>
      </c>
      <c r="K33" s="26" t="str">
        <v>Br_v_</v>
      </c>
    </row>
    <row r="34" spans="3:12" x14ac:dyDescent="0.3">
      <c r="F34" s="27" t="s">
        <v>74</v>
      </c>
      <c r="H34" s="27" t="s">
        <v>91</v>
      </c>
      <c r="I34" s="27" t="s">
        <v>94</v>
      </c>
      <c r="K34" s="26" t="str">
        <v>Ch_rl__</v>
      </c>
    </row>
    <row r="35" spans="3:12" x14ac:dyDescent="0.3">
      <c r="F35" s="27" t="s">
        <v>75</v>
      </c>
      <c r="H35" s="27" t="s">
        <v>92</v>
      </c>
      <c r="I35" s="27" t="s">
        <v>94</v>
      </c>
      <c r="K35" s="26" t="str">
        <v>D_lt_</v>
      </c>
    </row>
    <row r="36" spans="3:12" x14ac:dyDescent="0.3">
      <c r="F36" s="27" t="s">
        <v>76</v>
      </c>
      <c r="H36" s="27" t="s">
        <v>93</v>
      </c>
      <c r="I36" s="27" t="s">
        <v>94</v>
      </c>
      <c r="K36" s="26" t="str">
        <v>Ech_</v>
      </c>
    </row>
    <row r="38" spans="3:12" x14ac:dyDescent="0.3">
      <c r="K38" t="s">
        <v>278</v>
      </c>
    </row>
    <row r="39" spans="3:12" x14ac:dyDescent="0.3">
      <c r="F39" s="27" t="s">
        <v>72</v>
      </c>
      <c r="H39" s="27" t="s">
        <v>89</v>
      </c>
      <c r="I39" s="27" t="s">
        <v>94</v>
      </c>
      <c r="K39" s="26" t="str" cm="1">
        <f t="array" ref="K39:K43" xml:space="preserve"> RXL_MultiSub(F39:F43, H39:I43, , , FALSE)</f>
        <v>_lph_</v>
      </c>
      <c r="L39" s="12" t="str">
        <f ca="1" xml:space="preserve"> _xlfn.FORMULATEXT(K39)</f>
        <v>= RXL_MultiSub(F39:F43, H39:I43, , , FALSE)</v>
      </c>
    </row>
    <row r="40" spans="3:12" x14ac:dyDescent="0.3">
      <c r="F40" s="27" t="s">
        <v>73</v>
      </c>
      <c r="H40" s="27" t="s">
        <v>90</v>
      </c>
      <c r="I40" s="27" t="s">
        <v>94</v>
      </c>
      <c r="K40" s="26" t="str">
        <v>Br_v_</v>
      </c>
    </row>
    <row r="41" spans="3:12" x14ac:dyDescent="0.3">
      <c r="F41" s="27" t="s">
        <v>74</v>
      </c>
      <c r="H41" s="27" t="s">
        <v>91</v>
      </c>
      <c r="I41" s="27" t="s">
        <v>94</v>
      </c>
      <c r="K41" s="26" t="str">
        <v>Ch_rl__</v>
      </c>
    </row>
    <row r="42" spans="3:12" x14ac:dyDescent="0.3">
      <c r="F42" s="27" t="s">
        <v>75</v>
      </c>
      <c r="H42" s="27" t="s">
        <v>92</v>
      </c>
      <c r="I42" s="27" t="s">
        <v>94</v>
      </c>
      <c r="K42" s="26" t="str">
        <v>D_lt_</v>
      </c>
    </row>
    <row r="43" spans="3:12" x14ac:dyDescent="0.3">
      <c r="F43" s="27" t="s">
        <v>76</v>
      </c>
      <c r="H43" s="27" t="s">
        <v>93</v>
      </c>
      <c r="I43" s="27" t="s">
        <v>94</v>
      </c>
      <c r="K43" s="26" t="str">
        <v>_ch_</v>
      </c>
    </row>
    <row r="46" spans="3:12" x14ac:dyDescent="0.3">
      <c r="C46" s="4" t="s">
        <v>288</v>
      </c>
    </row>
    <row r="47" spans="3:12" x14ac:dyDescent="0.3">
      <c r="K47" t="s">
        <v>280</v>
      </c>
    </row>
    <row r="48" spans="3:12" x14ac:dyDescent="0.3">
      <c r="F48" s="27" t="s">
        <v>72</v>
      </c>
      <c r="H48" s="27" t="s">
        <v>117</v>
      </c>
      <c r="I48" s="27" t="s">
        <v>94</v>
      </c>
      <c r="K48" s="26" t="str" cm="1">
        <f t="array" ref="K48:K52" xml:space="preserve"> RXL_MultiSub(F48:F52, H48:I52, , TRUE)</f>
        <v>_lph_</v>
      </c>
      <c r="L48" s="12" t="str">
        <f ca="1" xml:space="preserve"> _xlfn.FORMULATEXT(K48)</f>
        <v>= RXL_MultiSub(F48:F52, H48:I52, , TRUE)</v>
      </c>
    </row>
    <row r="49" spans="4:14" x14ac:dyDescent="0.3">
      <c r="F49" s="27" t="s">
        <v>73</v>
      </c>
      <c r="H49" s="27" t="s">
        <v>118</v>
      </c>
      <c r="I49" s="27" t="s">
        <v>94</v>
      </c>
      <c r="K49" s="26" t="str">
        <v>Br_v_</v>
      </c>
    </row>
    <row r="50" spans="4:14" x14ac:dyDescent="0.3">
      <c r="F50" s="27" t="s">
        <v>74</v>
      </c>
      <c r="H50" s="27" t="s">
        <v>119</v>
      </c>
      <c r="I50" s="27" t="s">
        <v>94</v>
      </c>
      <c r="K50" s="26" t="str">
        <v>Ch_rl__</v>
      </c>
    </row>
    <row r="51" spans="4:14" x14ac:dyDescent="0.3">
      <c r="F51" s="27" t="s">
        <v>75</v>
      </c>
      <c r="H51" s="27" t="s">
        <v>120</v>
      </c>
      <c r="I51" s="27" t="s">
        <v>94</v>
      </c>
      <c r="K51" s="26" t="str">
        <v>D_lt_</v>
      </c>
    </row>
    <row r="52" spans="4:14" x14ac:dyDescent="0.3">
      <c r="F52" s="27" t="s">
        <v>76</v>
      </c>
      <c r="H52" s="27" t="s">
        <v>121</v>
      </c>
      <c r="I52" s="27" t="s">
        <v>94</v>
      </c>
      <c r="K52" s="26" t="str">
        <v>_ch_</v>
      </c>
    </row>
    <row r="54" spans="4:14" x14ac:dyDescent="0.3">
      <c r="K54" t="s">
        <v>280</v>
      </c>
    </row>
    <row r="55" spans="4:14" x14ac:dyDescent="0.3">
      <c r="F55" s="27" t="s">
        <v>72</v>
      </c>
      <c r="H55" s="27" t="s">
        <v>281</v>
      </c>
      <c r="I55" s="27" t="s">
        <v>94</v>
      </c>
      <c r="K55" s="26" t="str" cm="1">
        <f t="array" ref="K55:K59" xml:space="preserve"> RXL_MultiSub(F55:F59, H55:I55, , TRUE)</f>
        <v>_lph_</v>
      </c>
      <c r="L55" s="12" t="str">
        <f ca="1" xml:space="preserve"> _xlfn.FORMULATEXT(K55)</f>
        <v>= RXL_MultiSub(F55:F59, H55:I55, , TRUE)</v>
      </c>
    </row>
    <row r="56" spans="4:14" x14ac:dyDescent="0.3">
      <c r="F56" s="27" t="s">
        <v>73</v>
      </c>
      <c r="K56" s="26" t="str">
        <v>Br_v_</v>
      </c>
    </row>
    <row r="57" spans="4:14" x14ac:dyDescent="0.3">
      <c r="F57" s="27" t="s">
        <v>74</v>
      </c>
      <c r="K57" s="26" t="str">
        <v>Ch_rl__</v>
      </c>
    </row>
    <row r="58" spans="4:14" x14ac:dyDescent="0.3">
      <c r="F58" s="27" t="s">
        <v>75</v>
      </c>
      <c r="K58" s="26" t="str">
        <v>D_lt_</v>
      </c>
    </row>
    <row r="59" spans="4:14" x14ac:dyDescent="0.3">
      <c r="F59" s="27" t="s">
        <v>76</v>
      </c>
      <c r="K59" s="26" t="str">
        <v>_ch_</v>
      </c>
    </row>
    <row r="61" spans="4:14" x14ac:dyDescent="0.3">
      <c r="K61" t="s">
        <v>291</v>
      </c>
    </row>
    <row r="62" spans="4:14" x14ac:dyDescent="0.3">
      <c r="D62" s="27" t="s">
        <v>266</v>
      </c>
      <c r="E62" s="27"/>
      <c r="F62" s="27"/>
      <c r="H62" s="27" t="s">
        <v>289</v>
      </c>
      <c r="I62" s="27" t="s">
        <v>94</v>
      </c>
      <c r="K62" s="39" t="str" cm="1">
        <f t="array" ref="K62" xml:space="preserve"> RXL_MultiSub(D62, H62:I62, , TRUE)</f>
        <v>Th_ _ a test text string</v>
      </c>
      <c r="L62" s="40"/>
      <c r="M62" s="41"/>
      <c r="N62" s="12" t="str">
        <f ca="1" xml:space="preserve"> _xlfn.FORMULATEXT(K62)</f>
        <v>= RXL_MultiSub(D62, H62:I62, , TRUE)</v>
      </c>
    </row>
    <row r="63" spans="4:14" x14ac:dyDescent="0.3">
      <c r="H63" s="27" t="s">
        <v>290</v>
      </c>
      <c r="I63" s="27" t="s">
        <v>94</v>
      </c>
      <c r="K63" s="39" t="str" cm="1">
        <f t="array" ref="K63" xml:space="preserve"> RXL_MultiSub(D62, H63:I63, , TRUE)</f>
        <v>This _ a test text string</v>
      </c>
      <c r="L63" s="40"/>
      <c r="M63" s="41"/>
      <c r="N63" s="12" t="str">
        <f ca="1" xml:space="preserve"> _xlfn.FORMULATEXT(K63)</f>
        <v>= RXL_MultiSub(D62, H63:I63, , TRUE)</v>
      </c>
    </row>
    <row r="66" spans="2:17" x14ac:dyDescent="0.3">
      <c r="C66" s="4" t="s">
        <v>287</v>
      </c>
    </row>
    <row r="67" spans="2:17" x14ac:dyDescent="0.3">
      <c r="K67" t="s">
        <v>294</v>
      </c>
    </row>
    <row r="68" spans="2:17" x14ac:dyDescent="0.3">
      <c r="D68" s="61" t="s">
        <v>292</v>
      </c>
      <c r="E68" s="62"/>
      <c r="F68" s="62"/>
      <c r="G68" s="62"/>
      <c r="H68" s="62"/>
      <c r="I68" s="63"/>
      <c r="K68" s="39" t="str" cm="1">
        <f t="array" ref="K68" xml:space="preserve"> RXL_MultiSub(D68, H69:I69)</f>
        <v>This is a text array which can be divided into a array of characters.</v>
      </c>
      <c r="L68" s="40"/>
      <c r="M68" s="40"/>
      <c r="N68" s="40"/>
      <c r="O68" s="40"/>
      <c r="P68" s="41"/>
      <c r="Q68" s="12" t="str">
        <f ca="1" xml:space="preserve"> _xlfn.FORMULATEXT(K68)</f>
        <v>= RXL_MultiSub(D68, H69:I69)</v>
      </c>
    </row>
    <row r="69" spans="2:17" x14ac:dyDescent="0.3">
      <c r="H69" s="30" t="s">
        <v>275</v>
      </c>
      <c r="I69" s="30" t="s">
        <v>293</v>
      </c>
      <c r="K69" s="39" t="str" cm="1">
        <f t="array" ref="K69" xml:space="preserve"> RXL_MultiSub(D68, H69:I69, 1)</f>
        <v>This is a text array which can be divided into a string of characters.</v>
      </c>
      <c r="L69" s="40"/>
      <c r="M69" s="40"/>
      <c r="N69" s="40"/>
      <c r="O69" s="40"/>
      <c r="P69" s="41"/>
      <c r="Q69" s="12" t="str">
        <f ca="1" xml:space="preserve"> _xlfn.FORMULATEXT(K69)</f>
        <v>= RXL_MultiSub(D68, H69:I69, 1)</v>
      </c>
    </row>
    <row r="70" spans="2:17" x14ac:dyDescent="0.3">
      <c r="K70" s="39" t="str" cm="1">
        <f t="array" ref="K70" xml:space="preserve"> RXL_MultiSub(D68, H69:I69, 2)</f>
        <v>This is a text string which can be divided into a array of characters.</v>
      </c>
      <c r="L70" s="40"/>
      <c r="M70" s="40"/>
      <c r="N70" s="40"/>
      <c r="O70" s="40"/>
      <c r="P70" s="41"/>
      <c r="Q70" s="12" t="str">
        <f ca="1" xml:space="preserve"> _xlfn.FORMULATEXT(K70)</f>
        <v>= RXL_MultiSub(D68, H69:I69, 2)</v>
      </c>
    </row>
    <row r="71" spans="2:17" x14ac:dyDescent="0.3">
      <c r="K71" s="39" t="str" cm="1">
        <f t="array" ref="K71" xml:space="preserve"> RXL_MultiSub(D68, H69:I69, 3)</f>
        <v>This is a text string which can be divided into a string of characters.</v>
      </c>
      <c r="L71" s="40"/>
      <c r="M71" s="40"/>
      <c r="N71" s="40"/>
      <c r="O71" s="40"/>
      <c r="P71" s="41"/>
      <c r="Q71" s="12" t="str">
        <f ca="1" xml:space="preserve"> _xlfn.FORMULATEXT(K71)</f>
        <v>= RXL_MultiSub(D68, H69:I69, 3)</v>
      </c>
    </row>
    <row r="73" spans="2:17" ht="14.4" thickBot="1" x14ac:dyDescent="0.35"/>
    <row r="74" spans="2:17" s="11" customFormat="1" x14ac:dyDescent="0.3">
      <c r="B74" s="11" t="s">
        <v>6</v>
      </c>
    </row>
  </sheetData>
  <hyperlinks>
    <hyperlink ref="E7" r:id="rId1" xr:uid="{7ECFDBFD-656C-44A5-85FE-5716D3E62CD0}"/>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35CF2-7727-44E3-A9EA-0F2F4463DEDC}">
  <sheetPr codeName="Sheet3"/>
  <dimension ref="B1:C110"/>
  <sheetViews>
    <sheetView showGridLines="0" workbookViewId="0">
      <pane ySplit="1" topLeftCell="A2" activePane="bottomLeft" state="frozen"/>
      <selection pane="bottomLeft"/>
    </sheetView>
  </sheetViews>
  <sheetFormatPr defaultRowHeight="13.8" x14ac:dyDescent="0.3"/>
  <cols>
    <col min="1" max="2" width="4.33203125" customWidth="1"/>
  </cols>
  <sheetData>
    <row r="1" spans="2:3" s="1" customFormat="1" ht="30" customHeight="1" x14ac:dyDescent="0.3">
      <c r="C1" s="2" t="s">
        <v>60</v>
      </c>
    </row>
    <row r="2" spans="2:3" s="5" customFormat="1" ht="16.2" thickBot="1" x14ac:dyDescent="0.35">
      <c r="B2" s="6">
        <f xml:space="preserve"> MAX(B$1:B1) + 1</f>
        <v>1</v>
      </c>
      <c r="C2" s="5" t="s">
        <v>15</v>
      </c>
    </row>
    <row r="4" spans="2:3" x14ac:dyDescent="0.3">
      <c r="C4" t="s">
        <v>61</v>
      </c>
    </row>
    <row r="6" spans="2:3" x14ac:dyDescent="0.3">
      <c r="B6" s="18" t="s">
        <v>17</v>
      </c>
      <c r="C6" t="s">
        <v>18</v>
      </c>
    </row>
    <row r="7" spans="2:3" x14ac:dyDescent="0.3">
      <c r="B7" s="18" t="s">
        <v>19</v>
      </c>
      <c r="C7" t="s">
        <v>20</v>
      </c>
    </row>
    <row r="17" spans="2:3" x14ac:dyDescent="0.3">
      <c r="B17" s="18" t="s">
        <v>21</v>
      </c>
      <c r="C17" t="s">
        <v>62</v>
      </c>
    </row>
    <row r="38" spans="2:3" x14ac:dyDescent="0.3">
      <c r="B38" s="18" t="s">
        <v>22</v>
      </c>
      <c r="C38" t="s">
        <v>23</v>
      </c>
    </row>
    <row r="39" spans="2:3" x14ac:dyDescent="0.3">
      <c r="B39" s="18" t="s">
        <v>24</v>
      </c>
      <c r="C39" t="s">
        <v>25</v>
      </c>
    </row>
    <row r="40" spans="2:3" x14ac:dyDescent="0.3">
      <c r="C40" t="s">
        <v>63</v>
      </c>
    </row>
    <row r="64" spans="2:3" x14ac:dyDescent="0.3">
      <c r="B64" s="18" t="s">
        <v>26</v>
      </c>
      <c r="C64" t="s">
        <v>27</v>
      </c>
    </row>
    <row r="71" spans="2:3" s="5" customFormat="1" ht="16.2" thickBot="1" x14ac:dyDescent="0.35">
      <c r="B71" s="6">
        <f xml:space="preserve"> MAX(B$1:B70) + 1</f>
        <v>2</v>
      </c>
      <c r="C71" s="5" t="s">
        <v>16</v>
      </c>
    </row>
    <row r="73" spans="2:3" x14ac:dyDescent="0.3">
      <c r="C73" s="19" t="s">
        <v>43</v>
      </c>
    </row>
    <row r="74" spans="2:3" x14ac:dyDescent="0.3">
      <c r="C74" s="19"/>
    </row>
    <row r="75" spans="2:3" x14ac:dyDescent="0.3">
      <c r="C75" s="19" t="s">
        <v>44</v>
      </c>
    </row>
    <row r="76" spans="2:3" x14ac:dyDescent="0.3">
      <c r="C76" s="19" t="s">
        <v>45</v>
      </c>
    </row>
    <row r="77" spans="2:3" x14ac:dyDescent="0.3">
      <c r="C77" s="19" t="s">
        <v>28</v>
      </c>
    </row>
    <row r="78" spans="2:3" x14ac:dyDescent="0.3">
      <c r="C78" s="20" t="s">
        <v>29</v>
      </c>
    </row>
    <row r="79" spans="2:3" x14ac:dyDescent="0.3">
      <c r="C79" s="19" t="s">
        <v>64</v>
      </c>
    </row>
    <row r="80" spans="2:3" x14ac:dyDescent="0.3">
      <c r="C80" s="19" t="s">
        <v>28</v>
      </c>
    </row>
    <row r="81" spans="3:3" x14ac:dyDescent="0.3">
      <c r="C81" s="21" t="s">
        <v>30</v>
      </c>
    </row>
    <row r="82" spans="3:3" x14ac:dyDescent="0.3">
      <c r="C82" s="20" t="s">
        <v>31</v>
      </c>
    </row>
    <row r="83" spans="3:3" x14ac:dyDescent="0.3">
      <c r="C83" s="19" t="s">
        <v>46</v>
      </c>
    </row>
    <row r="84" spans="3:3" x14ac:dyDescent="0.3">
      <c r="C84" s="21" t="s">
        <v>32</v>
      </c>
    </row>
    <row r="85" spans="3:3" x14ac:dyDescent="0.3">
      <c r="C85" s="19" t="s">
        <v>47</v>
      </c>
    </row>
    <row r="86" spans="3:3" x14ac:dyDescent="0.3">
      <c r="C86" s="19" t="s">
        <v>48</v>
      </c>
    </row>
    <row r="87" spans="3:3" x14ac:dyDescent="0.3">
      <c r="C87" s="21" t="s">
        <v>33</v>
      </c>
    </row>
    <row r="88" spans="3:3" x14ac:dyDescent="0.3">
      <c r="C88" s="21" t="s">
        <v>34</v>
      </c>
    </row>
    <row r="89" spans="3:3" x14ac:dyDescent="0.3">
      <c r="C89" s="19" t="s">
        <v>28</v>
      </c>
    </row>
    <row r="90" spans="3:3" x14ac:dyDescent="0.3">
      <c r="C90" s="21" t="s">
        <v>30</v>
      </c>
    </row>
    <row r="91" spans="3:3" x14ac:dyDescent="0.3">
      <c r="C91" s="19" t="s">
        <v>49</v>
      </c>
    </row>
    <row r="92" spans="3:3" x14ac:dyDescent="0.3">
      <c r="C92" s="19" t="s">
        <v>50</v>
      </c>
    </row>
    <row r="93" spans="3:3" x14ac:dyDescent="0.3">
      <c r="C93" s="19" t="s">
        <v>35</v>
      </c>
    </row>
    <row r="94" spans="3:3" x14ac:dyDescent="0.3">
      <c r="C94" s="19" t="s">
        <v>51</v>
      </c>
    </row>
    <row r="95" spans="3:3" x14ac:dyDescent="0.3">
      <c r="C95" s="19" t="s">
        <v>36</v>
      </c>
    </row>
    <row r="96" spans="3:3" x14ac:dyDescent="0.3">
      <c r="C96" s="19" t="s">
        <v>37</v>
      </c>
    </row>
    <row r="97" spans="2:3" x14ac:dyDescent="0.3">
      <c r="C97" s="19" t="s">
        <v>52</v>
      </c>
    </row>
    <row r="98" spans="2:3" x14ac:dyDescent="0.3">
      <c r="C98" s="19" t="s">
        <v>38</v>
      </c>
    </row>
    <row r="99" spans="2:3" x14ac:dyDescent="0.3">
      <c r="C99" s="19" t="s">
        <v>53</v>
      </c>
    </row>
    <row r="100" spans="2:3" x14ac:dyDescent="0.3">
      <c r="C100" s="21" t="s">
        <v>39</v>
      </c>
    </row>
    <row r="101" spans="2:3" x14ac:dyDescent="0.3">
      <c r="C101" s="19" t="s">
        <v>54</v>
      </c>
    </row>
    <row r="102" spans="2:3" x14ac:dyDescent="0.3">
      <c r="C102" s="21" t="s">
        <v>40</v>
      </c>
    </row>
    <row r="103" spans="2:3" x14ac:dyDescent="0.3">
      <c r="C103" s="21" t="s">
        <v>41</v>
      </c>
    </row>
    <row r="104" spans="2:3" x14ac:dyDescent="0.3">
      <c r="C104" s="19" t="s">
        <v>55</v>
      </c>
    </row>
    <row r="105" spans="2:3" x14ac:dyDescent="0.3">
      <c r="C105" s="21" t="s">
        <v>34</v>
      </c>
    </row>
    <row r="106" spans="2:3" x14ac:dyDescent="0.3">
      <c r="C106" s="19" t="s">
        <v>28</v>
      </c>
    </row>
    <row r="107" spans="2:3" x14ac:dyDescent="0.3">
      <c r="C107" s="21" t="s">
        <v>42</v>
      </c>
    </row>
    <row r="109" spans="2:3" ht="14.4" thickBot="1" x14ac:dyDescent="0.35"/>
    <row r="110" spans="2:3" s="11" customFormat="1" x14ac:dyDescent="0.3">
      <c r="B110" s="11" t="s">
        <v>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DF9B9-9900-4270-ACEB-9B96B98B9BAC}">
  <sheetPr codeName="Sheet4"/>
  <dimension ref="B1:D10"/>
  <sheetViews>
    <sheetView showGridLines="0" workbookViewId="0">
      <pane ySplit="1" topLeftCell="A2" activePane="bottomLeft" state="frozen"/>
      <selection pane="bottomLeft"/>
    </sheetView>
  </sheetViews>
  <sheetFormatPr defaultRowHeight="13.8" x14ac:dyDescent="0.3"/>
  <cols>
    <col min="1" max="2" width="4.33203125" customWidth="1"/>
  </cols>
  <sheetData>
    <row r="1" spans="2:4" s="1" customFormat="1" ht="30" customHeight="1" x14ac:dyDescent="0.3">
      <c r="C1" s="2" t="s">
        <v>56</v>
      </c>
    </row>
    <row r="3" spans="2:4" x14ac:dyDescent="0.3">
      <c r="B3" s="22">
        <v>1</v>
      </c>
      <c r="C3" s="24">
        <v>1</v>
      </c>
    </row>
    <row r="4" spans="2:4" x14ac:dyDescent="0.3">
      <c r="B4" s="22">
        <v>0</v>
      </c>
      <c r="C4" s="24">
        <v>0</v>
      </c>
      <c r="D4" s="23" t="s">
        <v>57</v>
      </c>
    </row>
    <row r="6" spans="2:4" x14ac:dyDescent="0.3">
      <c r="B6" s="22">
        <v>1</v>
      </c>
      <c r="C6" s="25">
        <v>1</v>
      </c>
    </row>
    <row r="7" spans="2:4" x14ac:dyDescent="0.3">
      <c r="B7" s="22">
        <v>0</v>
      </c>
      <c r="C7" s="25">
        <v>0</v>
      </c>
      <c r="D7" s="23" t="s">
        <v>58</v>
      </c>
    </row>
    <row r="9" spans="2:4" ht="14.4" thickBot="1" x14ac:dyDescent="0.35"/>
    <row r="10" spans="2:4" s="11" customFormat="1" x14ac:dyDescent="0.3">
      <c r="B10" s="11" t="s">
        <v>6</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XABuAC8AKgAgACAAUgBYAEwAXwBNAHUAbAB0AGkAUwB1AGIAIABGAHUAbgBjAHQAaQBvAG4AXABuACAAIAAgACAAIAAgACAAIAB2AGUAcgBzAGkAbwBuACAAMQAuADAAMwAgACAAKAAyADUALwAwADcALwAyADAAMgA1ACkAXABuACAAIAAgACAAIAAgACAAIABSACAAUwBpAGwAawAsACAAUgBYAEwAIABEAGUAdgBlAGwAbwBwAG0AZQBuAHQAXABuACAAIAAgACAAIAAgACAAIABoAHQAdABwAHMAOgAvAC8AZwBpAHMAdAAuAGcAaQB0AGgAdQBiAC4AYwBvAG0ALwByAC0AcwBpAGwAawAvADkAZgBlADcANABlAGMANQAxADEAMgA1ADQAMABmADUAZQBhAGMAOQBhADIAMgA0AGEANAA4ADkANgA1AGUAYQBcAG4AKgAvAFwAbgAvACoAXABuACAAIAAgACAATgBhAG0AZQA6ACAAIAAgACAAIAAgACAAIABNAHUAbAB0AGkAUwB1AGIAKAApAFwAbgAgACAAIAAgAEQAZQBzAGMAcgBpAHAAdABpAG8AbgA6ACAAKgAvAC8AKgAqAE0AYQB0AGMAaABpAG4AZwAgAGEAbgBkACAAcwB1AGIAcwB0AGkAdAB1AHQAaQBvAG4AIABvAGYAIABtAHUAbAB0AGkAcABsAGUAIAB0AGUAeAB0ACAAdgBhAGwAdQBlAHMAIABpAG4AIABpAG4AcAB1AHQAIAB0AGUAeAB0ACAAdQBzAGkAbgBnACAAYQBuACAAYQByAHIAYQB5ACAAbwBmACAAdABlAHgAdAA6AHIAZQBwAGwAYQBjAGUAbQBlAG4AdAAgAHAAYQBpAHIAcwAqAC8ALwAqAFwAbgAgACAAIAAgAFAAYQByAGEAbQBlAHQAZQByAHMAOgBcAG4AIAAgACAAIAAgACAAIAAgACsAIAB0AGUAeAB0ACAAIAAgACAAIAAgACAAIAAgACAAIAAgACAAIAA9ACAAKAByAGUAcQB1AGkAcgBlAGQAKQAgAHQAaABlACAAdABlAHgAdAAgAHMAdAByAGkAbgBnACAAbwByACAAYQByAHIAYQB5ACAAdABvACAAcwBlAGEAcgBjAGgAIABmAG8AcgAgAG0AYQB0AGMAaABlAHMAIABhAG4AZAAgAHMAdQBiAHMAdABpAHQAdQB0AGkAbwBuAHMAXABuACAAIAAgACAAIAAgACAAIAArACAAcgBlAHAAbABhAGMAZQBtAGUAbgB0AF8AcABhAGkAcgBzACAAPQAgACgAcgBlAHEAdQBpAHIAZQBkACkAIAB0AGgAZQAgAHQAYQBiAGwAZQAgAG8AZgAgAHQAZQB4AHQAOgByAGUAcABsAGEAYwBlAG0AZQBuAHQAIABwAGEAaQByAHMAIABpAG4AIABhACAAcwBlAHQAIABmAG8AcgBtAGEAdABcAG4AIAAgACAAIAAgACAAIAAgACAAIAAgACAAIAAgACAAIAAgACAAIAAgACAAIAAgACAAIAAgACAAIAAgACAAIAAgAE0AdQBzAHQAIABiAGUAIABtAGEAZABlACAAdQBwACAAbwBmACAAdAB3AG8AIABjAG8AbAB1AG0AbgBzACwAIABiAHUAdAAgAGMAYQBuACAAaABhAHYAZQAgAGEAbgB5ACAAbgB1AG0AYgBlAHIAIABvAGYAIAByAG8AdwBzAFwAbgAgACAAIAAgACAAIAAgACAAIAAgACAAIAAgACAAIAAgACAAIAAgACAAIAAgACAAIAAgACAAIAAgACAAIAAgACAAIAAgACAAIAAtAD4AIABDAG8AbAB1AG0AbgAgADEAIABzAGgAbwB1AGwAZAAgAGMAbwBuAHQAYQBpAG4AIAB0AGgAZQAgAHQAZQB4AHQAIABvAHIAIABSAGUAZwBFAHgAIABwAGEAdAB0AGUAcgBuAHMAIAB0AG8AIABzAGUAYQByAGMAaAAgAGYAbwByADsAIABjAGEAbgBuAG8AdAAgAGIAZQAgAGIAbABhAG4AawAgAGMAZQBsAGwAcwAvAHYAYQBsAHUAZQBzACAAbwByACAAYQBuACAAZQBtAHAAdAB5ACAAcwB0AHIAaQBuAGcAIAAoAFwAIgBcACIAKQBcAG4AIAAgACAAIAAgACAAIAAgACAAIAAgACAAIAAgACAAIAAgACAAIAAgACAAIAAgACAAIAAgACAAIAAgACAAIAAgACAAIAAgACAALQA+ACAAQwBvAGwAdQBtAG4AIAAyACAAcwBoAG8AdQBsAGQAIABjAG8AbgB0AGEAaQBuACAAdABoAGUAIAByAGUAcABsAGEAYwBlAG0AZQBuAHQAIAB0AGUAeAB0ACAAZgBvAHIAIAB0AGgAZQAgAHMAdQBiAHMAdABpAHQAdQB0AGkAbwBuAFwAbgAgACAAIAAgACAAIAAgACAAKwAgAGkAbgBzAHQAYQBuAGMAZQBfAG4AdQBtACAAIAAgACAAIAAgAD0AIAAoAG8AcAB0AGkAbwBuAGEAbAApACAAdgBhAGwAdQBlACAAbwByACAAYQByAHIAYQB5ACAAbwBmACAAdgBhAGwAdQBlAHMAIABpAG4AZABpAGMAYQB0AGkAbgBnACAAdABoAGUAIABpAG4AcwB0AGEAbgBjAGUAIABuAHUAbQBiAGUAcgAgAG8AZgAgAHQAaABlACAAbQBhAHQAYwBoAGkAbgBnACAAdABlAHgAdAAvAFIAZQBnAEUAeAAgAHAAYQB0AHQAZQByAG4AIAB3AGgAaQBjAGgAIABzAGgAbwB1AGwAZAAgAGIAZQAgAHIAZQBwAGwAYQBjAGUAZAAgAGkAbgAgAHQAaABlACAAcwBvAHUAcgBjAGUAIAB0AGUAeAB0AFwAbgAgACAAIAAgACAAIAAgACAAIAAgACAAIAAgACAAIAAgACAAIAAgACAAIAAgACAAIAAgACAAIAAgACAAIAAgACAASQBmACAAbgBvACAAaQBuAHAAdQB0ACAAdgBhAGwAdQBlACAAbwByACAAYQAgADAAIAAoAHoAZQByAG8AKQAgAHYAYQBsAHUAZQAgAGkAcwAgAHAAcgBvAHYAaQBkAGUAZAAgACgAZABlAGYAYQB1AGwAdAApACAAdABoAGUAbgAgAGEAbABsACAAaQBuAHMAdABhAG4AYwBlAHMAIABvAGYAIABtAGEAdABjAGgAZQBzACAAdwBpAGwAbAAgAGIAZQAgAHIAZQBwAGwAYQBjAGUAZAAgAGkAbgAgAHQAaABlACAAcwBvAHUAcgBjAGUAIAB0AGUAeAB0AFwAbgAgACAAIAAgACAAIAAgACAAIAAgACAAIAAgACAAIAAgACAAIAAgACAAIAAgACAAIAAgACAAIAAgACAAIAAgACAASQBmACAAYQAgAHMAaQBuAGcAbABlACAAaQBuAHAAdQB0ACAAdgBhAGwAdQBlACAAaQBzACAAcAByAG8AdgBpAGQAZQBkACwAIAB0AGgAZQBuACAAdABoAGEAdAAgAGkAbgBzAHQAYQBuAGMAZQAgAG4AdQBtAGIAZQByACAAaQBzACAAdQBzAGUAZAAgAGYAbwByACAAYQBsAGwAIAB0AGUAeAB0ADoAcgBlAHAAbABhAGMAZQBtAGUAbgB0ACAAcABhAGkAcgBzAFwAbgAgACAAIAAgACAAIAAgACAAIAAgACAAIAAgACAAIAAgACAAIAAgACAAIAAgACAAIAAgACAAIAAgACAAIAAgACAASQBmACAAYQBuACAAYQByAHIAYQB5ACAAbwBmACAAaQBuAHAAdQB0ACAAdgBhAGwAdQBlAHMAIABpAHMAIABwAHIAbwB2AGkAZABlAGQALAAgAHQAaABlAG4AIAB0AGgAZQAgADEAcwB0ACAAaQBuAHMAdABhAG4AYwBlACAAdgBhAGwAdQBlACAAaQBzACAAdQBzAGUAZAAgAGYAbwByACAAdABoAGUAIAAxAHMAdAAgAHQAZQB4AHQAOgByAGUAcABsAGEAYwBlAG0AZQBuAHQAIABwAGEAaQByACwAIAAyAG4AZAAgAGkAbgBzAHQAYQBuAGMAZQAgAG4AdQBtAGIAZQByACAAZgBvAHIAIAB0AGgAZQAgADIAbgBkACAAdABlAHgAdAA6AHIAZQBwAGwAYQBjAGUAbQBlAG4AdAAgAHAAYQBpAHIALAAgAGUAdABjAC4AXABuACAAIAAgACAAIAAgACAAIAAgACAAIAAgACAAIAAgACAAIAAgACAAIAAgACAAIAAgACAAIAAgACAAIAAgACAAIAAgACAAIAAgAE4AbwB0AGUAIAAtACAAdwBoAGUAcgBlACAAYQBuACAAYQByAHIAYQB5ACAAbwBmACAAdgBhAGwAdQBlAHMAIABpAHMAIAB1AHMAZQBkACwAIABpAHQAIABtAHUAcwB0ACAAYgBlACAAYQAgADEARAAgAGEAcgByAGEAeQAgAGEAbgBkACAAdABoAGUAIABuAHUAbQBiAGUAcgAgAG8AZgAgAHYAYQBsAHUAZQBzACAAaQBuACAAdABoAGUAIABhAHIAcgBhAHkAIABtAHUAcwB0ACAAbQBhAHQAYwBoACAAdABoAGUAIABuAHUAbQBiAGUAcgAgAG8AZgAgAHQAZQB4AHQAOgByAGUAcABsAGEAYwBlAG0AZQBuAHQAIABwAGEAaQByAHMAXABuACAAIAAgACAAIAAgACAAIAAgACAAIAAgACAAIAAgACAAIAAgACAAIAAgACAAIAAgACAAIAAgACAAIAAgACAAIABJAG4AIAB0AGgAZQAgAFIAZQBnAEUAeAAgAG0AYQB0AGMAaABpAG4AZwAgAG0AbwBkAGUAIABpAG4AcAB1AHQAIAB2AGEAbAB1AGUAcwAgAGMAYQBuACAAYgBlACAAcABvAHMAaQB0AGkAdgBlACAAKAArACkAIABvAHIAIABuAGUAZwBhAHQAaQB2AGUAIAAoAC0AKQBcAG4AIAAgACAAIAAgACAAIAAgACAAIAAgACAAIAAgACAAIAAgACAAIAAgACAAIAAgACAAIAAgACAAIAAgACAAIAAgACAAIAAgACAALQA+ACAAZgBvAHIAIABwAG8AcwBpAHQAaQB2AGUAIAB2AGEAbAB1AGUAcwAsACAAbQBhAHQAYwBoAGUAcwAgAGEAcgBlACAAYwBvAHUAbgB0AGUAZAAgAGYAcgBvAG0AIAB0AGgAZQAgAHMAdABhAHIAdAAgAG8AZgAgAHQAaABlACAAcwBvAHUAcgBjAGUAIAB0AGUAeAB0AFwAbgAgACAAIAAgACAAIAAgACAAIAAgACAAIAAgACAAIAAgACAAIAAgACAAIAAgACAAIAAgACAAIAAgACAAIAAgACAAIAAgACAAIAAtAD4AIABmAG8AcgAgAG4AZQBnAGEAdABpAHYAZQAgAHYAYQBsAHUAZQBzACwAIABtAGEAdABjAGgAZQBzACAAYQByAGUAIABjAG8AdQBuAHQAZQBkACAAZgByAG8AbQAgAHQAaABlACAAZQBuAGQAIABvAGYAIAB0AGgAZQAgAHMAbwB1AHIAYwBlACAAdABlAHgAdAAgACgAcgBlAHYAZQByAHMAZQAgAG8AZgAgAHMAdABhAG4AZABhAHIAZAApAFwAbgAgACAAIAAgACAAIAAgACAAKwAgAHIAZQBnAGUAeABfAG0AbwBkAGUAIAAgACAAIAAgACAAIAAgAD0AIAAoAG8AcAB0AGkAbwBuAGEAbAApACAAZABlAHQAZQByAG0AaQBuAGUAcwAgAHcAaABlAHQAaABlAHIAIAB0AG8AIAB1AHMAZQAgAFIAZQBnAEUAeAAgAHAAYQB0AHQAZQByAG4AIABtAGEAdABjAGgAaQBuAGcAXABuACAAIAAgACAAIAAgACAAIAAgACAAIAAgACAAIAAgACAAIAAgACAAIAAgACAAIAAgACAAIAAgACAAIAAgACAAIABDAGEAbgAgAGIAZQAgAGUAbgB0AGUAcgBlAGQAIABhAHMAIABhACAAbgB1AG0AYgBlAHIAIABvAHIAIABhACAAbABvAGcAaQBjAGEAbAAvAEIAbwBvAGwAZQBhAG4AIAB2AGEAbAB1AGUAIAAtAD4AIAAxAC8AVABSAFUARQAgAG8AcgAgADAALwBGAEEATABTAEUAXABuACAAIAAgACAAIAAgACAAIAAgACAAIAAgACAAIAAgACAAIAAgACAAIAAgACAAIAAgACAAIAAgACAAIAAgACAAIABJAGYAIABuAG8AIABpAG4AcAB1AHQAIAB2AGEAbAB1AGUAIABpAHMAIABwAHIAbwB2AGkAZABlAGQALAAgAHcAaQBsAGwAIABkAGUAZgBhAHUAbAB0ACAAdABvACAAMAAvAEYAQQBMAFMARQBcAG4AIAAgACAAIAAgACAAIAAgACsAIABjAGEAcwBlAF8AcwBlAG4AcwBpAHQAaQB2AGUAIAAgACAAIAA9ACAAKABvAHAAdABpAG8AbgBhAGwAKQAgAGQAZQB0AGUAcgBtAGkAbgBlAHMAIAB3AGgAZQB0AGgAZQByACAAdABvACAAdQBzAGUAIABjAGEAcwBlACAAcwBlAG4AcwBpAHQAaQB2AGUAIABvAHIAIABjAGEAcwBlACAAaQBuAHMAZQBuAHMAaQB0AGkAdgBlACAAbQBhAHQAYwBoAGkAbgBnAFwAbgAgACAAIAAgACAAIAAgACAAIAAgACAAIAAgACAAIAAgACAAIAAgACAAIAAgACAAIAAgACAAIAAgACAAIAAgACAAQwBhAG4AIABiAGUAIABlAG4AdABlAHIAZQBkACAAYQBzACAAYQAgAG4AdQBtAGIAZQByACAAbwByACAAYQAgAGwAbwBnAGkAYwBhAGwALwBCAG8AbwBsAGUAYQBuACAAdgBhAGwAdQBlAFwAbgAgACAAIAAgACAAIAAgACAAIAAgACAAIAAgACAAIAAgACAAIAAgACAAIAAgACAAIAAgACAAIAAgACAAIAAgACAAIAAgACAAIAAxAC8AVABSAFUARQAgACAAPQAgAGMAYQBzAGUAIABzAGUAbgBzAGkAdABpAHYAZQAgAG0AYQB0AGMAaABpAG4AZwBcAG4AIAAgACAAIAAgACAAIAAgACAAIAAgACAAIAAgACAAIAAgACAAIAAgACAAIAAgACAAIAAgACAAIAAgACAAIAAgACAAIAAgACAAMAAvAEYAQQBMAFMARQAgAD0AIABjAGEAcwBlACAAaQBuAHMAZQBuAHMAaQB0AGkAdgBlACAAbQBhAHQAYwBoAGkAbgBnAFwAbgAgACAAIAAgACAAIAAgACAAIAAgACAAIAAgACAAIAAgACAAIAAgACAAIAAgACAAIAAgACAAIAAgACAAIAAgACAASQBmACAAbgBvACAAaQBuAHAAdQB0ACAAdgBhAGwAdQBlACAAaQBzACAAcAByAG8AdgBpAGQAZQBkACwAIAB3AGkAbABsACAAZABlAGYAYQB1AGwAdAAgAHQAbwAgADEALwBUAFIAVQBFAFwAbgAgACAAIAAgAEUAcgByAG8AcgAgAGMAbwBkAGUAcwA6AFwAbgAgACAAIAAgACAAIAAgACAAIAAgACAAIAAjAFYAQQBMAFUARQAhACAAIAAgACAAIABSAGUAcQB1AGkAcgBlAGQAIABpAG4AcAB1AHQAIABwAGEAcgBhAG0AZQB0AGUAcgBzACAAKAB0AGUAeAB0ACwAIAByAGUAcABsAGEAYwBlAG0AZQBuAHQAXwBwAGEAaQByAHMAKQAgAGgAYQB2AGUAIABuAG8AdAAgAGIAZQBlAG4AIABwAHIAbwB2AGkAZABlAGQAXABuACAAIAAgACAAIAAgACAAIAAgACAAIAAgACMAQwBBAEwAQwAhACAAIAAgACAAIAAgAFQAaABlACAAaQBuAHAAdQB0ACAAcAByAG8AdgBpAGQAZQBkACAAZgBvAHIAIAB0AGgAZQAgAHIAZQBwAGwAYQBjAGUAbQBlAG4AdABfAHAAYQBpAHIAcwAgAHAAYQByAGEAbQBlAHQAZQByACAAaQBzACAAaQBuAHYAYQBsAGkAZABcAG4AIAAgACAAIAAgACAAIAAgACAAIAAgACAAIAAgACAAIAAgACAAIAAgACAAIAAgACAAIAAgACAAIAAtACAAbQB1AHMAdAAgAGgAYQB2AGUAIABlAHgAYQBjAHQAbAB5ACAAdAB3AG8AIABjAG8AbAB1AG0AbgBzACwAIAB3AGkAdABoACAAdABoAGUAIABmAGkAcgBzAHQAIABjAG8AbAB1AG0AbgAgAGIAZQBpAG4AZwAgAHQAaABlACAAcwBlAGEAcgBjAGgAIAB0AGUAeAB0AC8AUgBlAGcARQB4ACAAcABhAHQAdABlAHIAbgBcAG4AIAAgACAAIAAgACAAIAAgACAAIAAgACAAIAAgACAAIAAgACAAIAAgACAAIAAgACAAIAAgACAAIAAtACAAdABoAGUAIABzAGUAYQByAGMAaAAgAHQAZQB4AHQALwBSAGUAZwBFAHgAIABwAGEAdAB0AGUAcgBuAHMAIABpAG4AIAB0AGgAZQAgAGYAaQByAHMAdAAgAGMAbwBsAHUAbQBuACAAbQB1AHMAdAAgAG4AbwB0ACAAaABhAHYAZQAgAGEAbgB5ACAAYgBsAGEAbgBrAHMAIAB2AGEAbAB1AGUAcwAvAGMAZQBsAGwAcwAgAG8AcgAgAGUAbQBwAHQAeQAgAHMAdAByAGkAbgBnACAAdgBhAGwAdQBlAHMAIAAoAFwAIgBcACIAKQBcAG4AIAAgACAAIAAgACAAIAAgACAAIAAgACAAIwBDAEEATABDACEAIAAgACAAIAAgACAASQBmACAAYQBuACAAYQByAHIAYQB5ACAAbwBmACAAdgBhAGwAdQBlAHMAIABoAGEAcwAgAGIAZQBlAG4AIABwAHIAbwB2AGkAZABlAGQAIABmAG8AcgAgAHQAaABlACAAaQBuAHMAdABhAG4AYwBlAF8AbgB1AG0AIABwAGEAcgBhAG0AZQB0AGUAcgAsACAAdABoAGUAIABuAHUAbQBiAGUAcgAgAG8AZgAgAHIAbwB3AHMAIABpAG4AIAB0AGgAZQAgAGEAcgByAGEAeQAgAGQAbwBlAHMAIABuAG8AdAAgAG0AYQB0AGMAaAAgAHQAaABlACAAbgB1AG0AYgBlAHIAIABvAGYAIAByAG8AdwBzACAAaQBuACAAdABoAGUAIAByAGUAcABsAGEAYwBlAG0AZQBuAHQAXwBwAGEAaQByAHMAIABhAHIAcgBhAHkAXABuACAAIAAgACAAIAAgACAAIAAgACAAIAAgACMAVgBBAEwAVQBFACEAIAAgACAAIAAgAFQAaABlACAAbwBwAHQAaQBvAG4AYQBsACAAcABhAHIAYQBtAGUAdABlAHIAIABpAG4AcwB0AGEAbgBjAGUAXwBuAHUAbQAgAGkAbgBwAHUAdAAgAHYAYQBsAHUAZQAoAHMAKQAgAHAAcgBvAHYAaQBkAGUAZAAgAGEAcgBlACAAaQBuAHYAYQBsAGkAZABcAG4AIAAgACAAIAAgACAAIAAgACAAIAAgACAAIAAgACAAIAAgACAAIAAgACAAIAAgACAAIAAgACAAIAAtACAAbQB1AHMAdAAgAHUAcwBlACAAbgB1AG0AYgBlAHIAcwAgAG8AbgBsAHkAIABhAHMAIABlAGkAdABoAGUAcgAgAGEAIABzAGkAbgBnAGwAZQAgAHYAYQBsAHUAZQAgAG8AcgAgAGEAbgAgAGEAcgByAGEAeQAgAG8AZgAgAG4AdQBtAGIAZQByAHMAOwAgAGYAbwByACAAbgBvAG4ALQBSAGUAZwBFAHgAIABtAG8AZABlACAAdABoAGUAIABuAHUAbQBiAGUAcgBzACAAcAByAG8AdgBpAGQAZQBkACAAbQB1AHMAdAAgAGIAZQAgACsAMQAgAG8AcgAgAGcAcgBlAGEAdABlAHIALAAgAGYAbwByACAAUgBlAGcARQB4ACAAbQBvAGQAZQAgAG4AZQBnAGEAdABpAHYAZQAgAG4AdQBtAGIAZQByAHMAIABtAGEAeQAgAGEAbABzAG8AIABiAGUAIAB1AHMAZQBkAFwAbgAgACAAIAAgACAAIAAgACAAIAAgACAAIAAjAFYAQQBMAFUARQAhACAAIAAgACAAIABPAHAAdABpAG8AbgBhAGwAIABwAGEAcgBhAG0AZQB0AGUAcgBzACAAcgBlAGcAZQB4AF8AbQBvAGQAZQAgAGEAbgBkACAAYwBhAHMAZQBfAHMAZQBuAHMAaQB0AGkAdgBlACAAaABhAHYAZQAgAGkAbgB2AGEAbABpAGQAIABpAG4AcAB1AHQAcwAgAHAAcgBvAHYAaQBkAGUAZABcAG4AIAAgACAAIAAgACAAIAAgACAAIAAgACAAIAAgACAAIAAgACAAIAAgACAAIAAgACAAIAAgACAAIAAtACAAbQB1AHMAdAAgAGIAZQAgAGUAaQB0AGgAZQByACAAYQAgAG4AdQBtAGIAZQByACAAKAAwACAAbwByACAAMQApACAAbwByACAAYQAgAGwAbwBnAGkAYwBhAGwALwBCAG8AbwBsAGUAYQBuACAAdgBhAGwAdQBlACAAKABUAFIAVQBFAC8ARgBBAEwAUwBFACkAXABuACAAIAAgACAATgBvAHQAZQBzADoAXABuACAAIAAgACAAIAAgACAAIAAtACAAVwBoAGUAcgBlACAAdABoAGUAIABpAG4AcwB0AGEAbgBjAGUAXwBuAHUAbQAgAGkAbgBwAHUAdAAgAHAAYQByAGEAbQBlAHQAZQByACAAaQBzACAAdQBzAGUAZAAsACAAdABoAGUAbgAgAG8AbgBsAHkAIAB0AGgAZQAgAG0AYQB0AGMAaAAgAGkAbgBzAHQAYQBuAGMAZQAgAGYAbwByACAAdABoAGUAIAB0AGUAeAB0ACAAdABvACAAZgBpAG4AZAAgAHcAaQBsAGwAIABiAGUAOwAgAGkAZgAgAHQAaABlACAAaQBuAHMAdABhAG4AYwBlAF8AbgB1AG0AIABwAGEAcgBhAG0AZQB0AGUAcgAgAGkAcwAgAG8AbQBpAHQAdABlAGQAIAB0AGgAYQBuACAAYQBsAGwAIABtAGEAdABjAGgAZQBzACAAdwBpAGwAbAAgAGIAZQAgAHIAZQBwAGwAYQBjAGUAZABcAG4AIAAgACAAIAAgACAAIAAgACAAIAAgACAALQA+ACAAaQBmACAAbgBvACAAbQBhAHQAYwBoACAAaQBuAHMAdABhAG4AYwBlACAAaQBzACAAZgBvAHUAbgBkACAAZgBvAHIAIAB0AGgAZQAgAGkAbgBwAHUAdAAgAHAAcgBvAHYAaQBkAGUAZAAgACgAZQAuAGcALgAgAHQAaABlACAAaQBuAHMAdABhAG4AYwBlAF8AbgB1AG0AIABpAG4AcAB1AHQAIABpAHMAIAAzACAAYgB1AHQAIAB0AGgAZQByAGUAIABhAHIAZQAgAG8AbgBsAHkAIAB0AHcAbwAgAG0AYQB0AGMAaABlAHMAKQAgAHQAaABlAG4AIABuAG8AIAByAGUAcABsAGEAYwBlAG0AZQBuAHQAIAB3AGkAbABsACAAbQBhAGQAZQBcAG4AKgAvAFwAbgBSAFgATABfAE0AdQBsAHQAaQBTAHUAYgAgAD0AIABMAEEATQBCAEQAQQAoAFwAbgAgACAAIAAgAC8ALwAgAFAAYQByAGEAbQBlAHQAZQByACAAZABlAGYAaQBuAGkAdABpAG8AbgBzAFwAbgAgACAAIAAgAHQAZQB4AHQALABcAG4AIAAgACAAIAByAGUAcABsAGEAYwBlAG0AZQBuAHQAXwBwAGEAaQByAHMALABcAG4AIAAgACAAIABbAGkAbgBzAHQAYQBuAGMAZQBfAG4AdQBtAF0ALABcAG4AIAAgACAAIABbAHIAZQBnAGUAeABfAG0AbwBkAGUAXQAsAFwAbgAgACAAIAAgAFsAYwBhAHMAZQBfAHMAZQBuAHMAaQB0AGkAdgBlAF0ALABcAG4AIAAgACAAIAAvAC8AIABNAGEAaQBuACAAZgB1AG4AYwB0AGkAbwBuACAAYgBvAGQAeQAvAGMAYQBsAGMAdQBsAGEAdABpAG8AbgBzAFwAbgAgACAAIAAgAEwARQBUACgAXABuACAAIAAgACAAIAAgACAAIAAvAC8AIABEAGUAYQBsAGkAbgBnACAAdwBpAHQAaAAgAHQAaABlACAAcgBlAHEAdQBpAHIAZQBkACAAcABhAHIAYQBtAGUAdABlAHIAcwAgAGEAbgBkACAAYwBhAGwAYwB1AGwAYQB0AGkAbgBnACAAdABoAGUAIABkAGUAcgBpAHYAZQBkACAAdgBhAHIAaQBhAGIAbABlAHMAIABuAGUAZQBkAGUAZAAgAGYAbwByACAAdABoAGUAIABtAGEAaQBuACAAYwBhAGwAYwB1AGwAYQB0AGkAbwBuAFwAbgAgACAAIAAgACAAIAAgACAAXwBhAHIAcgAsACAAdABlAHgAdAAsAFwAbgAgACAAIAAgACAAIAAgACAAXwB0AGIAbAAsACAAcgBlAHAAbABhAGMAZQBtAGUAbgB0AF8AcABhAGkAcgBzACwAXABuACAAIAAgACAAIAAgACAAIABfAGkAZAB4ACwAIABTAEUAUQBVAEUATgBDAEUAKABSAE8AVwBTACgAXwB0AGIAbAApACkALABcAG4AIAAgACAAIAAgACAAIAAgAF8AdAB4AHQALAAgAEMASABPAE8AUwBFAEMATwBMAFMAKABfAHQAYgBsACwAIAAxACkALABcAG4AIAAgACAAIAAgACAAIAAgAF8AcgBlAHAALAAgAEMASABPAE8AUwBFAEMATwBMAFMAKABfAHQAYgBsACwAIAAtADEAKQAsAFwAbgAgACAAIAAgACAAIAAgACAALwAvACAARABlAGEAbABpAG4AZwAgAHcAaQB0AGgAIABvAHAAdABpAG8AbgBhAGwAIABwAGEAcgBhAG0AZQB0AGUAcgBzACAAJgAgAHMAZQB0AHQAaQBuAGcAIABkAGUAZgBhAHUAbAB0ACAAdgBhAGwAdQBlAHMAXABuACAAIAAgACAAIAAgACAAIABfAGkAbgBzACwAIABJAEYAKAAgAEkAUwBPAE0ASQBUAFQARQBEACgAaQBuAHMAdABhAG4AYwBlAF8AbgB1AG0AKQAsACAAMAAsACAASQBOAFQAKABpAG4AcwB0AGEAbgBjAGUAXwBuAHUAbQApACkALABcAG4AIAAgACAAIAAgACAAIAAgAF8AaQBBAHIALAAgAE8AUgAoACAAUgBPAFcAUwAoAF8AaQBuAHMAKQAgAD4AIAAxACwAIABDAE8ATABVAE0ATgBTACgAXwBpAG4AcwApACAAPgAgADEAKQAsAFwAbgAgACAAIAAgACAAIAAgACAAXwBuAHUAbQAsACAASQBGACgAXwBpAEEAcgAsACAAVABPAEMATwBMACgAXwBpAG4AcwApACwAIABfAGkAbgBzACkALABcAG4AIAAgACAAIAAgACAAIAAgAF8AcgBnAHgALAAgAEkARgAoACAASQBTAE8ATQBJAFQAVABFAEQAKAByAGUAZwBlAHgAXwBtAG8AZABlACkALAAgADAALAAgAEkATgBUACgAcgBlAGcAZQB4AF8AbQBvAGQAZQApACkALABcAG4AIAAgACAAIAAgACAAIAAgAF8AYwBzAHMALAAgAEkARgAoACAASQBTAE8ATQBJAFQAVABFAEQAKABjAGEAcwBlAF8AcwBlAG4AcwBpAHQAaQB2AGUAKQAsACAAMQAsACAASQBOAFQAKABjAGEAcwBlAF8AcwBlAG4AcwBpAHQAaQB2AGUAKQApACwAXABuACAAIAAgACAAIAAgACAAIAAvAC8AIABUAGgAZQAgAGMAYQBzAGUAXwBzAGUAbgBzAGkAdABpAHYAZQAgAHYAYQBsAHUAZQAgACgAXwBjAHMAcwApACAAaQBzACAAcgBlAHYAZQByAHMAZQBkACAAYQBzACAAdABoAGUAIABSAEUARwBFAFgAUgBFAFAATABBAEMARQAoACkAIABmAHUAbgBjAHQAaQBvAG4AIAB1AHMAZQBzACAAMAAvAEYAQQBMAFMARQAgAGEAcwAgAGMAYQBzAGUAIABzAGUAbgBzAGkAdABpAHYAZQBcAG4AIAAgACAAIAAgACAAIAAgAC8ALwAgAGEAbgBkACAAMQAvAFQAUgBVAEUAIABhAHMAIABjAGEAcwBlACAAaQBuAHMAZQBuAHMAaQB0AGkAdgBlACAAbQBhAHQAYwBoAGkAbgBnAFwAbgAgACAAIAAgACAAIAAgACAAXwBzAGUAbgAsACAASQBGACgAXwBjAHMAcwAsACAAMAAsACAAMQApACwAXABuACAAIAAgACAAIAAgACAAIAAvAC8AIABJAG4AcAB1AHQAIABjAGgAZQBjAGsAcwAgAGYAbwByACAAdABoAGUAIABvAHAAdABpAG8AbgBhAGwAIABwAGEAcgBhAG0AZQB0AGUAcgBzACAAYQBuAGQAIAByAGUAcQB1AGkAcgBlAGQAIABwAGEAcgBhAG0AZQB0AGUAcgBzACwAIAByAGUAdAB1AHIAbgBpAG4AZwAgAHQAaABlACAAXwBpAG4AcABDAGgAawAgAHYAYQBsAHUAZQAgAGEAcwAgADEALQB0AG8ALQAzAFwAbgAgACAAIAAgACAAIAAgACAAXwBpAG4AcABDAGgAawAsACAASQBGACgAXABuACAAIAAgACAAIAAgACAAIAAgACAAIAAgAE8AUgAoAFwAbgAgACAAIAAgACAAIAAgACAAIAAgACAAIAAgACAAIAAgAEMATwBMAFUATQBOAFMAKABfAHQAYgBsACkAIAA8AD4AIAAyACwAXABuACAAIAAgACAAIAAgACAAIAAgACAAIAAgACAAIAAgACAAQQBOAEQAKABSAE8AVwBTACgAXwBuAHUAbQApACAAPgAgADEALAAgAFIATwBXAFMAKABfAG4AdQBtACkAIAA8AD4AIABSAE8AVwBTACgAXwB0AGIAbAApACkAXABuACAAIAAgACAAIAAgACAAIAAgACAAIAAgACkALAAgADIALAAgAEkARgAoAFwAbgAgACAAIAAgACAAIAAgACAAIAAgACAAIABPAFIAKABcAG4AIAAgACAAIAAgACAAIAAgACAAIAAgACAAIAAgACAAIABSAEUARABVAEMARQAoADAALAAgAF8AdAB4AHQALAAgAEwAQQBNAEIARABBACgAXwBhAGMAYwAsAF8AdgBhAGwALAAgAF8AYQBjAGMAIAArACAASQBGACgATwBSACgASQBTAEIATABBAE4ASwAoAF8AdgBhAGwAKQAsACAAXwB2AGEAbAAgAD0AIABcACIAXAAiACkALAAgADEALAAgADAAKQAgAD4AIAAwACkAKQAsAFwAbgAgACAAIAAgACAAIAAgACAAIAAgACAAIAAgACAAIAAgAEEATgBEACgATgBPAFQAKABfAHIAZwB4ACkALAAgAF8AaQBBAHIALAAgAE0ASQBOACgAXwBuAHUAbQApACAAPAAgADEAKQAsAFwAbgAgACAAIAAgACAAIAAgACAAIAAgACAAIAAgACAAIAAgAEEATgBEACgATgBPAFQAKABJAFMATgBVAE0AQgBFAFIAKABfAHIAZwB4ACkAKQAsACAATgBPAFQAKABJAFMATABPAEcASQBDAEEATAAoAF8AcgBnAHgAKQApACkALAAgAF8AcgBnAHgAIAA8ACAAMAAsACAAXwByAGcAeAAgAD4AIAAxACwAXABuACAAIAAgACAAIAAgACAAIAAgACAAIAAgACAAIAAgACAAQQBOAEQAKABOAE8AVAAoAEkAUwBOAFUATQBCAEUAUgAoAF8AYwBzAHMAKQApACwAIABOAE8AVAAoAEkAUwBMAE8ARwBJAEMAQQBMACgAXwBjAHMAcwApACkAKQAsACAAXwBjAHMAcwAgADwAIAAwACwAIABfAGMAcwBzACAAPgAgADEAXABuACAAIAAgACAAIAAgACAAIAAgACAAIAAgACkALAAgADMALABcAG4AIAAgACAAIAAgACAAIAAgACAAIAAgACAAMQApAFwAbgAgACAAIAAgACAAIAAgACAAKQAsAFwAbgAgACAAIAAgACAAIAAgACAALwAvACAAQgBhAHMAZQBkACAAbwBuACAAdABoAGUAIAB1AHMAZQByACAAaQBuAHAAdQB0AHMALAAgAGQAZQB0AGUAcgBtAGkAbgBlAHMAIAB3AGgAaQBjAGgAIABtAGEAaQBuACAAYwBhAGwAYwB1AGwAYQB0AGkAbwBuACAAaQBzACAAcgBlAHEAdQBpAHIAZQBkACAAZgBvAHIAIAB0AGgAZQAgAGMAaABvAHMAZQBuACAAbwB1AHQAcAB1AHQAIAAoAF8AdAB5AHAAKQBcAG4AIAAgACAAIAAgACAAIAAgAF8AdAB5AHAALAAgAEkARgBTACgAXwBpAEEAcgAsACAAMwAsACAAXwBuAHUAbQAgADwAPgAgADAALAAgADIALAAgAFQAUgBVAEUALAAgADEAKQAgACsAIABJAEYAKAAgAE8AUgAoAF8AcwBlAG4ALAAgAF8AcgBnAHgAKQAsACAAMwAsACAAMAApACwAXABuACAAIAAgACAAIAAgACAAIAAvAC8AIABVAHMAZQBzACAAYQAgAEMASABPAE8AUwBFACgAKQAgAGYAdQBuAGMAdABpAG8AbgAgAHQAbwAgAGMAYQBsAGMAdQBsAGEAdABlACAAbwBuAGwAeQAgAHQAaABlACAAcgBlAHEAdQBpAHIAZQBkACAAbwB1AHQAcAB1AHQAIABjAGEAbABjAHUAbABhAHQAaQBvAG4AXABuACAAIAAgACAAIAAgACAAIABfAHIAdABuACwAIABDAEgATwBPAFMARQAoAF8AdAB5AHAALABcAG4AIAAgACAAIAAgACAAIAAgACAAIAAgACAAUgBFAEQAVQBDAEUAKABfAGEAcgByACwAIABfAGkAZAB4ACwAIABMAEEATQBCAEQAQQAoAF8AYQBjAGMALABfAHYAYQBsACwAIABTAFUAQgBTAFQASQBUAFUAVABFACgAXwBhAGMAYwAsACAASQBOAEQARQBYACgAXwB0AHgAdAAsACAAXwB2AGEAbAApACwAIABJAE4ARABFAFgAKABfAHIAZQBwACwAIABfAHYAYQBsACkAKQApACkALABcAG4AIAAgACAAIAAgACAAIAAgACAAIAAgACAAUgBFAEQAVQBDAEUAKABfAGEAcgByACwAIABfAGkAZAB4ACwAIABMAEEATQBCAEQAQQAoAF8AYQBjAGMALABfAHYAYQBsACwAIABTAFUAQgBTAFQASQBUAFUAVABFACgAXwBhAGMAYwAsACAASQBOAEQARQBYACgAXwB0AHgAdAAsACAAXwB2AGEAbAApACwAIABJAE4ARABFAFgAKABfAHIAZQBwACwAIABfAHYAYQBsACkALAAgAF8AbgB1AG0AKQApACkALABcAG4AIAAgACAAIAAgACAAIAAgACAAIAAgACAAUgBFAEQAVQBDAEUAKABfAGEAcgByACwAIABfAGkAZAB4ACwAIABMAEEATQBCAEQAQQAoAF8AYQBjAGMALABfAHYAYQBsACwAIABTAFUAQgBTAFQASQBUAFUAVABFACgAXwBhAGMAYwAsACAASQBOAEQARQBYACgAXwB0AHgAdAAsACAAXwB2AGEAbAApACwAIABJAE4ARABFAFgAKABfAHIAZQBwACwAIABfAHYAYQBsACkALAAgAEkATgBEAEUAWAAoAF8AbgB1AG0ALAAgAF8AdgBhAGwAKQApACkAKQAsAFwAbgAgACAAIAAgACAAIAAgACAAIAAgACAAIABSAEUARABVAEMARQAoAF8AYQByAHIALAAgAF8AaQBkAHgALAAgAEwAQQBNAEIARABBACgAXwBhAGMAYwAsAF8AdgBhAGwALAAgAFIARQBHAEUAWABSAEUAUABMAEEAQwBFACgAXwBhAGMAYwAsACAASQBOAEQARQBYACgAXwB0AHgAdAAsACAAXwB2AGEAbAApACwAIABJAE4ARABFAFgAKABfAHIAZQBwACwAIABfAHYAYQBsACkALAAgACwAIABfAHMAZQBuACkAKQApACwAXABuACAAIAAgACAAIAAgACAAIAAgACAAIAAgAFIARQBEAFUAQwBFACgAXwBhAHIAcgAsACAAXwBpAGQAeAAsACAATABBAE0AQgBEAEEAKABfAGEAYwBjACwAXwB2AGEAbAAsACAAUgBFAEcARQBYAFIARQBQAEwAQQBDAEUAKABfAGEAYwBjACwAIABJAE4ARABFAFgAKABfAHQAeAB0ACwAIABfAHYAYQBsACkALAAgAEkATgBEAEUAWAAoAF8AcgBlAHAALAAgAF8AdgBhAGwAKQAsACAAXwBuAHUAbQAsACAAXwBzAGUAbgApACkAKQAsAFwAbgAgACAAIAAgACAAIAAgACAAIAAgACAAIABSAEUARABVAEMARQAoAF8AYQByAHIALAAgAF8AaQBkAHgALAAgAEwAQQBNAEIARABBACgAXwBhAGMAYwAsAF8AdgBhAGwALAAgAFIARQBHAEUAWABSAEUAUABMAEEAQwBFACgAXwBhAGMAYwAsACAASQBOAEQARQBYACgAXwB0AHgAdAAsACAAXwB2AGEAbAApACwAIABJAE4ARABFAFgAKABfAHIAZQBwACwAIABfAHYAYQBsACkALAAgAEkATgBEAEUAWAAoAF8AbgB1AG0ALAAgAF8AdgBhAGwAKQAsACAAXwBzAGUAbgApACkAKQBcAG4AIAAgACAAIAAgACAAIAAgACkALABcAG4AIAAgACAAIAAgACAAIAAgAC8ALwAgAEkAZgAgAHQAaABlACAAaQBuAHAAdQB0ACAAYwBoAGUAYwBrAHMAIAAoAF8AaQBuAHAAQwBoAGsAKQAgAGgAYQB2AGUAIABmAGwAYQBnAGcAZQBkACAAdABoAGUAbgAgAHQAaABlACAAcgBlAHEAdQBpAHIAZQBkACAARQB4AGMAZQBsACAAZQByAHIAbwByACAAYwBvAGQAZQAgAGkAcwAgAHIAZQB0AHUAcgBuAGUAZAAsAFwAbgAgACAAIAAgACAAIAAgACAALwAvACAAbwB0AGgAZQByAHcAaQBzAGUAIAB0AGgAZQAgAGMAYQBsAGMAdQBsAGEAdABlAGQAIAByAGUAcwB1AGwAdAAgACgAXwByAHQAbgApACAAaQBzACAAcgBlAHQAdQByAG4AZQBkAFwAbgAgACAAIAAgACAAIAAgACAAQwBIAE8ATwBTAEUAKABfAGkAbgBwAEMAaABrACwAIABfAHIAdABuACwAIABMAEEATQBCAEQAQQAoADAAKQAsACAAIwBWAEEATABVAEUAIQApAFwAbgAgACAAIAAgACkAXABuACkAOwAiAH0AXQAsACIAcAByAG8AagBlAGMAdABOAGEAbQBlAHMAIgA6AFsAIgBSAFgATABfAE0AdQBsAHQAaQBTAHUAYg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Cj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4ED90558-9DA4-4CBE-9A3D-0506F78439B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MultiSub</vt:lpstr>
      <vt:lpstr>Demo</vt:lpstr>
      <vt:lpstr>VBA</vt:lpstr>
      <vt:lpstr>Lookups</vt:lpstr>
      <vt:lpstr>_OnOff</vt:lpstr>
      <vt:lpstr>_YesNo</vt:lpstr>
    </vt:vector>
  </TitlesOfParts>
  <Company>RXL Development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RXL MultiSub Lambda Function</dc:title>
  <dc:subject>Excel LAMBDA function development</dc:subject>
  <dc:creator>Robert Silk</dc:creator>
  <cp:keywords>https:/excel-bits.net</cp:keywords>
  <cp:lastModifiedBy>Robert Silk</cp:lastModifiedBy>
  <dcterms:created xsi:type="dcterms:W3CDTF">2025-07-23T10:04:11Z</dcterms:created>
  <dcterms:modified xsi:type="dcterms:W3CDTF">2026-05-06T16:15:16Z</dcterms:modified>
  <cp:category>LAMBDA functions</cp:category>
</cp:coreProperties>
</file>