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Work\_RXL\Development\LAMBDA\"/>
    </mc:Choice>
  </mc:AlternateContent>
  <xr:revisionPtr revIDLastSave="0" documentId="13_ncr:1_{B93DF130-FB1A-4469-8003-3D3C12257AC2}" xr6:coauthVersionLast="47" xr6:coauthVersionMax="47" xr10:uidLastSave="{00000000-0000-0000-0000-000000000000}"/>
  <bookViews>
    <workbookView xWindow="-108" yWindow="-108" windowWidth="23256" windowHeight="12456" xr2:uid="{944550C6-43F1-4DB1-87DF-91ACF854BB70}"/>
  </bookViews>
  <sheets>
    <sheet name="NonRepRAND" sheetId="1" r:id="rId1"/>
    <sheet name="VBA" sheetId="3" r:id="rId2"/>
    <sheet name="Lookups" sheetId="4" r:id="rId3"/>
  </sheets>
  <definedNames>
    <definedName name="_OnOff">Lookups!$C$6:$C$7</definedName>
    <definedName name="_YesNo">Lookups!$C$3:$C$4</definedName>
    <definedName name="RXL_NonRepRAND" comment="Randomly generates an array of non-repeating numbers between provided min and max values">_xlfn.LAMBDA(_xlop.rows,_xlop.columns,_xlop.min,_xlop.max,_xlop.integer, _xlfn.LET(_xlpm._rows, IF(_xlfn.ISOMITTED(_xlpm.rows), 1, INT(_xlpm.rows)), _xlpm._cols, IF(_xlfn.ISOMITTED(_xlpm.columns), 1, INT(_xlpm.columns)), _xlpm._min, IF(_xlfn.ISOMITTED(_xlpm.min), 0, INT(_xlpm.min)), _xlpm._max, IF(_xlfn.ISOMITTED(_xlpm.max), 100, INT(_xlpm.max)), _xlpm._int, IF(_xlfn.ISOMITTED(_xlpm.integer), 1, INT(_xlpm.integer)), _xlpm._cnt, _xlpm._rows * _xlpm._cols, _xlpm._dif, _xlpm._max - _xlpm._min + 1, _xlpm._inpChk, IF(AND(_xlpm._int, _xlpm._cnt &gt; _xlpm._dif), 2, IF(OR(ISERROR(_xlpm._rows), _xlpm._rows &lt; 1, ISERROR(_xlpm._cols), _xlpm._cols &lt; 1, ISERROR(_xlpm._min), ISERROR(_xlpm._max), _xlpm._min &gt;= _xlpm._max, ISERROR(_xlpm._int), _xlpm._int &lt; 0, _xlpm._int &gt; 1), 3, 1)), _xlpm._idx, _xlfn.SEQUENCE(_xlpm._rows * _xlpm._cols, 1, 0, 0), _xlpm._rnd, _xlfn.DROP(_xlfn.REDUCE(0, _xlpm._idx, _xlfn.LAMBDA(_xlpm._acc,_xlpm._val, _xlfn.VSTACK(_xlpm._acc, RXL_RecRAND(_xlpm._acc, _xlpm._min, _xlpm._max, _xlpm._int, 1000)))), 1), _xlpm._rtn, _xlfn.MAKEARRAY(_xlpm._rows, _xlpm._cols, _xlfn.LAMBDA(_xlpm._r,_xlpm._c, INDEX(_xlpm._rnd, (_xlpm._r - 1) * _xlpm._cols + _xlpm._c))), CHOOSE(_xlpm._inpChk, _xlpm._rtn, _xlfn.LAMBDA(0), #VALUE!)))</definedName>
    <definedName name="RXL_NonRepRAND_N" comment="Randomly generates an array of non-repeating integers (whole numbers) between provided min and max values">_xlfn.LAMBDA(_xlop.rows,_xlop.columns,_xlop.min,_xlop.max, _xlfn.LET(_xlpm._rows, IF(_xlfn.ISOMITTED(_xlpm.rows), 1, INT(_xlpm.rows)), _xlpm._cols, IF(_xlfn.ISOMITTED(_xlpm.columns), 1, INT(_xlpm.columns)), _xlpm._min, IF(_xlfn.ISOMITTED(_xlpm.min), 0, INT(_xlpm.min)), _xlpm._max, IF(_xlfn.ISOMITTED(_xlpm.max), 100, INT(_xlpm.max)), _xlpm._cnt, _xlpm._rows * _xlpm._cols, _xlpm._dif, _xlpm._max - _xlpm._min + 1, _xlpm._inpChk, IF(_xlpm._cnt &gt; _xlpm._dif, 2, IF(OR(ISERROR(_xlpm._rows), _xlpm._rows &lt; 1, ISERROR(_xlpm._cols), _xlpm._cols &lt; 1, ISERROR(_xlpm._min), ISERROR(_xlpm._max), _xlpm._min &gt;= _xlpm._max), 3, 1)), _xlpm._idx, _xlfn.SEQUENCE(_xlpm._rows * _xlpm._cols, 1, 0, 0), _xlpm._arr, _xlfn.SEQUENCE(_xlpm._dif, 1, _xlpm._min, 1), _xlpm._rnd, _xlfn.DROP(_xlfn.REDUCE(0, _xlpm._idx, _xlfn.LAMBDA(_xlpm._acc,_xlpm._val, _xlfn.LET(_xlpm._fltr, _xlfn._xlws.FILTER(_xlpm._arr, ISNA(_xlfn.XMATCH(_xlpm._arr, _xlpm._acc))), _xlpm._rr, ROWS(_xlpm._fltr), _xlfn.VSTACK(_xlpm._acc, INDEX(_xlpm._fltr, RANDBETWEEN(1, _xlpm._rr)))))), 1), _xlpm._rtn, _xlfn.MAKEARRAY(_xlpm._rows, _xlpm._cols, _xlfn.LAMBDA(_xlpm._r,_xlpm._c, INDEX(_xlpm._rnd, (_xlpm._r - 1) * _xlpm._cols + _xlpm._c))), CHOOSE(_xlpm._inpChk, _xlpm._rtn, _xlfn.LAMBDA(0), #VALUE!)))</definedName>
    <definedName name="RXL_RecRAND" comment="Recursive LAMBDA function required as a support function for the RXL_NonRepRAND() custom funciton">_xlfn.LAMBDA(_xlpm.array,_xlpm.min,_xlpm.max,_xlpm.integer,_xlpm.R, _xlfn.LET(_xlpm._val, IF(_xlpm.integer, RANDBETWEEN(_xlpm.min, _xlpm.max), RAND() * (_xlpm.max - _xlpm.min) + _xlpm.min), IF(_xlpm.R &gt;= 1, IF(ISNA(_xlfn.XMATCH(_xlpm._val, _xlpm.array)), _xlpm._val, RXL_RecRAND(_xlpm.array, _xlpm.min, _xlpm.max, _xlpm.integer, _xlpm.R - 1)), NA())))</definedName>
    <definedName name="RXL_RecRAND_v1">_xlfn.LAMBDA(_xlpm.array,_xlpm.min,_xlpm.max,_xlpm.integer,_xlfn.LET(_xlpm._val,RANDBETWEEN(_xlpm.min,_xlpm.max)+IF(_xlpm.integer,0,RAND()),IF(ISNA(_xlfn.XMATCH(_xlpm._val,_xlpm.array)),_xlpm._val,RXL_RecRAND_v1(_xlpm.array,_xlpm.min,_xlpm.max,_xlpm.integer))))</definedName>
    <definedName name="RXL_RecRAND_v2">_xlfn.LAMBDA(_xlpm.array,_xlpm.min,_xlpm.max,_xlpm.integer,_xlfn.LET(_xlpm._val,IF(_xlpm.integer,RANDBETWEEN(_xlpm.min,_xlpm.max),RAND()*(_xlpm.max-_xlpm.min)+_xlpm.min),IF(ISNA(_xlfn.XMATCH(_xlpm._val,_xlpm.array)),_xlpm._val,RXL_RecRAND_v2(_xlpm.array,_xlpm.min,_xlpm.max,_xlpm.integer))))</definedName>
    <definedName name="RXL_RecTEST">_xlfn.LAMBDA(_xlpm.array,_xlpm.min,_xlpm.max,_xlpm.integer,_xlpm.R,_xlfn.LET(_xlpm._val,IF(_xlpm.integer,RANDBETWEEN(_xlpm.min,_xlpm.max),RAND()*(_xlpm.max-_xlpm.min)+_xlpm.min),IF(_xlpm.R&gt;=1,IF(ISNA(_xlfn.XMATCH(_xlpm._val,_xlpm.array)),_xlpm._val,RXL_RecTEST(_xlpm.array,_xlpm.min,_xlpm.max,_xlpm.integer,_xlpm.R-1)),_xlpm.R)))</definedName>
    <definedName name="RXL_RecValue">_xlfn.LAMBDA(_xlpm.array,_xlpm.min,_xlpm.max,_xlfn.LET(_xlpm._val,RANDBETWEEN(_xlpm.min,_xlpm.max),IF(ISNA(_xlfn.XMATCH(_xlpm._val,_xlpm.array)),_xlpm._val,RXL_RecValue(_xlpm.array,_xlpm.min,_xlpm.max))))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5" i="1" l="1" a="1"/>
  <c r="B45" i="1" s="1"/>
  <c r="H475" i="1" a="1"/>
  <c r="H472" i="1" a="1"/>
  <c r="H411" i="1" a="1"/>
  <c r="H406" i="1" a="1"/>
  <c r="J627" i="1" a="1"/>
  <c r="J551" i="1" a="1"/>
  <c r="G535" i="1" a="1"/>
  <c r="G521" i="1" a="1"/>
  <c r="G498" i="1"/>
  <c r="G384" i="1"/>
  <c r="G362" i="1"/>
  <c r="G627" i="1" a="1"/>
  <c r="G627" i="1" s="1"/>
  <c r="G551" i="1" a="1"/>
  <c r="G551" i="1" s="1"/>
  <c r="D565" i="1" s="1" a="1"/>
  <c r="F535" i="1" a="1"/>
  <c r="F521" i="1" a="1"/>
  <c r="G497" i="1" a="1"/>
  <c r="G497" i="1" s="1"/>
  <c r="G383" i="1" a="1"/>
  <c r="G383" i="1" s="1"/>
  <c r="G361" i="1" a="1"/>
  <c r="G361" i="1" s="1"/>
  <c r="H478" i="1" a="1"/>
  <c r="H469" i="1" a="1"/>
  <c r="F451" i="1" a="1"/>
  <c r="F451" i="1" s="1"/>
  <c r="I420" i="1"/>
  <c r="F420" i="1" a="1"/>
  <c r="F420" i="1" s="1"/>
  <c r="H420" i="1" s="1" a="1"/>
  <c r="F406" i="1" a="1"/>
  <c r="F406" i="1" s="1"/>
  <c r="G601" i="1" a="1"/>
  <c r="G601" i="1" s="1"/>
  <c r="H601" i="1" a="1"/>
  <c r="G347" i="1" a="1"/>
  <c r="G347" i="1" s="1"/>
  <c r="G346" i="1" a="1"/>
  <c r="G346" i="1" s="1"/>
  <c r="G183" i="1" a="1"/>
  <c r="G183" i="1" s="1"/>
  <c r="G332" i="1" a="1"/>
  <c r="G332" i="1" s="1"/>
  <c r="G333" i="1" a="1"/>
  <c r="G207" i="1" a="1"/>
  <c r="G207" i="1" s="1"/>
  <c r="G133" i="1" a="1"/>
  <c r="G133" i="1" s="1"/>
  <c r="J207" i="1" a="1"/>
  <c r="H183" i="1" a="1"/>
  <c r="J133" i="1" a="1"/>
  <c r="H112" i="1" a="1"/>
  <c r="G112" i="1" a="1"/>
  <c r="G112" i="1" s="1"/>
  <c r="G93" i="1" a="1"/>
  <c r="G93" i="1" s="1"/>
  <c r="H93" i="1" a="1"/>
  <c r="H76" i="1" a="1"/>
  <c r="G76" i="1" a="1"/>
  <c r="G76" i="1" s="1"/>
  <c r="H61" i="1" a="1"/>
  <c r="G61" i="1" a="1"/>
  <c r="G61" i="1" s="1"/>
  <c r="H47" i="1" a="1"/>
  <c r="G47" i="1" a="1"/>
  <c r="G47" i="1" s="1"/>
  <c r="B73" i="3"/>
  <c r="B2" i="3"/>
  <c r="B21" i="1"/>
  <c r="G333" i="1" l="1"/>
  <c r="H61" i="1"/>
  <c r="H47" i="1"/>
  <c r="H601" i="1"/>
  <c r="J207" i="1"/>
  <c r="H183" i="1"/>
  <c r="J133" i="1"/>
  <c r="H112" i="1"/>
  <c r="H93" i="1"/>
  <c r="H76" i="1"/>
  <c r="J627" i="1"/>
  <c r="J551" i="1"/>
  <c r="G535" i="1"/>
  <c r="G521" i="1"/>
  <c r="F535" i="1"/>
  <c r="N535" i="1" s="1" a="1"/>
  <c r="F521" i="1"/>
  <c r="N521" i="1" s="1" a="1"/>
  <c r="H411" i="1"/>
  <c r="H406" i="1"/>
  <c r="H475" i="1"/>
  <c r="H472" i="1"/>
  <c r="H457" i="1" a="1"/>
  <c r="H457" i="1" s="1"/>
  <c r="H460" i="1" a="1"/>
  <c r="H460" i="1" s="1"/>
  <c r="H463" i="1" a="1"/>
  <c r="H463" i="1" s="1"/>
  <c r="H466" i="1" a="1"/>
  <c r="H466" i="1" s="1"/>
  <c r="D565" i="1"/>
  <c r="H478" i="1"/>
  <c r="H469" i="1"/>
  <c r="H420" i="1"/>
  <c r="D147" i="1" a="1"/>
  <c r="N535" i="1" l="1"/>
  <c r="O535" i="1" s="1" a="1"/>
  <c r="O535" i="1" s="1"/>
  <c r="N521" i="1"/>
  <c r="O521" i="1" s="1" a="1"/>
  <c r="O521" i="1" s="1"/>
  <c r="E565" i="1" a="1"/>
  <c r="D563" i="1"/>
  <c r="D147" i="1"/>
  <c r="B59" i="1" a="1"/>
  <c r="B59" i="1" s="1"/>
  <c r="P521" i="1" l="1" a="1"/>
  <c r="P535" i="1" a="1"/>
  <c r="E565" i="1"/>
  <c r="E147" i="1" a="1"/>
  <c r="D145" i="1"/>
  <c r="B74" i="1" a="1"/>
  <c r="B74" i="1" s="1"/>
  <c r="F565" i="1" l="1" a="1"/>
  <c r="E563" i="1"/>
  <c r="P521" i="1"/>
  <c r="Q521" i="1" s="1" a="1"/>
  <c r="P535" i="1"/>
  <c r="Q535" i="1" s="1" a="1"/>
  <c r="E147" i="1"/>
  <c r="B91" i="1" a="1"/>
  <c r="B91" i="1" s="1"/>
  <c r="B418" i="1" l="1" a="1"/>
  <c r="B418" i="1" s="1"/>
  <c r="B495" i="1" s="1" a="1"/>
  <c r="B495" i="1" s="1"/>
  <c r="B599" i="1" s="1" a="1"/>
  <c r="B599" i="1" s="1"/>
  <c r="F565" i="1"/>
  <c r="F563" i="1" s="1"/>
  <c r="Q521" i="1"/>
  <c r="Q535" i="1"/>
  <c r="E145" i="1"/>
  <c r="F147" i="1" a="1"/>
  <c r="F147" i="1" s="1"/>
  <c r="F145" i="1" s="1"/>
  <c r="B110" i="1" a="1"/>
  <c r="B110" i="1" s="1"/>
  <c r="B131" i="1" l="1" a="1"/>
  <c r="B131" i="1" s="1"/>
  <c r="B181" i="1" l="1" a="1"/>
  <c r="B181" i="1" s="1"/>
  <c r="B205" i="1" l="1" a="1"/>
  <c r="B205" i="1" s="1"/>
  <c r="B240" i="1" l="1"/>
  <c r="B326" i="1" l="1"/>
  <c r="B330" i="1" l="1" a="1"/>
  <c r="B330" i="1" s="1"/>
  <c r="B344" i="1" l="1" a="1"/>
  <c r="B344" i="1" s="1"/>
  <c r="B359" i="1" a="1"/>
  <c r="B359" i="1" s="1"/>
  <c r="B519" i="1" a="1"/>
  <c r="B519" i="1" s="1"/>
  <c r="B549" i="1" s="1" a="1"/>
  <c r="B549" i="1" s="1"/>
  <c r="B625" i="1" s="1" a="1"/>
  <c r="B625" i="1" s="1"/>
  <c r="B659" i="1" s="1"/>
  <c r="B381" i="1" l="1" a="1"/>
  <c r="B38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<sst xmlns="http://schemas.openxmlformats.org/spreadsheetml/2006/main" count="597" uniqueCount="349">
  <si>
    <t>Non-Repeating Random Value Function</t>
  </si>
  <si>
    <t>Purpose:</t>
  </si>
  <si>
    <t>Development</t>
  </si>
  <si>
    <t>Main Functionality Development</t>
  </si>
  <si>
    <t>End of Sheet</t>
  </si>
  <si>
    <t xml:space="preserve">Gist URL: </t>
  </si>
  <si>
    <t>Instructions</t>
  </si>
  <si>
    <t>A.</t>
  </si>
  <si>
    <t>Start by ensuring that you have this Workbook and the Workbook you wish to copy the function to open in the same Excel instance</t>
  </si>
  <si>
    <t>B.</t>
  </si>
  <si>
    <t>Open the VB Editor window</t>
  </si>
  <si>
    <t>C.</t>
  </si>
  <si>
    <t>D.</t>
  </si>
  <si>
    <t>In the code window which opens for ThisWorkbook, paste the VBA code from below exactly as written</t>
  </si>
  <si>
    <t>E.</t>
  </si>
  <si>
    <t>F.</t>
  </si>
  <si>
    <t>Run the CopyLambda sub routine in ThisWorkbook module and check the Immediate window for the feedback message</t>
  </si>
  <si>
    <t>VBA Code</t>
  </si>
  <si>
    <t>In the VB Editor Project Explorer window, select this Workbook (RXL_NonRepRAND.xlsx) and double click on the object named "ThisWorkbook"</t>
  </si>
  <si>
    <t xml:space="preserve">    </t>
  </si>
  <si>
    <t xml:space="preserve">    On Error Resume Next</t>
  </si>
  <si>
    <t xml:space="preserve">        'Update "Example.xlsx" with name of the Workbook you wish to copy the function to</t>
  </si>
  <si>
    <t xml:space="preserve">        Exit Sub</t>
  </si>
  <si>
    <t xml:space="preserve">    End If</t>
  </si>
  <si>
    <t xml:space="preserve">        Else</t>
  </si>
  <si>
    <t xml:space="preserve">        End If</t>
  </si>
  <si>
    <t>End Sub</t>
  </si>
  <si>
    <t>Lookup Tables</t>
  </si>
  <si>
    <t>_YesNo</t>
  </si>
  <si>
    <t>_OnOff</t>
  </si>
  <si>
    <t>Approach:</t>
  </si>
  <si>
    <t>Input Checks &amp; Conversion to LAMBDA() Function</t>
  </si>
  <si>
    <t>Testing input checks</t>
  </si>
  <si>
    <t>Description:</t>
  </si>
  <si>
    <t>Parameters:</t>
  </si>
  <si>
    <t>[optional]</t>
  </si>
  <si>
    <t>Errors:</t>
  </si>
  <si>
    <t>Notes:</t>
  </si>
  <si>
    <t>Function:</t>
  </si>
  <si>
    <t>Minimised version:</t>
  </si>
  <si>
    <t>A custom Lambda function which can provide an array of randomly generated values but without any repeating values</t>
  </si>
  <si>
    <t>Would follow the same principles and input parameters as the native Excel RANDARRAY() function but with the addition of avoiding repeating values</t>
  </si>
  <si>
    <t>Creating sequence of values for number rows and columns required</t>
  </si>
  <si>
    <t xml:space="preserve">Rows: </t>
  </si>
  <si>
    <t xml:space="preserve">Columns: </t>
  </si>
  <si>
    <t>= RANDARRAY( [rows], [columns], [min], [max], [integer] )</t>
  </si>
  <si>
    <t>rows</t>
  </si>
  <si>
    <t>columns</t>
  </si>
  <si>
    <t>min</t>
  </si>
  <si>
    <t>max</t>
  </si>
  <si>
    <t>Only allowing for integer values initially</t>
  </si>
  <si>
    <t>integer</t>
  </si>
  <si>
    <t xml:space="preserve">Max: </t>
  </si>
  <si>
    <t xml:space="preserve">Min: </t>
  </si>
  <si>
    <t xml:space="preserve">Start: </t>
  </si>
  <si>
    <t>Creating sequence of values for difference between min (start) value and max (end) valu</t>
  </si>
  <si>
    <t xml:space="preserve">Output: </t>
  </si>
  <si>
    <t>Creating random sequence of index values using REDUCE() and RANDBETWEEN() functions</t>
  </si>
  <si>
    <t>Using random index sequence to output random values between min and max values</t>
  </si>
  <si>
    <t>Restricting output list to selected number of required values</t>
  </si>
  <si>
    <t>Updating version (E) to create an output array using the user specified dimensions</t>
  </si>
  <si>
    <t>Proving non-repeat calculation:</t>
  </si>
  <si>
    <t>SORT()</t>
  </si>
  <si>
    <t>TOCOL()</t>
  </si>
  <si>
    <t>UNIQUE()</t>
  </si>
  <si>
    <t>Updating version (F) with functionality from version (G) + conversion to LAMBDA()</t>
  </si>
  <si>
    <t>Count:</t>
  </si>
  <si>
    <t>LET(</t>
  </si>
  <si>
    <t>_rows, IF( ISOMITTED(rows), 1, INT(rows)),</t>
  </si>
  <si>
    <t>_cols, IF( ISOMITTED(columns), 1, INT(columns)),</t>
  </si>
  <si>
    <t>_min, IF( ISOMITTED(min), 0, INT(min)),</t>
  </si>
  <si>
    <t>_max, IF( ISOMITTED(max), 100, INT(max)),</t>
  </si>
  <si>
    <t>_cnt, _rows * _cols,</t>
  </si>
  <si>
    <t>_dif, _max - _min + 1,</t>
  </si>
  <si>
    <t>_inpChk, IF(</t>
  </si>
  <si>
    <t>_cnt &gt; _dif,</t>
  </si>
  <si>
    <t>2, IF(</t>
  </si>
  <si>
    <t>OR(</t>
  </si>
  <si>
    <t>ISERROR(_rows), _rows &lt; 1,</t>
  </si>
  <si>
    <t>ISERROR(_cols), _cols &lt; 1,</t>
  </si>
  <si>
    <t>), 3,</t>
  </si>
  <si>
    <t>1</t>
  </si>
  <si>
    <t>)),</t>
  </si>
  <si>
    <t>_rnd, DROP(</t>
  </si>
  <si>
    <t>REDUCE(0, _idx, LAMBDA(_acc,_val, LET(</t>
  </si>
  <si>
    <t>_fltr, FILTER(_arr, ISNA(XMATCH(_arr, _acc))),</t>
  </si>
  <si>
    <t>_rr, ROWS(_fltr),</t>
  </si>
  <si>
    <t>VSTACK(_acc, INDEX(_fltr, RANDBETWEEN(1, _rr)))</t>
  </si>
  <si>
    <t>))),</t>
  </si>
  <si>
    <t>1),</t>
  </si>
  <si>
    <t>CHOOSE(_inpChk, _rtn, LAMBDA(0), #VALUE!)</t>
  </si>
  <si>
    <t>)</t>
  </si>
  <si>
    <t>= LAMBDA(</t>
  </si>
  <si>
    <t>[rows],</t>
  </si>
  <si>
    <t>[columns],</t>
  </si>
  <si>
    <t>[min],</t>
  </si>
  <si>
    <t>[max],</t>
  </si>
  <si>
    <t>// Parameter definitions</t>
  </si>
  <si>
    <t>// Main function body/calculations</t>
  </si>
  <si>
    <t>// Dealing with optional parameters &amp; setting default values</t>
  </si>
  <si>
    <t>// If the input checks (_inpChk) have flagged then the required Excel error code is returned,</t>
  </si>
  <si>
    <t>// otherwise the calculated result (_rtn) is returned</t>
  </si>
  <si>
    <t>// Calculating the derived variables needed for the main calculation</t>
  </si>
  <si>
    <t>// value as 1-to-3</t>
  </si>
  <si>
    <t>// Input checks for the optional parameters and required parameters, returning the _inpChk</t>
  </si>
  <si>
    <t>_idx, SEQUENCE(_rows * _cols, 1, 0, 0),</t>
  </si>
  <si>
    <t>_arr, SEQUENCE(_dif, 1, _min, 1),</t>
  </si>
  <si>
    <t>// dimensions provided, as well as an array containing all integer values between the provided</t>
  </si>
  <si>
    <t>// min and max values (_arr)</t>
  </si>
  <si>
    <t>The output array can be set to cover a specified number of rows and columns</t>
  </si>
  <si>
    <t>the number of rows to be included in the output array</t>
  </si>
  <si>
    <t>the number of columns to be included in the output array</t>
  </si>
  <si>
    <r>
      <t xml:space="preserve">The optional parameters </t>
    </r>
    <r>
      <rPr>
        <sz val="10"/>
        <color rgb="FF0065A8"/>
        <rFont val="Consolas"/>
        <family val="3"/>
      </rPr>
      <t>rows</t>
    </r>
    <r>
      <rPr>
        <sz val="10"/>
        <color rgb="FF002138"/>
        <rFont val="Calibri"/>
        <family val="2"/>
        <scheme val="minor"/>
      </rPr>
      <t xml:space="preserve">, </t>
    </r>
    <r>
      <rPr>
        <sz val="10"/>
        <color rgb="FF0065A8"/>
        <rFont val="Consolas"/>
        <family val="3"/>
      </rPr>
      <t>columns</t>
    </r>
    <r>
      <rPr>
        <sz val="10"/>
        <color rgb="FF002138"/>
        <rFont val="Calibri"/>
        <family val="2"/>
        <scheme val="minor"/>
      </rPr>
      <t xml:space="preserve">, </t>
    </r>
    <r>
      <rPr>
        <sz val="10"/>
        <color rgb="FF0065A8"/>
        <rFont val="Consolas"/>
        <family val="3"/>
      </rPr>
      <t>min</t>
    </r>
    <r>
      <rPr>
        <sz val="10"/>
        <color rgb="FF002138"/>
        <rFont val="Calibri"/>
        <family val="2"/>
        <scheme val="minor"/>
      </rPr>
      <t xml:space="preserve"> and/or </t>
    </r>
    <r>
      <rPr>
        <sz val="10"/>
        <color rgb="FF0065A8"/>
        <rFont val="Consolas"/>
        <family val="3"/>
      </rPr>
      <t>max</t>
    </r>
    <r>
      <rPr>
        <sz val="10"/>
        <color rgb="FF002138"/>
        <rFont val="Calibri"/>
        <family val="2"/>
        <scheme val="minor"/>
      </rPr>
      <t xml:space="preserve"> have input values provided which are invalid</t>
    </r>
  </si>
  <si>
    <t xml:space="preserve"> - must be a whole number/integer</t>
  </si>
  <si>
    <r>
      <t xml:space="preserve"> - the </t>
    </r>
    <r>
      <rPr>
        <sz val="10"/>
        <color rgb="FF0065A8"/>
        <rFont val="Consolas"/>
        <family val="3"/>
      </rPr>
      <t>rows</t>
    </r>
    <r>
      <rPr>
        <sz val="10"/>
        <color rgb="FF002138"/>
        <rFont val="Calibri"/>
        <family val="2"/>
        <scheme val="minor"/>
      </rPr>
      <t xml:space="preserve"> and </t>
    </r>
    <r>
      <rPr>
        <sz val="10"/>
        <color rgb="FF0065A8"/>
        <rFont val="Consolas"/>
        <family val="3"/>
      </rPr>
      <t>columns</t>
    </r>
    <r>
      <rPr>
        <sz val="10"/>
        <color rgb="FF002138"/>
        <rFont val="Calibri"/>
        <family val="2"/>
        <scheme val="minor"/>
      </rPr>
      <t xml:space="preserve"> input values must be positive values greater than </t>
    </r>
    <r>
      <rPr>
        <sz val="10"/>
        <color rgb="FF0000FF"/>
        <rFont val="Consolas"/>
        <family val="3"/>
      </rPr>
      <t>0</t>
    </r>
  </si>
  <si>
    <r>
      <t xml:space="preserve">The number of potential whole numbers (integers) between </t>
    </r>
    <r>
      <rPr>
        <sz val="10"/>
        <color rgb="FF0065A8"/>
        <rFont val="Consolas"/>
        <family val="3"/>
      </rPr>
      <t>min</t>
    </r>
    <r>
      <rPr>
        <sz val="10"/>
        <color rgb="FF002138"/>
        <rFont val="Calibri"/>
        <family val="2"/>
        <scheme val="minor"/>
      </rPr>
      <t xml:space="preserve"> and </t>
    </r>
    <r>
      <rPr>
        <sz val="10"/>
        <color rgb="FF0065A8"/>
        <rFont val="Consolas"/>
        <family val="3"/>
      </rPr>
      <t>max</t>
    </r>
    <r>
      <rPr>
        <sz val="10"/>
        <color rgb="FF002138"/>
        <rFont val="Calibri"/>
        <family val="2"/>
        <scheme val="minor"/>
      </rPr>
      <t xml:space="preserve"> is less than the number of values</t>
    </r>
  </si>
  <si>
    <r>
      <t xml:space="preserve">required to fill the output array based on the </t>
    </r>
    <r>
      <rPr>
        <sz val="10"/>
        <color rgb="FF0065A8"/>
        <rFont val="Consolas"/>
        <family val="3"/>
      </rPr>
      <t>rows</t>
    </r>
    <r>
      <rPr>
        <sz val="10"/>
        <color rgb="FF002138"/>
        <rFont val="Calibri"/>
        <family val="2"/>
        <scheme val="minor"/>
      </rPr>
      <t xml:space="preserve"> and </t>
    </r>
    <r>
      <rPr>
        <sz val="10"/>
        <color rgb="FF0065A8"/>
        <rFont val="Consolas"/>
        <family val="3"/>
      </rPr>
      <t>columns</t>
    </r>
    <r>
      <rPr>
        <sz val="10"/>
        <color rgb="FF002138"/>
        <rFont val="Calibri"/>
        <family val="2"/>
        <scheme val="minor"/>
      </rPr>
      <t xml:space="preserve"> inputs</t>
    </r>
  </si>
  <si>
    <t>the largest randomly generated value which can be included in the output array</t>
  </si>
  <si>
    <t>the lowest randomly generated value which can be included in the output array</t>
  </si>
  <si>
    <r>
      <t xml:space="preserve">If not input value is provided, will </t>
    </r>
    <r>
      <rPr>
        <b/>
        <sz val="10"/>
        <color rgb="FF002138"/>
        <rFont val="Calibri"/>
        <family val="2"/>
        <scheme val="minor"/>
      </rPr>
      <t>default</t>
    </r>
    <r>
      <rPr>
        <sz val="10"/>
        <color rgb="FF002138"/>
        <rFont val="Calibri"/>
        <family val="2"/>
        <scheme val="minor"/>
      </rPr>
      <t xml:space="preserve"> to </t>
    </r>
    <r>
      <rPr>
        <sz val="10"/>
        <color rgb="FF0000FF"/>
        <rFont val="Consolas"/>
        <family val="3"/>
      </rPr>
      <t>100</t>
    </r>
  </si>
  <si>
    <r>
      <t xml:space="preserve">If no input value is provided, will </t>
    </r>
    <r>
      <rPr>
        <b/>
        <sz val="10"/>
        <color rgb="FF002138"/>
        <rFont val="Calibri"/>
        <family val="2"/>
        <scheme val="minor"/>
      </rPr>
      <t>default</t>
    </r>
    <r>
      <rPr>
        <sz val="10"/>
        <color rgb="FF002138"/>
        <rFont val="Calibri"/>
        <family val="2"/>
        <scheme val="minor"/>
      </rPr>
      <t xml:space="preserve"> to </t>
    </r>
    <r>
      <rPr>
        <sz val="10"/>
        <color rgb="FF0000FF"/>
        <rFont val="Consolas"/>
        <family val="3"/>
      </rPr>
      <t>1</t>
    </r>
    <r>
      <rPr>
        <sz val="10"/>
        <color rgb="FF002138"/>
        <rFont val="Calibri"/>
        <family val="2"/>
        <scheme val="minor"/>
      </rPr>
      <t xml:space="preserve"> row</t>
    </r>
  </si>
  <si>
    <r>
      <t xml:space="preserve">If no input value is provided, will </t>
    </r>
    <r>
      <rPr>
        <b/>
        <sz val="10"/>
        <color rgb="FF002138"/>
        <rFont val="Calibri"/>
        <family val="2"/>
        <scheme val="minor"/>
      </rPr>
      <t>default</t>
    </r>
    <r>
      <rPr>
        <sz val="10"/>
        <color rgb="FF002138"/>
        <rFont val="Calibri"/>
        <family val="2"/>
        <scheme val="minor"/>
      </rPr>
      <t xml:space="preserve"> to </t>
    </r>
    <r>
      <rPr>
        <sz val="10"/>
        <color rgb="FF0000FF"/>
        <rFont val="Consolas"/>
        <family val="3"/>
      </rPr>
      <t>1</t>
    </r>
    <r>
      <rPr>
        <sz val="10"/>
        <color rgb="FF002138"/>
        <rFont val="Calibri"/>
        <family val="2"/>
        <scheme val="minor"/>
      </rPr>
      <t xml:space="preserve"> column</t>
    </r>
  </si>
  <si>
    <r>
      <t xml:space="preserve">If not input value is provided, will </t>
    </r>
    <r>
      <rPr>
        <b/>
        <sz val="10"/>
        <color rgb="FF002138"/>
        <rFont val="Calibri"/>
        <family val="2"/>
        <scheme val="minor"/>
      </rPr>
      <t>default</t>
    </r>
    <r>
      <rPr>
        <sz val="10"/>
        <color rgb="FF002138"/>
        <rFont val="Calibri"/>
        <family val="2"/>
        <scheme val="minor"/>
      </rPr>
      <t xml:space="preserve"> to </t>
    </r>
    <r>
      <rPr>
        <sz val="10"/>
        <color rgb="FF0000FF"/>
        <rFont val="Consolas"/>
        <family val="3"/>
      </rPr>
      <t>0</t>
    </r>
  </si>
  <si>
    <t xml:space="preserve"> - Due to the methodology/approach used by the function to avoid repeating values without recursion, if there is a large difference</t>
  </si>
  <si>
    <t xml:space="preserve">   between the min and max inputs this will produce a larger memory burden and will likely cause the workbook to calculate more slowly</t>
  </si>
  <si>
    <t>Randomly generates an array of non-repeating integers (whole numbers) between provided min and max values</t>
  </si>
  <si>
    <t>https://gist.github.com/r-silk/0b6225578d6c7a7dd80df52137519a5b</t>
  </si>
  <si>
    <t>// REDUCE() + FILTER() functions</t>
  </si>
  <si>
    <t>// The _rnd array is then re-created as an output array matching the row and column dimensions</t>
  </si>
  <si>
    <t>// provided by the user</t>
  </si>
  <si>
    <t>_rtn, MAKEARRAY(_rows, _cols, LAMBDA(_r,_c, INDEX(_rnd, (_r - 1) * _cols + _c))),</t>
  </si>
  <si>
    <r>
      <t xml:space="preserve">The </t>
    </r>
    <r>
      <rPr>
        <sz val="10"/>
        <color rgb="FF0065A8"/>
        <rFont val="Consolas"/>
        <family val="3"/>
      </rPr>
      <t>min</t>
    </r>
    <r>
      <rPr>
        <sz val="10"/>
        <color rgb="FF002138"/>
        <rFont val="Calibri"/>
        <family val="2"/>
        <scheme val="minor"/>
      </rPr>
      <t xml:space="preserve"> input value provided is less than the </t>
    </r>
    <r>
      <rPr>
        <sz val="10"/>
        <color rgb="FF0065A8"/>
        <rFont val="Consolas"/>
        <family val="3"/>
      </rPr>
      <t>max</t>
    </r>
    <r>
      <rPr>
        <sz val="10"/>
        <color rgb="FF002138"/>
        <rFont val="Calibri"/>
        <family val="2"/>
        <scheme val="minor"/>
      </rPr>
      <t xml:space="preserve"> input value provided</t>
    </r>
  </si>
  <si>
    <t>=LAMBDA([rows],[columns],[min],[max],LET(_rows,IF(ISOMITTED(rows),1,INT(rows)),_cols,IF(ISOMITTED(columns),1,INT(columns)),_min,IF(ISOMITTED(min),0,INT(min)),_max,IF(ISOMITTED(max),100,INT(max)),_cnt,_rows*_cols,_dif,_max-_min+1,_inpChk,IF(_cnt&gt;_dif,2,IF(OR(ISERROR(_rows),_rows&lt;1,ISERROR(_cols),_cols&lt;1,ISERROR(_min),ISERROR(_max),_min&gt;_max),3,1)),_idx,SEQUENCE(_rows*_cols,1,0,0),_arr,SEQUENCE(_dif,1,_min,1),_rnd,DROP(REDUCE(0,_idx,LAMBDA(_acc,_val,LET(_fltr,FILTER(_arr,ISNA(XMATCH(_arr,_acc))),_rr,ROWS(_fltr),VSTACK(_acc,INDEX(_fltr,RANDBETWEEN(1,_rr)))))),1),_rtn,MAKEARRAY(_rows,_cols,LAMBDA(_r,_c,INDEX(_rnd,(_r-1)*_cols+_c))),CHOOSE(_inpChk,_rtn,LAMBDA(0),#VALUE!)))</t>
  </si>
  <si>
    <t xml:space="preserve"> - Two potential approaches to avoiding repeated values when randomly generating the output</t>
  </si>
  <si>
    <t>(i)  randomly generate a value then check if that value has already been used, if so then repeat the process until an unused value is generated</t>
  </si>
  <si>
    <t>(ii) create a list of all values you want to select from and then randomly generate an index value from that list</t>
  </si>
  <si>
    <t xml:space="preserve"> -&gt; the use of recursive process would be good in a standard UDF with loop-and-break logic</t>
  </si>
  <si>
    <t xml:space="preserve"> -&gt; however, for a LAMBDA() function recursion has a limit (1024 divided by the number of parameters in the recursive function)</t>
  </si>
  <si>
    <t xml:space="preserve">  and developing a break/exit logic which works in all circumstances could be overly difficult</t>
  </si>
  <si>
    <t xml:space="preserve"> -&gt; by using similar logic to that developed in the RXL_RandomSort function using a REDUCE() + FILTER() funciton to remove already used index values</t>
  </si>
  <si>
    <t xml:space="preserve"> -&gt; however, if the min and max values that you are randomly selecting a value between are very large then the underlying array to select values from</t>
  </si>
  <si>
    <t xml:space="preserve"> -&gt; additionally allowing for decimal values when generating all possible values upfront (between the supplied min and max values) would be even</t>
  </si>
  <si>
    <t xml:space="preserve">     before randomly generating a new index value can effectively avoid repeat values without the need for loops or recursion</t>
  </si>
  <si>
    <t xml:space="preserve">     will be very large and make the process resource heavy</t>
  </si>
  <si>
    <t xml:space="preserve">     more resource and process intensive</t>
  </si>
  <si>
    <t xml:space="preserve"> - Initially look to develop a process which avoids recursion, only allows integer values, and follows the logic developed for RXL_RandSort</t>
  </si>
  <si>
    <t xml:space="preserve"> -&gt; generate a list of all potential integer values between the min and max values supplied</t>
  </si>
  <si>
    <t xml:space="preserve"> -&gt; use a combination of REDUCE() + FILTER() + RANDBETWEEN() to randomly generate a list of index values associated with underlying values list, which</t>
  </si>
  <si>
    <t xml:space="preserve">     has the correct number of output values to populate the requried output array based on the number of rows and columns inputs supplied by the user</t>
  </si>
  <si>
    <t xml:space="preserve"> -&gt; resolve the randomly generated index values to get the output values from the upfromt list, and covert to an output array with the required dimensions</t>
  </si>
  <si>
    <t>Developing Recursive Version</t>
  </si>
  <si>
    <t xml:space="preserve">Count: </t>
  </si>
  <si>
    <t>= LAMBDA(array,min,max,</t>
  </si>
  <si>
    <t xml:space="preserve">  LET(</t>
  </si>
  <si>
    <t xml:space="preserve">    IF(ISNA(XMATCH(_val, array)),</t>
  </si>
  <si>
    <t xml:space="preserve">      _val,</t>
  </si>
  <si>
    <t xml:space="preserve">    )</t>
  </si>
  <si>
    <t xml:space="preserve">  )</t>
  </si>
  <si>
    <t xml:space="preserve">'--&gt;  </t>
  </si>
  <si>
    <t>Output</t>
  </si>
  <si>
    <t xml:space="preserve">    _val, RANDBETWEEN(min, max),</t>
  </si>
  <si>
    <t>= RANDBETWEEN( bottom, top )</t>
  </si>
  <si>
    <t>bottom</t>
  </si>
  <si>
    <t>top</t>
  </si>
  <si>
    <t>Excel RANDARRAY() function:</t>
  </si>
  <si>
    <t>Excel RANDBETWEEN() function:</t>
  </si>
  <si>
    <t>Developing Recursive Random Number Generation Function</t>
  </si>
  <si>
    <t>Intial function to randomly generate a number between in and max values and check if it already exists in an array</t>
  </si>
  <si>
    <t xml:space="preserve">Integer: </t>
  </si>
  <si>
    <t>Updating version (J) to allow for optional decimal values --&gt; RXL_RecRAND</t>
  </si>
  <si>
    <t>Recursive version of version (I) --&gt; RXL_RecValue</t>
  </si>
  <si>
    <t xml:space="preserve">      RXL_RecValue(array, min, max)</t>
  </si>
  <si>
    <t xml:space="preserve">    _val, RANDBETWEEN(min, max) + IF(integer, 0, RAND()),</t>
  </si>
  <si>
    <t>= LAMBDA(array,min,max,integer,</t>
  </si>
  <si>
    <t>Creating function to use the recursive function RXL_RecRAND</t>
  </si>
  <si>
    <t>Developing Full Function Utilising Recursive Function</t>
  </si>
  <si>
    <r>
      <rPr>
        <sz val="10"/>
        <color rgb="FFFC6017"/>
        <rFont val="Calibri"/>
        <family val="2"/>
        <scheme val="minor"/>
      </rPr>
      <t>(optional)</t>
    </r>
    <r>
      <rPr>
        <sz val="10"/>
        <color rgb="FF002138"/>
        <rFont val="Calibri"/>
        <family val="2"/>
        <scheme val="minor"/>
      </rPr>
      <t xml:space="preserve"> -&gt; defaults to </t>
    </r>
    <r>
      <rPr>
        <sz val="10"/>
        <color rgb="FF0000FF"/>
        <rFont val="Consolas"/>
        <family val="3"/>
      </rPr>
      <t>1</t>
    </r>
  </si>
  <si>
    <r>
      <rPr>
        <sz val="10"/>
        <color rgb="FFFC6017"/>
        <rFont val="Calibri"/>
        <family val="2"/>
        <scheme val="minor"/>
      </rPr>
      <t>(optional)</t>
    </r>
    <r>
      <rPr>
        <sz val="10"/>
        <color rgb="FF002138"/>
        <rFont val="Calibri"/>
        <family val="2"/>
        <scheme val="minor"/>
      </rPr>
      <t xml:space="preserve"> -&gt; defaults to </t>
    </r>
    <r>
      <rPr>
        <sz val="10"/>
        <color rgb="FF0000FF"/>
        <rFont val="Consolas"/>
        <family val="3"/>
      </rPr>
      <t>0</t>
    </r>
  </si>
  <si>
    <r>
      <rPr>
        <sz val="10"/>
        <color rgb="FFFC6017"/>
        <rFont val="Calibri"/>
        <family val="2"/>
        <scheme val="minor"/>
      </rPr>
      <t>(optional)</t>
    </r>
    <r>
      <rPr>
        <sz val="10"/>
        <color rgb="FF002138"/>
        <rFont val="Calibri"/>
        <family val="2"/>
        <scheme val="minor"/>
      </rPr>
      <t xml:space="preserve"> -&gt; defaults to </t>
    </r>
    <r>
      <rPr>
        <sz val="10"/>
        <color rgb="FF0000FF"/>
        <rFont val="Consolas"/>
        <family val="3"/>
      </rPr>
      <t>FALSE</t>
    </r>
  </si>
  <si>
    <r>
      <rPr>
        <sz val="10"/>
        <color rgb="FFB75EE1"/>
        <rFont val="Calibri"/>
        <family val="2"/>
        <scheme val="minor"/>
      </rPr>
      <t>(required)</t>
    </r>
    <r>
      <rPr>
        <sz val="10"/>
        <color rgb="FF002138"/>
        <rFont val="Calibri"/>
        <family val="2"/>
        <scheme val="minor"/>
      </rPr>
      <t xml:space="preserve"> -&gt; the smallest integer to return</t>
    </r>
  </si>
  <si>
    <r>
      <rPr>
        <sz val="10"/>
        <color rgb="FFB75EE1"/>
        <rFont val="Calibri"/>
        <family val="2"/>
        <scheme val="minor"/>
      </rPr>
      <t>(required)</t>
    </r>
    <r>
      <rPr>
        <sz val="10"/>
        <color rgb="FF002138"/>
        <rFont val="Calibri"/>
        <family val="2"/>
        <scheme val="minor"/>
      </rPr>
      <t xml:space="preserve"> -&gt; the largest integer to return</t>
    </r>
  </si>
  <si>
    <t>-&gt; returns an evenly distributed random real number &gt;= 0 and &lt; 1</t>
  </si>
  <si>
    <t>= RAND()</t>
  </si>
  <si>
    <t>Excel RAND() function:</t>
  </si>
  <si>
    <t>Note:</t>
  </si>
  <si>
    <t>This approach to creating a random decimal value works but can result in a value which is larger than the max value provided</t>
  </si>
  <si>
    <t>as the RANDBETWEEN() function could return the max integer value and then add a random decimal to it using the RAND() function.</t>
  </si>
  <si>
    <t>To avoid this, the funciton could be changed to remove the RAND() value from the RANDBETWEEN() value, but this has the same</t>
  </si>
  <si>
    <t>potential issue as the end result could be smaller than the min value provided by the user.</t>
  </si>
  <si>
    <t>When testing the RANDARRAY() function when allowing for non-integer output, it seems that the exact min and max values are</t>
  </si>
  <si>
    <t>not actually reached and so something which replicates this would be better</t>
  </si>
  <si>
    <t>Updating version (K) to change methodology for returning decimal values</t>
  </si>
  <si>
    <t xml:space="preserve">      RANDBETWEEN(min, max),</t>
  </si>
  <si>
    <t xml:space="preserve">    _val, IF(integer,</t>
  </si>
  <si>
    <t xml:space="preserve">      RAND() * (max - min) + min</t>
  </si>
  <si>
    <t xml:space="preserve">    ),</t>
  </si>
  <si>
    <t>Recursive Version</t>
  </si>
  <si>
    <t>determines whether the randomly generated values will be integers (whole numbers) or decimal values</t>
  </si>
  <si>
    <r>
      <t xml:space="preserve">If no input value is provided, will </t>
    </r>
    <r>
      <rPr>
        <b/>
        <sz val="10"/>
        <color rgb="FF002138"/>
        <rFont val="Calibri"/>
        <family val="2"/>
        <scheme val="minor"/>
      </rPr>
      <t>default</t>
    </r>
    <r>
      <rPr>
        <sz val="10"/>
        <color rgb="FF002138"/>
        <rFont val="Calibri"/>
        <family val="2"/>
        <scheme val="minor"/>
      </rPr>
      <t xml:space="preserve"> to </t>
    </r>
    <r>
      <rPr>
        <sz val="10"/>
        <color rgb="FF0000FF"/>
        <rFont val="Consolas"/>
        <family val="3"/>
      </rPr>
      <t>0</t>
    </r>
  </si>
  <si>
    <r>
      <t xml:space="preserve">If no input value is provided, will </t>
    </r>
    <r>
      <rPr>
        <b/>
        <sz val="10"/>
        <color rgb="FF002138"/>
        <rFont val="Calibri"/>
        <family val="2"/>
        <scheme val="minor"/>
      </rPr>
      <t>default</t>
    </r>
    <r>
      <rPr>
        <sz val="10"/>
        <color rgb="FF002138"/>
        <rFont val="Calibri"/>
        <family val="2"/>
        <scheme val="minor"/>
      </rPr>
      <t xml:space="preserve"> to </t>
    </r>
    <r>
      <rPr>
        <sz val="10"/>
        <color rgb="FF0000FF"/>
        <rFont val="Consolas"/>
        <family val="3"/>
      </rPr>
      <t>100</t>
    </r>
  </si>
  <si>
    <t>Can be input as either a logical (Boolean) value or a number:</t>
  </si>
  <si>
    <r>
      <rPr>
        <sz val="10"/>
        <color rgb="FF0000FF"/>
        <rFont val="Consolas"/>
        <family val="3"/>
      </rPr>
      <t>TRUE</t>
    </r>
    <r>
      <rPr>
        <sz val="10"/>
        <color rgb="FF002138"/>
        <rFont val="Calibri"/>
        <family val="2"/>
        <scheme val="minor"/>
      </rPr>
      <t>/</t>
    </r>
    <r>
      <rPr>
        <sz val="10"/>
        <color rgb="FF0000FF"/>
        <rFont val="Consolas"/>
        <family val="3"/>
      </rPr>
      <t>1</t>
    </r>
  </si>
  <si>
    <r>
      <rPr>
        <sz val="10"/>
        <color rgb="FF0000FF"/>
        <rFont val="Consolas"/>
        <family val="3"/>
      </rPr>
      <t>FALSE</t>
    </r>
    <r>
      <rPr>
        <sz val="10"/>
        <color rgb="FF002138"/>
        <rFont val="Calibri"/>
        <family val="2"/>
        <scheme val="minor"/>
      </rPr>
      <t>/</t>
    </r>
    <r>
      <rPr>
        <sz val="10"/>
        <color rgb="FF0000FF"/>
        <rFont val="Consolas"/>
        <family val="3"/>
      </rPr>
      <t>0</t>
    </r>
  </si>
  <si>
    <t>Randomly generates an array of non-repeating numbers between provided min and max values</t>
  </si>
  <si>
    <t>The randomly generated values can be restricted to integer values (whole numbers) or non-rounded decimal values</t>
  </si>
  <si>
    <t>= outputs non-rounded decimal values</t>
  </si>
  <si>
    <r>
      <t>= (</t>
    </r>
    <r>
      <rPr>
        <b/>
        <sz val="10"/>
        <color rgb="FF002138"/>
        <rFont val="Calibri"/>
        <family val="2"/>
        <scheme val="minor"/>
      </rPr>
      <t>default</t>
    </r>
    <r>
      <rPr>
        <sz val="10"/>
        <color rgb="FF002138"/>
        <rFont val="Calibri"/>
        <family val="2"/>
        <scheme val="minor"/>
      </rPr>
      <t>) outputs integer values (whole numbers) only</t>
    </r>
  </si>
  <si>
    <r>
      <t xml:space="preserve">The optional parameter </t>
    </r>
    <r>
      <rPr>
        <sz val="10"/>
        <color rgb="FF0065A8"/>
        <rFont val="Consolas"/>
        <family val="3"/>
      </rPr>
      <t>integer</t>
    </r>
    <r>
      <rPr>
        <sz val="10"/>
        <color rgb="FF002138"/>
        <rFont val="Calibri"/>
        <family val="2"/>
        <scheme val="minor"/>
      </rPr>
      <t xml:space="preserve"> has an input value provided which is invalid</t>
    </r>
  </si>
  <si>
    <r>
      <t xml:space="preserve"> - must be either a number (</t>
    </r>
    <r>
      <rPr>
        <sz val="10"/>
        <color rgb="FF0000FF"/>
        <rFont val="Consolas"/>
        <family val="3"/>
      </rPr>
      <t>1</t>
    </r>
    <r>
      <rPr>
        <sz val="10"/>
        <color rgb="FF002138"/>
        <rFont val="Calibri"/>
        <family val="2"/>
        <scheme val="minor"/>
      </rPr>
      <t xml:space="preserve"> or </t>
    </r>
    <r>
      <rPr>
        <sz val="10"/>
        <color rgb="FF0000FF"/>
        <rFont val="Consolas"/>
        <family val="3"/>
      </rPr>
      <t>0</t>
    </r>
    <r>
      <rPr>
        <sz val="10"/>
        <color rgb="FF002138"/>
        <rFont val="Calibri"/>
        <family val="2"/>
        <scheme val="minor"/>
      </rPr>
      <t>) or a logical/Boolean value (</t>
    </r>
    <r>
      <rPr>
        <sz val="10"/>
        <color rgb="FF0000FF"/>
        <rFont val="Consolas"/>
        <family val="3"/>
      </rPr>
      <t>TRUE</t>
    </r>
    <r>
      <rPr>
        <sz val="10"/>
        <color rgb="FF002138"/>
        <rFont val="Calibri"/>
        <family val="2"/>
        <scheme val="minor"/>
      </rPr>
      <t>/</t>
    </r>
    <r>
      <rPr>
        <sz val="10"/>
        <color rgb="FF0000FF"/>
        <rFont val="Consolas"/>
        <family val="3"/>
      </rPr>
      <t>FALSE</t>
    </r>
    <r>
      <rPr>
        <sz val="10"/>
        <color rgb="FF002138"/>
        <rFont val="Calibri"/>
        <family val="2"/>
        <scheme val="minor"/>
      </rPr>
      <t>)</t>
    </r>
  </si>
  <si>
    <t>return a #NUM! error</t>
  </si>
  <si>
    <t>When the recursion limit of the function is reached without being able to successfully return a new value, the function will</t>
  </si>
  <si>
    <t>Dealing with an error value indirectly by trapping it after the recursive calculation does not seem to work -&gt; full function evaluates</t>
  </si>
  <si>
    <t>to a #NUM! error only</t>
  </si>
  <si>
    <t xml:space="preserve">Dealing with an error value more directly, by trapping if the IFERROR() function does not seem to work either -&gt; full function </t>
  </si>
  <si>
    <t>evaluates to #NUM! error only</t>
  </si>
  <si>
    <t>been generated in the input array -&gt; this situation can be avoided in the final custom function by trapping the input error,</t>
  </si>
  <si>
    <t>i.e. the difference between the min and max values is smaller than the number of output values to generate</t>
  </si>
  <si>
    <t>= LAMBDA(array,min,max,integer,R,</t>
  </si>
  <si>
    <t>IF(R &gt;= 1,</t>
  </si>
  <si>
    <t xml:space="preserve">    IF(R &gt;= 1,</t>
  </si>
  <si>
    <t xml:space="preserve">      ),</t>
  </si>
  <si>
    <t xml:space="preserve">      IF(ISNA(XMATCH(_val, array)),</t>
  </si>
  <si>
    <t xml:space="preserve">        _val,</t>
  </si>
  <si>
    <t xml:space="preserve">      NA()</t>
  </si>
  <si>
    <t xml:space="preserve">        RXL_RecRAND(array, min, max, integer, R - 1)</t>
  </si>
  <si>
    <t>In the examples above reaching recursion limit is forced by setting a max integer value to randomly generated which has already</t>
  </si>
  <si>
    <t xml:space="preserve">R: </t>
  </si>
  <si>
    <t xml:space="preserve">        RXL_RecTEST(array, min, max, integer, R - 1)</t>
  </si>
  <si>
    <t>The above version uses a recursion counter (R) which counts backwards and exits once the set max number of recursions</t>
  </si>
  <si>
    <t>has been reached and then exits displaying the final counter value (R)</t>
  </si>
  <si>
    <t>Interestingly, the only references to the Excel LAMBDA() recursion limit I could find online, all came back to the same article</t>
  </si>
  <si>
    <t xml:space="preserve">from 2021 (https://www.sumproduct.com/news/article/lambda-formulaic-recursion-its-all-about-me), which states that the </t>
  </si>
  <si>
    <t>recursion limit is based on a limit of 1024 arguments on the operand stack -&gt; each recursion generates a new set of agruments,</t>
  </si>
  <si>
    <t>meaning that the recursion limit becomes 1024 divided by the number of LAMBDA parameters + 1</t>
  </si>
  <si>
    <t>However, in my experiments with the above RXL_RecTEST function, I found that I could go well beyond this theoretical recursion</t>
  </si>
  <si>
    <t xml:space="preserve">limit [ 1024 / (5 + 1) = 107 ] </t>
  </si>
  <si>
    <t>-- when the RXL_RecTEST funciton is forced to hit the allowed recursion max depth or the recursion limit using the above</t>
  </si>
  <si>
    <t>methodology, a value of 0 (zero) is returned if the recursion limit is not met and instead the set recursion depth max is</t>
  </si>
  <si>
    <t>reached; if the recursion limit is reached then a #NUM! error is returned</t>
  </si>
  <si>
    <t>Testing:</t>
  </si>
  <si>
    <t>Testing different recursion depth max values</t>
  </si>
  <si>
    <t>(R) to find where the function recursion limit</t>
  </si>
  <si>
    <t>is hit [ =&gt; returns a #NUM! error ]</t>
  </si>
  <si>
    <t>Further Testing:</t>
  </si>
  <si>
    <t>Testing to see effect of changing the size (dimensions) and value sizes of the initial array</t>
  </si>
  <si>
    <t>whilst still forcing the recursion max depth or limit to be hit</t>
  </si>
  <si>
    <t>Using a large initial input array containing large integer values, did not seeme to effect the max recursion depth (R) at</t>
  </si>
  <si>
    <t>which the recursion limit is met (still &gt; 2339 in nearly all cases), however, this had a major effect on the calculation</t>
  </si>
  <si>
    <t>speed (likely due to the size of the array which is iterated through at each recursion using XMATCH()</t>
  </si>
  <si>
    <t>On balance setting a max recursion depth of 1000 (R = 1000) seems sensible and is unlikley to be reached in most</t>
  </si>
  <si>
    <t>cases</t>
  </si>
  <si>
    <t>--&gt; needs testing on different machines and different versions of Excel to optimise this</t>
  </si>
  <si>
    <t>Experimenting with use of a recursion depth counter to avoid/handle reaching the recursion limit</t>
  </si>
  <si>
    <t>Adapting version (O) with functionality from version (F) to create an output array of user specified dimensions</t>
  </si>
  <si>
    <t>Updating version (P) with functionality from version (Q) + conversion to LAMBDA()</t>
  </si>
  <si>
    <t>Updating version (L) to include recursion counter functionality from version (M)</t>
  </si>
  <si>
    <t xml:space="preserve">      RXL_RecRAND_v1(array, min, max)</t>
  </si>
  <si>
    <t xml:space="preserve">      RXL_RecRAND_v2(array, min, max, integer)</t>
  </si>
  <si>
    <t xml:space="preserve">      R</t>
  </si>
  <si>
    <t>_int, IF( ISOMITTED(integer), 1, INT(integer)),</t>
  </si>
  <si>
    <t>ISERROR(_min), ISERROR(_max), _min &gt;= _max,</t>
  </si>
  <si>
    <t>ISERROR(_int), _int &lt; 0, _int &gt; 1</t>
  </si>
  <si>
    <t>REDUCE(0, _idx, LAMBDA(_acc,_val,</t>
  </si>
  <si>
    <t>VSTACK(_acc, RXL_RecRAND(_acc, _min, _max, _int, 1000))</t>
  </si>
  <si>
    <t>)), 1</t>
  </si>
  <si>
    <t>),</t>
  </si>
  <si>
    <t>[integer],</t>
  </si>
  <si>
    <t>// Create a simple index (_idx) with the correct number of values for the row and column</t>
  </si>
  <si>
    <t>// dimensions provided, to allow for correct iteration of the REDUCE() function</t>
  </si>
  <si>
    <t>// Calculates a randomly generated list of values from the _arr array, using a combination of</t>
  </si>
  <si>
    <t>// Calculate a randomly generated list of values within the _min and _max values using</t>
  </si>
  <si>
    <t>// the recursive RXL_RecRAND function</t>
  </si>
  <si>
    <t>// Note: the max recursion depth of the RXL_RecRAND() function is set via the final/5th argument</t>
  </si>
  <si>
    <t>Minimised verison:</t>
  </si>
  <si>
    <t>Supporting Function (RXL_RecRAND):</t>
  </si>
  <si>
    <t>_val, IF(integer,</t>
  </si>
  <si>
    <t>RANDBETWEEN(min, max),</t>
  </si>
  <si>
    <t>RAND() * (max - min) + min</t>
  </si>
  <si>
    <t>IF(ISNA(XMATCH(_val, array)),</t>
  </si>
  <si>
    <t>_val,</t>
  </si>
  <si>
    <t>RXL_RecRAND(array, min, max, integer, R - 1)</t>
  </si>
  <si>
    <t>NA()</t>
  </si>
  <si>
    <t>array,</t>
  </si>
  <si>
    <t>min,</t>
  </si>
  <si>
    <t>max,</t>
  </si>
  <si>
    <t>integer,</t>
  </si>
  <si>
    <t>R,</t>
  </si>
  <si>
    <t>=LAMBDA(array,min,max,integer,R,LET(_val,IF(integer,RANDBETWEEN(min,max),RAND()*(max-min)+min),IF(R&gt;=1,IF(ISNA(XMATCH(_val,array)),_val,RXL_RecRAND(array,min,max,integer,R-1)),NA())))</t>
  </si>
  <si>
    <t>= LET(</t>
  </si>
  <si>
    <t xml:space="preserve">  _val, RXL_RecRAND_v2(F405#, D407, D408, TRUE),</t>
  </si>
  <si>
    <t xml:space="preserve">  IF( ISERROR(_val), "#num", _val)</t>
  </si>
  <si>
    <t>= IFERROR(RXL_RecRAND_v2(F405#, D407, D408, TRUE), "#num")</t>
  </si>
  <si>
    <t>// Calculate a random value between the min and max values provided</t>
  </si>
  <si>
    <t>// -&gt; for integer only values use the RANDBETWEEN() function</t>
  </si>
  <si>
    <t>// -&gt; for decimal values use the RAND() function</t>
  </si>
  <si>
    <t>// Check if the max recursion depth has been reached -&gt; R=0</t>
  </si>
  <si>
    <t xml:space="preserve">// -&gt; if not return the value </t>
  </si>
  <si>
    <t>// Checks if the randomly generated value (_val) is already present in the array</t>
  </si>
  <si>
    <t>// -&gt; otherwise, repeat the process reducing the recursion counter (R) by one</t>
  </si>
  <si>
    <t>// If the max recursion depth has been reached (R=0) return a #N/A value to avoid the</t>
  </si>
  <si>
    <t>// recursion limit being hit an a #NUM! error resulting</t>
  </si>
  <si>
    <t>= RXL_RecTEST(SEQUENCE(D484 - D483 + 1, 1, D483), D483, D484, TRUE, G483)</t>
  </si>
  <si>
    <t>Final Version  (Non-Recursive)</t>
  </si>
  <si>
    <t>ISERROR(_min), ISERROR(_max), _min &gt;= _max</t>
  </si>
  <si>
    <t xml:space="preserve"> - As the function uses random number generation it is a volatile function and will re-calculate every time there is a calculation trigger.</t>
  </si>
  <si>
    <r>
      <t xml:space="preserve">Indicates that the supporting custom function </t>
    </r>
    <r>
      <rPr>
        <sz val="10"/>
        <color rgb="FF0065A8"/>
        <rFont val="Consolas"/>
        <family val="3"/>
      </rPr>
      <t>RXL_RecRAND()</t>
    </r>
    <r>
      <rPr>
        <sz val="10"/>
        <color rgb="FF002138"/>
        <rFont val="Calibri"/>
        <family val="2"/>
        <scheme val="minor"/>
      </rPr>
      <t xml:space="preserve"> has hit the Excel recursion limit</t>
    </r>
  </si>
  <si>
    <r>
      <t xml:space="preserve"> - This function requires the supporting custom function </t>
    </r>
    <r>
      <rPr>
        <sz val="10"/>
        <color rgb="FF0065A8"/>
        <rFont val="Consolas"/>
        <family val="3"/>
      </rPr>
      <t>RXL_RecRAND()</t>
    </r>
    <r>
      <rPr>
        <sz val="10"/>
        <color rgb="FF002138"/>
        <rFont val="Calibri"/>
        <family val="2"/>
        <scheme val="minor"/>
      </rPr>
      <t xml:space="preserve"> in order to work -&gt; if the supporting function is not present</t>
    </r>
  </si>
  <si>
    <r>
      <t xml:space="preserve">this function will not work correctly and will return a </t>
    </r>
    <r>
      <rPr>
        <sz val="10"/>
        <color rgb="FFC00000"/>
        <rFont val="Consolas"/>
        <family val="3"/>
      </rPr>
      <t>#NAME?</t>
    </r>
    <r>
      <rPr>
        <sz val="10"/>
        <color rgb="FF002138"/>
        <rFont val="Calibri"/>
        <family val="2"/>
        <scheme val="minor"/>
      </rPr>
      <t xml:space="preserve"> error</t>
    </r>
  </si>
  <si>
    <r>
      <t xml:space="preserve"> - If the function is unable to generate a unique value within the recursion depth limit, a </t>
    </r>
    <r>
      <rPr>
        <sz val="10"/>
        <color rgb="FFC00000"/>
        <rFont val="Consolas"/>
        <family val="3"/>
      </rPr>
      <t>#N/A</t>
    </r>
    <r>
      <rPr>
        <sz val="10"/>
        <color rgb="FF002138"/>
        <rFont val="Calibri"/>
        <family val="2"/>
        <scheme val="minor"/>
      </rPr>
      <t xml:space="preserve"> value will be returned</t>
    </r>
  </si>
  <si>
    <r>
      <t xml:space="preserve"> -&gt; in order to change/increase the max recursion depth, update the final (5th) argument for the </t>
    </r>
    <r>
      <rPr>
        <sz val="10"/>
        <color rgb="FF0065A8"/>
        <rFont val="Consolas"/>
        <family val="3"/>
      </rPr>
      <t>RXL_RecRAND()</t>
    </r>
    <r>
      <rPr>
        <sz val="10"/>
        <color rgb="FF002138"/>
        <rFont val="Calibri"/>
        <family val="2"/>
        <scheme val="minor"/>
      </rPr>
      <t xml:space="preserve"> function call</t>
    </r>
  </si>
  <si>
    <t>https://gist.github.com/r-silk/06d33edd7843a1b85f7732737a2db7d8</t>
  </si>
  <si>
    <t>AND(_int, _cnt &gt; _dif),</t>
  </si>
  <si>
    <t>=LAMBDA([rows],[columns],[min],[max],[integer],LET(_rows,IF(ISOMITTED(rows),1,INT(rows)),_cols,IF(ISOMITTED(columns),1,INT(columns)),_min,IF(ISOMITTED(min),0,INT(min)),_max,IF(ISOMITTED(max),100,INT(max)),_int,IF(ISOMITTED(integer),1,INT(integer)),_cnt,_rows*_cols,_dif,_max-_min+1,_inpChk,IF(AND(_int,_cnt&gt;_dif),2,IF(OR(ISERROR(_rows),_rows&lt;1,ISERROR(_cols),_cols&lt;1,ISERROR(_min),ISERROR(_max),_min&gt;=_max,ISERROR(_int),_int&lt;0,_int&gt;1),3,1)),_idx,SEQUENCE(_rows*_cols,1,0,0),_rnd,DROP(REDUCE(0,_idx,LAMBDA(_acc,_val,VSTACK(_acc,RXL_RecRAND(_acc,_min,_max,_int,1000)))),1),_rtn,MAKEARRAY(_rows,_cols,LAMBDA(_r,_c,INDEX(_rnd,(_r-1)*_cols+_c))),CHOOSE(_inpChk,_rtn,LAMBDA(0),#VALUE!)))</t>
  </si>
  <si>
    <t>In order to copy across the RXL_NoRepRAND() functions from this Workbook to your own project you can use the instructions and VBA code below .</t>
  </si>
  <si>
    <r>
      <rPr>
        <sz val="10"/>
        <color rgb="FF1E4FA8"/>
        <rFont val="Consolas"/>
        <family val="3"/>
      </rPr>
      <t>Private Sub</t>
    </r>
    <r>
      <rPr>
        <sz val="10"/>
        <rFont val="Consolas"/>
        <family val="3"/>
      </rPr>
      <t xml:space="preserve"> CopyLambda()</t>
    </r>
  </si>
  <si>
    <r>
      <t xml:space="preserve">    </t>
    </r>
    <r>
      <rPr>
        <sz val="10"/>
        <color rgb="FF1E4FA8"/>
        <rFont val="Consolas"/>
        <family val="3"/>
      </rPr>
      <t>Dim</t>
    </r>
    <r>
      <rPr>
        <sz val="10"/>
        <rFont val="Consolas"/>
        <family val="3"/>
      </rPr>
      <t xml:space="preserve"> wb </t>
    </r>
    <r>
      <rPr>
        <sz val="10"/>
        <color rgb="FF1E4FA8"/>
        <rFont val="Consolas"/>
        <family val="3"/>
      </rPr>
      <t>As</t>
    </r>
    <r>
      <rPr>
        <sz val="10"/>
        <rFont val="Consolas"/>
        <family val="3"/>
      </rPr>
      <t xml:space="preserve"> Workbook, nm </t>
    </r>
    <r>
      <rPr>
        <sz val="10"/>
        <color rgb="FF1E4FA8"/>
        <rFont val="Consolas"/>
        <family val="3"/>
      </rPr>
      <t>As</t>
    </r>
    <r>
      <rPr>
        <sz val="10"/>
        <rFont val="Consolas"/>
        <family val="3"/>
      </rPr>
      <t xml:space="preserve"> Name, fn </t>
    </r>
    <r>
      <rPr>
        <sz val="10"/>
        <color rgb="FF1E4FA8"/>
        <rFont val="Consolas"/>
        <family val="3"/>
      </rPr>
      <t>As</t>
    </r>
    <r>
      <rPr>
        <sz val="10"/>
        <rFont val="Consolas"/>
        <family val="3"/>
      </rPr>
      <t xml:space="preserve"> Name</t>
    </r>
  </si>
  <si>
    <r>
      <t xml:space="preserve">    </t>
    </r>
    <r>
      <rPr>
        <sz val="10"/>
        <color rgb="FF1E4FA8"/>
        <rFont val="Consolas"/>
        <family val="3"/>
      </rPr>
      <t>Dim</t>
    </r>
    <r>
      <rPr>
        <sz val="10"/>
        <rFont val="Consolas"/>
        <family val="3"/>
      </rPr>
      <t xml:space="preserve"> strLambda </t>
    </r>
    <r>
      <rPr>
        <sz val="10"/>
        <color rgb="FF1E4FA8"/>
        <rFont val="Consolas"/>
        <family val="3"/>
      </rPr>
      <t>As String</t>
    </r>
    <r>
      <rPr>
        <sz val="10"/>
        <rFont val="Consolas"/>
        <family val="3"/>
      </rPr>
      <t xml:space="preserve">, arrFuncs() </t>
    </r>
    <r>
      <rPr>
        <sz val="10"/>
        <color rgb="FF1E4FA8"/>
        <rFont val="Consolas"/>
        <family val="3"/>
      </rPr>
      <t>As String</t>
    </r>
  </si>
  <si>
    <r>
      <t xml:space="preserve">    </t>
    </r>
    <r>
      <rPr>
        <sz val="10"/>
        <color rgb="FF1E4FA8"/>
        <rFont val="Consolas"/>
        <family val="3"/>
      </rPr>
      <t>Dim</t>
    </r>
    <r>
      <rPr>
        <sz val="10"/>
        <rFont val="Consolas"/>
        <family val="3"/>
      </rPr>
      <t xml:space="preserve"> i </t>
    </r>
    <r>
      <rPr>
        <sz val="10"/>
        <color rgb="FF1E4FA8"/>
        <rFont val="Consolas"/>
        <family val="3"/>
      </rPr>
      <t>As Long</t>
    </r>
  </si>
  <si>
    <t xml:space="preserve">    ' Creates the list of custom Lambda function to copy</t>
  </si>
  <si>
    <r>
      <t xml:space="preserve">    </t>
    </r>
    <r>
      <rPr>
        <sz val="10"/>
        <color rgb="FF1E4FA8"/>
        <rFont val="Consolas"/>
        <family val="3"/>
      </rPr>
      <t>On Error GoTo</t>
    </r>
    <r>
      <rPr>
        <sz val="10"/>
        <rFont val="Consolas"/>
        <family val="3"/>
      </rPr>
      <t xml:space="preserve"> ErrHndlr</t>
    </r>
  </si>
  <si>
    <t xml:space="preserve">        arrFuncs = Split(STR_FUNC, "|")</t>
  </si>
  <si>
    <r>
      <t xml:space="preserve">        </t>
    </r>
    <r>
      <rPr>
        <sz val="10"/>
        <color rgb="FF1E4FA8"/>
        <rFont val="Consolas"/>
        <family val="3"/>
      </rPr>
      <t>Set</t>
    </r>
    <r>
      <rPr>
        <sz val="10"/>
        <rFont val="Consolas"/>
        <family val="3"/>
      </rPr>
      <t xml:space="preserve"> wb = Application.Workbooks("Example.xlsx")</t>
    </r>
  </si>
  <si>
    <r>
      <t xml:space="preserve">    </t>
    </r>
    <r>
      <rPr>
        <sz val="10"/>
        <color rgb="FF1E4FA8"/>
        <rFont val="Consolas"/>
        <family val="3"/>
      </rPr>
      <t>On Error GoTo</t>
    </r>
    <r>
      <rPr>
        <sz val="10"/>
        <rFont val="Consolas"/>
        <family val="3"/>
      </rPr>
      <t xml:space="preserve"> 0</t>
    </r>
  </si>
  <si>
    <r>
      <t xml:space="preserve">    </t>
    </r>
    <r>
      <rPr>
        <sz val="10"/>
        <color rgb="FF1E4FA8"/>
        <rFont val="Consolas"/>
        <family val="3"/>
      </rPr>
      <t>If</t>
    </r>
    <r>
      <rPr>
        <sz val="10"/>
        <rFont val="Consolas"/>
        <family val="3"/>
      </rPr>
      <t xml:space="preserve"> wb </t>
    </r>
    <r>
      <rPr>
        <sz val="10"/>
        <color rgb="FF1E4FA8"/>
        <rFont val="Consolas"/>
        <family val="3"/>
      </rPr>
      <t>Is Nothing Then</t>
    </r>
  </si>
  <si>
    <r>
      <t xml:space="preserve">        </t>
    </r>
    <r>
      <rPr>
        <sz val="10"/>
        <color rgb="FF1E4FA8"/>
        <rFont val="Consolas"/>
        <family val="3"/>
      </rPr>
      <t>Debug</t>
    </r>
    <r>
      <rPr>
        <sz val="10"/>
        <rFont val="Consolas"/>
        <family val="3"/>
      </rPr>
      <t>.</t>
    </r>
    <r>
      <rPr>
        <sz val="10"/>
        <color rgb="FF1E4FA8"/>
        <rFont val="Consolas"/>
        <family val="3"/>
      </rPr>
      <t>Print</t>
    </r>
    <r>
      <rPr>
        <sz val="10"/>
        <rFont val="Consolas"/>
        <family val="3"/>
      </rPr>
      <t xml:space="preserve"> "ERROR: Destination Workbook not found - please ensure it is open"</t>
    </r>
  </si>
  <si>
    <r>
      <t xml:space="preserve">    </t>
    </r>
    <r>
      <rPr>
        <sz val="10"/>
        <color rgb="FF1E4FA8"/>
        <rFont val="Consolas"/>
        <family val="3"/>
      </rPr>
      <t>For</t>
    </r>
    <r>
      <rPr>
        <sz val="10"/>
        <rFont val="Consolas"/>
        <family val="3"/>
      </rPr>
      <t xml:space="preserve"> i = </t>
    </r>
    <r>
      <rPr>
        <sz val="10"/>
        <color rgb="FF1E4FA8"/>
        <rFont val="Consolas"/>
        <family val="3"/>
      </rPr>
      <t>LBound</t>
    </r>
    <r>
      <rPr>
        <sz val="10"/>
        <rFont val="Consolas"/>
        <family val="3"/>
      </rPr>
      <t xml:space="preserve">(arrFuncs) To </t>
    </r>
    <r>
      <rPr>
        <sz val="10"/>
        <color rgb="FF1E4FA8"/>
        <rFont val="Consolas"/>
        <family val="3"/>
      </rPr>
      <t>UBound</t>
    </r>
    <r>
      <rPr>
        <sz val="10"/>
        <rFont val="Consolas"/>
        <family val="3"/>
      </rPr>
      <t>(arrFuncs)</t>
    </r>
  </si>
  <si>
    <t xml:space="preserve">        </t>
  </si>
  <si>
    <t xml:space="preserve">        On Error Resume Next</t>
  </si>
  <si>
    <r>
      <t xml:space="preserve">            </t>
    </r>
    <r>
      <rPr>
        <sz val="10"/>
        <color rgb="FF1E4FA8"/>
        <rFont val="Consolas"/>
        <family val="3"/>
      </rPr>
      <t>Set</t>
    </r>
    <r>
      <rPr>
        <sz val="10"/>
        <rFont val="Consolas"/>
        <family val="3"/>
      </rPr>
      <t xml:space="preserve"> nm = ThisWorkbook.Names(strLambda)</t>
    </r>
  </si>
  <si>
    <r>
      <t xml:space="preserve">        </t>
    </r>
    <r>
      <rPr>
        <sz val="10"/>
        <color rgb="FF1E4FA8"/>
        <rFont val="Consolas"/>
        <family val="3"/>
      </rPr>
      <t>If Not</t>
    </r>
    <r>
      <rPr>
        <sz val="10"/>
        <rFont val="Consolas"/>
        <family val="3"/>
      </rPr>
      <t xml:space="preserve"> nm </t>
    </r>
    <r>
      <rPr>
        <sz val="10"/>
        <color rgb="FF1E4FA8"/>
        <rFont val="Consolas"/>
        <family val="3"/>
      </rPr>
      <t>Is Nothing Then</t>
    </r>
  </si>
  <si>
    <t xml:space="preserve">            Err.Clear</t>
  </si>
  <si>
    <r>
      <t xml:space="preserve">            </t>
    </r>
    <r>
      <rPr>
        <sz val="10"/>
        <color rgb="FF1E4FA8"/>
        <rFont val="Consolas"/>
        <family val="3"/>
      </rPr>
      <t>Set</t>
    </r>
    <r>
      <rPr>
        <sz val="10"/>
        <rFont val="Consolas"/>
        <family val="3"/>
      </rPr>
      <t xml:space="preserve"> fn = wb.Names.Add(Name:=nm.Name, _</t>
    </r>
  </si>
  <si>
    <t xml:space="preserve">                                  RefersTo:=nm.RefersTo, _</t>
  </si>
  <si>
    <t xml:space="preserve">                                  Visible:=nm.Visible)</t>
  </si>
  <si>
    <r>
      <t xml:space="preserve">            </t>
    </r>
    <r>
      <rPr>
        <sz val="10"/>
        <color rgb="FF1E4FA8"/>
        <rFont val="Consolas"/>
        <family val="3"/>
      </rPr>
      <t>If</t>
    </r>
    <r>
      <rPr>
        <sz val="10"/>
        <rFont val="Consolas"/>
        <family val="3"/>
      </rPr>
      <t xml:space="preserve"> Err.Number = 0 </t>
    </r>
    <r>
      <rPr>
        <sz val="10"/>
        <color rgb="FF1E4FA8"/>
        <rFont val="Consolas"/>
        <family val="3"/>
      </rPr>
      <t>Then</t>
    </r>
  </si>
  <si>
    <t xml:space="preserve">                fn.Comment = nm.Comment</t>
  </si>
  <si>
    <r>
      <t xml:space="preserve">                </t>
    </r>
    <r>
      <rPr>
        <sz val="10"/>
        <color rgb="FF1E4FA8"/>
        <rFont val="Consolas"/>
        <family val="3"/>
      </rPr>
      <t>Debug</t>
    </r>
    <r>
      <rPr>
        <sz val="10"/>
        <rFont val="Consolas"/>
        <family val="3"/>
      </rPr>
      <t>.</t>
    </r>
    <r>
      <rPr>
        <sz val="10"/>
        <color rgb="FF1E4FA8"/>
        <rFont val="Consolas"/>
        <family val="3"/>
      </rPr>
      <t>Print</t>
    </r>
    <r>
      <rPr>
        <sz val="10"/>
        <rFont val="Consolas"/>
        <family val="3"/>
      </rPr>
      <t xml:space="preserve"> "Success! -&gt; " &amp; strLambda &amp; " copied to " &amp; wb.Name</t>
    </r>
  </si>
  <si>
    <t xml:space="preserve">            Else</t>
  </si>
  <si>
    <r>
      <t xml:space="preserve">                </t>
    </r>
    <r>
      <rPr>
        <sz val="10"/>
        <color rgb="FF1E4FA8"/>
        <rFont val="Consolas"/>
        <family val="3"/>
      </rPr>
      <t>Debug</t>
    </r>
    <r>
      <rPr>
        <sz val="10"/>
        <rFont val="Consolas"/>
        <family val="3"/>
      </rPr>
      <t>.</t>
    </r>
    <r>
      <rPr>
        <sz val="10"/>
        <color rgb="FF1E4FA8"/>
        <rFont val="Consolas"/>
        <family val="3"/>
      </rPr>
      <t>Print</t>
    </r>
    <r>
      <rPr>
        <sz val="10"/>
        <rFont val="Consolas"/>
        <family val="3"/>
      </rPr>
      <t xml:space="preserve"> "ERROR: Unable to copy " &amp; strLambda &amp; " to " &amp; wb.Name</t>
    </r>
  </si>
  <si>
    <t xml:space="preserve">            End If</t>
  </si>
  <si>
    <r>
      <t xml:space="preserve">            </t>
    </r>
    <r>
      <rPr>
        <sz val="10"/>
        <color rgb="FF1E4FA8"/>
        <rFont val="Consolas"/>
        <family val="3"/>
      </rPr>
      <t>Debug</t>
    </r>
    <r>
      <rPr>
        <sz val="10"/>
        <rFont val="Consolas"/>
        <family val="3"/>
      </rPr>
      <t>.</t>
    </r>
    <r>
      <rPr>
        <sz val="10"/>
        <color rgb="FF1E4FA8"/>
        <rFont val="Consolas"/>
        <family val="3"/>
      </rPr>
      <t>Print</t>
    </r>
    <r>
      <rPr>
        <sz val="10"/>
        <rFont val="Consolas"/>
        <family val="3"/>
      </rPr>
      <t xml:space="preserve"> "ERROR: " &amp; strLambda &amp; " not found"</t>
    </r>
  </si>
  <si>
    <r>
      <t xml:space="preserve">    </t>
    </r>
    <r>
      <rPr>
        <sz val="10"/>
        <color rgb="FF1E4FA8"/>
        <rFont val="Consolas"/>
        <family val="3"/>
      </rPr>
      <t>Next</t>
    </r>
    <r>
      <rPr>
        <sz val="10"/>
        <rFont val="Consolas"/>
        <family val="3"/>
      </rPr>
      <t xml:space="preserve"> i</t>
    </r>
  </si>
  <si>
    <t xml:space="preserve">    Exit Sub</t>
  </si>
  <si>
    <t>ErrHndlr:</t>
  </si>
  <si>
    <t xml:space="preserve">    ' Defining the requried individual function Names</t>
  </si>
  <si>
    <t xml:space="preserve">        strLambda = arrFuncs(i)</t>
  </si>
  <si>
    <r>
      <t xml:space="preserve">    </t>
    </r>
    <r>
      <rPr>
        <sz val="10"/>
        <color rgb="FF1E4FA8"/>
        <rFont val="Consolas"/>
        <family val="3"/>
      </rPr>
      <t>Debug</t>
    </r>
    <r>
      <rPr>
        <sz val="10"/>
        <rFont val="Consolas"/>
        <family val="3"/>
      </rPr>
      <t>.</t>
    </r>
    <r>
      <rPr>
        <sz val="10"/>
        <color rgb="FF1E4FA8"/>
        <rFont val="Consolas"/>
        <family val="3"/>
      </rPr>
      <t>Print</t>
    </r>
    <r>
      <rPr>
        <sz val="10"/>
        <rFont val="Consolas"/>
        <family val="3"/>
      </rPr>
      <t xml:space="preserve"> "ERROR: Unable to correctly handle expected function names"</t>
    </r>
  </si>
  <si>
    <t>After copying the VBA code into code window, update line 15 replacing the text "Example.xlsx" with the name of your Excel Workbook/file</t>
  </si>
  <si>
    <r>
      <t xml:space="preserve">    </t>
    </r>
    <r>
      <rPr>
        <sz val="10"/>
        <color rgb="FF1E4FA8"/>
        <rFont val="Consolas"/>
        <family val="3"/>
      </rPr>
      <t>Const</t>
    </r>
    <r>
      <rPr>
        <sz val="10"/>
        <rFont val="Consolas"/>
        <family val="3"/>
      </rPr>
      <t xml:space="preserve"> STR_FUNC </t>
    </r>
    <r>
      <rPr>
        <sz val="10"/>
        <color rgb="FF1E4FA8"/>
        <rFont val="Consolas"/>
        <family val="3"/>
      </rPr>
      <t>As String</t>
    </r>
    <r>
      <rPr>
        <sz val="10"/>
        <rFont val="Consolas"/>
        <family val="3"/>
      </rPr>
      <t xml:space="preserve"> = "RXL_NonRepRAND_N|RXL_NonRepRAND|RXL_RecRAND"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</si>
</sst>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64" formatCode="#,##0_);\(#,##0\);\-_)"/>
    <numFmt numFmtId="165" formatCode="0.00%;\(0.00\)%;&quot;--&quot;_)"/>
    <numFmt numFmtId="166" formatCode="d\-mmm\-yyyy"/>
    <numFmt numFmtId="167" formatCode="_(* #,##0.00_);_(* \(#,##0.00\);_(* &quot;-&quot;??_);_(@_)"/>
    <numFmt numFmtId="168" formatCode="#,##0_);\(#,##0\);\ \-_)"/>
    <numFmt numFmtId="169" formatCode="0_);\(0\);\-_)"/>
    <numFmt numFmtId="170" formatCode="_(&quot;£&quot;* #,##0.00_);_(&quot;£&quot;* \(#,##0.00\);_(&quot;£&quot;* &quot;-&quot;??_);_(@_)"/>
    <numFmt numFmtId="171" formatCode="&quot;£&quot;#,##0.0,\ \K_);&quot;£&quot;\(#,##0.0,\ \K\);&quot;£&quot;0_)"/>
    <numFmt numFmtId="172" formatCode="[Red]&quot;CHECK&quot;;[Red]&quot;ERROR&quot;;&quot;OK&quot;"/>
    <numFmt numFmtId="173" formatCode="#,##0_);[Red]\(#,##0\);\ \-_)"/>
    <numFmt numFmtId="174" formatCode="0.00%;[Red]\(0.00\)%;&quot;--&quot;_)"/>
    <numFmt numFmtId="175" formatCode="mmm\-yyyy_)"/>
    <numFmt numFmtId="176" formatCode="0_);[Red]\(0\);\-_)"/>
    <numFmt numFmtId="177" formatCode="00\."/>
    <numFmt numFmtId="178" formatCode="&quot;Yes (1)&quot;;[Red]&quot;Err&quot;;&quot;No (0)&quot;"/>
    <numFmt numFmtId="179" formatCode="&quot;On (1)&quot;;[Red]&quot;Err&quot;;&quot;Off (0)&quot;"/>
    <numFmt numFmtId="180" formatCode="#,##0.000_);\(#,##0.000\);\-_)"/>
    <numFmt numFmtId="181" formatCode="#,##0.0000_);\(#,##0.0000\);\-_)"/>
    <numFmt numFmtId="182" formatCode="#,##0.000_);\(#,##0.000\);\ \-_)"/>
  </numFmts>
  <fonts count="53" x14ac:knownFonts="1">
    <font>
      <sz val="10"/>
      <color rgb="FF002138"/>
      <name val="Calibri"/>
      <family val="2"/>
      <scheme val="minor"/>
    </font>
    <font>
      <sz val="10"/>
      <color theme="1"/>
      <name val="Calibri"/>
      <family val="2"/>
    </font>
    <font>
      <sz val="10"/>
      <color rgb="FF3F3F76"/>
      <name val="Calibri"/>
      <family val="2"/>
    </font>
    <font>
      <b/>
      <sz val="10"/>
      <color rgb="FF3F3F3F"/>
      <name val="Calibri"/>
      <family val="2"/>
    </font>
    <font>
      <b/>
      <sz val="10"/>
      <color rgb="FFFA7D00"/>
      <name val="Calibri"/>
      <family val="2"/>
    </font>
    <font>
      <sz val="10"/>
      <color rgb="FFFA7D00"/>
      <name val="Calibri"/>
      <family val="2"/>
    </font>
    <font>
      <b/>
      <sz val="10"/>
      <color theme="0"/>
      <name val="Calibri"/>
      <family val="2"/>
    </font>
    <font>
      <b/>
      <sz val="10"/>
      <color theme="1"/>
      <name val="Calibri"/>
      <family val="2"/>
    </font>
    <font>
      <sz val="10"/>
      <color rgb="FF9C0006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3F9C35"/>
      <name val="Consolas"/>
      <family val="3"/>
    </font>
    <font>
      <sz val="10"/>
      <color rgb="FF002138"/>
      <name val="Calibri"/>
      <family val="2"/>
      <scheme val="minor"/>
    </font>
    <font>
      <sz val="10"/>
      <color rgb="FF0000FF"/>
      <name val="Calibri"/>
      <family val="2"/>
      <scheme val="minor"/>
    </font>
    <font>
      <i/>
      <sz val="10"/>
      <color rgb="FF808080"/>
      <name val="Calibri"/>
      <family val="2"/>
      <scheme val="minor"/>
    </font>
    <font>
      <b/>
      <i/>
      <sz val="10"/>
      <color rgb="FF195C89"/>
      <name val="Calibri"/>
      <family val="2"/>
      <scheme val="minor"/>
    </font>
    <font>
      <sz val="10"/>
      <color rgb="FF006100"/>
      <name val="Calibri"/>
      <family val="2"/>
      <scheme val="minor"/>
    </font>
    <font>
      <b/>
      <sz val="12"/>
      <color rgb="FFFFFFFF"/>
      <name val="Arial"/>
      <family val="2"/>
      <scheme val="major"/>
    </font>
    <font>
      <b/>
      <sz val="11"/>
      <color rgb="FFFFFFFF"/>
      <name val="Arial"/>
      <family val="2"/>
      <scheme val="major"/>
    </font>
    <font>
      <b/>
      <sz val="10"/>
      <color rgb="FF595959"/>
      <name val="Arial"/>
      <family val="2"/>
      <scheme val="major"/>
    </font>
    <font>
      <u/>
      <sz val="10"/>
      <color rgb="FFB75EE1"/>
      <name val="Calibri"/>
      <family val="2"/>
      <scheme val="minor"/>
    </font>
    <font>
      <sz val="10"/>
      <color theme="0" tint="-0.249977111117893"/>
      <name val="Calibri"/>
      <family val="2"/>
      <scheme val="minor"/>
    </font>
    <font>
      <sz val="10"/>
      <color rgb="FF195C89"/>
      <name val="Calibri"/>
      <family val="2"/>
      <scheme val="minor"/>
    </font>
    <font>
      <sz val="12"/>
      <color rgb="FF195C89"/>
      <name val="Arial"/>
      <family val="2"/>
      <scheme val="major"/>
    </font>
    <font>
      <sz val="10"/>
      <color theme="0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i/>
      <sz val="10"/>
      <color rgb="FF33B9F2"/>
      <name val="Calibri"/>
      <family val="2"/>
      <scheme val="minor"/>
    </font>
    <font>
      <sz val="10"/>
      <color rgb="FF9C5700"/>
      <name val="Calibri"/>
      <family val="2"/>
      <scheme val="minor"/>
    </font>
    <font>
      <i/>
      <sz val="10"/>
      <color rgb="FFFF8225"/>
      <name val="Calibri"/>
      <family val="2"/>
      <scheme val="minor"/>
    </font>
    <font>
      <sz val="10"/>
      <color rgb="FFB400B4"/>
      <name val="Calibri"/>
      <family val="2"/>
      <scheme val="minor"/>
    </font>
    <font>
      <sz val="10"/>
      <color rgb="FF8C0000"/>
      <name val="Calibri"/>
      <family val="2"/>
      <scheme val="minor"/>
    </font>
    <font>
      <b/>
      <sz val="12"/>
      <color rgb="FF195C89"/>
      <name val="Arial"/>
      <family val="2"/>
      <scheme val="major"/>
    </font>
    <font>
      <b/>
      <sz val="16"/>
      <color rgb="FF0E2550"/>
      <name val="Arial"/>
      <family val="2"/>
      <scheme val="major"/>
    </font>
    <font>
      <sz val="10"/>
      <color rgb="FFB4B4B4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4"/>
      <color rgb="FFFFFFFF"/>
      <name val="Arial"/>
      <family val="2"/>
      <scheme val="major"/>
    </font>
    <font>
      <b/>
      <sz val="10"/>
      <color rgb="FF002138"/>
      <name val="Calibri"/>
      <family val="2"/>
      <scheme val="minor"/>
    </font>
    <font>
      <b/>
      <i/>
      <sz val="10"/>
      <color rgb="FF002138"/>
      <name val="Calibri"/>
      <family val="2"/>
      <scheme val="minor"/>
    </font>
    <font>
      <sz val="10"/>
      <color rgb="FF1E4FA8"/>
      <name val="Consolas"/>
      <family val="3"/>
    </font>
    <font>
      <u/>
      <sz val="10"/>
      <color rgb="FF002138"/>
      <name val="Calibri"/>
      <family val="2"/>
      <scheme val="minor"/>
    </font>
    <font>
      <sz val="10"/>
      <color rgb="FF0065A8"/>
      <name val="Consolas"/>
      <family val="3"/>
    </font>
    <font>
      <sz val="10"/>
      <color rgb="FFC00000"/>
      <name val="Consolas"/>
      <family val="3"/>
    </font>
    <font>
      <sz val="10"/>
      <color rgb="FF0000FF"/>
      <name val="Consolas"/>
      <family val="3"/>
    </font>
    <font>
      <b/>
      <sz val="10"/>
      <color rgb="FFFC6017"/>
      <name val="Calibri"/>
      <family val="2"/>
      <scheme val="minor"/>
    </font>
    <font>
      <b/>
      <sz val="10"/>
      <color rgb="FF1E4FA8"/>
      <name val="Calibri"/>
      <family val="2"/>
      <scheme val="minor"/>
    </font>
    <font>
      <sz val="10"/>
      <color rgb="FF0065A8"/>
      <name val="Calibri"/>
      <family val="2"/>
      <scheme val="minor"/>
    </font>
    <font>
      <sz val="10"/>
      <name val="Calibri"/>
      <family val="2"/>
      <scheme val="minor"/>
    </font>
    <font>
      <sz val="10"/>
      <color rgb="FFFC6017"/>
      <name val="Calibri"/>
      <family val="2"/>
      <scheme val="minor"/>
    </font>
    <font>
      <sz val="10"/>
      <color rgb="FFB75EE1"/>
      <name val="Calibri"/>
      <family val="2"/>
      <scheme val="minor"/>
    </font>
    <font>
      <b/>
      <i/>
      <u/>
      <sz val="10"/>
      <color rgb="FFFF8225"/>
      <name val="Calibri"/>
      <family val="2"/>
      <scheme val="minor"/>
    </font>
    <font>
      <sz val="10"/>
      <color rgb="FF002138"/>
      <name val="Calibri"/>
      <family val="3"/>
      <scheme val="minor"/>
    </font>
    <font>
      <b/>
      <u/>
      <sz val="10"/>
      <color rgb="FF1E4FA8"/>
      <name val="Calibri"/>
      <family val="2"/>
      <scheme val="minor"/>
    </font>
    <font>
      <sz val="10"/>
      <name val="Consolas"/>
      <family val="3"/>
    </font>
  </fonts>
  <fills count="2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rgb="FFFEE6CE"/>
        <bgColor indexed="64"/>
      </patternFill>
    </fill>
    <fill>
      <patternFill patternType="solid">
        <fgColor rgb="FF198B83"/>
        <bgColor indexed="64"/>
      </patternFill>
    </fill>
    <fill>
      <patternFill patternType="solid">
        <fgColor rgb="FF56BAB8"/>
        <bgColor indexed="64"/>
      </patternFill>
    </fill>
    <fill>
      <patternFill patternType="solid">
        <fgColor rgb="FFE6D3B8"/>
        <bgColor indexed="64"/>
      </patternFill>
    </fill>
    <fill>
      <patternFill patternType="solid">
        <fgColor rgb="FFF7ECDD"/>
        <bgColor indexed="64"/>
      </patternFill>
    </fill>
    <fill>
      <patternFill patternType="solid">
        <fgColor rgb="FFFFFFD2"/>
        <bgColor indexed="64"/>
      </patternFill>
    </fill>
    <fill>
      <patternFill patternType="solid">
        <fgColor rgb="FFF9E7FF"/>
        <bgColor indexed="64"/>
      </patternFill>
    </fill>
    <fill>
      <patternFill patternType="solid">
        <fgColor rgb="FFEBFAFA"/>
        <bgColor indexed="64"/>
      </patternFill>
    </fill>
    <fill>
      <patternFill patternType="solid">
        <fgColor rgb="FFFF4F4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8F200"/>
        <bgColor indexed="64"/>
      </patternFill>
    </fill>
    <fill>
      <patternFill patternType="solid">
        <fgColor rgb="FFBEE4E3"/>
        <bgColor indexed="64"/>
      </patternFill>
    </fill>
    <fill>
      <patternFill patternType="lightUp">
        <fgColor theme="0" tint="-0.34998626667073579"/>
        <bgColor auto="1"/>
      </patternFill>
    </fill>
    <fill>
      <patternFill patternType="solid">
        <fgColor rgb="FFE4E6E8"/>
        <bgColor indexed="64"/>
      </patternFill>
    </fill>
  </fills>
  <borders count="1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 tint="0.24994659260841701"/>
      </left>
      <right style="hair">
        <color theme="1" tint="0.24994659260841701"/>
      </right>
      <top style="hair">
        <color theme="1" tint="0.24994659260841701"/>
      </top>
      <bottom style="hair">
        <color theme="1" tint="0.24994659260841701"/>
      </bottom>
      <diagonal/>
    </border>
    <border>
      <left style="hair">
        <color theme="1" tint="0.24994659260841701"/>
      </left>
      <right style="hair">
        <color theme="1" tint="0.24994659260841701"/>
      </right>
      <top style="thin">
        <color theme="1" tint="0.24994659260841701"/>
      </top>
      <bottom style="hair">
        <color theme="1" tint="0.24994659260841701"/>
      </bottom>
      <diagonal/>
    </border>
    <border>
      <left style="hair">
        <color theme="1" tint="0.24994659260841701"/>
      </left>
      <right style="hair">
        <color theme="1" tint="0.24994659260841701"/>
      </right>
      <top style="thin">
        <color theme="1" tint="0.24994659260841701"/>
      </top>
      <bottom style="double">
        <color theme="1" tint="0.24994659260841701"/>
      </bottom>
      <diagonal/>
    </border>
    <border>
      <left/>
      <right/>
      <top style="medium">
        <color theme="5"/>
      </top>
      <bottom/>
      <diagonal/>
    </border>
    <border>
      <left style="thin">
        <color rgb="FF198B83"/>
      </left>
      <right style="thin">
        <color rgb="FF198B83"/>
      </right>
      <top style="thin">
        <color rgb="FF198B83"/>
      </top>
      <bottom style="thin">
        <color rgb="FF198B83"/>
      </bottom>
      <diagonal/>
    </border>
    <border>
      <left style="thin">
        <color rgb="FF56BAB8"/>
      </left>
      <right style="thin">
        <color rgb="FF56BAB8"/>
      </right>
      <top style="thin">
        <color rgb="FF56BAB8"/>
      </top>
      <bottom style="thin">
        <color rgb="FF56BAB8"/>
      </bottom>
      <diagonal/>
    </border>
    <border>
      <left style="thin">
        <color rgb="FFE6D3B8"/>
      </left>
      <right style="thin">
        <color rgb="FFE6D3B8"/>
      </right>
      <top style="thin">
        <color rgb="FFE6D3B8"/>
      </top>
      <bottom style="thin">
        <color rgb="FFE6D3B8"/>
      </bottom>
      <diagonal/>
    </border>
    <border>
      <left style="thin">
        <color rgb="FFF7ECDD"/>
      </left>
      <right style="thin">
        <color rgb="FFF7ECDD"/>
      </right>
      <top style="thin">
        <color rgb="FFF7ECDD"/>
      </top>
      <bottom style="thin">
        <color rgb="FFF7ECDD"/>
      </bottom>
      <diagonal/>
    </border>
    <border>
      <left/>
      <right/>
      <top style="thin">
        <color theme="4"/>
      </top>
      <bottom/>
      <diagonal/>
    </border>
    <border>
      <left/>
      <right/>
      <top/>
      <bottom style="medium">
        <color theme="5"/>
      </bottom>
      <diagonal/>
    </border>
    <border>
      <left style="hair">
        <color rgb="FF0082B3"/>
      </left>
      <right style="hair">
        <color rgb="FF0082B3"/>
      </right>
      <top style="hair">
        <color rgb="FF0082B3"/>
      </top>
      <bottom style="hair">
        <color rgb="FF0082B3"/>
      </bottom>
      <diagonal/>
    </border>
  </borders>
  <cellStyleXfs count="72">
    <xf numFmtId="0" fontId="0" fillId="0" borderId="0"/>
    <xf numFmtId="167" fontId="12" fillId="0" borderId="0" applyNumberFormat="0" applyAlignment="0" applyProtection="0"/>
    <xf numFmtId="170" fontId="12" fillId="0" borderId="0" applyNumberFormat="0" applyAlignment="0" applyProtection="0"/>
    <xf numFmtId="171" fontId="1" fillId="0" borderId="0" applyFont="0" applyFill="0" applyBorder="0" applyAlignment="0" applyProtection="0"/>
    <xf numFmtId="9" fontId="12" fillId="0" borderId="0" applyNumberFormat="0" applyAlignment="0" applyProtection="0"/>
    <xf numFmtId="0" fontId="32" fillId="0" borderId="0" applyAlignment="0" applyProtection="0"/>
    <xf numFmtId="0" fontId="17" fillId="10" borderId="11" applyNumberFormat="0" applyAlignment="0" applyProtection="0"/>
    <xf numFmtId="0" fontId="18" fillId="11" borderId="12" applyNumberFormat="0" applyAlignment="0" applyProtection="0"/>
    <xf numFmtId="0" fontId="19" fillId="12" borderId="13" applyNumberFormat="0" applyAlignment="0" applyProtection="0"/>
    <xf numFmtId="0" fontId="19" fillId="13" borderId="14" applyNumberFormat="0" applyAlignment="0" applyProtection="0"/>
    <xf numFmtId="0" fontId="16" fillId="2" borderId="0" applyNumberFormat="0" applyBorder="0" applyAlignment="0" applyProtection="0"/>
    <xf numFmtId="0" fontId="8" fillId="3" borderId="0" applyNumberFormat="0" applyBorder="0" applyAlignment="0" applyProtection="0"/>
    <xf numFmtId="0" fontId="27" fillId="4" borderId="0" applyNumberFormat="0" applyBorder="0" applyAlignment="0" applyProtection="0"/>
    <xf numFmtId="0" fontId="2" fillId="5" borderId="1" applyNumberFormat="0" applyAlignment="0" applyProtection="0"/>
    <xf numFmtId="0" fontId="3" fillId="6" borderId="2" applyNumberFormat="0" applyAlignment="0" applyProtection="0"/>
    <xf numFmtId="0" fontId="4" fillId="6" borderId="1" applyNumberFormat="0" applyAlignment="0" applyProtection="0"/>
    <xf numFmtId="0" fontId="5" fillId="0" borderId="3" applyNumberFormat="0" applyFill="0" applyAlignment="0" applyProtection="0"/>
    <xf numFmtId="0" fontId="6" fillId="7" borderId="4" applyNumberFormat="0" applyAlignment="0" applyProtection="0"/>
    <xf numFmtId="164" fontId="34" fillId="0" borderId="0" applyNumberFormat="0" applyFill="0" applyBorder="0" applyAlignment="0" applyProtection="0"/>
    <xf numFmtId="0" fontId="1" fillId="8" borderId="5" applyNumberFormat="0" applyFont="0" applyAlignment="0" applyProtection="0"/>
    <xf numFmtId="164" fontId="14" fillId="0" borderId="0" applyNumberFormat="0" applyFill="0" applyBorder="0" applyAlignment="0" applyProtection="0"/>
    <xf numFmtId="0" fontId="7" fillId="0" borderId="6" applyNumberFormat="0" applyFill="0" applyAlignment="0" applyProtection="0"/>
    <xf numFmtId="164" fontId="9" fillId="0" borderId="7" applyAlignment="0"/>
    <xf numFmtId="165" fontId="9" fillId="0" borderId="7" applyAlignment="0"/>
    <xf numFmtId="166" fontId="9" fillId="0" borderId="7" applyAlignment="0"/>
    <xf numFmtId="164" fontId="9" fillId="0" borderId="8" applyNumberFormat="0" applyAlignment="0"/>
    <xf numFmtId="164" fontId="10" fillId="0" borderId="9" applyNumberFormat="0" applyAlignment="0"/>
    <xf numFmtId="0" fontId="11" fillId="0" borderId="0" applyFill="0" applyBorder="0" applyAlignment="0"/>
    <xf numFmtId="168" fontId="13" fillId="9" borderId="7" applyAlignment="0">
      <protection locked="0"/>
    </xf>
    <xf numFmtId="165" fontId="13" fillId="9" borderId="7" applyAlignment="0">
      <protection locked="0"/>
    </xf>
    <xf numFmtId="166" fontId="13" fillId="9" borderId="7" applyAlignment="0">
      <protection locked="0"/>
    </xf>
    <xf numFmtId="169" fontId="13" fillId="9" borderId="7" applyAlignment="0">
      <protection locked="0"/>
    </xf>
    <xf numFmtId="0" fontId="15" fillId="0" borderId="10" applyFill="0">
      <alignment vertical="center"/>
    </xf>
    <xf numFmtId="0" fontId="20" fillId="0" borderId="0" applyNumberFormat="0" applyFill="0" applyBorder="0" applyAlignment="0" applyProtection="0"/>
    <xf numFmtId="172" fontId="21" fillId="0" borderId="0" applyFill="0">
      <alignment horizontal="center"/>
    </xf>
    <xf numFmtId="168" fontId="13" fillId="14" borderId="7" applyAlignment="0">
      <protection locked="0"/>
    </xf>
    <xf numFmtId="165" fontId="13" fillId="14" borderId="7" applyAlignment="0">
      <protection locked="0"/>
    </xf>
    <xf numFmtId="166" fontId="13" fillId="14" borderId="7" applyAlignment="0">
      <protection locked="0"/>
    </xf>
    <xf numFmtId="169" fontId="13" fillId="14" borderId="7" applyAlignment="0">
      <protection locked="0"/>
    </xf>
    <xf numFmtId="164" fontId="22" fillId="15" borderId="7" applyAlignment="0">
      <protection locked="0"/>
    </xf>
    <xf numFmtId="0" fontId="23" fillId="0" borderId="0">
      <alignment vertical="center"/>
    </xf>
    <xf numFmtId="168" fontId="13" fillId="16" borderId="7" applyAlignment="0"/>
    <xf numFmtId="164" fontId="24" fillId="17" borderId="0">
      <alignment horizontal="center"/>
    </xf>
    <xf numFmtId="164" fontId="24" fillId="18" borderId="0">
      <alignment horizontal="center"/>
    </xf>
    <xf numFmtId="164" fontId="25" fillId="19" borderId="0">
      <alignment horizontal="center"/>
    </xf>
    <xf numFmtId="0" fontId="26" fillId="0" borderId="0"/>
    <xf numFmtId="0" fontId="28" fillId="0" borderId="0" applyNumberFormat="0" applyFill="0" applyBorder="0" applyAlignment="0"/>
    <xf numFmtId="0" fontId="22" fillId="0" borderId="0" applyNumberFormat="0" applyFill="0" applyBorder="0" applyAlignment="0"/>
    <xf numFmtId="173" fontId="9" fillId="0" borderId="0" applyFill="0" applyAlignment="0"/>
    <xf numFmtId="174" fontId="9" fillId="0" borderId="0" applyFill="0" applyAlignment="0"/>
    <xf numFmtId="175" fontId="9" fillId="0" borderId="0" applyFill="0" applyAlignment="0"/>
    <xf numFmtId="164" fontId="10" fillId="0" borderId="15" applyNumberFormat="0" applyFill="0" applyAlignment="0"/>
    <xf numFmtId="176" fontId="9" fillId="0" borderId="0" applyFill="0" applyAlignment="0"/>
    <xf numFmtId="164" fontId="10" fillId="0" borderId="6" applyNumberFormat="0" applyFill="0" applyAlignment="0"/>
    <xf numFmtId="168" fontId="29" fillId="0" borderId="7" applyAlignment="0"/>
    <xf numFmtId="165" fontId="29" fillId="0" borderId="7" applyAlignment="0"/>
    <xf numFmtId="166" fontId="29" fillId="0" borderId="7" applyAlignment="0"/>
    <xf numFmtId="168" fontId="29" fillId="0" borderId="8" applyNumberFormat="0" applyAlignment="0"/>
    <xf numFmtId="169" fontId="29" fillId="0" borderId="7" applyAlignment="0"/>
    <xf numFmtId="168" fontId="30" fillId="0" borderId="7" applyAlignment="0"/>
    <xf numFmtId="165" fontId="30" fillId="0" borderId="7" applyAlignment="0"/>
    <xf numFmtId="166" fontId="30" fillId="0" borderId="7" applyAlignment="0"/>
    <xf numFmtId="168" fontId="30" fillId="0" borderId="8" applyNumberFormat="0" applyAlignment="0"/>
    <xf numFmtId="169" fontId="30" fillId="0" borderId="7" applyAlignment="0"/>
    <xf numFmtId="0" fontId="31" fillId="0" borderId="16"/>
    <xf numFmtId="169" fontId="9" fillId="20" borderId="0" applyAlignment="0" applyProtection="0"/>
    <xf numFmtId="0" fontId="33" fillId="0" borderId="0" applyNumberFormat="0" applyFill="0" applyBorder="0">
      <alignment horizontal="center"/>
    </xf>
    <xf numFmtId="0" fontId="25" fillId="21" borderId="17" applyNumberFormat="0" applyBorder="0" applyAlignment="0" applyProtection="0"/>
    <xf numFmtId="164" fontId="9" fillId="22" borderId="7"/>
    <xf numFmtId="165" fontId="9" fillId="22" borderId="7"/>
    <xf numFmtId="164" fontId="9" fillId="22" borderId="8" applyNumberFormat="0"/>
    <xf numFmtId="164" fontId="9" fillId="22" borderId="9" applyNumberFormat="0"/>
  </cellStyleXfs>
  <cellXfs count="69">
    <xf numFmtId="0" fontId="0" fillId="0" borderId="0" xfId="0"/>
    <xf numFmtId="0" fontId="17" fillId="10" borderId="11" xfId="6"/>
    <xf numFmtId="0" fontId="35" fillId="10" borderId="11" xfId="6" applyFont="1" applyAlignment="1">
      <alignment horizontal="left" vertical="center" indent="1"/>
    </xf>
    <xf numFmtId="0" fontId="31" fillId="0" borderId="16" xfId="64"/>
    <xf numFmtId="0" fontId="19" fillId="13" borderId="14" xfId="9"/>
    <xf numFmtId="0" fontId="19" fillId="13" borderId="14" xfId="9" applyAlignment="1">
      <alignment horizontal="left" indent="1"/>
    </xf>
    <xf numFmtId="0" fontId="15" fillId="0" borderId="10" xfId="32">
      <alignment vertical="center"/>
    </xf>
    <xf numFmtId="0" fontId="36" fillId="0" borderId="0" xfId="0" applyFont="1"/>
    <xf numFmtId="0" fontId="37" fillId="0" borderId="0" xfId="0" applyFont="1"/>
    <xf numFmtId="177" fontId="31" fillId="0" borderId="16" xfId="64" applyNumberFormat="1"/>
    <xf numFmtId="0" fontId="36" fillId="0" borderId="0" xfId="0" applyFont="1" applyAlignment="1">
      <alignment horizontal="right"/>
    </xf>
    <xf numFmtId="0" fontId="11" fillId="0" borderId="0" xfId="0" applyFont="1"/>
    <xf numFmtId="0" fontId="38" fillId="0" borderId="0" xfId="0" applyFont="1"/>
    <xf numFmtId="0" fontId="26" fillId="0" borderId="0" xfId="45"/>
    <xf numFmtId="0" fontId="33" fillId="0" borderId="0" xfId="0" applyFont="1"/>
    <xf numFmtId="178" fontId="13" fillId="16" borderId="7" xfId="41" applyNumberFormat="1"/>
    <xf numFmtId="179" fontId="13" fillId="16" borderId="7" xfId="41" applyNumberFormat="1"/>
    <xf numFmtId="0" fontId="39" fillId="0" borderId="0" xfId="0" applyFont="1"/>
    <xf numFmtId="0" fontId="36" fillId="0" borderId="0" xfId="0" applyFont="1" applyAlignment="1">
      <alignment horizontal="center"/>
    </xf>
    <xf numFmtId="0" fontId="11" fillId="0" borderId="0" xfId="27"/>
    <xf numFmtId="0" fontId="40" fillId="0" borderId="0" xfId="0" applyFont="1"/>
    <xf numFmtId="0" fontId="41" fillId="0" borderId="0" xfId="0" applyFont="1"/>
    <xf numFmtId="0" fontId="40" fillId="0" borderId="0" xfId="27" applyFont="1"/>
    <xf numFmtId="0" fontId="43" fillId="0" borderId="0" xfId="0" applyFont="1"/>
    <xf numFmtId="0" fontId="0" fillId="0" borderId="0" xfId="0" quotePrefix="1"/>
    <xf numFmtId="0" fontId="40" fillId="0" borderId="0" xfId="0" quotePrefix="1" applyFont="1"/>
    <xf numFmtId="0" fontId="0" fillId="0" borderId="0" xfId="0" applyAlignment="1">
      <alignment horizontal="right"/>
    </xf>
    <xf numFmtId="168" fontId="13" fillId="14" borderId="7" xfId="35">
      <protection locked="0"/>
    </xf>
    <xf numFmtId="164" fontId="9" fillId="0" borderId="7" xfId="22"/>
    <xf numFmtId="168" fontId="29" fillId="0" borderId="7" xfId="54"/>
    <xf numFmtId="0" fontId="44" fillId="0" borderId="0" xfId="0" applyFont="1"/>
    <xf numFmtId="164" fontId="9" fillId="0" borderId="7" xfId="22" applyAlignment="1">
      <alignment horizontal="center"/>
    </xf>
    <xf numFmtId="164" fontId="9" fillId="0" borderId="7" xfId="22" applyAlignment="1"/>
    <xf numFmtId="0" fontId="10" fillId="0" borderId="9" xfId="26" applyNumberFormat="1"/>
    <xf numFmtId="0" fontId="40" fillId="0" borderId="0" xfId="27" quotePrefix="1" applyFont="1"/>
    <xf numFmtId="0" fontId="40" fillId="0" borderId="0" xfId="27" applyFont="1" applyAlignment="1">
      <alignment horizontal="left" indent="2"/>
    </xf>
    <xf numFmtId="0" fontId="40" fillId="0" borderId="0" xfId="27" applyFont="1" applyAlignment="1">
      <alignment horizontal="left" indent="4"/>
    </xf>
    <xf numFmtId="0" fontId="40" fillId="0" borderId="0" xfId="27" applyFont="1" applyAlignment="1">
      <alignment horizontal="left" indent="6"/>
    </xf>
    <xf numFmtId="0" fontId="40" fillId="0" borderId="0" xfId="27" applyFont="1" applyAlignment="1">
      <alignment horizontal="left" indent="8"/>
    </xf>
    <xf numFmtId="0" fontId="11" fillId="0" borderId="0" xfId="27" quotePrefix="1" applyAlignment="1">
      <alignment horizontal="left" indent="2"/>
    </xf>
    <xf numFmtId="0" fontId="11" fillId="0" borderId="0" xfId="27" quotePrefix="1" applyAlignment="1">
      <alignment horizontal="left" indent="4"/>
    </xf>
    <xf numFmtId="0" fontId="0" fillId="0" borderId="0" xfId="0" applyAlignment="1">
      <alignment horizontal="left"/>
    </xf>
    <xf numFmtId="0" fontId="20" fillId="0" borderId="0" xfId="33"/>
    <xf numFmtId="0" fontId="0" fillId="0" borderId="0" xfId="0" applyAlignment="1">
      <alignment horizontal="left" indent="1"/>
    </xf>
    <xf numFmtId="0" fontId="0" fillId="0" borderId="0" xfId="0" applyAlignment="1">
      <alignment horizontal="left" indent="3"/>
    </xf>
    <xf numFmtId="0" fontId="0" fillId="0" borderId="0" xfId="0" applyAlignment="1">
      <alignment horizontal="left" indent="4"/>
    </xf>
    <xf numFmtId="0" fontId="45" fillId="0" borderId="0" xfId="0" quotePrefix="1" applyFont="1" applyAlignment="1">
      <alignment horizontal="right"/>
    </xf>
    <xf numFmtId="172" fontId="21" fillId="0" borderId="0" xfId="34">
      <alignment horizontal="center"/>
    </xf>
    <xf numFmtId="0" fontId="37" fillId="0" borderId="0" xfId="0" applyFont="1" applyAlignment="1">
      <alignment horizontal="left" indent="4"/>
    </xf>
    <xf numFmtId="178" fontId="13" fillId="14" borderId="7" xfId="35" applyNumberFormat="1" applyAlignment="1">
      <alignment horizontal="center"/>
      <protection locked="0"/>
    </xf>
    <xf numFmtId="180" fontId="9" fillId="0" borderId="7" xfId="22" applyNumberFormat="1"/>
    <xf numFmtId="181" fontId="9" fillId="0" borderId="7" xfId="22" applyNumberFormat="1"/>
    <xf numFmtId="182" fontId="29" fillId="0" borderId="7" xfId="54" applyNumberFormat="1"/>
    <xf numFmtId="182" fontId="9" fillId="0" borderId="7" xfId="22" applyNumberFormat="1"/>
    <xf numFmtId="0" fontId="14" fillId="0" borderId="0" xfId="20" quotePrefix="1" applyNumberFormat="1"/>
    <xf numFmtId="0" fontId="28" fillId="0" borderId="0" xfId="46"/>
    <xf numFmtId="0" fontId="49" fillId="0" borderId="0" xfId="46" applyFont="1" applyAlignment="1">
      <alignment horizontal="right"/>
    </xf>
    <xf numFmtId="0" fontId="50" fillId="0" borderId="0" xfId="0" applyFont="1" applyAlignment="1">
      <alignment horizontal="center"/>
    </xf>
    <xf numFmtId="0" fontId="28" fillId="0" borderId="0" xfId="46" applyAlignment="1">
      <alignment horizontal="left"/>
    </xf>
    <xf numFmtId="168" fontId="13" fillId="9" borderId="7" xfId="28">
      <protection locked="0"/>
    </xf>
    <xf numFmtId="0" fontId="28" fillId="0" borderId="0" xfId="46" quotePrefix="1" applyAlignment="1">
      <alignment horizontal="left" indent="1"/>
    </xf>
    <xf numFmtId="0" fontId="28" fillId="0" borderId="0" xfId="46" applyAlignment="1">
      <alignment horizontal="left" indent="2"/>
    </xf>
    <xf numFmtId="0" fontId="51" fillId="0" borderId="0" xfId="0" applyFont="1"/>
    <xf numFmtId="0" fontId="46" fillId="0" borderId="0" xfId="0" applyFont="1" applyAlignment="1">
      <alignment horizontal="right"/>
    </xf>
    <xf numFmtId="0" fontId="44" fillId="0" borderId="0" xfId="0" applyFont="1" applyAlignment="1">
      <alignment horizontal="right"/>
    </xf>
    <xf numFmtId="0" fontId="14" fillId="0" borderId="0" xfId="20" applyNumberFormat="1"/>
    <xf numFmtId="0" fontId="28" fillId="0" borderId="0" xfId="46" applyFill="1" applyBorder="1"/>
    <xf numFmtId="0" fontId="11" fillId="0" borderId="0" xfId="27" quotePrefix="1" applyAlignment="1">
      <alignment horizontal="left" indent="6"/>
    </xf>
    <xf numFmtId="0" fontId="52" fillId="0" borderId="0" xfId="0" applyFont="1"/>
  </cellXfs>
  <cellStyles count="72">
    <cellStyle name="Bad" xfId="11" builtinId="27" customBuiltin="1"/>
    <cellStyle name="Calc - #" xfId="22" xr:uid="{260899EA-DF1C-4D52-8E2F-B3ADAEA61971}"/>
    <cellStyle name="Calc - %" xfId="23" xr:uid="{5EAB5F61-937B-4E69-AF0B-F3472BAAC7F4}"/>
    <cellStyle name="Calc - Date" xfId="24" xr:uid="{A42EA8DF-AA20-49C6-86E1-3F31BE6D21E7}"/>
    <cellStyle name="Calc - SubTotal" xfId="25" xr:uid="{EB9BEAF0-11C3-42FE-B1AF-A303727841FD}"/>
    <cellStyle name="Calc - Total" xfId="26" xr:uid="{FA9881CE-B5FD-438B-B604-4CC0B783A5F4}"/>
    <cellStyle name="Calculation" xfId="15" builtinId="22" hidden="1"/>
    <cellStyle name="Check Cell" xfId="17" builtinId="23" hidden="1"/>
    <cellStyle name="Code" xfId="27" xr:uid="{A5F2EDFF-14CC-49DE-9CBE-618210EC99E0}"/>
    <cellStyle name="Comma" xfId="1" builtinId="3" customBuiltin="1"/>
    <cellStyle name="Const - #" xfId="28" xr:uid="{B6BC2464-8250-4019-9917-5AC7A86F3A98}"/>
    <cellStyle name="Const - %" xfId="29" xr:uid="{DC55DE9E-0F41-4E83-AEEB-818FFC49A160}"/>
    <cellStyle name="Const - Date" xfId="30" xr:uid="{56AC6AEA-2BBD-455A-B8B0-BFEE9967E94D}"/>
    <cellStyle name="Const - Text" xfId="31" xr:uid="{A68FA5BD-4CF9-4113-9DDE-24D0351636A7}"/>
    <cellStyle name="Currency" xfId="2" builtinId="4" customBuiltin="1"/>
    <cellStyle name="Currency [0]" xfId="3" builtinId="7" customBuiltin="1"/>
    <cellStyle name="Explanatory Text" xfId="20" builtinId="53" customBuiltin="1"/>
    <cellStyle name="Footer" xfId="32" xr:uid="{CEC6D1B8-44F5-49CB-B9A5-B68A13A28F72}"/>
    <cellStyle name="Good" xfId="10" builtinId="26" customBuiltin="1"/>
    <cellStyle name="Heading 1" xfId="6" builtinId="16" customBuiltin="1"/>
    <cellStyle name="Heading 2" xfId="7" builtinId="17" customBuiltin="1"/>
    <cellStyle name="Heading 3" xfId="8" builtinId="18" customBuiltin="1"/>
    <cellStyle name="Heading 4" xfId="9" builtinId="19" customBuiltin="1"/>
    <cellStyle name="Hyperlink" xfId="33" builtinId="8"/>
    <cellStyle name="Inline Check" xfId="34" xr:uid="{734D3EBD-B542-4829-9FED-11CF028ECFCD}"/>
    <cellStyle name="Input" xfId="13" builtinId="20" hidden="1"/>
    <cellStyle name="Input - #" xfId="35" xr:uid="{32F67884-C33A-42A4-9417-B65EEC43F60D}"/>
    <cellStyle name="Input - %" xfId="36" xr:uid="{6AD2AFD2-0001-47C4-A256-435204415BF1}"/>
    <cellStyle name="Input - Date" xfId="37" xr:uid="{85F6503C-6748-4FAB-82C3-16A1EF0BC013}"/>
    <cellStyle name="Input - Text" xfId="38" xr:uid="{F3C79A1E-07D2-4381-9A13-D9D7737983E1}"/>
    <cellStyle name="Linked Cell" xfId="16" builtinId="24" hidden="1"/>
    <cellStyle name="Macro Paste" xfId="39" xr:uid="{88115DF2-8021-4008-8067-0A792EFCFF85}"/>
    <cellStyle name="Message Bar" xfId="40" xr:uid="{94CF64C4-1849-4F0F-A8F8-40E904A1F306}"/>
    <cellStyle name="Model Author Input" xfId="41" xr:uid="{663693AE-73DE-4352-A0F9-31723550DDA7}"/>
    <cellStyle name="Model Error" xfId="42" xr:uid="{77A00A81-E276-492E-B3BC-18A6387984E4}"/>
    <cellStyle name="Model Input Error" xfId="43" xr:uid="{EFB332AA-E5A2-4CFB-BFC9-6AC2265AFA76}"/>
    <cellStyle name="Model Warning" xfId="44" xr:uid="{FA7D4BBF-8284-45BB-8660-B136F999B4BE}"/>
    <cellStyle name="Named Range" xfId="45" xr:uid="{EFC3165D-2EA2-4D3E-998D-CE5137CFA8A7}"/>
    <cellStyle name="Neutral" xfId="12" builtinId="28" customBuiltin="1"/>
    <cellStyle name="Normal" xfId="0" builtinId="0" customBuiltin="1"/>
    <cellStyle name="Note" xfId="19" builtinId="10" hidden="1"/>
    <cellStyle name="Notes" xfId="46" xr:uid="{D094A82F-483C-427C-8AA2-1187068C1E55}"/>
    <cellStyle name="Notes - Alt Text" xfId="47" xr:uid="{D04C1DDA-87E5-44CC-91E7-EC8864040550}"/>
    <cellStyle name="Output" xfId="14" builtinId="21" hidden="1"/>
    <cellStyle name="Output - #" xfId="48" xr:uid="{0F63307C-AE9E-4CAA-A101-72B7E1EA93F5}"/>
    <cellStyle name="Output - %" xfId="49" xr:uid="{86D7227E-79A2-4BDA-9E0D-0737F0CB903B}"/>
    <cellStyle name="Output - Date" xfId="50" xr:uid="{B278D5B6-BF50-4C08-AF6F-DB34434C32E8}"/>
    <cellStyle name="Output - SubTotal" xfId="51" xr:uid="{F01F9CF5-A52D-40AD-8A7C-09C9742BDF06}"/>
    <cellStyle name="Output - Text" xfId="52" xr:uid="{6B6C4328-E2BA-4B59-A131-4BC1EFA4C49D}"/>
    <cellStyle name="Output - Total" xfId="53" xr:uid="{9AEF5E3E-AA95-49DE-92F8-A76F55AD7625}"/>
    <cellStyle name="Per cent" xfId="4" builtinId="5" customBuiltin="1"/>
    <cellStyle name="Ref.In - #" xfId="54" xr:uid="{CA2F953F-DE1E-4D39-82A1-8A84AAE0A752}"/>
    <cellStyle name="Ref.In - %" xfId="55" xr:uid="{987E5B03-3C72-4A0B-862C-B145814819FE}"/>
    <cellStyle name="Ref.In - Date" xfId="56" xr:uid="{791EF9D7-8910-4926-A884-D1627A4C842F}"/>
    <cellStyle name="Ref.In - SubTotal" xfId="57" xr:uid="{D7BBF455-5B03-4AEC-A33C-E59CDD86D834}"/>
    <cellStyle name="Ref.In - Text" xfId="58" xr:uid="{ED5238E5-533D-4007-8174-036014FC91CF}"/>
    <cellStyle name="Ref.Out - #" xfId="59" xr:uid="{D7DAD08F-8C23-428E-B9E8-D1DB18900625}"/>
    <cellStyle name="Ref.Out - %" xfId="60" xr:uid="{B6CE2B0C-D7F1-49B0-A08B-294B5619238C}"/>
    <cellStyle name="Ref.Out - Date" xfId="61" xr:uid="{84A612C2-91A2-45B8-BD5E-EF47B3F7F421}"/>
    <cellStyle name="Ref.Out - SubTotal" xfId="62" xr:uid="{CDF2B7FB-D198-477A-8843-D7C2D4FBAAE1}"/>
    <cellStyle name="Ref.Out - Text" xfId="63" xr:uid="{3FE0185F-B017-4EDD-BB42-2422B1E5377C}"/>
    <cellStyle name="SubTitle" xfId="64" xr:uid="{FF3B082F-9D04-453C-86A9-0D410D0602F5}"/>
    <cellStyle name="Time Line" xfId="65" xr:uid="{DB498592-7819-4803-BED0-04DD504EC1EA}"/>
    <cellStyle name="Title" xfId="5" builtinId="15" customBuiltin="1"/>
    <cellStyle name="Total" xfId="21" builtinId="25" hidden="1"/>
    <cellStyle name="Units Label" xfId="66" xr:uid="{10DDD4B1-A6F9-4BFD-B702-B09BD1DAB055}"/>
    <cellStyle name="Unused" xfId="67" xr:uid="{4552D016-9CC9-49BE-9789-E9AA75E9979B}"/>
    <cellStyle name="Variance - #" xfId="68" xr:uid="{3B437A6B-C951-4997-A17E-FA3BEE7A3A49}"/>
    <cellStyle name="Variance - %" xfId="69" xr:uid="{4A670F0D-09A3-4108-B1E6-CE36BF2D2950}"/>
    <cellStyle name="Variance - SubTotal" xfId="70" xr:uid="{8E22781A-E38C-4F8A-9E7B-52644C7D625D}"/>
    <cellStyle name="Variance - Total" xfId="71" xr:uid="{C72EE1CE-DC52-4F52-8EEE-C941159577D1}"/>
    <cellStyle name="Warning Text" xfId="18" builtinId="11" customBuiltin="1"/>
  </cellStyles>
  <dxfs count="1">
    <dxf>
      <numFmt numFmtId="182" formatCode="#,##0.000_);\(#,##0.000\);\ \-_)"/>
    </dxf>
  </dxfs>
  <tableStyles count="0" defaultTableStyle="TableStyleMedium2" defaultPivotStyle="PivotStyleLight16"/>
  <colors>
    <mruColors>
      <color rgb="FF0065A8"/>
      <color rgb="FF1E4FA8"/>
      <color rgb="FF0000FF"/>
      <color rgb="FFB75EE1"/>
      <color rgb="FFFC6017"/>
      <color rgb="FFB4B4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alcChain" Target="calcChain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</xdr:colOff>
      <xdr:row>0</xdr:row>
      <xdr:rowOff>40005</xdr:rowOff>
    </xdr:from>
    <xdr:to>
      <xdr:col>2</xdr:col>
      <xdr:colOff>45720</xdr:colOff>
      <xdr:row>0</xdr:row>
      <xdr:rowOff>357447</xdr:rowOff>
    </xdr:to>
    <xdr:pic>
      <xdr:nvPicPr>
        <xdr:cNvPr id="2" name="Logo_Small" descr="A black and white logo&#10;&#10;AI-generated content may be incorrect.">
          <a:extLst>
            <a:ext uri="{FF2B5EF4-FFF2-40B4-BE49-F238E27FC236}">
              <a16:creationId xmlns:a16="http://schemas.microsoft.com/office/drawing/2014/main" id="{C06AED46-7998-48B9-96C1-76698C4A60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" y="40005"/>
          <a:ext cx="609600" cy="31744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</xdr:colOff>
      <xdr:row>0</xdr:row>
      <xdr:rowOff>40005</xdr:rowOff>
    </xdr:from>
    <xdr:to>
      <xdr:col>2</xdr:col>
      <xdr:colOff>45720</xdr:colOff>
      <xdr:row>0</xdr:row>
      <xdr:rowOff>357447</xdr:rowOff>
    </xdr:to>
    <xdr:pic>
      <xdr:nvPicPr>
        <xdr:cNvPr id="2" name="Logo_Small" descr="A black and white logo&#10;&#10;AI-generated content may be incorrect.">
          <a:extLst>
            <a:ext uri="{FF2B5EF4-FFF2-40B4-BE49-F238E27FC236}">
              <a16:creationId xmlns:a16="http://schemas.microsoft.com/office/drawing/2014/main" id="{74F8D745-159E-452C-BA10-AFB42B38D6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" y="40005"/>
          <a:ext cx="609600" cy="31744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</xdr:row>
      <xdr:rowOff>45720</xdr:rowOff>
    </xdr:from>
    <xdr:to>
      <xdr:col>10</xdr:col>
      <xdr:colOff>555206</xdr:colOff>
      <xdr:row>15</xdr:row>
      <xdr:rowOff>58034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CE45E00-4242-EF7C-FB20-058161CBF7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4360" y="1508760"/>
          <a:ext cx="5432006" cy="1414394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17</xdr:row>
      <xdr:rowOff>53340</xdr:rowOff>
    </xdr:from>
    <xdr:to>
      <xdr:col>8</xdr:col>
      <xdr:colOff>503502</xdr:colOff>
      <xdr:row>36</xdr:row>
      <xdr:rowOff>30942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2440AD1-04AA-FD65-1F8F-6AC4204BB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4361" y="3268980"/>
          <a:ext cx="4161101" cy="3307542"/>
        </a:xfrm>
        <a:prstGeom prst="rect">
          <a:avLst/>
        </a:prstGeom>
      </xdr:spPr>
    </xdr:pic>
    <xdr:clientData/>
  </xdr:twoCellAnchor>
  <xdr:twoCellAnchor editAs="oneCell">
    <xdr:from>
      <xdr:col>2</xdr:col>
      <xdr:colOff>8</xdr:colOff>
      <xdr:row>39</xdr:row>
      <xdr:rowOff>53347</xdr:rowOff>
    </xdr:from>
    <xdr:to>
      <xdr:col>17</xdr:col>
      <xdr:colOff>443306</xdr:colOff>
      <xdr:row>61</xdr:row>
      <xdr:rowOff>38643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686D46E-FD5A-D365-45A0-11BEB5487A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94368" y="7124707"/>
          <a:ext cx="9587298" cy="384101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63</xdr:row>
      <xdr:rowOff>53340</xdr:rowOff>
    </xdr:from>
    <xdr:to>
      <xdr:col>8</xdr:col>
      <xdr:colOff>594728</xdr:colOff>
      <xdr:row>69</xdr:row>
      <xdr:rowOff>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33B47D6-57FF-E788-3FD6-2504407282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94360" y="11330940"/>
          <a:ext cx="4252328" cy="99830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</xdr:colOff>
      <xdr:row>0</xdr:row>
      <xdr:rowOff>40005</xdr:rowOff>
    </xdr:from>
    <xdr:to>
      <xdr:col>2</xdr:col>
      <xdr:colOff>45720</xdr:colOff>
      <xdr:row>0</xdr:row>
      <xdr:rowOff>357447</xdr:rowOff>
    </xdr:to>
    <xdr:pic>
      <xdr:nvPicPr>
        <xdr:cNvPr id="2" name="Logo_Small" descr="A black and white logo&#10;&#10;AI-generated content may be incorrect.">
          <a:extLst>
            <a:ext uri="{FF2B5EF4-FFF2-40B4-BE49-F238E27FC236}">
              <a16:creationId xmlns:a16="http://schemas.microsoft.com/office/drawing/2014/main" id="{FBDCDCC8-2281-480D-B2C4-5E332CEBAC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" y="40005"/>
          <a:ext cx="609600" cy="317442"/>
        </a:xfrm>
        <a:prstGeom prst="rect">
          <a:avLst/>
        </a:prstGeom>
      </xdr:spPr>
    </xdr:pic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0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RXL Custom Theme">
  <a:themeElements>
    <a:clrScheme name="RXL Custom Theme">
      <a:dk1>
        <a:srgbClr val="002138"/>
      </a:dk1>
      <a:lt1>
        <a:sysClr val="window" lastClr="FFFFFF"/>
      </a:lt1>
      <a:dk2>
        <a:srgbClr val="002138"/>
      </a:dk2>
      <a:lt2>
        <a:srgbClr val="F8F8F8"/>
      </a:lt2>
      <a:accent1>
        <a:srgbClr val="198B83"/>
      </a:accent1>
      <a:accent2>
        <a:srgbClr val="56BAB8"/>
      </a:accent2>
      <a:accent3>
        <a:srgbClr val="FC6017"/>
      </a:accent3>
      <a:accent4>
        <a:srgbClr val="F88D24"/>
      </a:accent4>
      <a:accent5>
        <a:srgbClr val="E6D3B8"/>
      </a:accent5>
      <a:accent6>
        <a:srgbClr val="B75EE1"/>
      </a:accent6>
      <a:hlink>
        <a:srgbClr val="467886"/>
      </a:hlink>
      <a:folHlink>
        <a:srgbClr val="96607D"/>
      </a:folHlink>
    </a:clrScheme>
    <a:fontScheme name="RXL Custom Them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3"/>
        </a:solidFill>
        <a:ln w="28575">
          <a:solidFill>
            <a:schemeClr val="accent3">
              <a:lumMod val="75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a:spPr>
      <a:bodyPr vertOverflow="clip" horzOverflow="clip" rtlCol="0" anchor="ctr"/>
      <a:lstStyle>
        <a:defPPr algn="ctr">
          <a:defRPr sz="1200" kern="1200">
            <a:solidFill>
              <a:schemeClr val="bg1"/>
            </a:solidFill>
            <a:latin typeface="+mj-lt"/>
            <a:cs typeface="Arial" panose="020B0604020202020204" pitchFamily="34" charset="0"/>
          </a:defRPr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5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6750705-64B4-4306-81A8-CCB724AC820E}">
  <we:reference id="wa200003696" version="1.3.0.0" store="en-GB" storeType="OMEX"/>
  <we:alternateReferences>
    <we:reference id="WA200003696" version="1.3.0.0" store="" storeType="OMEX"/>
  </we:alternateReferences>
  <we:properties>
    <we:property name="projectV0_1-56c6e055-265e-4713-816e-a646dbb708de" value="{&quot;kind&quot;:&quot;AFEJSONBlobNode&quot;,&quot;id&quot;:&quot;{9008410C-4E9F-4420-B2D6-AAE1D2A7DF9E}&quot;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gist.github.com/r-silk/06d33edd7843a1b85f7732737a2db7d8" TargetMode="External"/><Relationship Id="rId1" Type="http://schemas.openxmlformats.org/officeDocument/2006/relationships/hyperlink" Target="https://gist.github.com/r-silk/0b6225578d6c7a7dd80df52137519a5b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36293-226B-41F7-B961-397B2C64A61C}">
  <sheetPr codeName="Sheet1"/>
  <dimension ref="B1:T792"/>
  <sheetViews>
    <sheetView showGridLines="0" tabSelected="1" workbookViewId="0">
      <pane ySplit="1" topLeftCell="A2" activePane="bottomLeft" state="frozen"/>
      <selection pane="bottomLeft"/>
    </sheetView>
  </sheetViews>
  <sheetFormatPr defaultRowHeight="13.8" x14ac:dyDescent="0.3"/>
  <cols>
    <col min="1" max="2" width="4.33203125" customWidth="1"/>
  </cols>
  <sheetData>
    <row r="1" spans="2:12" s="1" customFormat="1" ht="30" customHeight="1" x14ac:dyDescent="0.3">
      <c r="C1" s="2" t="s">
        <v>0</v>
      </c>
    </row>
    <row r="3" spans="2:12" x14ac:dyDescent="0.3">
      <c r="B3" s="8" t="s">
        <v>1</v>
      </c>
    </row>
    <row r="4" spans="2:12" x14ac:dyDescent="0.3">
      <c r="C4" t="s">
        <v>40</v>
      </c>
    </row>
    <row r="5" spans="2:12" x14ac:dyDescent="0.3">
      <c r="C5" t="s">
        <v>41</v>
      </c>
    </row>
    <row r="6" spans="2:12" x14ac:dyDescent="0.3">
      <c r="C6" t="s">
        <v>50</v>
      </c>
    </row>
    <row r="9" spans="2:12" x14ac:dyDescent="0.3">
      <c r="B9" s="8" t="s">
        <v>164</v>
      </c>
      <c r="J9" s="48" t="s">
        <v>165</v>
      </c>
    </row>
    <row r="11" spans="2:12" x14ac:dyDescent="0.3">
      <c r="C11" s="25" t="s">
        <v>45</v>
      </c>
      <c r="K11" s="25" t="s">
        <v>161</v>
      </c>
    </row>
    <row r="13" spans="2:12" x14ac:dyDescent="0.3">
      <c r="C13" s="20" t="s">
        <v>46</v>
      </c>
      <c r="D13" s="24" t="s">
        <v>176</v>
      </c>
      <c r="K13" s="20" t="s">
        <v>162</v>
      </c>
      <c r="L13" s="24" t="s">
        <v>179</v>
      </c>
    </row>
    <row r="14" spans="2:12" x14ac:dyDescent="0.3">
      <c r="C14" s="20" t="s">
        <v>47</v>
      </c>
      <c r="D14" s="24" t="s">
        <v>176</v>
      </c>
      <c r="K14" s="20" t="s">
        <v>163</v>
      </c>
      <c r="L14" s="24" t="s">
        <v>180</v>
      </c>
    </row>
    <row r="15" spans="2:12" x14ac:dyDescent="0.3">
      <c r="C15" s="20" t="s">
        <v>48</v>
      </c>
      <c r="D15" s="24" t="s">
        <v>177</v>
      </c>
    </row>
    <row r="16" spans="2:12" x14ac:dyDescent="0.3">
      <c r="C16" s="20" t="s">
        <v>49</v>
      </c>
      <c r="D16" s="24" t="s">
        <v>176</v>
      </c>
    </row>
    <row r="17" spans="2:20" x14ac:dyDescent="0.3">
      <c r="C17" s="20" t="s">
        <v>51</v>
      </c>
      <c r="D17" s="24" t="s">
        <v>178</v>
      </c>
      <c r="J17" s="48" t="s">
        <v>183</v>
      </c>
    </row>
    <row r="19" spans="2:20" x14ac:dyDescent="0.3">
      <c r="K19" s="25" t="s">
        <v>182</v>
      </c>
      <c r="L19" s="54" t="s">
        <v>181</v>
      </c>
    </row>
    <row r="21" spans="2:20" s="3" customFormat="1" ht="16.2" thickBot="1" x14ac:dyDescent="0.35">
      <c r="B21" s="9">
        <f xml:space="preserve"> MAX(B$1:B19) + 1</f>
        <v>1</v>
      </c>
      <c r="C21" s="3" t="s">
        <v>2</v>
      </c>
    </row>
    <row r="23" spans="2:20" x14ac:dyDescent="0.3">
      <c r="B23" s="5" t="s">
        <v>3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</row>
    <row r="25" spans="2:20" x14ac:dyDescent="0.3">
      <c r="C25" s="17" t="s">
        <v>30</v>
      </c>
    </row>
    <row r="26" spans="2:20" x14ac:dyDescent="0.3">
      <c r="C26" t="s">
        <v>133</v>
      </c>
    </row>
    <row r="27" spans="2:20" x14ac:dyDescent="0.3">
      <c r="C27" s="43" t="s">
        <v>134</v>
      </c>
    </row>
    <row r="28" spans="2:20" x14ac:dyDescent="0.3">
      <c r="C28" s="44" t="s">
        <v>136</v>
      </c>
    </row>
    <row r="29" spans="2:20" x14ac:dyDescent="0.3">
      <c r="C29" s="44" t="s">
        <v>137</v>
      </c>
    </row>
    <row r="30" spans="2:20" x14ac:dyDescent="0.3">
      <c r="C30" s="45" t="s">
        <v>138</v>
      </c>
    </row>
    <row r="31" spans="2:20" x14ac:dyDescent="0.3">
      <c r="C31" s="43" t="s">
        <v>135</v>
      </c>
    </row>
    <row r="32" spans="2:20" x14ac:dyDescent="0.3">
      <c r="C32" s="44" t="s">
        <v>139</v>
      </c>
    </row>
    <row r="33" spans="2:8" x14ac:dyDescent="0.3">
      <c r="C33" s="44" t="s">
        <v>142</v>
      </c>
    </row>
    <row r="34" spans="2:8" x14ac:dyDescent="0.3">
      <c r="C34" s="44" t="s">
        <v>140</v>
      </c>
    </row>
    <row r="35" spans="2:8" x14ac:dyDescent="0.3">
      <c r="C35" s="44" t="s">
        <v>143</v>
      </c>
    </row>
    <row r="36" spans="2:8" x14ac:dyDescent="0.3">
      <c r="C36" s="44" t="s">
        <v>141</v>
      </c>
    </row>
    <row r="37" spans="2:8" x14ac:dyDescent="0.3">
      <c r="C37" s="44" t="s">
        <v>144</v>
      </c>
    </row>
    <row r="38" spans="2:8" x14ac:dyDescent="0.3">
      <c r="C38" s="41" t="s">
        <v>145</v>
      </c>
    </row>
    <row r="39" spans="2:8" x14ac:dyDescent="0.3">
      <c r="C39" s="43" t="s">
        <v>146</v>
      </c>
    </row>
    <row r="40" spans="2:8" x14ac:dyDescent="0.3">
      <c r="C40" s="43" t="s">
        <v>147</v>
      </c>
    </row>
    <row r="41" spans="2:8" x14ac:dyDescent="0.3">
      <c r="C41" s="43" t="s">
        <v>148</v>
      </c>
    </row>
    <row r="42" spans="2:8" x14ac:dyDescent="0.3">
      <c r="C42" s="43" t="s">
        <v>149</v>
      </c>
    </row>
    <row r="45" spans="2:8" x14ac:dyDescent="0.3">
      <c r="B45" s="18" t="str" cm="1">
        <f t="array" ref="B45" xml:space="preserve"> "(" &amp; _xlfn.UNICHAR( 65 + SUMPRODUCT(--(_xlfn.REGEXTEST(B$1:B44, "^\([A-Z]\)$")))) &amp; ")"</f>
        <v>(A)</v>
      </c>
      <c r="C45" s="7" t="s">
        <v>42</v>
      </c>
    </row>
    <row r="47" spans="2:8" x14ac:dyDescent="0.3">
      <c r="C47" s="26" t="s">
        <v>43</v>
      </c>
      <c r="D47" s="27">
        <v>5</v>
      </c>
      <c r="F47" s="26" t="s">
        <v>56</v>
      </c>
      <c r="G47" s="28" cm="1">
        <f t="array" ref="G47:G56" xml:space="preserve"> _xlfn.LET(
  _xlpm._rows, D47,
  _xlpm._cols, D48,
  _xlpm._min, D49,
  _xlfn.SEQUENCE(_xlpm._rows * _xlpm._cols, 1, _xlpm._min, 1)
)</f>
        <v>1</v>
      </c>
      <c r="H47" s="19" t="str" cm="1">
        <f t="array" aca="1" ref="H47:H52" ca="1" xml:space="preserve"> _xlfn.TEXTSPLIT( _xlfn.FORMULATEXT(G47), , CHAR(10))</f>
        <v>= LET(</v>
      </c>
    </row>
    <row r="48" spans="2:8" x14ac:dyDescent="0.3">
      <c r="C48" s="26" t="s">
        <v>44</v>
      </c>
      <c r="D48" s="27">
        <v>2</v>
      </c>
      <c r="G48" s="28">
        <v>2</v>
      </c>
      <c r="H48" s="19" t="str">
        <f ca="1"/>
        <v xml:space="preserve">  _rows, D47,</v>
      </c>
    </row>
    <row r="49" spans="2:8" x14ac:dyDescent="0.3">
      <c r="C49" s="26" t="s">
        <v>54</v>
      </c>
      <c r="D49" s="27">
        <v>1</v>
      </c>
      <c r="G49" s="28">
        <v>3</v>
      </c>
      <c r="H49" s="19" t="str">
        <f ca="1"/>
        <v xml:space="preserve">  _cols, D48,</v>
      </c>
    </row>
    <row r="50" spans="2:8" x14ac:dyDescent="0.3">
      <c r="G50" s="28">
        <v>4</v>
      </c>
      <c r="H50" s="19" t="str">
        <f ca="1"/>
        <v xml:space="preserve">  _min, D49,</v>
      </c>
    </row>
    <row r="51" spans="2:8" x14ac:dyDescent="0.3">
      <c r="G51" s="28">
        <v>5</v>
      </c>
      <c r="H51" s="19" t="str">
        <f ca="1"/>
        <v xml:space="preserve">  SEQUENCE(_rows * _cols, 1, _min, 1)</v>
      </c>
    </row>
    <row r="52" spans="2:8" x14ac:dyDescent="0.3">
      <c r="G52" s="28">
        <v>6</v>
      </c>
      <c r="H52" s="19" t="str">
        <f ca="1"/>
        <v>)</v>
      </c>
    </row>
    <row r="53" spans="2:8" x14ac:dyDescent="0.3">
      <c r="G53" s="28">
        <v>7</v>
      </c>
    </row>
    <row r="54" spans="2:8" x14ac:dyDescent="0.3">
      <c r="G54" s="28">
        <v>8</v>
      </c>
    </row>
    <row r="55" spans="2:8" x14ac:dyDescent="0.3">
      <c r="G55" s="28">
        <v>9</v>
      </c>
    </row>
    <row r="56" spans="2:8" x14ac:dyDescent="0.3">
      <c r="G56" s="28">
        <v>10</v>
      </c>
    </row>
    <row r="59" spans="2:8" x14ac:dyDescent="0.3">
      <c r="B59" s="18" t="str" cm="1">
        <f t="array" ref="B59" xml:space="preserve"> "(" &amp; _xlfn.UNICHAR( 65 + SUMPRODUCT(--(_xlfn.REGEXTEST(B$1:B58, "^\([A-Z]\)$")))) &amp; ")"</f>
        <v>(B)</v>
      </c>
      <c r="C59" s="7" t="s">
        <v>55</v>
      </c>
    </row>
    <row r="61" spans="2:8" x14ac:dyDescent="0.3">
      <c r="C61" s="26" t="s">
        <v>53</v>
      </c>
      <c r="D61" s="27">
        <v>20</v>
      </c>
      <c r="F61" s="26" t="s">
        <v>56</v>
      </c>
      <c r="G61" s="28" cm="1">
        <f t="array" ref="G61:G71" xml:space="preserve"> _xlfn.LET(
  _xlpm._min, D61,
  _xlpm._max, D62,
  _xlpm._dif, _xlpm._max - _xlpm._min + 1,
  _xlfn.SEQUENCE(_xlpm._dif, 1, _xlpm._min, 1)
)</f>
        <v>20</v>
      </c>
      <c r="H61" s="19" t="str" cm="1">
        <f t="array" aca="1" ref="H61:H66" ca="1" xml:space="preserve"> _xlfn.TEXTSPLIT( _xlfn.FORMULATEXT(G61), , CHAR(10))</f>
        <v>= LET(</v>
      </c>
    </row>
    <row r="62" spans="2:8" x14ac:dyDescent="0.3">
      <c r="C62" s="26" t="s">
        <v>52</v>
      </c>
      <c r="D62" s="27">
        <v>30</v>
      </c>
      <c r="G62" s="28">
        <v>21</v>
      </c>
      <c r="H62" s="19" t="str">
        <f ca="1"/>
        <v xml:space="preserve">  _min, D61,</v>
      </c>
    </row>
    <row r="63" spans="2:8" x14ac:dyDescent="0.3">
      <c r="G63" s="28">
        <v>22</v>
      </c>
      <c r="H63" s="19" t="str">
        <f ca="1"/>
        <v xml:space="preserve">  _max, D62,</v>
      </c>
    </row>
    <row r="64" spans="2:8" x14ac:dyDescent="0.3">
      <c r="G64" s="28">
        <v>23</v>
      </c>
      <c r="H64" s="19" t="str">
        <f ca="1"/>
        <v xml:space="preserve">  _dif, _max - _min + 1,</v>
      </c>
    </row>
    <row r="65" spans="2:8" x14ac:dyDescent="0.3">
      <c r="G65" s="28">
        <v>24</v>
      </c>
      <c r="H65" s="19" t="str">
        <f ca="1"/>
        <v xml:space="preserve">  SEQUENCE(_dif, 1, _min, 1)</v>
      </c>
    </row>
    <row r="66" spans="2:8" x14ac:dyDescent="0.3">
      <c r="G66" s="28">
        <v>25</v>
      </c>
      <c r="H66" s="19" t="str">
        <f ca="1"/>
        <v>)</v>
      </c>
    </row>
    <row r="67" spans="2:8" x14ac:dyDescent="0.3">
      <c r="G67" s="28">
        <v>26</v>
      </c>
    </row>
    <row r="68" spans="2:8" x14ac:dyDescent="0.3">
      <c r="G68" s="28">
        <v>27</v>
      </c>
    </row>
    <row r="69" spans="2:8" x14ac:dyDescent="0.3">
      <c r="G69" s="28">
        <v>28</v>
      </c>
    </row>
    <row r="70" spans="2:8" x14ac:dyDescent="0.3">
      <c r="G70" s="28">
        <v>29</v>
      </c>
    </row>
    <row r="71" spans="2:8" x14ac:dyDescent="0.3">
      <c r="G71" s="28">
        <v>30</v>
      </c>
    </row>
    <row r="74" spans="2:8" x14ac:dyDescent="0.3">
      <c r="B74" s="18" t="str" cm="1">
        <f t="array" ref="B74" xml:space="preserve"> "(" &amp; _xlfn.UNICHAR( 65 + SUMPRODUCT(--(_xlfn.REGEXTEST(B$1:B73, "^\([A-Z]\)$")))) &amp; ")"</f>
        <v>(C)</v>
      </c>
      <c r="C74" s="7" t="s">
        <v>57</v>
      </c>
    </row>
    <row r="76" spans="2:8" x14ac:dyDescent="0.3">
      <c r="C76" s="26" t="s">
        <v>53</v>
      </c>
      <c r="D76" s="27">
        <v>20</v>
      </c>
      <c r="F76" s="26" t="s">
        <v>56</v>
      </c>
      <c r="G76" s="28" cm="1">
        <f t="array" aca="1" ref="G76:G86" ca="1" xml:space="preserve"> _xlfn.LET(
  _xlpm._min, D76,
  _xlpm._max, D77,
  _xlpm._dif, _xlpm._max - _xlpm._min + 1,
  _xlpm._idx, _xlfn.SEQUENCE(_xlpm._dif, 1),
  _xlpm._rnd, _xlfn.DROP(
    _xlfn.REDUCE(0, _xlpm._idx, _xlfn.LAMBDA(_xlpm._acc,_xlpm._val, _xlfn.LET(
      _xlpm._fltr, _xlfn._xlws.FILTER(_xlpm._idx, ISNA(_xlfn.XMATCH(_xlpm._idx, _xlpm._acc))),
      _xlpm._rr, ROWS(_xlpm._fltr),
      _xlfn.VSTACK(_xlpm._acc, INDEX(_xlpm._fltr, RANDBETWEEN(1, _xlpm._rr)))
    ))),
  1),
  _xlpm._rnd
)</f>
        <v>2</v>
      </c>
      <c r="H76" s="19" t="e" cm="1">
        <f t="array" aca="1" ref="H76" ca="1" xml:space="preserve"> _xlfn.TEXTSPLIT( _xlfn.FORMULATEXT(G76), , CHAR(10))</f>
        <v>#NUM!</v>
      </c>
    </row>
    <row r="77" spans="2:8" x14ac:dyDescent="0.3">
      <c r="C77" s="26" t="s">
        <v>52</v>
      </c>
      <c r="D77" s="27">
        <v>30</v>
      </c>
      <c r="G77" s="28">
        <f ca="1"/>
        <v>7</v>
      </c>
      <c r="H77" s="19"/>
    </row>
    <row r="78" spans="2:8" x14ac:dyDescent="0.3">
      <c r="G78" s="28">
        <f ca="1"/>
        <v>5</v>
      </c>
      <c r="H78" s="19"/>
    </row>
    <row r="79" spans="2:8" x14ac:dyDescent="0.3">
      <c r="G79" s="28">
        <f ca="1"/>
        <v>6</v>
      </c>
      <c r="H79" s="19"/>
    </row>
    <row r="80" spans="2:8" x14ac:dyDescent="0.3">
      <c r="G80" s="28">
        <f ca="1"/>
        <v>9</v>
      </c>
      <c r="H80" s="19"/>
    </row>
    <row r="81" spans="2:8" x14ac:dyDescent="0.3">
      <c r="G81" s="28">
        <f ca="1"/>
        <v>11</v>
      </c>
      <c r="H81" s="19"/>
    </row>
    <row r="82" spans="2:8" x14ac:dyDescent="0.3">
      <c r="G82" s="28">
        <f ca="1"/>
        <v>3</v>
      </c>
      <c r="H82" s="19"/>
    </row>
    <row r="83" spans="2:8" x14ac:dyDescent="0.3">
      <c r="G83" s="28">
        <f ca="1"/>
        <v>10</v>
      </c>
      <c r="H83" s="19"/>
    </row>
    <row r="84" spans="2:8" x14ac:dyDescent="0.3">
      <c r="G84" s="28">
        <f ca="1"/>
        <v>4</v>
      </c>
      <c r="H84" s="19"/>
    </row>
    <row r="85" spans="2:8" x14ac:dyDescent="0.3">
      <c r="G85" s="28">
        <f ca="1"/>
        <v>8</v>
      </c>
      <c r="H85" s="19"/>
    </row>
    <row r="86" spans="2:8" x14ac:dyDescent="0.3">
      <c r="G86" s="28">
        <f ca="1"/>
        <v>1</v>
      </c>
      <c r="H86" s="19"/>
    </row>
    <row r="87" spans="2:8" x14ac:dyDescent="0.3">
      <c r="H87" s="19"/>
    </row>
    <row r="88" spans="2:8" x14ac:dyDescent="0.3">
      <c r="H88" s="19"/>
    </row>
    <row r="89" spans="2:8" x14ac:dyDescent="0.3">
      <c r="H89" s="19"/>
    </row>
    <row r="91" spans="2:8" x14ac:dyDescent="0.3">
      <c r="B91" s="18" t="str" cm="1">
        <f t="array" ref="B91" xml:space="preserve"> "(" &amp; _xlfn.UNICHAR( 65 + SUMPRODUCT(--(_xlfn.REGEXTEST(B$1:B90, "^\([A-Z]\)$")))) &amp; ")"</f>
        <v>(D)</v>
      </c>
      <c r="C91" s="7" t="s">
        <v>58</v>
      </c>
    </row>
    <row r="93" spans="2:8" x14ac:dyDescent="0.3">
      <c r="C93" s="26" t="s">
        <v>53</v>
      </c>
      <c r="D93" s="27">
        <v>20</v>
      </c>
      <c r="F93" s="26" t="s">
        <v>56</v>
      </c>
      <c r="G93" s="28" cm="1">
        <f t="array" aca="1" ref="G93:G103" ca="1" xml:space="preserve"> _xlfn.LET(
  _xlpm._min, D93,
  _xlpm._max, D94,
  _xlpm._dif, _xlpm._max - _xlpm._min + 1,
  _xlpm._idx, _xlfn.SEQUENCE(_xlpm._dif, 1),
  _xlpm._arr, _xlfn.SEQUENCE(_xlpm._dif, 1, _xlpm._min),
  _xlpm._rnd, _xlfn.DROP(
    _xlfn.REDUCE(0, _xlpm._idx, _xlfn.LAMBDA(_xlpm._acc,_xlpm._val, _xlfn.LET(
      _xlpm._fltr, _xlfn._xlws.FILTER(_xlpm._idx, ISNA(_xlfn.XMATCH(_xlpm._idx, _xlpm._acc))),
      _xlpm._rr, ROWS(_xlpm._fltr),
      _xlfn.VSTACK(_xlpm._acc, INDEX(_xlpm._fltr, RANDBETWEEN(1, _xlpm._rr)))
    ))),
  1),
  _xlpm._calc, INDEX(_xlpm._arr, _xlpm._rnd),
  _xlpm._calc
)</f>
        <v>24</v>
      </c>
      <c r="H93" s="19" t="e" cm="1">
        <f t="array" aca="1" ref="H93" ca="1" xml:space="preserve"> _xlfn.TEXTSPLIT( _xlfn.FORMULATEXT(G93), , CHAR(10))</f>
        <v>#NUM!</v>
      </c>
    </row>
    <row r="94" spans="2:8" x14ac:dyDescent="0.3">
      <c r="C94" s="26" t="s">
        <v>52</v>
      </c>
      <c r="D94" s="27">
        <v>30</v>
      </c>
      <c r="G94" s="28">
        <f ca="1"/>
        <v>20</v>
      </c>
      <c r="H94" s="19"/>
    </row>
    <row r="95" spans="2:8" x14ac:dyDescent="0.3">
      <c r="G95" s="28">
        <f ca="1"/>
        <v>26</v>
      </c>
      <c r="H95" s="19"/>
    </row>
    <row r="96" spans="2:8" x14ac:dyDescent="0.3">
      <c r="G96" s="28">
        <f ca="1"/>
        <v>29</v>
      </c>
      <c r="H96" s="19"/>
    </row>
    <row r="97" spans="2:8" x14ac:dyDescent="0.3">
      <c r="G97" s="28">
        <f ca="1"/>
        <v>22</v>
      </c>
      <c r="H97" s="19"/>
    </row>
    <row r="98" spans="2:8" x14ac:dyDescent="0.3">
      <c r="G98" s="28">
        <f ca="1"/>
        <v>30</v>
      </c>
      <c r="H98" s="19"/>
    </row>
    <row r="99" spans="2:8" x14ac:dyDescent="0.3">
      <c r="G99" s="28">
        <f ca="1"/>
        <v>27</v>
      </c>
      <c r="H99" s="19"/>
    </row>
    <row r="100" spans="2:8" x14ac:dyDescent="0.3">
      <c r="G100" s="28">
        <f ca="1"/>
        <v>23</v>
      </c>
      <c r="H100" s="19"/>
    </row>
    <row r="101" spans="2:8" x14ac:dyDescent="0.3">
      <c r="G101" s="28">
        <f ca="1"/>
        <v>21</v>
      </c>
      <c r="H101" s="19"/>
    </row>
    <row r="102" spans="2:8" x14ac:dyDescent="0.3">
      <c r="G102" s="28">
        <f ca="1"/>
        <v>25</v>
      </c>
      <c r="H102" s="19"/>
    </row>
    <row r="103" spans="2:8" x14ac:dyDescent="0.3">
      <c r="G103" s="28">
        <f ca="1"/>
        <v>28</v>
      </c>
      <c r="H103" s="19"/>
    </row>
    <row r="104" spans="2:8" x14ac:dyDescent="0.3">
      <c r="H104" s="19"/>
    </row>
    <row r="105" spans="2:8" x14ac:dyDescent="0.3">
      <c r="H105" s="19"/>
    </row>
    <row r="106" spans="2:8" x14ac:dyDescent="0.3">
      <c r="H106" s="19"/>
    </row>
    <row r="107" spans="2:8" x14ac:dyDescent="0.3">
      <c r="H107" s="19"/>
    </row>
    <row r="108" spans="2:8" x14ac:dyDescent="0.3">
      <c r="H108" s="19"/>
    </row>
    <row r="110" spans="2:8" x14ac:dyDescent="0.3">
      <c r="B110" s="18" t="str" cm="1">
        <f t="array" ref="B110" xml:space="preserve"> "(" &amp; _xlfn.UNICHAR( 65 + SUMPRODUCT(--(_xlfn.REGEXTEST(B$1:B109, "^\([A-Z]\)$")))) &amp; ")"</f>
        <v>(E)</v>
      </c>
      <c r="C110" s="7" t="s">
        <v>59</v>
      </c>
    </row>
    <row r="112" spans="2:8" x14ac:dyDescent="0.3">
      <c r="C112" s="26" t="s">
        <v>43</v>
      </c>
      <c r="D112" s="27">
        <v>5</v>
      </c>
      <c r="F112" s="26" t="s">
        <v>56</v>
      </c>
      <c r="G112" s="28" cm="1">
        <f t="array" aca="1" ref="G112:G121" ca="1" xml:space="preserve"> _xlfn.LET(
  _xlpm._rows, D112,
  _xlpm._cols, D113,
  _xlpm._min, D114,
  _xlpm._max, D115,
  _xlpm._dif, _xlpm._max - _xlpm._min + 1,
  _xlpm._idx, _xlfn.SEQUENCE(_xlpm._rows * _xlpm._cols, 1),
  _xlpm._arr, _xlfn.SEQUENCE(_xlpm._dif, 1, _xlpm._min),
  _xlpm._rnd, _xlfn.DROP(
    _xlfn.REDUCE(0, _xlpm._idx, _xlfn.LAMBDA(_xlpm._acc,_xlpm._val, _xlfn.LET(
      _xlpm._fltr, _xlfn._xlws.FILTER(_xlpm._arr, ISNA(_xlfn.XMATCH(_xlpm._arr, _xlpm._acc))),
      _xlpm._rr, ROWS(_xlpm._fltr),
      _xlfn.VSTACK(_xlpm._acc, INDEX(_xlpm._fltr, RANDBETWEEN(1, _xlpm._rr)))
    ))),
  1),
  _xlpm._calc, INDEX(_xlpm._arr, _xlpm._rnd),
  _xlpm._calc
)</f>
        <v>23</v>
      </c>
      <c r="H112" s="19" t="e" cm="1">
        <f t="array" aca="1" ref="H112" ca="1" xml:space="preserve"> _xlfn.TEXTSPLIT( _xlfn.FORMULATEXT(G112), , CHAR(10))</f>
        <v>#NUM!</v>
      </c>
    </row>
    <row r="113" spans="3:8" x14ac:dyDescent="0.3">
      <c r="C113" s="26" t="s">
        <v>44</v>
      </c>
      <c r="D113" s="27">
        <v>2</v>
      </c>
      <c r="G113" s="28">
        <f ca="1"/>
        <v>48</v>
      </c>
      <c r="H113" s="19"/>
    </row>
    <row r="114" spans="3:8" x14ac:dyDescent="0.3">
      <c r="C114" s="26" t="s">
        <v>53</v>
      </c>
      <c r="D114" s="27">
        <v>1</v>
      </c>
      <c r="G114" s="28">
        <f ca="1"/>
        <v>42</v>
      </c>
      <c r="H114" s="19"/>
    </row>
    <row r="115" spans="3:8" x14ac:dyDescent="0.3">
      <c r="C115" s="26" t="s">
        <v>52</v>
      </c>
      <c r="D115" s="27">
        <v>100</v>
      </c>
      <c r="G115" s="28">
        <f ca="1"/>
        <v>43</v>
      </c>
      <c r="H115" s="19"/>
    </row>
    <row r="116" spans="3:8" x14ac:dyDescent="0.3">
      <c r="G116" s="28">
        <f ca="1"/>
        <v>17</v>
      </c>
      <c r="H116" s="19"/>
    </row>
    <row r="117" spans="3:8" x14ac:dyDescent="0.3">
      <c r="G117" s="28">
        <f ca="1"/>
        <v>14</v>
      </c>
      <c r="H117" s="19"/>
    </row>
    <row r="118" spans="3:8" x14ac:dyDescent="0.3">
      <c r="G118" s="28">
        <f ca="1"/>
        <v>68</v>
      </c>
      <c r="H118" s="19"/>
    </row>
    <row r="119" spans="3:8" x14ac:dyDescent="0.3">
      <c r="G119" s="28">
        <f ca="1"/>
        <v>36</v>
      </c>
      <c r="H119" s="19"/>
    </row>
    <row r="120" spans="3:8" x14ac:dyDescent="0.3">
      <c r="G120" s="28">
        <f ca="1"/>
        <v>72</v>
      </c>
      <c r="H120" s="19"/>
    </row>
    <row r="121" spans="3:8" x14ac:dyDescent="0.3">
      <c r="G121" s="28">
        <f ca="1"/>
        <v>49</v>
      </c>
      <c r="H121" s="19"/>
    </row>
    <row r="122" spans="3:8" x14ac:dyDescent="0.3">
      <c r="H122" s="19"/>
    </row>
    <row r="123" spans="3:8" x14ac:dyDescent="0.3">
      <c r="H123" s="19"/>
    </row>
    <row r="124" spans="3:8" x14ac:dyDescent="0.3">
      <c r="H124" s="19"/>
    </row>
    <row r="125" spans="3:8" x14ac:dyDescent="0.3">
      <c r="H125" s="19"/>
    </row>
    <row r="126" spans="3:8" x14ac:dyDescent="0.3">
      <c r="H126" s="19"/>
    </row>
    <row r="127" spans="3:8" x14ac:dyDescent="0.3">
      <c r="H127" s="19"/>
    </row>
    <row r="128" spans="3:8" x14ac:dyDescent="0.3">
      <c r="H128" s="19"/>
    </row>
    <row r="129" spans="2:10" x14ac:dyDescent="0.3">
      <c r="H129" s="19"/>
    </row>
    <row r="131" spans="2:10" x14ac:dyDescent="0.3">
      <c r="B131" s="18" t="str" cm="1">
        <f t="array" ref="B131" xml:space="preserve"> "(" &amp; _xlfn.UNICHAR( 65 + SUMPRODUCT(--(_xlfn.REGEXTEST(B$1:B130, "^\([A-Z]\)$")))) &amp; ")"</f>
        <v>(F)</v>
      </c>
      <c r="C131" s="7" t="s">
        <v>60</v>
      </c>
    </row>
    <row r="133" spans="2:10" x14ac:dyDescent="0.3">
      <c r="C133" s="26" t="s">
        <v>43</v>
      </c>
      <c r="D133" s="27">
        <v>10</v>
      </c>
      <c r="F133" s="26" t="s">
        <v>56</v>
      </c>
      <c r="G133" s="28" cm="1">
        <f t="array" aca="1" ref="G133:I142" ca="1" xml:space="preserve"> _xlfn.LET(
  _xlpm._rows, D133,
  _xlpm._cols, D134,
  _xlpm._min, D135,
  _xlpm._max, D136,
  _xlpm._dif, _xlpm._max - _xlpm._min + 1,
  _xlpm._idx, _xlfn.SEQUENCE(_xlpm._rows * _xlpm._cols, 1),
  _xlpm._arr, _xlfn.SEQUENCE(_xlpm._dif, 1, _xlpm._min),
  _xlpm._rnd, _xlfn.DROP(
    _xlfn.REDUCE(0, _xlpm._idx, _xlfn.LAMBDA(_xlpm._acc,_xlpm._val, _xlfn.LET(
      _xlpm._fltr, _xlfn._xlws.FILTER(_xlpm._arr, ISNA(_xlfn.XMATCH(_xlpm._arr, _xlpm._acc))),
      _xlpm._rr, ROWS(_xlpm._fltr),
      _xlfn.VSTACK(_xlpm._acc, INDEX(_xlpm._fltr, RANDBETWEEN(1, _xlpm._rr)))
    ))),
  1),
  _xlpm._rtn, _xlfn.MAKEARRAY(_xlpm._rows, _xlpm._cols, _xlfn.LAMBDA(_xlpm._r,_xlpm._c, INDEX(_xlpm._rnd, (_xlpm._r - 1) * _xlpm._cols + _xlpm._c))),
  _xlpm._rtn
)</f>
        <v>7</v>
      </c>
      <c r="H133" s="28">
        <f ca="1"/>
        <v>-6</v>
      </c>
      <c r="I133" s="28">
        <f ca="1"/>
        <v>98</v>
      </c>
      <c r="J133" s="19" t="e" cm="1">
        <f t="array" aca="1" ref="J133" ca="1" xml:space="preserve"> _xlfn.TEXTSPLIT( _xlfn.FORMULATEXT(G133), , CHAR(10))</f>
        <v>#NUM!</v>
      </c>
    </row>
    <row r="134" spans="2:10" x14ac:dyDescent="0.3">
      <c r="C134" s="26" t="s">
        <v>44</v>
      </c>
      <c r="D134" s="27">
        <v>3</v>
      </c>
      <c r="G134" s="28">
        <f ca="1"/>
        <v>31</v>
      </c>
      <c r="H134" s="28">
        <f ca="1"/>
        <v>6</v>
      </c>
      <c r="I134" s="28">
        <f ca="1"/>
        <v>28</v>
      </c>
      <c r="J134" s="19"/>
    </row>
    <row r="135" spans="2:10" x14ac:dyDescent="0.3">
      <c r="C135" s="26" t="s">
        <v>53</v>
      </c>
      <c r="D135" s="27">
        <v>-10</v>
      </c>
      <c r="G135" s="28">
        <f ca="1"/>
        <v>85</v>
      </c>
      <c r="H135" s="28">
        <f ca="1"/>
        <v>20</v>
      </c>
      <c r="I135" s="28">
        <f ca="1"/>
        <v>25</v>
      </c>
      <c r="J135" s="19"/>
    </row>
    <row r="136" spans="2:10" x14ac:dyDescent="0.3">
      <c r="C136" s="26" t="s">
        <v>52</v>
      </c>
      <c r="D136" s="27">
        <v>100</v>
      </c>
      <c r="G136" s="28">
        <f ca="1"/>
        <v>57</v>
      </c>
      <c r="H136" s="28">
        <f ca="1"/>
        <v>41</v>
      </c>
      <c r="I136" s="28">
        <f ca="1"/>
        <v>88</v>
      </c>
      <c r="J136" s="19"/>
    </row>
    <row r="137" spans="2:10" x14ac:dyDescent="0.3">
      <c r="G137" s="28">
        <f ca="1"/>
        <v>21</v>
      </c>
      <c r="H137" s="28">
        <f ca="1"/>
        <v>15</v>
      </c>
      <c r="I137" s="28">
        <f ca="1"/>
        <v>11</v>
      </c>
      <c r="J137" s="19"/>
    </row>
    <row r="138" spans="2:10" x14ac:dyDescent="0.3">
      <c r="G138" s="28">
        <f ca="1"/>
        <v>92</v>
      </c>
      <c r="H138" s="28">
        <f ca="1"/>
        <v>53</v>
      </c>
      <c r="I138" s="28">
        <f ca="1"/>
        <v>16</v>
      </c>
      <c r="J138" s="19"/>
    </row>
    <row r="139" spans="2:10" x14ac:dyDescent="0.3">
      <c r="G139" s="28">
        <f ca="1"/>
        <v>61</v>
      </c>
      <c r="H139" s="28">
        <f ca="1"/>
        <v>84</v>
      </c>
      <c r="I139" s="28">
        <f ca="1"/>
        <v>26</v>
      </c>
      <c r="J139" s="19"/>
    </row>
    <row r="140" spans="2:10" x14ac:dyDescent="0.3">
      <c r="G140" s="28">
        <f ca="1"/>
        <v>86</v>
      </c>
      <c r="H140" s="28">
        <f ca="1"/>
        <v>-5</v>
      </c>
      <c r="I140" s="28">
        <f ca="1"/>
        <v>60</v>
      </c>
      <c r="J140" s="19"/>
    </row>
    <row r="141" spans="2:10" x14ac:dyDescent="0.3">
      <c r="G141" s="28">
        <f ca="1"/>
        <v>19</v>
      </c>
      <c r="H141" s="28">
        <f ca="1"/>
        <v>1</v>
      </c>
      <c r="I141" s="28">
        <f ca="1"/>
        <v>8</v>
      </c>
      <c r="J141" s="19"/>
    </row>
    <row r="142" spans="2:10" x14ac:dyDescent="0.3">
      <c r="G142" s="28">
        <f ca="1"/>
        <v>-10</v>
      </c>
      <c r="H142" s="28">
        <f ca="1"/>
        <v>63</v>
      </c>
      <c r="I142" s="28">
        <f ca="1"/>
        <v>18</v>
      </c>
      <c r="J142" s="19"/>
    </row>
    <row r="143" spans="2:10" x14ac:dyDescent="0.3">
      <c r="J143" s="19"/>
    </row>
    <row r="144" spans="2:10" x14ac:dyDescent="0.3">
      <c r="C144" s="30" t="s">
        <v>61</v>
      </c>
      <c r="J144" s="19"/>
    </row>
    <row r="145" spans="3:10" ht="14.4" thickBot="1" x14ac:dyDescent="0.35">
      <c r="C145" s="26" t="s">
        <v>66</v>
      </c>
      <c r="D145" s="33">
        <f ca="1" xml:space="preserve"> COUNT(_xlfn.ANCHORARRAY(D147))</f>
        <v>30</v>
      </c>
      <c r="E145" s="33">
        <f ca="1" xml:space="preserve"> COUNT(_xlfn.ANCHORARRAY(E147))</f>
        <v>30</v>
      </c>
      <c r="F145" s="33">
        <f ca="1" xml:space="preserve"> COUNT(_xlfn.ANCHORARRAY(F147))</f>
        <v>30</v>
      </c>
      <c r="J145" s="19"/>
    </row>
    <row r="146" spans="3:10" ht="14.4" thickTop="1" x14ac:dyDescent="0.3">
      <c r="D146" s="18" t="s">
        <v>63</v>
      </c>
      <c r="E146" s="18" t="s">
        <v>62</v>
      </c>
      <c r="F146" s="18" t="s">
        <v>64</v>
      </c>
      <c r="J146" s="19"/>
    </row>
    <row r="147" spans="3:10" x14ac:dyDescent="0.3">
      <c r="D147" s="29" cm="1">
        <f t="array" aca="1" ref="D147:D176" ca="1" xml:space="preserve"> _xlfn.TOCOL(_xlfn.ANCHORARRAY(G133))</f>
        <v>7</v>
      </c>
      <c r="E147" s="28" cm="1">
        <f t="array" aca="1" ref="E147:E176" ca="1" xml:space="preserve"> _xlfn._xlws.SORT(_xlfn.ANCHORARRAY(D147))</f>
        <v>-10</v>
      </c>
      <c r="F147" s="28" cm="1">
        <f t="array" aca="1" ref="F147:F176" ca="1" xml:space="preserve"> _xlfn.UNIQUE(_xlfn.ANCHORARRAY(E147), , TRUE)</f>
        <v>-10</v>
      </c>
      <c r="J147" s="19"/>
    </row>
    <row r="148" spans="3:10" x14ac:dyDescent="0.3">
      <c r="D148" s="29">
        <f ca="1"/>
        <v>-6</v>
      </c>
      <c r="E148" s="28">
        <f ca="1"/>
        <v>-6</v>
      </c>
      <c r="F148" s="28">
        <f ca="1"/>
        <v>-6</v>
      </c>
      <c r="J148" s="19"/>
    </row>
    <row r="149" spans="3:10" x14ac:dyDescent="0.3">
      <c r="D149" s="29">
        <f ca="1"/>
        <v>98</v>
      </c>
      <c r="E149" s="28">
        <f ca="1"/>
        <v>-5</v>
      </c>
      <c r="F149" s="28">
        <f ca="1"/>
        <v>-5</v>
      </c>
      <c r="J149" s="19"/>
    </row>
    <row r="150" spans="3:10" x14ac:dyDescent="0.3">
      <c r="D150" s="29">
        <f ca="1"/>
        <v>31</v>
      </c>
      <c r="E150" s="28">
        <f ca="1"/>
        <v>1</v>
      </c>
      <c r="F150" s="28">
        <f ca="1"/>
        <v>1</v>
      </c>
      <c r="J150" s="19"/>
    </row>
    <row r="151" spans="3:10" x14ac:dyDescent="0.3">
      <c r="D151" s="29">
        <f ca="1"/>
        <v>6</v>
      </c>
      <c r="E151" s="28">
        <f ca="1"/>
        <v>6</v>
      </c>
      <c r="F151" s="28">
        <f ca="1"/>
        <v>6</v>
      </c>
      <c r="J151" s="19"/>
    </row>
    <row r="152" spans="3:10" x14ac:dyDescent="0.3">
      <c r="D152" s="29">
        <f ca="1"/>
        <v>28</v>
      </c>
      <c r="E152" s="28">
        <f ca="1"/>
        <v>7</v>
      </c>
      <c r="F152" s="28">
        <f ca="1"/>
        <v>7</v>
      </c>
      <c r="J152" s="19"/>
    </row>
    <row r="153" spans="3:10" x14ac:dyDescent="0.3">
      <c r="D153" s="29">
        <f ca="1"/>
        <v>85</v>
      </c>
      <c r="E153" s="28">
        <f ca="1"/>
        <v>8</v>
      </c>
      <c r="F153" s="28">
        <f ca="1"/>
        <v>8</v>
      </c>
    </row>
    <row r="154" spans="3:10" x14ac:dyDescent="0.3">
      <c r="D154" s="29">
        <f ca="1"/>
        <v>20</v>
      </c>
      <c r="E154" s="28">
        <f ca="1"/>
        <v>11</v>
      </c>
      <c r="F154" s="28">
        <f ca="1"/>
        <v>11</v>
      </c>
    </row>
    <row r="155" spans="3:10" x14ac:dyDescent="0.3">
      <c r="D155" s="29">
        <f ca="1"/>
        <v>25</v>
      </c>
      <c r="E155" s="28">
        <f ca="1"/>
        <v>15</v>
      </c>
      <c r="F155" s="28">
        <f ca="1"/>
        <v>15</v>
      </c>
    </row>
    <row r="156" spans="3:10" x14ac:dyDescent="0.3">
      <c r="D156" s="29">
        <f ca="1"/>
        <v>57</v>
      </c>
      <c r="E156" s="28">
        <f ca="1"/>
        <v>16</v>
      </c>
      <c r="F156" s="28">
        <f ca="1"/>
        <v>16</v>
      </c>
    </row>
    <row r="157" spans="3:10" x14ac:dyDescent="0.3">
      <c r="D157" s="29">
        <f ca="1"/>
        <v>41</v>
      </c>
      <c r="E157" s="28">
        <f ca="1"/>
        <v>18</v>
      </c>
      <c r="F157" s="28">
        <f ca="1"/>
        <v>18</v>
      </c>
    </row>
    <row r="158" spans="3:10" x14ac:dyDescent="0.3">
      <c r="D158" s="29">
        <f ca="1"/>
        <v>88</v>
      </c>
      <c r="E158" s="28">
        <f ca="1"/>
        <v>19</v>
      </c>
      <c r="F158" s="28">
        <f ca="1"/>
        <v>19</v>
      </c>
    </row>
    <row r="159" spans="3:10" x14ac:dyDescent="0.3">
      <c r="D159" s="29">
        <f ca="1"/>
        <v>21</v>
      </c>
      <c r="E159" s="28">
        <f ca="1"/>
        <v>20</v>
      </c>
      <c r="F159" s="28">
        <f ca="1"/>
        <v>20</v>
      </c>
    </row>
    <row r="160" spans="3:10" x14ac:dyDescent="0.3">
      <c r="D160" s="29">
        <f ca="1"/>
        <v>15</v>
      </c>
      <c r="E160" s="28">
        <f ca="1"/>
        <v>21</v>
      </c>
      <c r="F160" s="28">
        <f ca="1"/>
        <v>21</v>
      </c>
    </row>
    <row r="161" spans="4:6" x14ac:dyDescent="0.3">
      <c r="D161" s="29">
        <f ca="1"/>
        <v>11</v>
      </c>
      <c r="E161" s="28">
        <f ca="1"/>
        <v>25</v>
      </c>
      <c r="F161" s="28">
        <f ca="1"/>
        <v>25</v>
      </c>
    </row>
    <row r="162" spans="4:6" x14ac:dyDescent="0.3">
      <c r="D162" s="29">
        <f ca="1"/>
        <v>92</v>
      </c>
      <c r="E162" s="28">
        <f ca="1"/>
        <v>26</v>
      </c>
      <c r="F162" s="28">
        <f ca="1"/>
        <v>26</v>
      </c>
    </row>
    <row r="163" spans="4:6" x14ac:dyDescent="0.3">
      <c r="D163" s="29">
        <f ca="1"/>
        <v>53</v>
      </c>
      <c r="E163" s="28">
        <f ca="1"/>
        <v>28</v>
      </c>
      <c r="F163" s="28">
        <f ca="1"/>
        <v>28</v>
      </c>
    </row>
    <row r="164" spans="4:6" x14ac:dyDescent="0.3">
      <c r="D164" s="29">
        <f ca="1"/>
        <v>16</v>
      </c>
      <c r="E164" s="28">
        <f ca="1"/>
        <v>31</v>
      </c>
      <c r="F164" s="28">
        <f ca="1"/>
        <v>31</v>
      </c>
    </row>
    <row r="165" spans="4:6" x14ac:dyDescent="0.3">
      <c r="D165" s="29">
        <f ca="1"/>
        <v>61</v>
      </c>
      <c r="E165" s="28">
        <f ca="1"/>
        <v>41</v>
      </c>
      <c r="F165" s="28">
        <f ca="1"/>
        <v>41</v>
      </c>
    </row>
    <row r="166" spans="4:6" x14ac:dyDescent="0.3">
      <c r="D166" s="29">
        <f ca="1"/>
        <v>84</v>
      </c>
      <c r="E166" s="28">
        <f ca="1"/>
        <v>53</v>
      </c>
      <c r="F166" s="28">
        <f ca="1"/>
        <v>53</v>
      </c>
    </row>
    <row r="167" spans="4:6" x14ac:dyDescent="0.3">
      <c r="D167" s="29">
        <f ca="1"/>
        <v>26</v>
      </c>
      <c r="E167" s="28">
        <f ca="1"/>
        <v>57</v>
      </c>
      <c r="F167" s="28">
        <f ca="1"/>
        <v>57</v>
      </c>
    </row>
    <row r="168" spans="4:6" x14ac:dyDescent="0.3">
      <c r="D168" s="29">
        <f ca="1"/>
        <v>86</v>
      </c>
      <c r="E168" s="28">
        <f ca="1"/>
        <v>60</v>
      </c>
      <c r="F168" s="28">
        <f ca="1"/>
        <v>60</v>
      </c>
    </row>
    <row r="169" spans="4:6" x14ac:dyDescent="0.3">
      <c r="D169" s="29">
        <f ca="1"/>
        <v>-5</v>
      </c>
      <c r="E169" s="28">
        <f ca="1"/>
        <v>61</v>
      </c>
      <c r="F169" s="28">
        <f ca="1"/>
        <v>61</v>
      </c>
    </row>
    <row r="170" spans="4:6" x14ac:dyDescent="0.3">
      <c r="D170" s="29">
        <f ca="1"/>
        <v>60</v>
      </c>
      <c r="E170" s="28">
        <f ca="1"/>
        <v>63</v>
      </c>
      <c r="F170" s="28">
        <f ca="1"/>
        <v>63</v>
      </c>
    </row>
    <row r="171" spans="4:6" x14ac:dyDescent="0.3">
      <c r="D171" s="29">
        <f ca="1"/>
        <v>19</v>
      </c>
      <c r="E171" s="28">
        <f ca="1"/>
        <v>84</v>
      </c>
      <c r="F171" s="28">
        <f ca="1"/>
        <v>84</v>
      </c>
    </row>
    <row r="172" spans="4:6" x14ac:dyDescent="0.3">
      <c r="D172" s="29">
        <f ca="1"/>
        <v>1</v>
      </c>
      <c r="E172" s="28">
        <f ca="1"/>
        <v>85</v>
      </c>
      <c r="F172" s="28">
        <f ca="1"/>
        <v>85</v>
      </c>
    </row>
    <row r="173" spans="4:6" x14ac:dyDescent="0.3">
      <c r="D173" s="29">
        <f ca="1"/>
        <v>8</v>
      </c>
      <c r="E173" s="28">
        <f ca="1"/>
        <v>86</v>
      </c>
      <c r="F173" s="28">
        <f ca="1"/>
        <v>86</v>
      </c>
    </row>
    <row r="174" spans="4:6" x14ac:dyDescent="0.3">
      <c r="D174" s="29">
        <f ca="1"/>
        <v>-10</v>
      </c>
      <c r="E174" s="28">
        <f ca="1"/>
        <v>88</v>
      </c>
      <c r="F174" s="28">
        <f ca="1"/>
        <v>88</v>
      </c>
    </row>
    <row r="175" spans="4:6" x14ac:dyDescent="0.3">
      <c r="D175" s="29">
        <f ca="1"/>
        <v>63</v>
      </c>
      <c r="E175" s="28">
        <f ca="1"/>
        <v>92</v>
      </c>
      <c r="F175" s="28">
        <f ca="1"/>
        <v>92</v>
      </c>
    </row>
    <row r="176" spans="4:6" x14ac:dyDescent="0.3">
      <c r="D176" s="29">
        <f ca="1"/>
        <v>18</v>
      </c>
      <c r="E176" s="28">
        <f ca="1"/>
        <v>98</v>
      </c>
      <c r="F176" s="28">
        <f ca="1"/>
        <v>98</v>
      </c>
    </row>
    <row r="179" spans="2:20" x14ac:dyDescent="0.3">
      <c r="B179" s="5" t="s">
        <v>31</v>
      </c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</row>
    <row r="181" spans="2:20" x14ac:dyDescent="0.3">
      <c r="B181" s="18" t="str" cm="1">
        <f t="array" ref="B181" xml:space="preserve"> "(" &amp; _xlfn.UNICHAR( 65 + SUMPRODUCT(--(_xlfn.REGEXTEST(B$1:B180, "^\([A-Z]\)$")))) &amp; ")"</f>
        <v>(G)</v>
      </c>
      <c r="C181" s="7" t="s">
        <v>32</v>
      </c>
    </row>
    <row r="183" spans="2:20" x14ac:dyDescent="0.3">
      <c r="C183" s="26" t="s">
        <v>43</v>
      </c>
      <c r="D183" s="27">
        <v>1</v>
      </c>
      <c r="F183" s="26" t="s">
        <v>56</v>
      </c>
      <c r="G183" s="31" t="str" cm="1">
        <f t="array" ref="G183" xml:space="preserve"> _xlfn.LAMBDA(_xlop.rows,_xlop.columns,_xlop.min,_xlop.max,
  _xlfn.LET(
    _xlpm._rows, IF( _xlfn.ISOMITTED(_xlpm.rows), 1, INT(_xlpm.rows)),
    _xlpm._cols, IF( _xlfn.ISOMITTED(_xlpm.columns), 1, INT(_xlpm.columns)),
    _xlpm._min, IF( _xlfn.ISOMITTED(_xlpm.min), 0, INT(_xlpm.min)),
    _xlpm._max, IF( _xlfn.ISOMITTED(_xlpm.max), 100, INT(_xlpm.max)),
    _xlpm._cnt, _xlpm._rows * _xlpm._cols,
    _xlpm._dif, _xlpm._max - _xlpm._min + 1,
    _xlpm._inpChk, IF(
      _xlpm._cnt &gt; _xlpm._dif,
      2, IF(
      OR(
        ISERROR(_xlpm._rows), _xlpm._rows &lt; 1,
        ISERROR(_xlpm._cols), _xlpm._cols &lt; 1,
        ISERROR(_xlpm._min), ISERROR(_xlpm._max)
      ), 3,
      1
    )),
    CHOOSE(_xlpm._inpChk, "OK", _xlfn.LAMBDA(0), #VALUE!)
  )
)(D183, D184, D185, D186)</f>
        <v>OK</v>
      </c>
      <c r="H183" s="19" t="e" cm="1">
        <f t="array" aca="1" ref="H183" ca="1" xml:space="preserve"> _xlfn.TEXTSPLIT( _xlfn.FORMULATEXT(G183), , CHAR(10))</f>
        <v>#NUM!</v>
      </c>
    </row>
    <row r="184" spans="2:20" x14ac:dyDescent="0.3">
      <c r="C184" s="26" t="s">
        <v>44</v>
      </c>
      <c r="D184" s="27">
        <v>1</v>
      </c>
      <c r="H184" s="19"/>
    </row>
    <row r="185" spans="2:20" x14ac:dyDescent="0.3">
      <c r="C185" s="26" t="s">
        <v>53</v>
      </c>
      <c r="D185" s="27">
        <v>0</v>
      </c>
      <c r="H185" s="19"/>
    </row>
    <row r="186" spans="2:20" x14ac:dyDescent="0.3">
      <c r="C186" s="26" t="s">
        <v>52</v>
      </c>
      <c r="D186" s="27">
        <v>10</v>
      </c>
      <c r="H186" s="19"/>
    </row>
    <row r="187" spans="2:20" x14ac:dyDescent="0.3">
      <c r="H187" s="19"/>
    </row>
    <row r="188" spans="2:20" x14ac:dyDescent="0.3">
      <c r="H188" s="19"/>
    </row>
    <row r="189" spans="2:20" x14ac:dyDescent="0.3">
      <c r="H189" s="19"/>
    </row>
    <row r="190" spans="2:20" x14ac:dyDescent="0.3">
      <c r="H190" s="19"/>
    </row>
    <row r="191" spans="2:20" x14ac:dyDescent="0.3">
      <c r="H191" s="19"/>
    </row>
    <row r="192" spans="2:20" x14ac:dyDescent="0.3">
      <c r="H192" s="19"/>
    </row>
    <row r="193" spans="2:10" x14ac:dyDescent="0.3">
      <c r="H193" s="19"/>
    </row>
    <row r="194" spans="2:10" x14ac:dyDescent="0.3">
      <c r="H194" s="19"/>
    </row>
    <row r="195" spans="2:10" x14ac:dyDescent="0.3">
      <c r="H195" s="19"/>
    </row>
    <row r="196" spans="2:10" x14ac:dyDescent="0.3">
      <c r="H196" s="19"/>
    </row>
    <row r="197" spans="2:10" x14ac:dyDescent="0.3">
      <c r="H197" s="19"/>
    </row>
    <row r="198" spans="2:10" x14ac:dyDescent="0.3">
      <c r="H198" s="19"/>
    </row>
    <row r="199" spans="2:10" x14ac:dyDescent="0.3">
      <c r="H199" s="19"/>
    </row>
    <row r="200" spans="2:10" x14ac:dyDescent="0.3">
      <c r="H200" s="19"/>
    </row>
    <row r="201" spans="2:10" x14ac:dyDescent="0.3">
      <c r="H201" s="19"/>
    </row>
    <row r="202" spans="2:10" x14ac:dyDescent="0.3">
      <c r="H202" s="19"/>
    </row>
    <row r="203" spans="2:10" x14ac:dyDescent="0.3">
      <c r="H203" s="19"/>
    </row>
    <row r="205" spans="2:10" x14ac:dyDescent="0.3">
      <c r="B205" s="18" t="str" cm="1">
        <f t="array" ref="B205" xml:space="preserve"> "(" &amp; _xlfn.UNICHAR( 65 + SUMPRODUCT(--(_xlfn.REGEXTEST(B$1:B204, "^\([A-Z]\)$")))) &amp; ")"</f>
        <v>(H)</v>
      </c>
      <c r="C205" s="7" t="s">
        <v>65</v>
      </c>
    </row>
    <row r="207" spans="2:10" x14ac:dyDescent="0.3">
      <c r="C207" s="26" t="s">
        <v>43</v>
      </c>
      <c r="D207" s="27">
        <v>10</v>
      </c>
      <c r="F207" s="26" t="s">
        <v>56</v>
      </c>
      <c r="G207" s="32" cm="1">
        <f t="array" aca="1" ref="G207:I216" ca="1" xml:space="preserve"> _xlfn.LAMBDA(_xlop.rows,_xlop.columns,_xlop.min,_xlop.max,
  _xlfn.LET(
    _xlpm._rows, IF( _xlfn.ISOMITTED(_xlpm.rows), 1, INT(_xlpm.rows)),
    _xlpm._cols, IF( _xlfn.ISOMITTED(_xlpm.columns), 1, INT(_xlpm.columns)),
    _xlpm._min, IF( _xlfn.ISOMITTED(_xlpm.min), 0, INT(_xlpm.min)),
    _xlpm._max, IF( _xlfn.ISOMITTED(_xlpm.max), 100, INT(_xlpm.max)),
    _xlpm._cnt, _xlpm._rows * _xlpm._cols,
    _xlpm._dif, _xlpm._max - _xlpm._min + 1,
    _xlpm._inpChk, IF(
      _xlpm._cnt &gt; _xlpm._dif,
      2, IF(
      OR(
        ISERROR(_xlpm._rows), _xlpm._rows &lt; 1,
        ISERROR(_xlpm._cols), _xlpm._cols &lt; 1,
        ISERROR(_xlpm._min), ISERROR(_xlpm._max)
      ), 3,
      1
    )),
    _xlpm._idx, _xlfn.SEQUENCE(_xlpm._rows * _xlpm._cols, 1, 0, 0),
    _xlpm._arr, _xlfn.SEQUENCE(_xlpm._dif, 1, _xlpm._min, 1),
    _xlpm._rnd, _xlfn.DROP(
      _xlfn.REDUCE(0, _xlpm._idx, _xlfn.LAMBDA(_xlpm._acc,_xlpm._val, _xlfn.LET(
        _xlpm._fltr, _xlfn._xlws.FILTER(_xlpm._arr, ISNA(_xlfn.XMATCH(_xlpm._arr, _xlpm._acc))),
        _xlpm._rr, ROWS(_xlpm._fltr),
        _xlfn.VSTACK(_xlpm._acc, INDEX(_xlpm._fltr, RANDBETWEEN(1, _xlpm._rr)))
      ))),
    1),
    _xlpm._rtn, _xlfn.MAKEARRAY(_xlpm._rows, _xlpm._cols, _xlfn.LAMBDA(_xlpm._r,_xlpm._c, INDEX(_xlpm._rnd, (_xlpm._r - 1) * _xlpm._cols + _xlpm._c))),
    CHOOSE(_xlpm._inpChk, _xlpm._rtn, _xlfn.LAMBDA(0), #VALUE!)
  )
)(D207, D208, D209, D210)</f>
        <v>37</v>
      </c>
      <c r="H207" s="28">
        <f ca="1"/>
        <v>93</v>
      </c>
      <c r="I207" s="28">
        <f ca="1"/>
        <v>-8</v>
      </c>
      <c r="J207" s="19" t="e" cm="1">
        <f t="array" aca="1" ref="J207" ca="1" xml:space="preserve"> _xlfn.TEXTSPLIT( _xlfn.FORMULATEXT(G207), , CHAR(10))</f>
        <v>#NUM!</v>
      </c>
    </row>
    <row r="208" spans="2:10" x14ac:dyDescent="0.3">
      <c r="C208" s="26" t="s">
        <v>44</v>
      </c>
      <c r="D208" s="27">
        <v>3</v>
      </c>
      <c r="G208" s="28">
        <f ca="1"/>
        <v>80</v>
      </c>
      <c r="H208" s="28">
        <f ca="1"/>
        <v>56</v>
      </c>
      <c r="I208" s="28">
        <f ca="1"/>
        <v>72</v>
      </c>
      <c r="J208" s="19"/>
    </row>
    <row r="209" spans="3:10" x14ac:dyDescent="0.3">
      <c r="C209" s="26" t="s">
        <v>53</v>
      </c>
      <c r="D209" s="27">
        <v>-10</v>
      </c>
      <c r="G209" s="28">
        <f ca="1"/>
        <v>57</v>
      </c>
      <c r="H209" s="28">
        <f ca="1"/>
        <v>-4</v>
      </c>
      <c r="I209" s="28">
        <f ca="1"/>
        <v>5</v>
      </c>
      <c r="J209" s="19"/>
    </row>
    <row r="210" spans="3:10" x14ac:dyDescent="0.3">
      <c r="C210" s="26" t="s">
        <v>52</v>
      </c>
      <c r="D210" s="27">
        <v>100</v>
      </c>
      <c r="G210" s="28">
        <f ca="1"/>
        <v>74</v>
      </c>
      <c r="H210" s="28">
        <f ca="1"/>
        <v>14</v>
      </c>
      <c r="I210" s="28">
        <f ca="1"/>
        <v>6</v>
      </c>
      <c r="J210" s="19"/>
    </row>
    <row r="211" spans="3:10" x14ac:dyDescent="0.3">
      <c r="G211" s="28">
        <f ca="1"/>
        <v>84</v>
      </c>
      <c r="H211" s="28">
        <f ca="1"/>
        <v>-1</v>
      </c>
      <c r="I211" s="28">
        <f ca="1"/>
        <v>12</v>
      </c>
      <c r="J211" s="19"/>
    </row>
    <row r="212" spans="3:10" x14ac:dyDescent="0.3">
      <c r="G212" s="28">
        <f ca="1"/>
        <v>99</v>
      </c>
      <c r="H212" s="28">
        <f ca="1"/>
        <v>98</v>
      </c>
      <c r="I212" s="28">
        <f ca="1"/>
        <v>55</v>
      </c>
      <c r="J212" s="19"/>
    </row>
    <row r="213" spans="3:10" x14ac:dyDescent="0.3">
      <c r="G213" s="28">
        <f ca="1"/>
        <v>49</v>
      </c>
      <c r="H213" s="28">
        <f ca="1"/>
        <v>59</v>
      </c>
      <c r="I213" s="28">
        <f ca="1"/>
        <v>16</v>
      </c>
      <c r="J213" s="19"/>
    </row>
    <row r="214" spans="3:10" x14ac:dyDescent="0.3">
      <c r="G214" s="28">
        <f ca="1"/>
        <v>96</v>
      </c>
      <c r="H214" s="28">
        <f ca="1"/>
        <v>21</v>
      </c>
      <c r="I214" s="28">
        <f ca="1"/>
        <v>85</v>
      </c>
      <c r="J214" s="19"/>
    </row>
    <row r="215" spans="3:10" x14ac:dyDescent="0.3">
      <c r="G215" s="28">
        <f ca="1"/>
        <v>47</v>
      </c>
      <c r="H215" s="28">
        <f ca="1"/>
        <v>28</v>
      </c>
      <c r="I215" s="28">
        <f ca="1"/>
        <v>-7</v>
      </c>
      <c r="J215" s="19"/>
    </row>
    <row r="216" spans="3:10" x14ac:dyDescent="0.3">
      <c r="G216" s="28">
        <f ca="1"/>
        <v>87</v>
      </c>
      <c r="H216" s="28">
        <f ca="1"/>
        <v>23</v>
      </c>
      <c r="I216" s="28">
        <f ca="1"/>
        <v>30</v>
      </c>
      <c r="J216" s="19"/>
    </row>
    <row r="217" spans="3:10" x14ac:dyDescent="0.3">
      <c r="J217" s="19"/>
    </row>
    <row r="218" spans="3:10" x14ac:dyDescent="0.3">
      <c r="J218" s="19"/>
    </row>
    <row r="219" spans="3:10" x14ac:dyDescent="0.3">
      <c r="J219" s="19"/>
    </row>
    <row r="220" spans="3:10" x14ac:dyDescent="0.3">
      <c r="J220" s="19"/>
    </row>
    <row r="221" spans="3:10" x14ac:dyDescent="0.3">
      <c r="J221" s="19"/>
    </row>
    <row r="222" spans="3:10" x14ac:dyDescent="0.3">
      <c r="J222" s="19"/>
    </row>
    <row r="223" spans="3:10" x14ac:dyDescent="0.3">
      <c r="J223" s="19"/>
    </row>
    <row r="224" spans="3:10" x14ac:dyDescent="0.3">
      <c r="J224" s="19"/>
    </row>
    <row r="225" spans="2:10" x14ac:dyDescent="0.3">
      <c r="J225" s="19"/>
    </row>
    <row r="226" spans="2:10" x14ac:dyDescent="0.3">
      <c r="J226" s="19"/>
    </row>
    <row r="227" spans="2:10" x14ac:dyDescent="0.3">
      <c r="J227" s="19"/>
    </row>
    <row r="228" spans="2:10" x14ac:dyDescent="0.3">
      <c r="J228" s="19"/>
    </row>
    <row r="229" spans="2:10" x14ac:dyDescent="0.3">
      <c r="J229" s="19"/>
    </row>
    <row r="230" spans="2:10" x14ac:dyDescent="0.3">
      <c r="J230" s="19"/>
    </row>
    <row r="231" spans="2:10" x14ac:dyDescent="0.3">
      <c r="J231" s="19"/>
    </row>
    <row r="232" spans="2:10" x14ac:dyDescent="0.3">
      <c r="J232" s="19"/>
    </row>
    <row r="233" spans="2:10" x14ac:dyDescent="0.3">
      <c r="J233" s="19"/>
    </row>
    <row r="234" spans="2:10" x14ac:dyDescent="0.3">
      <c r="J234" s="19"/>
    </row>
    <row r="235" spans="2:10" x14ac:dyDescent="0.3">
      <c r="J235" s="19"/>
    </row>
    <row r="236" spans="2:10" x14ac:dyDescent="0.3">
      <c r="J236" s="19"/>
    </row>
    <row r="237" spans="2:10" x14ac:dyDescent="0.3">
      <c r="J237" s="19"/>
    </row>
    <row r="240" spans="2:10" s="3" customFormat="1" ht="16.2" thickBot="1" x14ac:dyDescent="0.35">
      <c r="B240" s="9">
        <f xml:space="preserve"> MAX(B$1:B239) + 1</f>
        <v>2</v>
      </c>
      <c r="C240" s="3" t="s">
        <v>302</v>
      </c>
    </row>
    <row r="242" spans="2:6" x14ac:dyDescent="0.3">
      <c r="B242" s="7" t="s">
        <v>33</v>
      </c>
    </row>
    <row r="243" spans="2:6" x14ac:dyDescent="0.3">
      <c r="C243" t="s">
        <v>125</v>
      </c>
    </row>
    <row r="244" spans="2:6" x14ac:dyDescent="0.3">
      <c r="C244" t="s">
        <v>109</v>
      </c>
    </row>
    <row r="245" spans="2:6" x14ac:dyDescent="0.3">
      <c r="C245" s="10" t="s">
        <v>5</v>
      </c>
      <c r="D245" s="42" t="s">
        <v>126</v>
      </c>
    </row>
    <row r="247" spans="2:6" x14ac:dyDescent="0.3">
      <c r="B247" s="7" t="s">
        <v>34</v>
      </c>
    </row>
    <row r="248" spans="2:6" x14ac:dyDescent="0.3">
      <c r="C248" s="20" t="s">
        <v>46</v>
      </c>
      <c r="E248" s="23" t="s">
        <v>35</v>
      </c>
      <c r="F248" t="s">
        <v>110</v>
      </c>
    </row>
    <row r="249" spans="2:6" x14ac:dyDescent="0.3">
      <c r="F249" t="s">
        <v>120</v>
      </c>
    </row>
    <row r="250" spans="2:6" x14ac:dyDescent="0.3">
      <c r="C250" s="20" t="s">
        <v>47</v>
      </c>
      <c r="E250" s="23" t="s">
        <v>35</v>
      </c>
      <c r="F250" t="s">
        <v>111</v>
      </c>
    </row>
    <row r="251" spans="2:6" x14ac:dyDescent="0.3">
      <c r="F251" t="s">
        <v>121</v>
      </c>
    </row>
    <row r="252" spans="2:6" x14ac:dyDescent="0.3">
      <c r="C252" s="20" t="s">
        <v>48</v>
      </c>
      <c r="E252" s="23" t="s">
        <v>35</v>
      </c>
      <c r="F252" t="s">
        <v>118</v>
      </c>
    </row>
    <row r="253" spans="2:6" x14ac:dyDescent="0.3">
      <c r="F253" t="s">
        <v>122</v>
      </c>
    </row>
    <row r="254" spans="2:6" x14ac:dyDescent="0.3">
      <c r="C254" s="20" t="s">
        <v>49</v>
      </c>
      <c r="E254" s="23" t="s">
        <v>35</v>
      </c>
      <c r="F254" t="s">
        <v>117</v>
      </c>
    </row>
    <row r="255" spans="2:6" x14ac:dyDescent="0.3">
      <c r="F255" t="s">
        <v>119</v>
      </c>
    </row>
    <row r="257" spans="2:5" x14ac:dyDescent="0.3">
      <c r="B257" s="7" t="s">
        <v>36</v>
      </c>
    </row>
    <row r="258" spans="2:5" x14ac:dyDescent="0.3">
      <c r="C258" s="21" t="e" vm="1">
        <v>#VALUE!</v>
      </c>
      <c r="E258" t="s">
        <v>115</v>
      </c>
    </row>
    <row r="259" spans="2:5" x14ac:dyDescent="0.3">
      <c r="E259" t="s">
        <v>116</v>
      </c>
    </row>
    <row r="260" spans="2:5" x14ac:dyDescent="0.3">
      <c r="C260" s="21" t="e" vm="1">
        <v>#VALUE!</v>
      </c>
      <c r="E260" t="s">
        <v>131</v>
      </c>
    </row>
    <row r="261" spans="2:5" x14ac:dyDescent="0.3">
      <c r="C261" s="21" t="e">
        <v>#VALUE!</v>
      </c>
      <c r="E261" t="s">
        <v>112</v>
      </c>
    </row>
    <row r="262" spans="2:5" x14ac:dyDescent="0.3">
      <c r="E262" t="s">
        <v>113</v>
      </c>
    </row>
    <row r="263" spans="2:5" x14ac:dyDescent="0.3">
      <c r="E263" t="s">
        <v>114</v>
      </c>
    </row>
    <row r="265" spans="2:5" x14ac:dyDescent="0.3">
      <c r="B265" s="7" t="s">
        <v>37</v>
      </c>
    </row>
    <row r="266" spans="2:5" x14ac:dyDescent="0.3">
      <c r="C266" t="s">
        <v>304</v>
      </c>
    </row>
    <row r="267" spans="2:5" x14ac:dyDescent="0.3">
      <c r="C267" t="s">
        <v>123</v>
      </c>
    </row>
    <row r="268" spans="2:5" x14ac:dyDescent="0.3">
      <c r="C268" s="41" t="s">
        <v>124</v>
      </c>
    </row>
    <row r="270" spans="2:5" x14ac:dyDescent="0.3">
      <c r="B270" s="7" t="s">
        <v>38</v>
      </c>
    </row>
    <row r="271" spans="2:5" x14ac:dyDescent="0.3">
      <c r="C271" s="34" t="s">
        <v>92</v>
      </c>
    </row>
    <row r="272" spans="2:5" x14ac:dyDescent="0.3">
      <c r="C272" s="39" t="s">
        <v>97</v>
      </c>
    </row>
    <row r="273" spans="3:3" x14ac:dyDescent="0.3">
      <c r="C273" s="35" t="s">
        <v>93</v>
      </c>
    </row>
    <row r="274" spans="3:3" x14ac:dyDescent="0.3">
      <c r="C274" s="35" t="s">
        <v>94</v>
      </c>
    </row>
    <row r="275" spans="3:3" x14ac:dyDescent="0.3">
      <c r="C275" s="35" t="s">
        <v>95</v>
      </c>
    </row>
    <row r="276" spans="3:3" x14ac:dyDescent="0.3">
      <c r="C276" s="35" t="s">
        <v>96</v>
      </c>
    </row>
    <row r="277" spans="3:3" x14ac:dyDescent="0.3">
      <c r="C277" s="39" t="s">
        <v>98</v>
      </c>
    </row>
    <row r="278" spans="3:3" x14ac:dyDescent="0.3">
      <c r="C278" s="35" t="s">
        <v>67</v>
      </c>
    </row>
    <row r="279" spans="3:3" x14ac:dyDescent="0.3">
      <c r="C279" s="40" t="s">
        <v>99</v>
      </c>
    </row>
    <row r="280" spans="3:3" x14ac:dyDescent="0.3">
      <c r="C280" s="36" t="s">
        <v>68</v>
      </c>
    </row>
    <row r="281" spans="3:3" x14ac:dyDescent="0.3">
      <c r="C281" s="36" t="s">
        <v>69</v>
      </c>
    </row>
    <row r="282" spans="3:3" x14ac:dyDescent="0.3">
      <c r="C282" s="36" t="s">
        <v>70</v>
      </c>
    </row>
    <row r="283" spans="3:3" x14ac:dyDescent="0.3">
      <c r="C283" s="36" t="s">
        <v>71</v>
      </c>
    </row>
    <row r="284" spans="3:3" x14ac:dyDescent="0.3">
      <c r="C284" s="40" t="s">
        <v>102</v>
      </c>
    </row>
    <row r="285" spans="3:3" x14ac:dyDescent="0.3">
      <c r="C285" s="36" t="s">
        <v>72</v>
      </c>
    </row>
    <row r="286" spans="3:3" x14ac:dyDescent="0.3">
      <c r="C286" s="36" t="s">
        <v>73</v>
      </c>
    </row>
    <row r="287" spans="3:3" x14ac:dyDescent="0.3">
      <c r="C287" s="40" t="s">
        <v>104</v>
      </c>
    </row>
    <row r="288" spans="3:3" x14ac:dyDescent="0.3">
      <c r="C288" s="40" t="s">
        <v>103</v>
      </c>
    </row>
    <row r="289" spans="3:3" x14ac:dyDescent="0.3">
      <c r="C289" s="36" t="s">
        <v>74</v>
      </c>
    </row>
    <row r="290" spans="3:3" x14ac:dyDescent="0.3">
      <c r="C290" s="37" t="s">
        <v>75</v>
      </c>
    </row>
    <row r="291" spans="3:3" x14ac:dyDescent="0.3">
      <c r="C291" s="37" t="s">
        <v>76</v>
      </c>
    </row>
    <row r="292" spans="3:3" x14ac:dyDescent="0.3">
      <c r="C292" s="37" t="s">
        <v>77</v>
      </c>
    </row>
    <row r="293" spans="3:3" x14ac:dyDescent="0.3">
      <c r="C293" s="38" t="s">
        <v>78</v>
      </c>
    </row>
    <row r="294" spans="3:3" x14ac:dyDescent="0.3">
      <c r="C294" s="38" t="s">
        <v>79</v>
      </c>
    </row>
    <row r="295" spans="3:3" x14ac:dyDescent="0.3">
      <c r="C295" s="38" t="s">
        <v>303</v>
      </c>
    </row>
    <row r="296" spans="3:3" x14ac:dyDescent="0.3">
      <c r="C296" s="37" t="s">
        <v>80</v>
      </c>
    </row>
    <row r="297" spans="3:3" x14ac:dyDescent="0.3">
      <c r="C297" s="37" t="s">
        <v>81</v>
      </c>
    </row>
    <row r="298" spans="3:3" x14ac:dyDescent="0.3">
      <c r="C298" s="36" t="s">
        <v>82</v>
      </c>
    </row>
    <row r="299" spans="3:3" x14ac:dyDescent="0.3">
      <c r="C299" s="40" t="s">
        <v>267</v>
      </c>
    </row>
    <row r="300" spans="3:3" x14ac:dyDescent="0.3">
      <c r="C300" s="40" t="s">
        <v>107</v>
      </c>
    </row>
    <row r="301" spans="3:3" x14ac:dyDescent="0.3">
      <c r="C301" s="40" t="s">
        <v>108</v>
      </c>
    </row>
    <row r="302" spans="3:3" x14ac:dyDescent="0.3">
      <c r="C302" s="36" t="s">
        <v>105</v>
      </c>
    </row>
    <row r="303" spans="3:3" x14ac:dyDescent="0.3">
      <c r="C303" s="36" t="s">
        <v>106</v>
      </c>
    </row>
    <row r="304" spans="3:3" x14ac:dyDescent="0.3">
      <c r="C304" s="40" t="s">
        <v>269</v>
      </c>
    </row>
    <row r="305" spans="3:3" x14ac:dyDescent="0.3">
      <c r="C305" s="40" t="s">
        <v>127</v>
      </c>
    </row>
    <row r="306" spans="3:3" x14ac:dyDescent="0.3">
      <c r="C306" s="36" t="s">
        <v>83</v>
      </c>
    </row>
    <row r="307" spans="3:3" x14ac:dyDescent="0.3">
      <c r="C307" s="37" t="s">
        <v>84</v>
      </c>
    </row>
    <row r="308" spans="3:3" x14ac:dyDescent="0.3">
      <c r="C308" s="38" t="s">
        <v>85</v>
      </c>
    </row>
    <row r="309" spans="3:3" x14ac:dyDescent="0.3">
      <c r="C309" s="38" t="s">
        <v>86</v>
      </c>
    </row>
    <row r="310" spans="3:3" x14ac:dyDescent="0.3">
      <c r="C310" s="38" t="s">
        <v>87</v>
      </c>
    </row>
    <row r="311" spans="3:3" x14ac:dyDescent="0.3">
      <c r="C311" s="37" t="s">
        <v>88</v>
      </c>
    </row>
    <row r="312" spans="3:3" x14ac:dyDescent="0.3">
      <c r="C312" s="36" t="s">
        <v>89</v>
      </c>
    </row>
    <row r="313" spans="3:3" x14ac:dyDescent="0.3">
      <c r="C313" s="40" t="s">
        <v>128</v>
      </c>
    </row>
    <row r="314" spans="3:3" x14ac:dyDescent="0.3">
      <c r="C314" s="40" t="s">
        <v>129</v>
      </c>
    </row>
    <row r="315" spans="3:3" x14ac:dyDescent="0.3">
      <c r="C315" s="36" t="s">
        <v>130</v>
      </c>
    </row>
    <row r="316" spans="3:3" x14ac:dyDescent="0.3">
      <c r="C316" s="40" t="s">
        <v>100</v>
      </c>
    </row>
    <row r="317" spans="3:3" x14ac:dyDescent="0.3">
      <c r="C317" s="40" t="s">
        <v>101</v>
      </c>
    </row>
    <row r="318" spans="3:3" x14ac:dyDescent="0.3">
      <c r="C318" s="36" t="s">
        <v>90</v>
      </c>
    </row>
    <row r="319" spans="3:3" x14ac:dyDescent="0.3">
      <c r="C319" s="35" t="s">
        <v>91</v>
      </c>
    </row>
    <row r="320" spans="3:3" x14ac:dyDescent="0.3">
      <c r="C320" s="22" t="s">
        <v>91</v>
      </c>
    </row>
    <row r="322" spans="2:20" x14ac:dyDescent="0.3">
      <c r="C322" s="7" t="s">
        <v>39</v>
      </c>
    </row>
    <row r="323" spans="2:20" x14ac:dyDescent="0.3">
      <c r="C323" s="34" t="s">
        <v>132</v>
      </c>
    </row>
    <row r="326" spans="2:20" s="3" customFormat="1" ht="16.2" thickBot="1" x14ac:dyDescent="0.35">
      <c r="B326" s="9">
        <f xml:space="preserve"> MAX(B$1:B325) + 1</f>
        <v>3</v>
      </c>
      <c r="C326" s="3" t="s">
        <v>150</v>
      </c>
    </row>
    <row r="328" spans="2:20" x14ac:dyDescent="0.3">
      <c r="B328" s="5" t="s">
        <v>166</v>
      </c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</row>
    <row r="330" spans="2:20" x14ac:dyDescent="0.3">
      <c r="B330" s="18" t="str" cm="1">
        <f t="array" ref="B330" xml:space="preserve"> "(" &amp; _xlfn.UNICHAR( 65 + SUMPRODUCT(--(_xlfn.REGEXTEST(B$1:B329, "^\([A-Z]\)$")))) &amp; ")"</f>
        <v>(I)</v>
      </c>
      <c r="C330" s="7" t="s">
        <v>167</v>
      </c>
    </row>
    <row r="332" spans="2:20" x14ac:dyDescent="0.3">
      <c r="C332" s="27">
        <v>1</v>
      </c>
      <c r="D332" s="26" t="s">
        <v>53</v>
      </c>
      <c r="E332" s="27">
        <v>1</v>
      </c>
      <c r="G332" s="28" cm="1">
        <f t="array" aca="1" ref="G332" ca="1" xml:space="preserve"> _xlfn.LAMBDA(_xlpm.array,_xlpm.min,_xlpm.max,
  _xlfn.LET(
    _xlpm._val, RANDBETWEEN(_xlpm.min, _xlpm.max),
    IF( ISNA(_xlfn.XMATCH(_xlpm._val, _xlpm.array)),
      _xlpm._val,
      NA()
    )
  )
)(C332:C334, E332, E333)</f>
        <v>8</v>
      </c>
    </row>
    <row r="333" spans="2:20" x14ac:dyDescent="0.3">
      <c r="C333" s="27">
        <v>2</v>
      </c>
      <c r="D333" s="26" t="s">
        <v>52</v>
      </c>
      <c r="E333" s="27">
        <v>10</v>
      </c>
      <c r="G333" s="19" t="e" cm="1">
        <f t="array" aca="1" ref="G333" ca="1" xml:space="preserve"> _xlfn.TEXTSPLIT( _xlfn.FORMULATEXT(G332), , CHAR(10))</f>
        <v>#NUM!</v>
      </c>
    </row>
    <row r="334" spans="2:20" x14ac:dyDescent="0.3">
      <c r="C334" s="27">
        <v>3</v>
      </c>
      <c r="G334" s="19"/>
    </row>
    <row r="335" spans="2:20" x14ac:dyDescent="0.3">
      <c r="G335" s="19"/>
    </row>
    <row r="336" spans="2:20" x14ac:dyDescent="0.3">
      <c r="G336" s="19"/>
    </row>
    <row r="337" spans="2:8" x14ac:dyDescent="0.3">
      <c r="G337" s="19"/>
    </row>
    <row r="338" spans="2:8" x14ac:dyDescent="0.3">
      <c r="G338" s="19"/>
    </row>
    <row r="339" spans="2:8" x14ac:dyDescent="0.3">
      <c r="G339" s="19"/>
    </row>
    <row r="340" spans="2:8" x14ac:dyDescent="0.3">
      <c r="G340" s="19"/>
    </row>
    <row r="341" spans="2:8" x14ac:dyDescent="0.3">
      <c r="G341" s="19"/>
    </row>
    <row r="344" spans="2:8" x14ac:dyDescent="0.3">
      <c r="B344" s="18" t="str" cm="1">
        <f t="array" ref="B344" xml:space="preserve"> "(" &amp; _xlfn.UNICHAR( 65 + SUMPRODUCT(--(_xlfn.REGEXTEST(B$1:B343, "^\([A-Z]\)$")))) &amp; ")"</f>
        <v>(J)</v>
      </c>
      <c r="C344" s="7" t="s">
        <v>170</v>
      </c>
    </row>
    <row r="346" spans="2:8" x14ac:dyDescent="0.3">
      <c r="C346" s="27">
        <v>1</v>
      </c>
      <c r="D346" s="26" t="s">
        <v>53</v>
      </c>
      <c r="E346" s="27">
        <v>1</v>
      </c>
      <c r="G346" s="28" cm="1">
        <f t="array" aca="1" ref="G346" ca="1" xml:space="preserve"> RXL_RecValue(C346:C348, E346, E347)</f>
        <v>4</v>
      </c>
    </row>
    <row r="347" spans="2:8" x14ac:dyDescent="0.3">
      <c r="C347" s="27">
        <v>2</v>
      </c>
      <c r="D347" s="26" t="s">
        <v>52</v>
      </c>
      <c r="E347" s="27">
        <v>10</v>
      </c>
      <c r="G347" s="19" t="e" cm="1">
        <f t="array" aca="1" ref="G347" ca="1" xml:space="preserve"> _xlfn.TEXTSPLIT( _xlfn.FORMULATEXT(G346), , CHAR(10))</f>
        <v>#NUM!</v>
      </c>
    </row>
    <row r="348" spans="2:8" x14ac:dyDescent="0.3">
      <c r="C348" s="27">
        <v>3</v>
      </c>
      <c r="G348" s="46" t="s">
        <v>158</v>
      </c>
      <c r="H348" s="34" t="s">
        <v>152</v>
      </c>
    </row>
    <row r="349" spans="2:8" x14ac:dyDescent="0.3">
      <c r="H349" s="22" t="s">
        <v>153</v>
      </c>
    </row>
    <row r="350" spans="2:8" x14ac:dyDescent="0.3">
      <c r="H350" s="22" t="s">
        <v>160</v>
      </c>
    </row>
    <row r="351" spans="2:8" x14ac:dyDescent="0.3">
      <c r="H351" s="22" t="s">
        <v>154</v>
      </c>
    </row>
    <row r="352" spans="2:8" x14ac:dyDescent="0.3">
      <c r="H352" s="22" t="s">
        <v>155</v>
      </c>
    </row>
    <row r="353" spans="2:8" x14ac:dyDescent="0.3">
      <c r="H353" s="22" t="s">
        <v>171</v>
      </c>
    </row>
    <row r="354" spans="2:8" x14ac:dyDescent="0.3">
      <c r="H354" s="22" t="s">
        <v>156</v>
      </c>
    </row>
    <row r="355" spans="2:8" x14ac:dyDescent="0.3">
      <c r="H355" s="22" t="s">
        <v>157</v>
      </c>
    </row>
    <row r="356" spans="2:8" x14ac:dyDescent="0.3">
      <c r="H356" s="22" t="s">
        <v>91</v>
      </c>
    </row>
    <row r="359" spans="2:8" x14ac:dyDescent="0.3">
      <c r="B359" s="18" t="str" cm="1">
        <f t="array" ref="B359" xml:space="preserve"> "(" &amp; _xlfn.UNICHAR( 65 + SUMPRODUCT(--(_xlfn.REGEXTEST(B$1:B358, "^\([A-Z]\)$")))) &amp; ")"</f>
        <v>(K)</v>
      </c>
      <c r="C359" s="7" t="s">
        <v>169</v>
      </c>
    </row>
    <row r="361" spans="2:8" x14ac:dyDescent="0.3">
      <c r="C361" s="27">
        <v>1</v>
      </c>
      <c r="D361" s="26" t="s">
        <v>53</v>
      </c>
      <c r="E361" s="27">
        <v>1</v>
      </c>
      <c r="G361" s="51" cm="1">
        <f t="array" aca="1" ref="G361" ca="1" xml:space="preserve"> RXL_RecRAND_v1(C361:C363, E361, E362, E363)</f>
        <v>2.6365656963185975</v>
      </c>
    </row>
    <row r="362" spans="2:8" x14ac:dyDescent="0.3">
      <c r="C362" s="27">
        <v>2</v>
      </c>
      <c r="D362" s="26" t="s">
        <v>52</v>
      </c>
      <c r="E362" s="27">
        <v>10</v>
      </c>
      <c r="G362" s="19" t="e">
        <f ca="1" xml:space="preserve"> _xlfn.FORMULATEXT(G361)</f>
        <v>#NUM!</v>
      </c>
    </row>
    <row r="363" spans="2:8" x14ac:dyDescent="0.3">
      <c r="C363" s="27">
        <v>3</v>
      </c>
      <c r="D363" s="26" t="s">
        <v>168</v>
      </c>
      <c r="E363" s="49">
        <v>0</v>
      </c>
      <c r="G363" s="46" t="s">
        <v>158</v>
      </c>
      <c r="H363" s="34" t="s">
        <v>173</v>
      </c>
    </row>
    <row r="364" spans="2:8" x14ac:dyDescent="0.3">
      <c r="H364" s="22" t="s">
        <v>153</v>
      </c>
    </row>
    <row r="365" spans="2:8" x14ac:dyDescent="0.3">
      <c r="H365" s="22" t="s">
        <v>172</v>
      </c>
    </row>
    <row r="366" spans="2:8" x14ac:dyDescent="0.3">
      <c r="H366" s="22" t="s">
        <v>154</v>
      </c>
    </row>
    <row r="367" spans="2:8" x14ac:dyDescent="0.3">
      <c r="H367" s="22" t="s">
        <v>155</v>
      </c>
    </row>
    <row r="368" spans="2:8" x14ac:dyDescent="0.3">
      <c r="H368" s="22" t="s">
        <v>256</v>
      </c>
    </row>
    <row r="369" spans="2:8" x14ac:dyDescent="0.3">
      <c r="H369" s="22" t="s">
        <v>156</v>
      </c>
    </row>
    <row r="370" spans="2:8" x14ac:dyDescent="0.3">
      <c r="H370" s="22" t="s">
        <v>157</v>
      </c>
    </row>
    <row r="371" spans="2:8" x14ac:dyDescent="0.3">
      <c r="H371" s="22" t="s">
        <v>91</v>
      </c>
    </row>
    <row r="373" spans="2:8" x14ac:dyDescent="0.3">
      <c r="C373" s="56" t="s">
        <v>184</v>
      </c>
      <c r="D373" s="55" t="s">
        <v>185</v>
      </c>
    </row>
    <row r="374" spans="2:8" x14ac:dyDescent="0.3">
      <c r="D374" s="55" t="s">
        <v>186</v>
      </c>
    </row>
    <row r="375" spans="2:8" x14ac:dyDescent="0.3">
      <c r="D375" s="55" t="s">
        <v>187</v>
      </c>
    </row>
    <row r="376" spans="2:8" x14ac:dyDescent="0.3">
      <c r="D376" s="55" t="s">
        <v>188</v>
      </c>
    </row>
    <row r="377" spans="2:8" x14ac:dyDescent="0.3">
      <c r="D377" s="55" t="s">
        <v>189</v>
      </c>
    </row>
    <row r="378" spans="2:8" x14ac:dyDescent="0.3">
      <c r="D378" s="55" t="s">
        <v>190</v>
      </c>
    </row>
    <row r="381" spans="2:8" x14ac:dyDescent="0.3">
      <c r="B381" s="18" t="str" cm="1">
        <f t="array" ref="B381" xml:space="preserve"> "(" &amp; _xlfn.UNICHAR( 65 + SUMPRODUCT(--(_xlfn.REGEXTEST(B$1:B380, "^\([A-Z]\)$")))) &amp; ")"</f>
        <v>(L)</v>
      </c>
      <c r="C381" s="7" t="s">
        <v>191</v>
      </c>
    </row>
    <row r="383" spans="2:8" x14ac:dyDescent="0.3">
      <c r="C383" s="27">
        <v>1</v>
      </c>
      <c r="D383" s="26" t="s">
        <v>53</v>
      </c>
      <c r="E383" s="27">
        <v>1</v>
      </c>
      <c r="G383" s="51" cm="1">
        <f t="array" aca="1" ref="G383" ca="1" xml:space="preserve"> RXL_RecRAND_v2(C383:C385, E383, E384, E385)</f>
        <v>9</v>
      </c>
    </row>
    <row r="384" spans="2:8" x14ac:dyDescent="0.3">
      <c r="C384" s="27">
        <v>2</v>
      </c>
      <c r="D384" s="26" t="s">
        <v>52</v>
      </c>
      <c r="E384" s="27">
        <v>10</v>
      </c>
      <c r="G384" s="19" t="e">
        <f ca="1" xml:space="preserve"> _xlfn.FORMULATEXT(G383)</f>
        <v>#NUM!</v>
      </c>
    </row>
    <row r="385" spans="3:8" x14ac:dyDescent="0.3">
      <c r="C385" s="27">
        <v>3</v>
      </c>
      <c r="D385" s="26" t="s">
        <v>168</v>
      </c>
      <c r="E385" s="49">
        <v>1</v>
      </c>
      <c r="G385" s="46" t="s">
        <v>158</v>
      </c>
      <c r="H385" s="34" t="s">
        <v>173</v>
      </c>
    </row>
    <row r="386" spans="3:8" x14ac:dyDescent="0.3">
      <c r="H386" s="22" t="s">
        <v>153</v>
      </c>
    </row>
    <row r="387" spans="3:8" x14ac:dyDescent="0.3">
      <c r="H387" s="22" t="s">
        <v>193</v>
      </c>
    </row>
    <row r="388" spans="3:8" x14ac:dyDescent="0.3">
      <c r="H388" s="22" t="s">
        <v>192</v>
      </c>
    </row>
    <row r="389" spans="3:8" x14ac:dyDescent="0.3">
      <c r="H389" s="22" t="s">
        <v>194</v>
      </c>
    </row>
    <row r="390" spans="3:8" x14ac:dyDescent="0.3">
      <c r="H390" s="22" t="s">
        <v>195</v>
      </c>
    </row>
    <row r="391" spans="3:8" x14ac:dyDescent="0.3">
      <c r="H391" s="22" t="s">
        <v>154</v>
      </c>
    </row>
    <row r="392" spans="3:8" x14ac:dyDescent="0.3">
      <c r="H392" s="22" t="s">
        <v>155</v>
      </c>
    </row>
    <row r="393" spans="3:8" x14ac:dyDescent="0.3">
      <c r="H393" s="22" t="s">
        <v>257</v>
      </c>
    </row>
    <row r="394" spans="3:8" x14ac:dyDescent="0.3">
      <c r="H394" s="22" t="s">
        <v>156</v>
      </c>
    </row>
    <row r="395" spans="3:8" x14ac:dyDescent="0.3">
      <c r="H395" s="22" t="s">
        <v>157</v>
      </c>
    </row>
    <row r="396" spans="3:8" x14ac:dyDescent="0.3">
      <c r="H396" s="22" t="s">
        <v>91</v>
      </c>
    </row>
    <row r="399" spans="3:8" x14ac:dyDescent="0.3">
      <c r="C399" s="56" t="s">
        <v>184</v>
      </c>
      <c r="D399" s="55" t="s">
        <v>210</v>
      </c>
    </row>
    <row r="400" spans="3:8" x14ac:dyDescent="0.3">
      <c r="D400" s="55" t="s">
        <v>209</v>
      </c>
    </row>
    <row r="401" spans="3:9" x14ac:dyDescent="0.3">
      <c r="D401" s="55" t="s">
        <v>211</v>
      </c>
    </row>
    <row r="402" spans="3:9" x14ac:dyDescent="0.3">
      <c r="D402" s="55" t="s">
        <v>212</v>
      </c>
    </row>
    <row r="403" spans="3:9" x14ac:dyDescent="0.3">
      <c r="D403" s="55" t="s">
        <v>213</v>
      </c>
    </row>
    <row r="404" spans="3:9" x14ac:dyDescent="0.3">
      <c r="D404" s="55" t="s">
        <v>214</v>
      </c>
    </row>
    <row r="406" spans="3:9" x14ac:dyDescent="0.3">
      <c r="C406" s="26" t="s">
        <v>43</v>
      </c>
      <c r="D406" s="27">
        <v>5</v>
      </c>
      <c r="F406" s="28" cm="1">
        <f t="array" ref="F406:F409" xml:space="preserve"> _xlfn.SEQUENCE(D406 - 1, D407)</f>
        <v>1</v>
      </c>
      <c r="H406" s="28" t="e" cm="1">
        <f t="array" aca="1" ref="H406" ca="1" xml:space="preserve"> _xlfn.LET(
  _xlpm._val, RXL_RecRAND_v2(_xlfn.ANCHORARRAY(F406), D408, D409, TRUE),
  IF( ISERROR(_xlpm._val), "#num", _xlpm._val)
)</f>
        <v>#NUM!</v>
      </c>
      <c r="I406" s="19" t="s">
        <v>288</v>
      </c>
    </row>
    <row r="407" spans="3:9" x14ac:dyDescent="0.3">
      <c r="C407" s="26" t="s">
        <v>44</v>
      </c>
      <c r="D407" s="27">
        <v>1</v>
      </c>
      <c r="F407" s="28">
        <v>2</v>
      </c>
      <c r="I407" s="19" t="s">
        <v>289</v>
      </c>
    </row>
    <row r="408" spans="3:9" x14ac:dyDescent="0.3">
      <c r="C408" s="26" t="s">
        <v>53</v>
      </c>
      <c r="D408" s="27">
        <v>1</v>
      </c>
      <c r="F408" s="28">
        <v>3</v>
      </c>
      <c r="I408" s="19" t="s">
        <v>290</v>
      </c>
    </row>
    <row r="409" spans="3:9" x14ac:dyDescent="0.3">
      <c r="C409" s="26" t="s">
        <v>52</v>
      </c>
      <c r="D409" s="27">
        <v>4</v>
      </c>
      <c r="F409" s="28">
        <v>4</v>
      </c>
      <c r="I409" s="19" t="s">
        <v>91</v>
      </c>
    </row>
    <row r="411" spans="3:9" x14ac:dyDescent="0.3">
      <c r="H411" s="28" t="e" cm="1">
        <f t="array" aca="1" ref="H411" ca="1" xml:space="preserve"> IFERROR(RXL_RecRAND_v2(_xlfn.ANCHORARRAY(F406), D408, D409, TRUE), "#num")</f>
        <v>#NUM!</v>
      </c>
      <c r="I411" s="19" t="s">
        <v>291</v>
      </c>
    </row>
    <row r="413" spans="3:9" x14ac:dyDescent="0.3">
      <c r="D413" s="58" t="s">
        <v>225</v>
      </c>
    </row>
    <row r="414" spans="3:9" x14ac:dyDescent="0.3">
      <c r="D414" s="58" t="s">
        <v>215</v>
      </c>
    </row>
    <row r="415" spans="3:9" x14ac:dyDescent="0.3">
      <c r="D415" s="58" t="s">
        <v>216</v>
      </c>
    </row>
    <row r="418" spans="2:10" x14ac:dyDescent="0.3">
      <c r="B418" s="18" t="str" cm="1">
        <f t="array" ref="B418" xml:space="preserve"> "(" &amp; _xlfn.UNICHAR( 65 + SUMPRODUCT(--(_xlfn.REGEXTEST(B$1:B417, "^\([A-Z]\)$")))) &amp; ")"</f>
        <v>(M)</v>
      </c>
      <c r="C418" s="7" t="s">
        <v>252</v>
      </c>
    </row>
    <row r="420" spans="2:10" x14ac:dyDescent="0.3">
      <c r="C420" s="26" t="s">
        <v>43</v>
      </c>
      <c r="D420" s="27">
        <v>5</v>
      </c>
      <c r="F420" s="28" cm="1">
        <f t="array" ref="F420:F423" xml:space="preserve"> _xlfn.SEQUENCE(D420 - 1, D421)</f>
        <v>1</v>
      </c>
      <c r="H420" s="28" cm="1">
        <f t="array" aca="1" ref="H420" ca="1" xml:space="preserve"> RXL_RecTEST(_xlfn.ANCHORARRAY(F420), D422, D423, TRUE, D424)</f>
        <v>0</v>
      </c>
      <c r="I420" s="19" t="e">
        <f ca="1" xml:space="preserve"> _xlfn.FORMULATEXT(H420)</f>
        <v>#NUM!</v>
      </c>
    </row>
    <row r="421" spans="2:10" x14ac:dyDescent="0.3">
      <c r="C421" s="26" t="s">
        <v>44</v>
      </c>
      <c r="D421" s="27">
        <v>1</v>
      </c>
      <c r="F421" s="28">
        <v>2</v>
      </c>
      <c r="I421" s="46" t="s">
        <v>158</v>
      </c>
      <c r="J421" s="34" t="s">
        <v>217</v>
      </c>
    </row>
    <row r="422" spans="2:10" x14ac:dyDescent="0.3">
      <c r="C422" s="26" t="s">
        <v>53</v>
      </c>
      <c r="D422" s="27">
        <v>1</v>
      </c>
      <c r="F422" s="28">
        <v>3</v>
      </c>
      <c r="J422" s="22" t="s">
        <v>153</v>
      </c>
    </row>
    <row r="423" spans="2:10" x14ac:dyDescent="0.3">
      <c r="C423" s="26" t="s">
        <v>52</v>
      </c>
      <c r="D423" s="27">
        <v>4</v>
      </c>
      <c r="F423" s="28">
        <v>4</v>
      </c>
      <c r="J423" s="22" t="s">
        <v>193</v>
      </c>
    </row>
    <row r="424" spans="2:10" x14ac:dyDescent="0.3">
      <c r="C424" s="26" t="s">
        <v>226</v>
      </c>
      <c r="D424" s="59">
        <v>1000</v>
      </c>
      <c r="J424" s="22" t="s">
        <v>192</v>
      </c>
    </row>
    <row r="425" spans="2:10" x14ac:dyDescent="0.3">
      <c r="J425" s="22" t="s">
        <v>194</v>
      </c>
    </row>
    <row r="426" spans="2:10" x14ac:dyDescent="0.3">
      <c r="J426" s="22" t="s">
        <v>195</v>
      </c>
    </row>
    <row r="427" spans="2:10" x14ac:dyDescent="0.3">
      <c r="J427" s="22" t="s">
        <v>219</v>
      </c>
    </row>
    <row r="428" spans="2:10" x14ac:dyDescent="0.3">
      <c r="J428" s="22" t="s">
        <v>221</v>
      </c>
    </row>
    <row r="429" spans="2:10" x14ac:dyDescent="0.3">
      <c r="J429" s="22" t="s">
        <v>222</v>
      </c>
    </row>
    <row r="430" spans="2:10" x14ac:dyDescent="0.3">
      <c r="J430" s="22" t="s">
        <v>227</v>
      </c>
    </row>
    <row r="431" spans="2:10" x14ac:dyDescent="0.3">
      <c r="J431" s="22" t="s">
        <v>220</v>
      </c>
    </row>
    <row r="432" spans="2:10" x14ac:dyDescent="0.3">
      <c r="J432" s="22" t="s">
        <v>258</v>
      </c>
    </row>
    <row r="433" spans="3:10" x14ac:dyDescent="0.3">
      <c r="J433" s="22" t="s">
        <v>156</v>
      </c>
    </row>
    <row r="434" spans="3:10" x14ac:dyDescent="0.3">
      <c r="J434" s="22" t="s">
        <v>157</v>
      </c>
    </row>
    <row r="435" spans="3:10" x14ac:dyDescent="0.3">
      <c r="J435" s="22" t="s">
        <v>91</v>
      </c>
    </row>
    <row r="437" spans="3:10" x14ac:dyDescent="0.3">
      <c r="C437" s="56" t="s">
        <v>184</v>
      </c>
      <c r="D437" s="55" t="s">
        <v>228</v>
      </c>
    </row>
    <row r="438" spans="3:10" x14ac:dyDescent="0.3">
      <c r="D438" s="55" t="s">
        <v>229</v>
      </c>
    </row>
    <row r="439" spans="3:10" x14ac:dyDescent="0.3">
      <c r="D439" s="55" t="s">
        <v>230</v>
      </c>
    </row>
    <row r="440" spans="3:10" x14ac:dyDescent="0.3">
      <c r="D440" s="55" t="s">
        <v>231</v>
      </c>
    </row>
    <row r="441" spans="3:10" x14ac:dyDescent="0.3">
      <c r="D441" s="55" t="s">
        <v>232</v>
      </c>
    </row>
    <row r="442" spans="3:10" x14ac:dyDescent="0.3">
      <c r="D442" s="55" t="s">
        <v>233</v>
      </c>
    </row>
    <row r="443" spans="3:10" x14ac:dyDescent="0.3">
      <c r="D443" s="55"/>
    </row>
    <row r="444" spans="3:10" x14ac:dyDescent="0.3">
      <c r="D444" s="55" t="s">
        <v>234</v>
      </c>
    </row>
    <row r="445" spans="3:10" x14ac:dyDescent="0.3">
      <c r="D445" s="55" t="s">
        <v>235</v>
      </c>
    </row>
    <row r="446" spans="3:10" x14ac:dyDescent="0.3">
      <c r="D446" s="60" t="s">
        <v>236</v>
      </c>
    </row>
    <row r="447" spans="3:10" x14ac:dyDescent="0.3">
      <c r="D447" s="61" t="s">
        <v>237</v>
      </c>
    </row>
    <row r="448" spans="3:10" x14ac:dyDescent="0.3">
      <c r="D448" s="61" t="s">
        <v>238</v>
      </c>
    </row>
    <row r="450" spans="3:8" x14ac:dyDescent="0.3">
      <c r="C450" s="62" t="s">
        <v>239</v>
      </c>
    </row>
    <row r="451" spans="3:8" x14ac:dyDescent="0.3">
      <c r="C451" s="26" t="s">
        <v>43</v>
      </c>
      <c r="D451" s="27">
        <v>5</v>
      </c>
      <c r="F451" s="28" cm="1">
        <f t="array" ref="F451:F454" xml:space="preserve"> _xlfn.SEQUENCE(D451 - 1, D452)</f>
        <v>1</v>
      </c>
      <c r="H451" s="65" t="s">
        <v>240</v>
      </c>
    </row>
    <row r="452" spans="3:8" x14ac:dyDescent="0.3">
      <c r="C452" s="26" t="s">
        <v>44</v>
      </c>
      <c r="D452" s="27">
        <v>1</v>
      </c>
      <c r="F452" s="28">
        <v>2</v>
      </c>
      <c r="H452" s="65" t="s">
        <v>241</v>
      </c>
    </row>
    <row r="453" spans="3:8" x14ac:dyDescent="0.3">
      <c r="C453" s="26" t="s">
        <v>53</v>
      </c>
      <c r="D453" s="27">
        <v>1</v>
      </c>
      <c r="F453" s="28">
        <v>3</v>
      </c>
      <c r="H453" s="65" t="s">
        <v>242</v>
      </c>
    </row>
    <row r="454" spans="3:8" x14ac:dyDescent="0.3">
      <c r="C454" s="26" t="s">
        <v>52</v>
      </c>
      <c r="D454" s="27">
        <v>4</v>
      </c>
      <c r="F454" s="28">
        <v>4</v>
      </c>
    </row>
    <row r="456" spans="3:8" x14ac:dyDescent="0.3">
      <c r="G456" s="64" t="s">
        <v>226</v>
      </c>
      <c r="H456" s="59">
        <v>100</v>
      </c>
    </row>
    <row r="457" spans="3:8" x14ac:dyDescent="0.3">
      <c r="G457" s="63" t="s">
        <v>56</v>
      </c>
      <c r="H457" s="28" cm="1">
        <f t="array" aca="1" ref="H457" ca="1" xml:space="preserve"> RXL_RecTEST(_xlfn.ANCHORARRAY($F$451), $D$453, $D$454, TRUE, H456)</f>
        <v>0</v>
      </c>
    </row>
    <row r="459" spans="3:8" x14ac:dyDescent="0.3">
      <c r="G459" s="64" t="s">
        <v>226</v>
      </c>
      <c r="H459" s="59">
        <v>250</v>
      </c>
    </row>
    <row r="460" spans="3:8" x14ac:dyDescent="0.3">
      <c r="G460" s="63" t="s">
        <v>56</v>
      </c>
      <c r="H460" s="28" cm="1">
        <f t="array" aca="1" ref="H460" ca="1" xml:space="preserve"> RXL_RecTEST(_xlfn.ANCHORARRAY($F$451), $D$453, $D$454, TRUE, H459)</f>
        <v>0</v>
      </c>
    </row>
    <row r="462" spans="3:8" x14ac:dyDescent="0.3">
      <c r="G462" s="64" t="s">
        <v>226</v>
      </c>
      <c r="H462" s="59">
        <v>1024</v>
      </c>
    </row>
    <row r="463" spans="3:8" x14ac:dyDescent="0.3">
      <c r="G463" s="63" t="s">
        <v>56</v>
      </c>
      <c r="H463" s="28" cm="1">
        <f t="array" aca="1" ref="H463" ca="1" xml:space="preserve"> RXL_RecTEST(_xlfn.ANCHORARRAY($F$451), $D$453, $D$454, TRUE, H462)</f>
        <v>0</v>
      </c>
    </row>
    <row r="465" spans="3:8" x14ac:dyDescent="0.3">
      <c r="G465" s="64" t="s">
        <v>226</v>
      </c>
      <c r="H465" s="59">
        <v>2000</v>
      </c>
    </row>
    <row r="466" spans="3:8" x14ac:dyDescent="0.3">
      <c r="G466" s="63" t="s">
        <v>56</v>
      </c>
      <c r="H466" s="28" cm="1">
        <f t="array" aca="1" ref="H466" ca="1" xml:space="preserve"> RXL_RecTEST(_xlfn.ANCHORARRAY($F$451), $D$453, $D$454, TRUE, H465)</f>
        <v>0</v>
      </c>
    </row>
    <row r="468" spans="3:8" x14ac:dyDescent="0.3">
      <c r="G468" s="64" t="s">
        <v>226</v>
      </c>
      <c r="H468" s="59">
        <v>2048</v>
      </c>
    </row>
    <row r="469" spans="3:8" x14ac:dyDescent="0.3">
      <c r="G469" s="63" t="s">
        <v>56</v>
      </c>
      <c r="H469" s="28" cm="1">
        <f t="array" aca="1" ref="H469" ca="1" xml:space="preserve"> RXL_RecTEST(_xlfn.ANCHORARRAY($F$451), $D$453, $D$454, TRUE, H468)</f>
        <v>0</v>
      </c>
    </row>
    <row r="471" spans="3:8" x14ac:dyDescent="0.3">
      <c r="G471" s="64" t="s">
        <v>226</v>
      </c>
      <c r="H471" s="59">
        <v>2500</v>
      </c>
    </row>
    <row r="472" spans="3:8" x14ac:dyDescent="0.3">
      <c r="G472" s="63" t="s">
        <v>56</v>
      </c>
      <c r="H472" s="28" t="e" cm="1">
        <f t="array" aca="1" ref="H472" ca="1" xml:space="preserve"> RXL_RecTEST(_xlfn.ANCHORARRAY($F$451), $D$453, $D$454, TRUE, H471)</f>
        <v>#NUM!</v>
      </c>
    </row>
    <row r="474" spans="3:8" x14ac:dyDescent="0.3">
      <c r="G474" s="64" t="s">
        <v>226</v>
      </c>
      <c r="H474" s="59">
        <v>2340</v>
      </c>
    </row>
    <row r="475" spans="3:8" x14ac:dyDescent="0.3">
      <c r="G475" s="63" t="s">
        <v>56</v>
      </c>
      <c r="H475" s="28" t="e" cm="1">
        <f t="array" aca="1" ref="H475" ca="1" xml:space="preserve"> RXL_RecTEST(_xlfn.ANCHORARRAY($F$451), $D$453, $D$454, TRUE, H474)</f>
        <v>#NUM!</v>
      </c>
    </row>
    <row r="477" spans="3:8" x14ac:dyDescent="0.3">
      <c r="G477" s="64" t="s">
        <v>226</v>
      </c>
      <c r="H477" s="59">
        <v>2339</v>
      </c>
    </row>
    <row r="478" spans="3:8" x14ac:dyDescent="0.3">
      <c r="G478" s="63" t="s">
        <v>56</v>
      </c>
      <c r="H478" s="28" cm="1">
        <f t="array" aca="1" ref="H478" ca="1" xml:space="preserve"> RXL_RecTEST(_xlfn.ANCHORARRAY($F$451), $D$453, $D$454, TRUE, H477)</f>
        <v>0</v>
      </c>
    </row>
    <row r="480" spans="3:8" x14ac:dyDescent="0.3">
      <c r="C480" s="62" t="s">
        <v>243</v>
      </c>
    </row>
    <row r="481" spans="2:8" x14ac:dyDescent="0.3">
      <c r="D481" s="65" t="s">
        <v>244</v>
      </c>
    </row>
    <row r="482" spans="2:8" x14ac:dyDescent="0.3">
      <c r="D482" s="65" t="s">
        <v>245</v>
      </c>
    </row>
    <row r="484" spans="2:8" x14ac:dyDescent="0.3">
      <c r="C484" s="26" t="s">
        <v>53</v>
      </c>
      <c r="D484" s="27">
        <v>100000</v>
      </c>
      <c r="F484" s="26" t="s">
        <v>226</v>
      </c>
      <c r="G484" s="59">
        <v>100</v>
      </c>
    </row>
    <row r="485" spans="2:8" x14ac:dyDescent="0.3">
      <c r="C485" s="26" t="s">
        <v>52</v>
      </c>
      <c r="D485" s="27">
        <v>200000</v>
      </c>
      <c r="F485" s="26" t="s">
        <v>56</v>
      </c>
      <c r="G485" s="28"/>
      <c r="H485" t="s">
        <v>301</v>
      </c>
    </row>
    <row r="487" spans="2:8" x14ac:dyDescent="0.3">
      <c r="C487" s="56" t="s">
        <v>184</v>
      </c>
      <c r="D487" s="55" t="s">
        <v>246</v>
      </c>
    </row>
    <row r="488" spans="2:8" x14ac:dyDescent="0.3">
      <c r="D488" s="55" t="s">
        <v>247</v>
      </c>
    </row>
    <row r="489" spans="2:8" x14ac:dyDescent="0.3">
      <c r="D489" s="55" t="s">
        <v>248</v>
      </c>
    </row>
    <row r="490" spans="2:8" x14ac:dyDescent="0.3">
      <c r="D490" s="66" t="s">
        <v>249</v>
      </c>
    </row>
    <row r="491" spans="2:8" x14ac:dyDescent="0.3">
      <c r="D491" s="66" t="s">
        <v>250</v>
      </c>
    </row>
    <row r="492" spans="2:8" x14ac:dyDescent="0.3">
      <c r="D492" s="60" t="s">
        <v>251</v>
      </c>
    </row>
    <row r="495" spans="2:8" x14ac:dyDescent="0.3">
      <c r="B495" s="18" t="str" cm="1">
        <f t="array" ref="B495" xml:space="preserve"> "(" &amp; _xlfn.UNICHAR( 65 + SUMPRODUCT(--(_xlfn.REGEXTEST(B$1:B494, "^\([A-Z]\)$")))) &amp; ")"</f>
        <v>(N)</v>
      </c>
      <c r="C495" s="7" t="s">
        <v>255</v>
      </c>
    </row>
    <row r="497" spans="3:8" x14ac:dyDescent="0.3">
      <c r="C497" s="27">
        <v>1</v>
      </c>
      <c r="D497" s="26" t="s">
        <v>53</v>
      </c>
      <c r="E497" s="27">
        <v>1</v>
      </c>
      <c r="G497" s="51" cm="1">
        <f t="array" aca="1" ref="G497" ca="1" xml:space="preserve"> RXL_RecRAND(C497:C499, E497, E498, E499, E500)</f>
        <v>7</v>
      </c>
    </row>
    <row r="498" spans="3:8" x14ac:dyDescent="0.3">
      <c r="C498" s="27">
        <v>2</v>
      </c>
      <c r="D498" s="26" t="s">
        <v>52</v>
      </c>
      <c r="E498" s="27">
        <v>10</v>
      </c>
      <c r="G498" s="19" t="e">
        <f ca="1" xml:space="preserve"> _xlfn.FORMULATEXT(G497)</f>
        <v>#NUM!</v>
      </c>
    </row>
    <row r="499" spans="3:8" x14ac:dyDescent="0.3">
      <c r="C499" s="27">
        <v>3</v>
      </c>
      <c r="D499" s="26" t="s">
        <v>168</v>
      </c>
      <c r="E499" s="49">
        <v>1</v>
      </c>
      <c r="G499" s="46" t="s">
        <v>158</v>
      </c>
      <c r="H499" s="34" t="s">
        <v>217</v>
      </c>
    </row>
    <row r="500" spans="3:8" x14ac:dyDescent="0.3">
      <c r="D500" s="26" t="s">
        <v>226</v>
      </c>
      <c r="E500" s="59">
        <v>1000</v>
      </c>
      <c r="H500" s="22" t="s">
        <v>153</v>
      </c>
    </row>
    <row r="501" spans="3:8" x14ac:dyDescent="0.3">
      <c r="H501" s="22" t="s">
        <v>193</v>
      </c>
    </row>
    <row r="502" spans="3:8" x14ac:dyDescent="0.3">
      <c r="H502" s="22" t="s">
        <v>192</v>
      </c>
    </row>
    <row r="503" spans="3:8" x14ac:dyDescent="0.3">
      <c r="H503" s="22" t="s">
        <v>194</v>
      </c>
    </row>
    <row r="504" spans="3:8" x14ac:dyDescent="0.3">
      <c r="H504" s="22" t="s">
        <v>195</v>
      </c>
    </row>
    <row r="505" spans="3:8" x14ac:dyDescent="0.3">
      <c r="H505" s="22" t="s">
        <v>219</v>
      </c>
    </row>
    <row r="506" spans="3:8" x14ac:dyDescent="0.3">
      <c r="H506" s="22" t="s">
        <v>221</v>
      </c>
    </row>
    <row r="507" spans="3:8" x14ac:dyDescent="0.3">
      <c r="H507" s="22" t="s">
        <v>222</v>
      </c>
    </row>
    <row r="508" spans="3:8" x14ac:dyDescent="0.3">
      <c r="H508" s="22" t="s">
        <v>224</v>
      </c>
    </row>
    <row r="509" spans="3:8" x14ac:dyDescent="0.3">
      <c r="H509" s="22" t="s">
        <v>220</v>
      </c>
    </row>
    <row r="510" spans="3:8" x14ac:dyDescent="0.3">
      <c r="H510" s="22" t="s">
        <v>223</v>
      </c>
    </row>
    <row r="511" spans="3:8" x14ac:dyDescent="0.3">
      <c r="H511" s="22" t="s">
        <v>156</v>
      </c>
    </row>
    <row r="512" spans="3:8" x14ac:dyDescent="0.3">
      <c r="H512" s="22" t="s">
        <v>157</v>
      </c>
    </row>
    <row r="513" spans="2:20" x14ac:dyDescent="0.3">
      <c r="H513" s="22" t="s">
        <v>91</v>
      </c>
    </row>
    <row r="517" spans="2:20" x14ac:dyDescent="0.3">
      <c r="B517" s="5" t="s">
        <v>175</v>
      </c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</row>
    <row r="519" spans="2:20" x14ac:dyDescent="0.3">
      <c r="B519" s="18" t="str" cm="1">
        <f t="array" ref="B519" xml:space="preserve"> "(" &amp; _xlfn.UNICHAR( 65 + SUMPRODUCT(--(_xlfn.REGEXTEST(B$1:B518, "^\([A-Z]\)$")))) &amp; ")"</f>
        <v>(O)</v>
      </c>
      <c r="C519" s="7" t="s">
        <v>174</v>
      </c>
    </row>
    <row r="520" spans="2:20" x14ac:dyDescent="0.3">
      <c r="N520" s="18" t="s">
        <v>159</v>
      </c>
      <c r="O520" s="18" t="s">
        <v>62</v>
      </c>
      <c r="P520" s="18" t="s">
        <v>64</v>
      </c>
    </row>
    <row r="521" spans="2:20" x14ac:dyDescent="0.3">
      <c r="C521" s="26" t="s">
        <v>151</v>
      </c>
      <c r="D521" s="27">
        <v>10</v>
      </c>
      <c r="F521" s="28" cm="1">
        <f t="array" aca="1" ref="F521:F530" ca="1" xml:space="preserve"> _xlfn.LET(
  _xlpm._cnt, D521,
  _xlpm._min, D522,
  _xlpm._max, D523,
  _xlpm._int, D524,
  _xlpm._idx, _xlfn.SEQUENCE(_xlpm._cnt, 1),
  _xlpm._arr, _xlfn.DROP(
    _xlfn.REDUCE(0, _xlpm._idx, _xlfn.LAMBDA(_xlpm._acc,_xlpm._val,
      _xlfn.VSTACK(_xlpm._acc, RXL_RecRAND(_xlpm._acc, _xlpm._min, _xlpm._max, _xlpm._int, 1000))
    )), 1
  ),
  _xlpm._arr
)</f>
        <v>72743</v>
      </c>
      <c r="G521" s="19" t="e" cm="1">
        <f t="array" aca="1" ref="G521" ca="1" xml:space="preserve"> _xlfn.TEXTSPLIT( _xlfn.FORMULATEXT(F521), , CHAR(10))</f>
        <v>#NUM!</v>
      </c>
      <c r="N521" s="29" cm="1">
        <f t="array" aca="1" ref="N521:N530" ca="1">_xlfn.ANCHORARRAY( F521)</f>
        <v>72743</v>
      </c>
      <c r="O521" s="28" cm="1">
        <f t="array" aca="1" ref="O521:O530" ca="1" xml:space="preserve"> _xlfn._xlws.SORT(_xlfn.ANCHORARRAY(N521))</f>
        <v>7062</v>
      </c>
      <c r="P521" s="28" cm="1">
        <f t="array" aca="1" ref="P521:P530" ca="1" xml:space="preserve"> _xlfn.UNIQUE(_xlfn.ANCHORARRAY(O521), , TRUE)</f>
        <v>7062</v>
      </c>
      <c r="Q521" s="47" cm="1">
        <f t="array" aca="1" ref="Q521:Q530" ca="1" xml:space="preserve"> --(_xlfn.ANCHORARRAY(O521) &lt;&gt;_xlfn.ANCHORARRAY( P521))</f>
        <v>0</v>
      </c>
    </row>
    <row r="522" spans="2:20" x14ac:dyDescent="0.3">
      <c r="C522" s="26" t="s">
        <v>53</v>
      </c>
      <c r="D522" s="27">
        <v>100</v>
      </c>
      <c r="F522" s="28">
        <f ca="1"/>
        <v>96218</v>
      </c>
      <c r="G522" s="19"/>
      <c r="N522" s="29">
        <f ca="1"/>
        <v>96218</v>
      </c>
      <c r="O522" s="28">
        <f ca="1"/>
        <v>13933</v>
      </c>
      <c r="P522" s="28">
        <f ca="1"/>
        <v>13933</v>
      </c>
      <c r="Q522" s="47">
        <f ca="1"/>
        <v>0</v>
      </c>
    </row>
    <row r="523" spans="2:20" x14ac:dyDescent="0.3">
      <c r="C523" s="26" t="s">
        <v>52</v>
      </c>
      <c r="D523" s="27">
        <v>100000</v>
      </c>
      <c r="F523" s="28">
        <f ca="1"/>
        <v>84959</v>
      </c>
      <c r="G523" s="19"/>
      <c r="N523" s="29">
        <f ca="1"/>
        <v>84959</v>
      </c>
      <c r="O523" s="28">
        <f ca="1"/>
        <v>19910</v>
      </c>
      <c r="P523" s="28">
        <f ca="1"/>
        <v>19910</v>
      </c>
      <c r="Q523" s="47">
        <f ca="1"/>
        <v>0</v>
      </c>
    </row>
    <row r="524" spans="2:20" x14ac:dyDescent="0.3">
      <c r="C524" s="26" t="s">
        <v>168</v>
      </c>
      <c r="D524" s="49">
        <v>1</v>
      </c>
      <c r="F524" s="28">
        <f ca="1"/>
        <v>57566</v>
      </c>
      <c r="G524" s="19"/>
      <c r="N524" s="29">
        <f ca="1"/>
        <v>57566</v>
      </c>
      <c r="O524" s="28">
        <f ca="1"/>
        <v>25585</v>
      </c>
      <c r="P524" s="28">
        <f ca="1"/>
        <v>25585</v>
      </c>
      <c r="Q524" s="47">
        <f ca="1"/>
        <v>0</v>
      </c>
    </row>
    <row r="525" spans="2:20" x14ac:dyDescent="0.3">
      <c r="F525" s="28">
        <f ca="1"/>
        <v>13933</v>
      </c>
      <c r="G525" s="19"/>
      <c r="N525" s="29">
        <f ca="1"/>
        <v>13933</v>
      </c>
      <c r="O525" s="28">
        <f ca="1"/>
        <v>35128</v>
      </c>
      <c r="P525" s="28">
        <f ca="1"/>
        <v>35128</v>
      </c>
      <c r="Q525" s="47">
        <f ca="1"/>
        <v>0</v>
      </c>
    </row>
    <row r="526" spans="2:20" x14ac:dyDescent="0.3">
      <c r="F526" s="28">
        <f ca="1"/>
        <v>99567</v>
      </c>
      <c r="G526" s="19"/>
      <c r="N526" s="29">
        <f ca="1"/>
        <v>99567</v>
      </c>
      <c r="O526" s="28">
        <f ca="1"/>
        <v>57566</v>
      </c>
      <c r="P526" s="28">
        <f ca="1"/>
        <v>57566</v>
      </c>
      <c r="Q526" s="47">
        <f ca="1"/>
        <v>0</v>
      </c>
    </row>
    <row r="527" spans="2:20" x14ac:dyDescent="0.3">
      <c r="F527" s="28">
        <f ca="1"/>
        <v>7062</v>
      </c>
      <c r="G527" s="19"/>
      <c r="N527" s="29">
        <f ca="1"/>
        <v>7062</v>
      </c>
      <c r="O527" s="28">
        <f ca="1"/>
        <v>72743</v>
      </c>
      <c r="P527" s="28">
        <f ca="1"/>
        <v>72743</v>
      </c>
      <c r="Q527" s="47">
        <f ca="1"/>
        <v>0</v>
      </c>
    </row>
    <row r="528" spans="2:20" x14ac:dyDescent="0.3">
      <c r="F528" s="28">
        <f ca="1"/>
        <v>25585</v>
      </c>
      <c r="G528" s="19"/>
      <c r="N528" s="29">
        <f ca="1"/>
        <v>25585</v>
      </c>
      <c r="O528" s="28">
        <f ca="1"/>
        <v>84959</v>
      </c>
      <c r="P528" s="28">
        <f ca="1"/>
        <v>84959</v>
      </c>
      <c r="Q528" s="47">
        <f ca="1"/>
        <v>0</v>
      </c>
    </row>
    <row r="529" spans="3:17" x14ac:dyDescent="0.3">
      <c r="F529" s="28">
        <f ca="1"/>
        <v>19910</v>
      </c>
      <c r="G529" s="19"/>
      <c r="N529" s="29">
        <f ca="1"/>
        <v>19910</v>
      </c>
      <c r="O529" s="28">
        <f ca="1"/>
        <v>96218</v>
      </c>
      <c r="P529" s="28">
        <f ca="1"/>
        <v>96218</v>
      </c>
      <c r="Q529" s="47">
        <f ca="1"/>
        <v>0</v>
      </c>
    </row>
    <row r="530" spans="3:17" x14ac:dyDescent="0.3">
      <c r="F530" s="28">
        <f ca="1"/>
        <v>35128</v>
      </c>
      <c r="G530" s="19"/>
      <c r="N530" s="29">
        <f ca="1"/>
        <v>35128</v>
      </c>
      <c r="O530" s="28">
        <f ca="1"/>
        <v>99567</v>
      </c>
      <c r="P530" s="28">
        <f ca="1"/>
        <v>99567</v>
      </c>
      <c r="Q530" s="47">
        <f ca="1"/>
        <v>0</v>
      </c>
    </row>
    <row r="531" spans="3:17" x14ac:dyDescent="0.3">
      <c r="G531" s="19"/>
    </row>
    <row r="532" spans="3:17" x14ac:dyDescent="0.3">
      <c r="G532" s="19"/>
    </row>
    <row r="533" spans="3:17" x14ac:dyDescent="0.3">
      <c r="G533" s="19"/>
    </row>
    <row r="534" spans="3:17" x14ac:dyDescent="0.3">
      <c r="N534" s="18" t="s">
        <v>159</v>
      </c>
      <c r="O534" s="18" t="s">
        <v>62</v>
      </c>
      <c r="P534" s="18" t="s">
        <v>64</v>
      </c>
    </row>
    <row r="535" spans="3:17" x14ac:dyDescent="0.3">
      <c r="C535" s="26" t="s">
        <v>151</v>
      </c>
      <c r="D535" s="27">
        <v>10</v>
      </c>
      <c r="F535" s="50" cm="1">
        <f t="array" aca="1" ref="F535:F544" ca="1" xml:space="preserve"> _xlfn.LET(
  _xlpm._cnt, D535,
  _xlpm._min, D536,
  _xlpm._max, D537,
  _xlpm._int, D538,
  _xlpm._idx, _xlfn.SEQUENCE(_xlpm._cnt, 1),
  _xlpm._arr, _xlfn.DROP(
    _xlfn.REDUCE(0, _xlpm._idx, _xlfn.LAMBDA(_xlpm._acc,_xlpm._val,
      _xlfn.VSTACK(_xlpm._acc, RXL_RecRAND(_xlpm._acc, _xlpm._min, _xlpm._max, _xlpm._int, 1000))
    )), 1
  ),
  _xlpm._arr
)</f>
        <v>10.724010383448441</v>
      </c>
      <c r="G535" s="19" t="e" cm="1">
        <f t="array" aca="1" ref="G535" ca="1" xml:space="preserve"> _xlfn.TEXTSPLIT( _xlfn.FORMULATEXT(F535), , CHAR(10))</f>
        <v>#NUM!</v>
      </c>
      <c r="N535" s="52" cm="1">
        <f t="array" aca="1" ref="N535:N544" ca="1">_xlfn.ANCHORARRAY( F535)</f>
        <v>10.724010383448441</v>
      </c>
      <c r="O535" s="53" cm="1">
        <f t="array" aca="1" ref="O535:O544" ca="1" xml:space="preserve"> _xlfn._xlws.SORT(_xlfn.ANCHORARRAY(N535))</f>
        <v>5.9515468988760585</v>
      </c>
      <c r="P535" s="53" cm="1">
        <f t="array" aca="1" ref="P535:P544" ca="1" xml:space="preserve"> _xlfn.UNIQUE(_xlfn.ANCHORARRAY(O535), , TRUE)</f>
        <v>5.9515468988760585</v>
      </c>
      <c r="Q535" s="47" cm="1">
        <f t="array" aca="1" ref="Q535:Q544" ca="1" xml:space="preserve"> --(_xlfn.ANCHORARRAY(O535) &lt;&gt;_xlfn.ANCHORARRAY( P535))</f>
        <v>0</v>
      </c>
    </row>
    <row r="536" spans="3:17" x14ac:dyDescent="0.3">
      <c r="C536" s="26" t="s">
        <v>53</v>
      </c>
      <c r="D536" s="27">
        <v>1</v>
      </c>
      <c r="F536" s="50">
        <f ca="1"/>
        <v>86.192746081687986</v>
      </c>
      <c r="G536" s="19"/>
      <c r="N536" s="52">
        <f ca="1"/>
        <v>86.192746081687986</v>
      </c>
      <c r="O536" s="53">
        <f ca="1"/>
        <v>9.5150944955044086</v>
      </c>
      <c r="P536" s="53">
        <f ca="1"/>
        <v>9.5150944955044086</v>
      </c>
      <c r="Q536" s="47">
        <f ca="1"/>
        <v>0</v>
      </c>
    </row>
    <row r="537" spans="3:17" x14ac:dyDescent="0.3">
      <c r="C537" s="26" t="s">
        <v>52</v>
      </c>
      <c r="D537" s="27">
        <v>100</v>
      </c>
      <c r="F537" s="50">
        <f ca="1"/>
        <v>9.5150944955044086</v>
      </c>
      <c r="G537" s="19"/>
      <c r="N537" s="52">
        <f ca="1"/>
        <v>9.5150944955044086</v>
      </c>
      <c r="O537" s="53">
        <f ca="1"/>
        <v>10.724010383448441</v>
      </c>
      <c r="P537" s="53">
        <f ca="1"/>
        <v>10.724010383448441</v>
      </c>
      <c r="Q537" s="47">
        <f ca="1"/>
        <v>0</v>
      </c>
    </row>
    <row r="538" spans="3:17" x14ac:dyDescent="0.3">
      <c r="C538" s="26" t="s">
        <v>168</v>
      </c>
      <c r="D538" s="49">
        <v>0</v>
      </c>
      <c r="F538" s="50">
        <f ca="1"/>
        <v>50.318776815890182</v>
      </c>
      <c r="G538" s="19"/>
      <c r="N538" s="52">
        <f ca="1"/>
        <v>50.318776815890182</v>
      </c>
      <c r="O538" s="53">
        <f ca="1"/>
        <v>13.905406525800101</v>
      </c>
      <c r="P538" s="53">
        <f ca="1"/>
        <v>13.905406525800101</v>
      </c>
      <c r="Q538" s="47">
        <f ca="1"/>
        <v>0</v>
      </c>
    </row>
    <row r="539" spans="3:17" x14ac:dyDescent="0.3">
      <c r="F539" s="50">
        <f ca="1"/>
        <v>56.318209694999126</v>
      </c>
      <c r="G539" s="19"/>
      <c r="N539" s="52">
        <f ca="1"/>
        <v>56.318209694999126</v>
      </c>
      <c r="O539" s="53">
        <f ca="1"/>
        <v>15.349605741211301</v>
      </c>
      <c r="P539" s="53">
        <f ca="1"/>
        <v>15.349605741211301</v>
      </c>
      <c r="Q539" s="47">
        <f ca="1"/>
        <v>0</v>
      </c>
    </row>
    <row r="540" spans="3:17" x14ac:dyDescent="0.3">
      <c r="F540" s="50">
        <f ca="1"/>
        <v>15.349605741211301</v>
      </c>
      <c r="G540" s="19"/>
      <c r="N540" s="52">
        <f ca="1"/>
        <v>15.349605741211301</v>
      </c>
      <c r="O540" s="53">
        <f ca="1"/>
        <v>45.702484873324288</v>
      </c>
      <c r="P540" s="53">
        <f ca="1"/>
        <v>45.702484873324288</v>
      </c>
      <c r="Q540" s="47">
        <f ca="1"/>
        <v>0</v>
      </c>
    </row>
    <row r="541" spans="3:17" x14ac:dyDescent="0.3">
      <c r="F541" s="50">
        <f ca="1"/>
        <v>62.915158405717555</v>
      </c>
      <c r="G541" s="19"/>
      <c r="N541" s="52">
        <f ca="1"/>
        <v>62.915158405717555</v>
      </c>
      <c r="O541" s="53">
        <f ca="1"/>
        <v>50.318776815890182</v>
      </c>
      <c r="P541" s="53">
        <f ca="1"/>
        <v>50.318776815890182</v>
      </c>
      <c r="Q541" s="47">
        <f ca="1"/>
        <v>0</v>
      </c>
    </row>
    <row r="542" spans="3:17" x14ac:dyDescent="0.3">
      <c r="F542" s="50">
        <f ca="1"/>
        <v>13.905406525800101</v>
      </c>
      <c r="G542" s="19"/>
      <c r="N542" s="52">
        <f ca="1"/>
        <v>13.905406525800101</v>
      </c>
      <c r="O542" s="53">
        <f ca="1"/>
        <v>56.318209694999126</v>
      </c>
      <c r="P542" s="53">
        <f ca="1"/>
        <v>56.318209694999126</v>
      </c>
      <c r="Q542" s="47">
        <f ca="1"/>
        <v>0</v>
      </c>
    </row>
    <row r="543" spans="3:17" x14ac:dyDescent="0.3">
      <c r="F543" s="50">
        <f ca="1"/>
        <v>5.9515468988760585</v>
      </c>
      <c r="G543" s="19"/>
      <c r="N543" s="52">
        <f ca="1"/>
        <v>5.9515468988760585</v>
      </c>
      <c r="O543" s="53">
        <f ca="1"/>
        <v>62.915158405717555</v>
      </c>
      <c r="P543" s="53">
        <f ca="1"/>
        <v>62.915158405717555</v>
      </c>
      <c r="Q543" s="47">
        <f ca="1"/>
        <v>0</v>
      </c>
    </row>
    <row r="544" spans="3:17" x14ac:dyDescent="0.3">
      <c r="F544" s="50">
        <f ca="1"/>
        <v>45.702484873324288</v>
      </c>
      <c r="G544" s="19"/>
      <c r="N544" s="52">
        <f ca="1"/>
        <v>45.702484873324288</v>
      </c>
      <c r="O544" s="53">
        <f ca="1"/>
        <v>86.192746081687986</v>
      </c>
      <c r="P544" s="53">
        <f ca="1"/>
        <v>86.192746081687986</v>
      </c>
      <c r="Q544" s="47">
        <f ca="1"/>
        <v>0</v>
      </c>
    </row>
    <row r="545" spans="2:10" x14ac:dyDescent="0.3">
      <c r="G545" s="19"/>
    </row>
    <row r="546" spans="2:10" x14ac:dyDescent="0.3">
      <c r="G546" s="19"/>
    </row>
    <row r="547" spans="2:10" x14ac:dyDescent="0.3">
      <c r="G547" s="19"/>
    </row>
    <row r="549" spans="2:10" x14ac:dyDescent="0.3">
      <c r="B549" s="18" t="str" cm="1">
        <f t="array" ref="B549" xml:space="preserve"> "(" &amp; _xlfn.UNICHAR( 65 + SUMPRODUCT(--(_xlfn.REGEXTEST(B$1:B548, "^\([A-Z]\)$")))) &amp; ")"</f>
        <v>(P)</v>
      </c>
      <c r="C549" s="7" t="s">
        <v>253</v>
      </c>
    </row>
    <row r="551" spans="2:10" x14ac:dyDescent="0.3">
      <c r="C551" s="26" t="s">
        <v>43</v>
      </c>
      <c r="D551" s="27">
        <v>10</v>
      </c>
      <c r="F551" s="26" t="s">
        <v>56</v>
      </c>
      <c r="G551" s="28" cm="1">
        <f t="array" aca="1" ref="G551:I560" ca="1" xml:space="preserve"> _xlfn.LET(
  _xlpm._rows, D551,
  _xlpm._cols, D552,
  _xlpm._min, D553,
  _xlpm._max, D554,
  _xlpm._int, D555,
  _xlpm._idx, _xlfn.SEQUENCE(_xlpm._rows * _xlpm._cols, 1),
  _xlpm._arr, _xlfn.DROP(
    _xlfn.REDUCE(0, _xlpm._idx, _xlfn.LAMBDA(_xlpm._acc,_xlpm._val,
      _xlfn.VSTACK(_xlpm._acc, RXL_RecRAND(_xlpm._acc, _xlpm._min, _xlpm._max, _xlpm._int, 1000))
    )), 1
  ),
  _xlpm._rtn, _xlfn.MAKEARRAY(_xlpm._rows, _xlpm._cols, _xlfn.LAMBDA(_xlpm._r,_xlpm._c, INDEX(_xlpm._arr, (_xlpm._r - 1) * _xlpm._cols + _xlpm._c))),
  _xlpm._rtn
)</f>
        <v>3</v>
      </c>
      <c r="H551" s="28">
        <f ca="1"/>
        <v>-5</v>
      </c>
      <c r="I551" s="28">
        <f ca="1"/>
        <v>-3</v>
      </c>
      <c r="J551" s="19" t="e" cm="1">
        <f t="array" aca="1" ref="J551" ca="1" xml:space="preserve"> _xlfn.TEXTSPLIT( _xlfn.FORMULATEXT(G551), , CHAR(10))</f>
        <v>#NUM!</v>
      </c>
    </row>
    <row r="552" spans="2:10" x14ac:dyDescent="0.3">
      <c r="C552" s="26" t="s">
        <v>44</v>
      </c>
      <c r="D552" s="27">
        <v>3</v>
      </c>
      <c r="G552" s="28">
        <f ca="1"/>
        <v>91</v>
      </c>
      <c r="H552" s="28">
        <f ca="1"/>
        <v>7</v>
      </c>
      <c r="I552" s="28">
        <f ca="1"/>
        <v>60</v>
      </c>
      <c r="J552" s="19"/>
    </row>
    <row r="553" spans="2:10" x14ac:dyDescent="0.3">
      <c r="C553" s="26" t="s">
        <v>53</v>
      </c>
      <c r="D553" s="27">
        <v>-10</v>
      </c>
      <c r="G553" s="28">
        <f ca="1"/>
        <v>13</v>
      </c>
      <c r="H553" s="28">
        <f ca="1"/>
        <v>80</v>
      </c>
      <c r="I553" s="28">
        <f ca="1"/>
        <v>67</v>
      </c>
      <c r="J553" s="19"/>
    </row>
    <row r="554" spans="2:10" x14ac:dyDescent="0.3">
      <c r="C554" s="26" t="s">
        <v>52</v>
      </c>
      <c r="D554" s="27">
        <v>100</v>
      </c>
      <c r="G554" s="28">
        <f ca="1"/>
        <v>81</v>
      </c>
      <c r="H554" s="28">
        <f ca="1"/>
        <v>75</v>
      </c>
      <c r="I554" s="28">
        <f ca="1"/>
        <v>82</v>
      </c>
      <c r="J554" s="19"/>
    </row>
    <row r="555" spans="2:10" x14ac:dyDescent="0.3">
      <c r="C555" s="26" t="s">
        <v>168</v>
      </c>
      <c r="D555" s="49">
        <v>1</v>
      </c>
      <c r="G555" s="28">
        <f ca="1"/>
        <v>-4</v>
      </c>
      <c r="H555" s="28">
        <f ca="1"/>
        <v>4</v>
      </c>
      <c r="I555" s="28">
        <f ca="1"/>
        <v>59</v>
      </c>
      <c r="J555" s="19"/>
    </row>
    <row r="556" spans="2:10" x14ac:dyDescent="0.3">
      <c r="G556" s="28">
        <f ca="1"/>
        <v>70</v>
      </c>
      <c r="H556" s="28">
        <f ca="1"/>
        <v>-7</v>
      </c>
      <c r="I556" s="28">
        <f ca="1"/>
        <v>51</v>
      </c>
      <c r="J556" s="19"/>
    </row>
    <row r="557" spans="2:10" x14ac:dyDescent="0.3">
      <c r="G557" s="28">
        <f ca="1"/>
        <v>39</v>
      </c>
      <c r="H557" s="28">
        <f ca="1"/>
        <v>96</v>
      </c>
      <c r="I557" s="28">
        <f ca="1"/>
        <v>62</v>
      </c>
      <c r="J557" s="19"/>
    </row>
    <row r="558" spans="2:10" x14ac:dyDescent="0.3">
      <c r="G558" s="28">
        <f ca="1"/>
        <v>65</v>
      </c>
      <c r="H558" s="28">
        <f ca="1"/>
        <v>48</v>
      </c>
      <c r="I558" s="28">
        <f ca="1"/>
        <v>90</v>
      </c>
      <c r="J558" s="19"/>
    </row>
    <row r="559" spans="2:10" x14ac:dyDescent="0.3">
      <c r="G559" s="28">
        <f ca="1"/>
        <v>72</v>
      </c>
      <c r="H559" s="28">
        <f ca="1"/>
        <v>71</v>
      </c>
      <c r="I559" s="28">
        <f ca="1"/>
        <v>77</v>
      </c>
      <c r="J559" s="19"/>
    </row>
    <row r="560" spans="2:10" x14ac:dyDescent="0.3">
      <c r="G560" s="28">
        <f ca="1"/>
        <v>88</v>
      </c>
      <c r="H560" s="28">
        <f ca="1"/>
        <v>52</v>
      </c>
      <c r="I560" s="28">
        <f ca="1"/>
        <v>97</v>
      </c>
      <c r="J560" s="19"/>
    </row>
    <row r="561" spans="3:10" x14ac:dyDescent="0.3">
      <c r="J561" s="19"/>
    </row>
    <row r="562" spans="3:10" x14ac:dyDescent="0.3">
      <c r="C562" s="30" t="s">
        <v>61</v>
      </c>
      <c r="J562" s="19"/>
    </row>
    <row r="563" spans="3:10" ht="14.4" thickBot="1" x14ac:dyDescent="0.35">
      <c r="C563" s="26" t="s">
        <v>66</v>
      </c>
      <c r="D563" s="33">
        <f ca="1" xml:space="preserve"> COUNT(_xlfn.ANCHORARRAY(D565))</f>
        <v>30</v>
      </c>
      <c r="E563" s="33">
        <f ca="1" xml:space="preserve"> COUNT(_xlfn.ANCHORARRAY(E565))</f>
        <v>30</v>
      </c>
      <c r="F563" s="33">
        <f ca="1" xml:space="preserve"> COUNT(_xlfn.ANCHORARRAY(F565))</f>
        <v>30</v>
      </c>
      <c r="J563" s="19"/>
    </row>
    <row r="564" spans="3:10" ht="14.4" thickTop="1" x14ac:dyDescent="0.3">
      <c r="D564" s="18" t="s">
        <v>63</v>
      </c>
      <c r="E564" s="18" t="s">
        <v>62</v>
      </c>
      <c r="F564" s="18" t="s">
        <v>64</v>
      </c>
      <c r="J564" s="19"/>
    </row>
    <row r="565" spans="3:10" x14ac:dyDescent="0.3">
      <c r="D565" s="29" cm="1">
        <f t="array" aca="1" ref="D565:D594" ca="1" xml:space="preserve"> _xlfn.TOCOL(_xlfn.ANCHORARRAY(G551))</f>
        <v>3</v>
      </c>
      <c r="E565" s="28" cm="1">
        <f t="array" aca="1" ref="E565:E594" ca="1" xml:space="preserve"> _xlfn._xlws.SORT(_xlfn.ANCHORARRAY(D565))</f>
        <v>-7</v>
      </c>
      <c r="F565" s="28" cm="1">
        <f t="array" aca="1" ref="F565:F594" ca="1" xml:space="preserve"> _xlfn.UNIQUE(_xlfn.ANCHORARRAY(E565), , TRUE)</f>
        <v>-7</v>
      </c>
      <c r="J565" s="19"/>
    </row>
    <row r="566" spans="3:10" x14ac:dyDescent="0.3">
      <c r="D566" s="29">
        <f ca="1"/>
        <v>-5</v>
      </c>
      <c r="E566" s="28">
        <f ca="1"/>
        <v>-5</v>
      </c>
      <c r="F566" s="28">
        <f ca="1"/>
        <v>-5</v>
      </c>
    </row>
    <row r="567" spans="3:10" x14ac:dyDescent="0.3">
      <c r="D567" s="29">
        <f ca="1"/>
        <v>-3</v>
      </c>
      <c r="E567" s="28">
        <f ca="1"/>
        <v>-4</v>
      </c>
      <c r="F567" s="28">
        <f ca="1"/>
        <v>-4</v>
      </c>
    </row>
    <row r="568" spans="3:10" x14ac:dyDescent="0.3">
      <c r="D568" s="29">
        <f ca="1"/>
        <v>91</v>
      </c>
      <c r="E568" s="28">
        <f ca="1"/>
        <v>-3</v>
      </c>
      <c r="F568" s="28">
        <f ca="1"/>
        <v>-3</v>
      </c>
    </row>
    <row r="569" spans="3:10" x14ac:dyDescent="0.3">
      <c r="D569" s="29">
        <f ca="1"/>
        <v>7</v>
      </c>
      <c r="E569" s="28">
        <f ca="1"/>
        <v>3</v>
      </c>
      <c r="F569" s="28">
        <f ca="1"/>
        <v>3</v>
      </c>
    </row>
    <row r="570" spans="3:10" x14ac:dyDescent="0.3">
      <c r="D570" s="29">
        <f ca="1"/>
        <v>60</v>
      </c>
      <c r="E570" s="28">
        <f ca="1"/>
        <v>4</v>
      </c>
      <c r="F570" s="28">
        <f ca="1"/>
        <v>4</v>
      </c>
    </row>
    <row r="571" spans="3:10" x14ac:dyDescent="0.3">
      <c r="D571" s="29">
        <f ca="1"/>
        <v>13</v>
      </c>
      <c r="E571" s="28">
        <f ca="1"/>
        <v>7</v>
      </c>
      <c r="F571" s="28">
        <f ca="1"/>
        <v>7</v>
      </c>
    </row>
    <row r="572" spans="3:10" x14ac:dyDescent="0.3">
      <c r="D572" s="29">
        <f ca="1"/>
        <v>80</v>
      </c>
      <c r="E572" s="28">
        <f ca="1"/>
        <v>13</v>
      </c>
      <c r="F572" s="28">
        <f ca="1"/>
        <v>13</v>
      </c>
    </row>
    <row r="573" spans="3:10" x14ac:dyDescent="0.3">
      <c r="D573" s="29">
        <f ca="1"/>
        <v>67</v>
      </c>
      <c r="E573" s="28">
        <f ca="1"/>
        <v>39</v>
      </c>
      <c r="F573" s="28">
        <f ca="1"/>
        <v>39</v>
      </c>
    </row>
    <row r="574" spans="3:10" x14ac:dyDescent="0.3">
      <c r="D574" s="29">
        <f ca="1"/>
        <v>81</v>
      </c>
      <c r="E574" s="28">
        <f ca="1"/>
        <v>48</v>
      </c>
      <c r="F574" s="28">
        <f ca="1"/>
        <v>48</v>
      </c>
    </row>
    <row r="575" spans="3:10" x14ac:dyDescent="0.3">
      <c r="D575" s="29">
        <f ca="1"/>
        <v>75</v>
      </c>
      <c r="E575" s="28">
        <f ca="1"/>
        <v>51</v>
      </c>
      <c r="F575" s="28">
        <f ca="1"/>
        <v>51</v>
      </c>
    </row>
    <row r="576" spans="3:10" x14ac:dyDescent="0.3">
      <c r="D576" s="29">
        <f ca="1"/>
        <v>82</v>
      </c>
      <c r="E576" s="28">
        <f ca="1"/>
        <v>52</v>
      </c>
      <c r="F576" s="28">
        <f ca="1"/>
        <v>52</v>
      </c>
    </row>
    <row r="577" spans="4:6" x14ac:dyDescent="0.3">
      <c r="D577" s="29">
        <f ca="1"/>
        <v>-4</v>
      </c>
      <c r="E577" s="28">
        <f ca="1"/>
        <v>59</v>
      </c>
      <c r="F577" s="28">
        <f ca="1"/>
        <v>59</v>
      </c>
    </row>
    <row r="578" spans="4:6" x14ac:dyDescent="0.3">
      <c r="D578" s="29">
        <f ca="1"/>
        <v>4</v>
      </c>
      <c r="E578" s="28">
        <f ca="1"/>
        <v>60</v>
      </c>
      <c r="F578" s="28">
        <f ca="1"/>
        <v>60</v>
      </c>
    </row>
    <row r="579" spans="4:6" x14ac:dyDescent="0.3">
      <c r="D579" s="29">
        <f ca="1"/>
        <v>59</v>
      </c>
      <c r="E579" s="28">
        <f ca="1"/>
        <v>62</v>
      </c>
      <c r="F579" s="28">
        <f ca="1"/>
        <v>62</v>
      </c>
    </row>
    <row r="580" spans="4:6" x14ac:dyDescent="0.3">
      <c r="D580" s="29">
        <f ca="1"/>
        <v>70</v>
      </c>
      <c r="E580" s="28">
        <f ca="1"/>
        <v>65</v>
      </c>
      <c r="F580" s="28">
        <f ca="1"/>
        <v>65</v>
      </c>
    </row>
    <row r="581" spans="4:6" x14ac:dyDescent="0.3">
      <c r="D581" s="29">
        <f ca="1"/>
        <v>-7</v>
      </c>
      <c r="E581" s="28">
        <f ca="1"/>
        <v>67</v>
      </c>
      <c r="F581" s="28">
        <f ca="1"/>
        <v>67</v>
      </c>
    </row>
    <row r="582" spans="4:6" x14ac:dyDescent="0.3">
      <c r="D582" s="29">
        <f ca="1"/>
        <v>51</v>
      </c>
      <c r="E582" s="28">
        <f ca="1"/>
        <v>70</v>
      </c>
      <c r="F582" s="28">
        <f ca="1"/>
        <v>70</v>
      </c>
    </row>
    <row r="583" spans="4:6" x14ac:dyDescent="0.3">
      <c r="D583" s="29">
        <f ca="1"/>
        <v>39</v>
      </c>
      <c r="E583" s="28">
        <f ca="1"/>
        <v>71</v>
      </c>
      <c r="F583" s="28">
        <f ca="1"/>
        <v>71</v>
      </c>
    </row>
    <row r="584" spans="4:6" x14ac:dyDescent="0.3">
      <c r="D584" s="29">
        <f ca="1"/>
        <v>96</v>
      </c>
      <c r="E584" s="28">
        <f ca="1"/>
        <v>72</v>
      </c>
      <c r="F584" s="28">
        <f ca="1"/>
        <v>72</v>
      </c>
    </row>
    <row r="585" spans="4:6" x14ac:dyDescent="0.3">
      <c r="D585" s="29">
        <f ca="1"/>
        <v>62</v>
      </c>
      <c r="E585" s="28">
        <f ca="1"/>
        <v>75</v>
      </c>
      <c r="F585" s="28">
        <f ca="1"/>
        <v>75</v>
      </c>
    </row>
    <row r="586" spans="4:6" x14ac:dyDescent="0.3">
      <c r="D586" s="29">
        <f ca="1"/>
        <v>65</v>
      </c>
      <c r="E586" s="28">
        <f ca="1"/>
        <v>77</v>
      </c>
      <c r="F586" s="28">
        <f ca="1"/>
        <v>77</v>
      </c>
    </row>
    <row r="587" spans="4:6" x14ac:dyDescent="0.3">
      <c r="D587" s="29">
        <f ca="1"/>
        <v>48</v>
      </c>
      <c r="E587" s="28">
        <f ca="1"/>
        <v>80</v>
      </c>
      <c r="F587" s="28">
        <f ca="1"/>
        <v>80</v>
      </c>
    </row>
    <row r="588" spans="4:6" x14ac:dyDescent="0.3">
      <c r="D588" s="29">
        <f ca="1"/>
        <v>90</v>
      </c>
      <c r="E588" s="28">
        <f ca="1"/>
        <v>81</v>
      </c>
      <c r="F588" s="28">
        <f ca="1"/>
        <v>81</v>
      </c>
    </row>
    <row r="589" spans="4:6" x14ac:dyDescent="0.3">
      <c r="D589" s="29">
        <f ca="1"/>
        <v>72</v>
      </c>
      <c r="E589" s="28">
        <f ca="1"/>
        <v>82</v>
      </c>
      <c r="F589" s="28">
        <f ca="1"/>
        <v>82</v>
      </c>
    </row>
    <row r="590" spans="4:6" x14ac:dyDescent="0.3">
      <c r="D590" s="29">
        <f ca="1"/>
        <v>71</v>
      </c>
      <c r="E590" s="28">
        <f ca="1"/>
        <v>88</v>
      </c>
      <c r="F590" s="28">
        <f ca="1"/>
        <v>88</v>
      </c>
    </row>
    <row r="591" spans="4:6" x14ac:dyDescent="0.3">
      <c r="D591" s="29">
        <f ca="1"/>
        <v>77</v>
      </c>
      <c r="E591" s="28">
        <f ca="1"/>
        <v>90</v>
      </c>
      <c r="F591" s="28">
        <f ca="1"/>
        <v>90</v>
      </c>
    </row>
    <row r="592" spans="4:6" x14ac:dyDescent="0.3">
      <c r="D592" s="29">
        <f ca="1"/>
        <v>88</v>
      </c>
      <c r="E592" s="28">
        <f ca="1"/>
        <v>91</v>
      </c>
      <c r="F592" s="28">
        <f ca="1"/>
        <v>91</v>
      </c>
    </row>
    <row r="593" spans="2:20" x14ac:dyDescent="0.3">
      <c r="D593" s="29">
        <f ca="1"/>
        <v>52</v>
      </c>
      <c r="E593" s="28">
        <f ca="1"/>
        <v>96</v>
      </c>
      <c r="F593" s="28">
        <f ca="1"/>
        <v>96</v>
      </c>
    </row>
    <row r="594" spans="2:20" x14ac:dyDescent="0.3">
      <c r="D594" s="29">
        <f ca="1"/>
        <v>97</v>
      </c>
      <c r="E594" s="28">
        <f ca="1"/>
        <v>97</v>
      </c>
      <c r="F594" s="28">
        <f ca="1"/>
        <v>97</v>
      </c>
    </row>
    <row r="597" spans="2:20" x14ac:dyDescent="0.3">
      <c r="B597" s="5" t="s">
        <v>31</v>
      </c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</row>
    <row r="599" spans="2:20" x14ac:dyDescent="0.3">
      <c r="B599" s="18" t="str" cm="1">
        <f t="array" ref="B599" xml:space="preserve"> "(" &amp; _xlfn.UNICHAR( 65 + SUMPRODUCT(--(_xlfn.REGEXTEST(B$1:B598, "^\([A-Z]\)$")))) &amp; ")"</f>
        <v>(Q)</v>
      </c>
      <c r="C599" s="7" t="s">
        <v>32</v>
      </c>
    </row>
    <row r="601" spans="2:20" x14ac:dyDescent="0.3">
      <c r="C601" s="26" t="s">
        <v>43</v>
      </c>
      <c r="D601" s="27">
        <v>1</v>
      </c>
      <c r="F601" s="26" t="s">
        <v>56</v>
      </c>
      <c r="G601" s="31" t="str" cm="1">
        <f t="array" ref="G601" xml:space="preserve"> _xlfn.LAMBDA(_xlop.rows,_xlop.columns,_xlop.min,_xlop.max,_xlop.integer,
  _xlfn.LET(
    _xlpm._rows, IF( _xlfn.ISOMITTED(_xlpm.rows), 1, INT(_xlpm.rows)),
    _xlpm._cols, IF( _xlfn.ISOMITTED(_xlpm.columns), 1, INT(_xlpm.columns)),
    _xlpm._min, IF( _xlfn.ISOMITTED(_xlpm.min), 0, INT(_xlpm.min)),
    _xlpm._max, IF( _xlfn.ISOMITTED(_xlpm.max), 100, INT(_xlpm.max)),
    _xlpm._int, IF( _xlfn.ISOMITTED(_xlpm.integer), 1, INT(_xlpm.integer)),
    _xlpm._cnt, _xlpm._rows * _xlpm._cols,
    _xlpm._dif, _xlpm._max - _xlpm._min + 1,
    _xlpm._inpChk, IF(
      _xlpm._cnt &gt; _xlpm._dif,
      2, IF(
      OR(
        ISERROR(_xlpm._rows), _xlpm._rows &lt; 1,
        ISERROR(_xlpm._cols), _xlpm._cols &lt; 1,
        ISERROR(_xlpm._min), ISERROR(_xlpm._max), _xlpm._min &gt;= _xlpm._max,
        ISERROR(_xlpm._int), _xlpm._int &lt; 0, _xlpm._int &gt; 1
      ), 3,
      1
    )),
    CHOOSE(_xlpm._inpChk, "OK", _xlfn.LAMBDA(0), #VALUE!)
  )
)(D601, D602, D603, D604, D605)</f>
        <v>OK</v>
      </c>
      <c r="H601" s="19" t="e" cm="1">
        <f t="array" aca="1" ref="H601" ca="1" xml:space="preserve"> _xlfn.TEXTSPLIT( _xlfn.FORMULATEXT(G601), , CHAR(10))</f>
        <v>#NUM!</v>
      </c>
    </row>
    <row r="602" spans="2:20" x14ac:dyDescent="0.3">
      <c r="C602" s="26" t="s">
        <v>44</v>
      </c>
      <c r="D602" s="27">
        <v>1</v>
      </c>
      <c r="H602" s="19"/>
    </row>
    <row r="603" spans="2:20" x14ac:dyDescent="0.3">
      <c r="C603" s="26" t="s">
        <v>53</v>
      </c>
      <c r="D603" s="27">
        <v>0</v>
      </c>
      <c r="H603" s="19"/>
    </row>
    <row r="604" spans="2:20" x14ac:dyDescent="0.3">
      <c r="C604" s="26" t="s">
        <v>52</v>
      </c>
      <c r="D604" s="27">
        <v>10</v>
      </c>
      <c r="H604" s="19"/>
    </row>
    <row r="605" spans="2:20" x14ac:dyDescent="0.3">
      <c r="C605" s="26" t="s">
        <v>168</v>
      </c>
      <c r="D605" s="49">
        <v>0</v>
      </c>
      <c r="H605" s="19"/>
    </row>
    <row r="606" spans="2:20" x14ac:dyDescent="0.3">
      <c r="H606" s="19"/>
    </row>
    <row r="607" spans="2:20" x14ac:dyDescent="0.3">
      <c r="H607" s="19"/>
    </row>
    <row r="608" spans="2:20" x14ac:dyDescent="0.3">
      <c r="H608" s="19"/>
    </row>
    <row r="609" spans="8:8" x14ac:dyDescent="0.3">
      <c r="H609" s="19"/>
    </row>
    <row r="610" spans="8:8" x14ac:dyDescent="0.3">
      <c r="H610" s="19"/>
    </row>
    <row r="611" spans="8:8" x14ac:dyDescent="0.3">
      <c r="H611" s="19"/>
    </row>
    <row r="612" spans="8:8" x14ac:dyDescent="0.3">
      <c r="H612" s="19"/>
    </row>
    <row r="613" spans="8:8" x14ac:dyDescent="0.3">
      <c r="H613" s="19"/>
    </row>
    <row r="614" spans="8:8" x14ac:dyDescent="0.3">
      <c r="H614" s="19"/>
    </row>
    <row r="615" spans="8:8" x14ac:dyDescent="0.3">
      <c r="H615" s="19"/>
    </row>
    <row r="616" spans="8:8" x14ac:dyDescent="0.3">
      <c r="H616" s="19"/>
    </row>
    <row r="617" spans="8:8" x14ac:dyDescent="0.3">
      <c r="H617" s="19"/>
    </row>
    <row r="618" spans="8:8" x14ac:dyDescent="0.3">
      <c r="H618" s="19"/>
    </row>
    <row r="619" spans="8:8" x14ac:dyDescent="0.3">
      <c r="H619" s="19"/>
    </row>
    <row r="620" spans="8:8" x14ac:dyDescent="0.3">
      <c r="H620" s="19"/>
    </row>
    <row r="621" spans="8:8" x14ac:dyDescent="0.3">
      <c r="H621" s="19"/>
    </row>
    <row r="622" spans="8:8" x14ac:dyDescent="0.3">
      <c r="H622" s="19"/>
    </row>
    <row r="623" spans="8:8" x14ac:dyDescent="0.3">
      <c r="H623" s="19"/>
    </row>
    <row r="625" spans="2:10" x14ac:dyDescent="0.3">
      <c r="B625" s="18" t="str" cm="1">
        <f t="array" ref="B625" xml:space="preserve"> "(" &amp; _xlfn.UNICHAR( 65 + SUMPRODUCT(--(_xlfn.REGEXTEST(B$1:B624, "^\([A-Z]\)$")))) &amp; ")"</f>
        <v>(R)</v>
      </c>
      <c r="C625" s="7" t="s">
        <v>254</v>
      </c>
    </row>
    <row r="627" spans="2:10" x14ac:dyDescent="0.3">
      <c r="C627" s="26" t="s">
        <v>43</v>
      </c>
      <c r="D627" s="27">
        <v>10</v>
      </c>
      <c r="F627" s="26" t="s">
        <v>56</v>
      </c>
      <c r="G627" s="28" cm="1">
        <f t="array" aca="1" ref="G627:I636" ca="1" xml:space="preserve"> _xlfn.LAMBDA(_xlop.rows,_xlop.columns,_xlop.min,_xlop.max,_xlop.integer,
  _xlfn.LET(
    _xlpm._rows, IF( _xlfn.ISOMITTED(_xlpm.rows), 1, INT(_xlpm.rows)),
    _xlpm._cols, IF( _xlfn.ISOMITTED(_xlpm.columns), 1, INT(_xlpm.columns)),
    _xlpm._min, IF( _xlfn.ISOMITTED(_xlpm.min), 0, INT(_xlpm.min)),
    _xlpm._max, IF( _xlfn.ISOMITTED(_xlpm.max), 100, INT(_xlpm.max)),
    _xlpm._int, IF( _xlfn.ISOMITTED(_xlpm.integer), 1, INT(_xlpm.integer)),
    _xlpm._cnt, _xlpm._rows * _xlpm._cols,
    _xlpm._dif, _xlpm._max - _xlpm._min + 1,
    _xlpm._inpChk, IF(
      _xlpm._cnt &gt; _xlpm._dif,
      2, IF(
      OR(
        ISERROR(_xlpm._rows), _xlpm._rows &lt; 1,
        ISERROR(_xlpm._cols), _xlpm._cols &lt; 1,
        ISERROR(_xlpm._min), ISERROR(_xlpm._max), _xlpm._min &gt;= _xlpm._max,
        ISERROR(_xlpm._int), _xlpm._int &lt; 0, _xlpm._int &gt; 1
      ), 3,
      1
    )),
    _xlpm._idx, _xlfn.SEQUENCE(_xlpm._rows * _xlpm._cols, 1),
    _xlpm._arr, _xlfn.DROP(
      _xlfn.REDUCE(0, _xlpm._idx, _xlfn.LAMBDA(_xlpm._acc,_xlpm._val,
        _xlfn.VSTACK(_xlpm._acc, RXL_RecRAND(_xlpm._acc, _xlpm._min, _xlpm._max, _xlpm._int, 1000))
      )), 1
    ),
    _xlpm._rtn, _xlfn.MAKEARRAY(_xlpm._rows, _xlpm._cols, _xlfn.LAMBDA(_xlpm._r,_xlpm._c, INDEX(_xlpm._arr, (_xlpm._r - 1) * _xlpm._cols + _xlpm._c))),
    CHOOSE(_xlpm._inpChk, _xlpm._rtn, _xlfn.LAMBDA(0), #VALUE!)
  )
)(D627, D628, D629, D630, D631)</f>
        <v>22</v>
      </c>
      <c r="H627" s="28">
        <f ca="1"/>
        <v>42</v>
      </c>
      <c r="I627" s="28">
        <f ca="1"/>
        <v>20</v>
      </c>
      <c r="J627" s="19" t="e" cm="1">
        <f t="array" aca="1" ref="J627" ca="1" xml:space="preserve"> _xlfn.TEXTSPLIT( _xlfn.FORMULATEXT(G627), , CHAR(10))</f>
        <v>#NUM!</v>
      </c>
    </row>
    <row r="628" spans="2:10" x14ac:dyDescent="0.3">
      <c r="C628" s="26" t="s">
        <v>44</v>
      </c>
      <c r="D628" s="27">
        <v>3</v>
      </c>
      <c r="G628" s="28">
        <f ca="1"/>
        <v>81</v>
      </c>
      <c r="H628" s="28">
        <f ca="1"/>
        <v>31</v>
      </c>
      <c r="I628" s="28">
        <f ca="1"/>
        <v>91</v>
      </c>
      <c r="J628" s="19"/>
    </row>
    <row r="629" spans="2:10" x14ac:dyDescent="0.3">
      <c r="C629" s="26" t="s">
        <v>53</v>
      </c>
      <c r="D629" s="27">
        <v>-10</v>
      </c>
      <c r="G629" s="28">
        <f ca="1"/>
        <v>12</v>
      </c>
      <c r="H629" s="28">
        <f ca="1"/>
        <v>-6</v>
      </c>
      <c r="I629" s="28">
        <f ca="1"/>
        <v>46</v>
      </c>
      <c r="J629" s="19"/>
    </row>
    <row r="630" spans="2:10" x14ac:dyDescent="0.3">
      <c r="C630" s="26" t="s">
        <v>52</v>
      </c>
      <c r="D630" s="27">
        <v>100</v>
      </c>
      <c r="G630" s="28">
        <f ca="1"/>
        <v>15</v>
      </c>
      <c r="H630" s="28">
        <f ca="1"/>
        <v>95</v>
      </c>
      <c r="I630" s="28">
        <f ca="1"/>
        <v>3</v>
      </c>
      <c r="J630" s="19"/>
    </row>
    <row r="631" spans="2:10" x14ac:dyDescent="0.3">
      <c r="C631" s="26" t="s">
        <v>168</v>
      </c>
      <c r="D631" s="49">
        <v>1</v>
      </c>
      <c r="G631" s="28">
        <f ca="1"/>
        <v>34</v>
      </c>
      <c r="H631" s="28">
        <f ca="1"/>
        <v>39</v>
      </c>
      <c r="I631" s="28">
        <f ca="1"/>
        <v>10</v>
      </c>
      <c r="J631" s="19"/>
    </row>
    <row r="632" spans="2:10" x14ac:dyDescent="0.3">
      <c r="G632" s="28">
        <f ca="1"/>
        <v>55</v>
      </c>
      <c r="H632" s="28">
        <f ca="1"/>
        <v>53</v>
      </c>
      <c r="I632" s="28">
        <f ca="1"/>
        <v>-10</v>
      </c>
      <c r="J632" s="19"/>
    </row>
    <row r="633" spans="2:10" x14ac:dyDescent="0.3">
      <c r="G633" s="28">
        <f ca="1"/>
        <v>94</v>
      </c>
      <c r="H633" s="28">
        <f ca="1"/>
        <v>54</v>
      </c>
      <c r="I633" s="28">
        <f ca="1"/>
        <v>88</v>
      </c>
      <c r="J633" s="19"/>
    </row>
    <row r="634" spans="2:10" x14ac:dyDescent="0.3">
      <c r="G634" s="28">
        <f ca="1"/>
        <v>13</v>
      </c>
      <c r="H634" s="28">
        <f ca="1"/>
        <v>23</v>
      </c>
      <c r="I634" s="28">
        <f ca="1"/>
        <v>29</v>
      </c>
      <c r="J634" s="19"/>
    </row>
    <row r="635" spans="2:10" x14ac:dyDescent="0.3">
      <c r="G635" s="28">
        <f ca="1"/>
        <v>-9</v>
      </c>
      <c r="H635" s="28">
        <f ca="1"/>
        <v>-4</v>
      </c>
      <c r="I635" s="28">
        <f ca="1"/>
        <v>65</v>
      </c>
      <c r="J635" s="19"/>
    </row>
    <row r="636" spans="2:10" x14ac:dyDescent="0.3">
      <c r="G636" s="28">
        <f ca="1"/>
        <v>48</v>
      </c>
      <c r="H636" s="28">
        <f ca="1"/>
        <v>35</v>
      </c>
      <c r="I636" s="28">
        <f ca="1"/>
        <v>37</v>
      </c>
      <c r="J636" s="19"/>
    </row>
    <row r="637" spans="2:10" x14ac:dyDescent="0.3">
      <c r="J637" s="19"/>
    </row>
    <row r="638" spans="2:10" x14ac:dyDescent="0.3">
      <c r="J638" s="19"/>
    </row>
    <row r="639" spans="2:10" x14ac:dyDescent="0.3">
      <c r="J639" s="19"/>
    </row>
    <row r="640" spans="2:10" x14ac:dyDescent="0.3">
      <c r="J640" s="19"/>
    </row>
    <row r="641" spans="10:10" x14ac:dyDescent="0.3">
      <c r="J641" s="19"/>
    </row>
    <row r="642" spans="10:10" x14ac:dyDescent="0.3">
      <c r="J642" s="19"/>
    </row>
    <row r="643" spans="10:10" x14ac:dyDescent="0.3">
      <c r="J643" s="19"/>
    </row>
    <row r="644" spans="10:10" x14ac:dyDescent="0.3">
      <c r="J644" s="19"/>
    </row>
    <row r="645" spans="10:10" x14ac:dyDescent="0.3">
      <c r="J645" s="19"/>
    </row>
    <row r="646" spans="10:10" x14ac:dyDescent="0.3">
      <c r="J646" s="19"/>
    </row>
    <row r="647" spans="10:10" x14ac:dyDescent="0.3">
      <c r="J647" s="19"/>
    </row>
    <row r="648" spans="10:10" x14ac:dyDescent="0.3">
      <c r="J648" s="19"/>
    </row>
    <row r="649" spans="10:10" x14ac:dyDescent="0.3">
      <c r="J649" s="19"/>
    </row>
    <row r="650" spans="10:10" x14ac:dyDescent="0.3">
      <c r="J650" s="19"/>
    </row>
    <row r="651" spans="10:10" x14ac:dyDescent="0.3">
      <c r="J651" s="19"/>
    </row>
    <row r="652" spans="10:10" x14ac:dyDescent="0.3">
      <c r="J652" s="19"/>
    </row>
    <row r="653" spans="10:10" x14ac:dyDescent="0.3">
      <c r="J653" s="19"/>
    </row>
    <row r="654" spans="10:10" x14ac:dyDescent="0.3">
      <c r="J654" s="19"/>
    </row>
    <row r="655" spans="10:10" x14ac:dyDescent="0.3">
      <c r="J655" s="19"/>
    </row>
    <row r="656" spans="10:10" x14ac:dyDescent="0.3">
      <c r="J656" s="19"/>
    </row>
    <row r="659" spans="2:6" s="3" customFormat="1" ht="16.2" thickBot="1" x14ac:dyDescent="0.35">
      <c r="B659" s="9">
        <f xml:space="preserve"> MAX(B$1:B658) + 1</f>
        <v>4</v>
      </c>
      <c r="C659" s="3" t="s">
        <v>196</v>
      </c>
    </row>
    <row r="661" spans="2:6" x14ac:dyDescent="0.3">
      <c r="B661" s="7" t="s">
        <v>33</v>
      </c>
    </row>
    <row r="662" spans="2:6" x14ac:dyDescent="0.3">
      <c r="C662" t="s">
        <v>203</v>
      </c>
    </row>
    <row r="663" spans="2:6" x14ac:dyDescent="0.3">
      <c r="C663" t="s">
        <v>109</v>
      </c>
    </row>
    <row r="664" spans="2:6" x14ac:dyDescent="0.3">
      <c r="C664" t="s">
        <v>204</v>
      </c>
    </row>
    <row r="665" spans="2:6" x14ac:dyDescent="0.3">
      <c r="C665" s="10" t="s">
        <v>5</v>
      </c>
      <c r="D665" s="42" t="s">
        <v>310</v>
      </c>
    </row>
    <row r="667" spans="2:6" x14ac:dyDescent="0.3">
      <c r="B667" s="7" t="s">
        <v>34</v>
      </c>
    </row>
    <row r="668" spans="2:6" x14ac:dyDescent="0.3">
      <c r="C668" s="20" t="s">
        <v>46</v>
      </c>
      <c r="E668" s="23" t="s">
        <v>35</v>
      </c>
      <c r="F668" t="s">
        <v>110</v>
      </c>
    </row>
    <row r="669" spans="2:6" x14ac:dyDescent="0.3">
      <c r="F669" t="s">
        <v>120</v>
      </c>
    </row>
    <row r="670" spans="2:6" x14ac:dyDescent="0.3">
      <c r="C670" s="20" t="s">
        <v>47</v>
      </c>
      <c r="E670" s="23" t="s">
        <v>35</v>
      </c>
      <c r="F670" t="s">
        <v>111</v>
      </c>
    </row>
    <row r="671" spans="2:6" x14ac:dyDescent="0.3">
      <c r="F671" t="s">
        <v>121</v>
      </c>
    </row>
    <row r="672" spans="2:6" x14ac:dyDescent="0.3">
      <c r="C672" s="20" t="s">
        <v>48</v>
      </c>
      <c r="E672" s="23" t="s">
        <v>35</v>
      </c>
      <c r="F672" t="s">
        <v>118</v>
      </c>
    </row>
    <row r="673" spans="2:8" x14ac:dyDescent="0.3">
      <c r="F673" t="s">
        <v>198</v>
      </c>
    </row>
    <row r="674" spans="2:8" x14ac:dyDescent="0.3">
      <c r="C674" s="20" t="s">
        <v>49</v>
      </c>
      <c r="E674" s="23" t="s">
        <v>35</v>
      </c>
      <c r="F674" t="s">
        <v>117</v>
      </c>
    </row>
    <row r="675" spans="2:8" x14ac:dyDescent="0.3">
      <c r="F675" t="s">
        <v>199</v>
      </c>
    </row>
    <row r="676" spans="2:8" x14ac:dyDescent="0.3">
      <c r="C676" s="20" t="s">
        <v>51</v>
      </c>
      <c r="E676" s="23" t="s">
        <v>35</v>
      </c>
      <c r="F676" t="s">
        <v>197</v>
      </c>
    </row>
    <row r="677" spans="2:8" x14ac:dyDescent="0.3">
      <c r="F677" t="s">
        <v>200</v>
      </c>
    </row>
    <row r="678" spans="2:8" x14ac:dyDescent="0.3">
      <c r="G678" s="57" t="s">
        <v>201</v>
      </c>
      <c r="H678" s="24" t="s">
        <v>206</v>
      </c>
    </row>
    <row r="679" spans="2:8" x14ac:dyDescent="0.3">
      <c r="G679" s="57" t="s">
        <v>202</v>
      </c>
      <c r="H679" s="24" t="s">
        <v>205</v>
      </c>
    </row>
    <row r="681" spans="2:8" x14ac:dyDescent="0.3">
      <c r="B681" s="7" t="s">
        <v>36</v>
      </c>
    </row>
    <row r="682" spans="2:8" x14ac:dyDescent="0.3">
      <c r="C682" s="21" t="e" vm="1">
        <v>#VALUE!</v>
      </c>
      <c r="E682" t="s">
        <v>115</v>
      </c>
    </row>
    <row r="683" spans="2:8" x14ac:dyDescent="0.3">
      <c r="E683" t="s">
        <v>116</v>
      </c>
    </row>
    <row r="684" spans="2:8" x14ac:dyDescent="0.3">
      <c r="C684" s="21" t="e" vm="1">
        <v>#VALUE!</v>
      </c>
      <c r="E684" t="s">
        <v>131</v>
      </c>
    </row>
    <row r="685" spans="2:8" x14ac:dyDescent="0.3">
      <c r="C685" s="21" t="e">
        <v>#VALUE!</v>
      </c>
      <c r="E685" t="s">
        <v>112</v>
      </c>
    </row>
    <row r="686" spans="2:8" x14ac:dyDescent="0.3">
      <c r="E686" t="s">
        <v>113</v>
      </c>
    </row>
    <row r="687" spans="2:8" x14ac:dyDescent="0.3">
      <c r="E687" t="s">
        <v>114</v>
      </c>
    </row>
    <row r="688" spans="2:8" x14ac:dyDescent="0.3">
      <c r="C688" s="21" t="e">
        <v>#VALUE!</v>
      </c>
      <c r="E688" t="s">
        <v>207</v>
      </c>
    </row>
    <row r="689" spans="2:5" x14ac:dyDescent="0.3">
      <c r="E689" t="s">
        <v>208</v>
      </c>
    </row>
    <row r="690" spans="2:5" x14ac:dyDescent="0.3">
      <c r="C690" s="21" t="e">
        <v>#NUM!</v>
      </c>
      <c r="E690" t="s">
        <v>305</v>
      </c>
    </row>
    <row r="692" spans="2:5" x14ac:dyDescent="0.3">
      <c r="B692" s="7" t="s">
        <v>37</v>
      </c>
    </row>
    <row r="693" spans="2:5" x14ac:dyDescent="0.3">
      <c r="B693" s="7"/>
      <c r="C693" t="s">
        <v>306</v>
      </c>
    </row>
    <row r="694" spans="2:5" x14ac:dyDescent="0.3">
      <c r="B694" s="7"/>
      <c r="C694" s="43" t="s">
        <v>307</v>
      </c>
    </row>
    <row r="695" spans="2:5" x14ac:dyDescent="0.3">
      <c r="C695" t="s">
        <v>304</v>
      </c>
    </row>
    <row r="696" spans="2:5" x14ac:dyDescent="0.3">
      <c r="C696" t="s">
        <v>308</v>
      </c>
    </row>
    <row r="697" spans="2:5" x14ac:dyDescent="0.3">
      <c r="C697" s="43" t="s">
        <v>309</v>
      </c>
    </row>
    <row r="699" spans="2:5" x14ac:dyDescent="0.3">
      <c r="B699" s="7" t="s">
        <v>38</v>
      </c>
    </row>
    <row r="700" spans="2:5" x14ac:dyDescent="0.3">
      <c r="C700" s="34" t="s">
        <v>92</v>
      </c>
    </row>
    <row r="701" spans="2:5" x14ac:dyDescent="0.3">
      <c r="C701" s="39" t="s">
        <v>97</v>
      </c>
    </row>
    <row r="702" spans="2:5" x14ac:dyDescent="0.3">
      <c r="C702" s="35" t="s">
        <v>93</v>
      </c>
    </row>
    <row r="703" spans="2:5" x14ac:dyDescent="0.3">
      <c r="C703" s="35" t="s">
        <v>94</v>
      </c>
    </row>
    <row r="704" spans="2:5" x14ac:dyDescent="0.3">
      <c r="C704" s="35" t="s">
        <v>95</v>
      </c>
    </row>
    <row r="705" spans="3:3" x14ac:dyDescent="0.3">
      <c r="C705" s="35" t="s">
        <v>96</v>
      </c>
    </row>
    <row r="706" spans="3:3" x14ac:dyDescent="0.3">
      <c r="C706" s="35" t="s">
        <v>266</v>
      </c>
    </row>
    <row r="707" spans="3:3" x14ac:dyDescent="0.3">
      <c r="C707" s="39" t="s">
        <v>98</v>
      </c>
    </row>
    <row r="708" spans="3:3" x14ac:dyDescent="0.3">
      <c r="C708" s="35" t="s">
        <v>67</v>
      </c>
    </row>
    <row r="709" spans="3:3" x14ac:dyDescent="0.3">
      <c r="C709" s="40" t="s">
        <v>99</v>
      </c>
    </row>
    <row r="710" spans="3:3" x14ac:dyDescent="0.3">
      <c r="C710" s="36" t="s">
        <v>68</v>
      </c>
    </row>
    <row r="711" spans="3:3" x14ac:dyDescent="0.3">
      <c r="C711" s="36" t="s">
        <v>69</v>
      </c>
    </row>
    <row r="712" spans="3:3" x14ac:dyDescent="0.3">
      <c r="C712" s="36" t="s">
        <v>70</v>
      </c>
    </row>
    <row r="713" spans="3:3" x14ac:dyDescent="0.3">
      <c r="C713" s="36" t="s">
        <v>71</v>
      </c>
    </row>
    <row r="714" spans="3:3" x14ac:dyDescent="0.3">
      <c r="C714" s="36" t="s">
        <v>259</v>
      </c>
    </row>
    <row r="715" spans="3:3" x14ac:dyDescent="0.3">
      <c r="C715" s="40" t="s">
        <v>102</v>
      </c>
    </row>
    <row r="716" spans="3:3" x14ac:dyDescent="0.3">
      <c r="C716" s="36" t="s">
        <v>72</v>
      </c>
    </row>
    <row r="717" spans="3:3" x14ac:dyDescent="0.3">
      <c r="C717" s="36" t="s">
        <v>73</v>
      </c>
    </row>
    <row r="718" spans="3:3" x14ac:dyDescent="0.3">
      <c r="C718" s="40" t="s">
        <v>104</v>
      </c>
    </row>
    <row r="719" spans="3:3" x14ac:dyDescent="0.3">
      <c r="C719" s="40" t="s">
        <v>103</v>
      </c>
    </row>
    <row r="720" spans="3:3" x14ac:dyDescent="0.3">
      <c r="C720" s="36" t="s">
        <v>74</v>
      </c>
    </row>
    <row r="721" spans="3:3" x14ac:dyDescent="0.3">
      <c r="C721" s="37" t="s">
        <v>311</v>
      </c>
    </row>
    <row r="722" spans="3:3" x14ac:dyDescent="0.3">
      <c r="C722" s="37" t="s">
        <v>76</v>
      </c>
    </row>
    <row r="723" spans="3:3" x14ac:dyDescent="0.3">
      <c r="C723" s="37" t="s">
        <v>77</v>
      </c>
    </row>
    <row r="724" spans="3:3" x14ac:dyDescent="0.3">
      <c r="C724" s="38" t="s">
        <v>78</v>
      </c>
    </row>
    <row r="725" spans="3:3" x14ac:dyDescent="0.3">
      <c r="C725" s="38" t="s">
        <v>79</v>
      </c>
    </row>
    <row r="726" spans="3:3" x14ac:dyDescent="0.3">
      <c r="C726" s="38" t="s">
        <v>260</v>
      </c>
    </row>
    <row r="727" spans="3:3" x14ac:dyDescent="0.3">
      <c r="C727" s="38" t="s">
        <v>261</v>
      </c>
    </row>
    <row r="728" spans="3:3" x14ac:dyDescent="0.3">
      <c r="C728" s="37" t="s">
        <v>80</v>
      </c>
    </row>
    <row r="729" spans="3:3" x14ac:dyDescent="0.3">
      <c r="C729" s="37" t="s">
        <v>81</v>
      </c>
    </row>
    <row r="730" spans="3:3" x14ac:dyDescent="0.3">
      <c r="C730" s="36" t="s">
        <v>82</v>
      </c>
    </row>
    <row r="731" spans="3:3" x14ac:dyDescent="0.3">
      <c r="C731" s="40" t="s">
        <v>267</v>
      </c>
    </row>
    <row r="732" spans="3:3" x14ac:dyDescent="0.3">
      <c r="C732" s="40" t="s">
        <v>268</v>
      </c>
    </row>
    <row r="733" spans="3:3" x14ac:dyDescent="0.3">
      <c r="C733" s="36" t="s">
        <v>105</v>
      </c>
    </row>
    <row r="734" spans="3:3" x14ac:dyDescent="0.3">
      <c r="C734" s="40" t="s">
        <v>270</v>
      </c>
    </row>
    <row r="735" spans="3:3" x14ac:dyDescent="0.3">
      <c r="C735" s="40" t="s">
        <v>271</v>
      </c>
    </row>
    <row r="736" spans="3:3" x14ac:dyDescent="0.3">
      <c r="C736" s="40" t="s">
        <v>272</v>
      </c>
    </row>
    <row r="737" spans="3:3" x14ac:dyDescent="0.3">
      <c r="C737" s="36" t="s">
        <v>83</v>
      </c>
    </row>
    <row r="738" spans="3:3" x14ac:dyDescent="0.3">
      <c r="C738" s="37" t="s">
        <v>262</v>
      </c>
    </row>
    <row r="739" spans="3:3" x14ac:dyDescent="0.3">
      <c r="C739" s="38" t="s">
        <v>263</v>
      </c>
    </row>
    <row r="740" spans="3:3" x14ac:dyDescent="0.3">
      <c r="C740" s="37" t="s">
        <v>264</v>
      </c>
    </row>
    <row r="741" spans="3:3" x14ac:dyDescent="0.3">
      <c r="C741" s="36" t="s">
        <v>265</v>
      </c>
    </row>
    <row r="742" spans="3:3" x14ac:dyDescent="0.3">
      <c r="C742" s="40" t="s">
        <v>128</v>
      </c>
    </row>
    <row r="743" spans="3:3" x14ac:dyDescent="0.3">
      <c r="C743" s="40" t="s">
        <v>129</v>
      </c>
    </row>
    <row r="744" spans="3:3" x14ac:dyDescent="0.3">
      <c r="C744" s="36" t="s">
        <v>130</v>
      </c>
    </row>
    <row r="745" spans="3:3" x14ac:dyDescent="0.3">
      <c r="C745" s="40" t="s">
        <v>100</v>
      </c>
    </row>
    <row r="746" spans="3:3" x14ac:dyDescent="0.3">
      <c r="C746" s="40" t="s">
        <v>101</v>
      </c>
    </row>
    <row r="747" spans="3:3" x14ac:dyDescent="0.3">
      <c r="C747" s="36" t="s">
        <v>90</v>
      </c>
    </row>
    <row r="748" spans="3:3" x14ac:dyDescent="0.3">
      <c r="C748" s="35" t="s">
        <v>91</v>
      </c>
    </row>
    <row r="749" spans="3:3" x14ac:dyDescent="0.3">
      <c r="C749" s="22" t="s">
        <v>91</v>
      </c>
    </row>
    <row r="751" spans="3:3" x14ac:dyDescent="0.3">
      <c r="C751" s="7" t="s">
        <v>273</v>
      </c>
    </row>
    <row r="752" spans="3:3" x14ac:dyDescent="0.3">
      <c r="C752" s="34" t="s">
        <v>312</v>
      </c>
    </row>
    <row r="755" spans="2:3" x14ac:dyDescent="0.3">
      <c r="B755" s="7" t="s">
        <v>274</v>
      </c>
    </row>
    <row r="756" spans="2:3" x14ac:dyDescent="0.3">
      <c r="C756" s="22" t="s">
        <v>92</v>
      </c>
    </row>
    <row r="757" spans="2:3" x14ac:dyDescent="0.3">
      <c r="C757" s="39" t="s">
        <v>97</v>
      </c>
    </row>
    <row r="758" spans="2:3" x14ac:dyDescent="0.3">
      <c r="C758" s="35" t="s">
        <v>282</v>
      </c>
    </row>
    <row r="759" spans="2:3" x14ac:dyDescent="0.3">
      <c r="C759" s="35" t="s">
        <v>283</v>
      </c>
    </row>
    <row r="760" spans="2:3" x14ac:dyDescent="0.3">
      <c r="C760" s="35" t="s">
        <v>284</v>
      </c>
    </row>
    <row r="761" spans="2:3" x14ac:dyDescent="0.3">
      <c r="C761" s="35" t="s">
        <v>285</v>
      </c>
    </row>
    <row r="762" spans="2:3" x14ac:dyDescent="0.3">
      <c r="C762" s="35" t="s">
        <v>286</v>
      </c>
    </row>
    <row r="763" spans="2:3" x14ac:dyDescent="0.3">
      <c r="C763" s="39" t="s">
        <v>98</v>
      </c>
    </row>
    <row r="764" spans="2:3" x14ac:dyDescent="0.3">
      <c r="C764" s="35" t="s">
        <v>67</v>
      </c>
    </row>
    <row r="765" spans="2:3" x14ac:dyDescent="0.3">
      <c r="C765" s="40" t="s">
        <v>292</v>
      </c>
    </row>
    <row r="766" spans="2:3" x14ac:dyDescent="0.3">
      <c r="C766" s="40" t="s">
        <v>293</v>
      </c>
    </row>
    <row r="767" spans="2:3" x14ac:dyDescent="0.3">
      <c r="C767" s="40" t="s">
        <v>294</v>
      </c>
    </row>
    <row r="768" spans="2:3" x14ac:dyDescent="0.3">
      <c r="C768" s="36" t="s">
        <v>275</v>
      </c>
    </row>
    <row r="769" spans="3:3" x14ac:dyDescent="0.3">
      <c r="C769" s="37" t="s">
        <v>276</v>
      </c>
    </row>
    <row r="770" spans="3:3" x14ac:dyDescent="0.3">
      <c r="C770" s="37" t="s">
        <v>277</v>
      </c>
    </row>
    <row r="771" spans="3:3" x14ac:dyDescent="0.3">
      <c r="C771" s="36" t="s">
        <v>265</v>
      </c>
    </row>
    <row r="772" spans="3:3" x14ac:dyDescent="0.3">
      <c r="C772" s="40" t="s">
        <v>295</v>
      </c>
    </row>
    <row r="773" spans="3:3" x14ac:dyDescent="0.3">
      <c r="C773" s="36" t="s">
        <v>218</v>
      </c>
    </row>
    <row r="774" spans="3:3" x14ac:dyDescent="0.3">
      <c r="C774" s="67" t="s">
        <v>297</v>
      </c>
    </row>
    <row r="775" spans="3:3" x14ac:dyDescent="0.3">
      <c r="C775" s="67" t="s">
        <v>296</v>
      </c>
    </row>
    <row r="776" spans="3:3" x14ac:dyDescent="0.3">
      <c r="C776" s="67" t="s">
        <v>298</v>
      </c>
    </row>
    <row r="777" spans="3:3" x14ac:dyDescent="0.3">
      <c r="C777" s="37" t="s">
        <v>278</v>
      </c>
    </row>
    <row r="778" spans="3:3" x14ac:dyDescent="0.3">
      <c r="C778" s="38" t="s">
        <v>279</v>
      </c>
    </row>
    <row r="779" spans="3:3" x14ac:dyDescent="0.3">
      <c r="C779" s="38" t="s">
        <v>280</v>
      </c>
    </row>
    <row r="780" spans="3:3" x14ac:dyDescent="0.3">
      <c r="C780" s="37" t="s">
        <v>265</v>
      </c>
    </row>
    <row r="781" spans="3:3" x14ac:dyDescent="0.3">
      <c r="C781" s="67" t="s">
        <v>299</v>
      </c>
    </row>
    <row r="782" spans="3:3" x14ac:dyDescent="0.3">
      <c r="C782" s="67" t="s">
        <v>300</v>
      </c>
    </row>
    <row r="783" spans="3:3" x14ac:dyDescent="0.3">
      <c r="C783" s="37" t="s">
        <v>281</v>
      </c>
    </row>
    <row r="784" spans="3:3" x14ac:dyDescent="0.3">
      <c r="C784" s="36" t="s">
        <v>91</v>
      </c>
    </row>
    <row r="785" spans="2:3" x14ac:dyDescent="0.3">
      <c r="C785" s="35" t="s">
        <v>91</v>
      </c>
    </row>
    <row r="786" spans="2:3" x14ac:dyDescent="0.3">
      <c r="C786" s="22" t="s">
        <v>91</v>
      </c>
    </row>
    <row r="788" spans="2:3" x14ac:dyDescent="0.3">
      <c r="C788" s="7" t="s">
        <v>273</v>
      </c>
    </row>
    <row r="789" spans="2:3" x14ac:dyDescent="0.3">
      <c r="C789" s="34" t="s">
        <v>287</v>
      </c>
    </row>
    <row r="791" spans="2:3" ht="14.4" thickBot="1" x14ac:dyDescent="0.35"/>
    <row r="792" spans="2:3" s="6" customFormat="1" x14ac:dyDescent="0.3">
      <c r="B792" s="6" t="s">
        <v>4</v>
      </c>
    </row>
  </sheetData>
  <conditionalFormatting sqref="G627:I636">
    <cfRule type="expression" dxfId="0" priority="1">
      <formula>$D$631=0</formula>
    </cfRule>
  </conditionalFormatting>
  <dataValidations disablePrompts="1" count="1">
    <dataValidation type="list" allowBlank="1" showInputMessage="1" showErrorMessage="1" sqref="E363 D524 D538 E385 D555 D605 D631 E499" xr:uid="{37779AE6-B36C-4507-BF18-E2455198CBDD}">
      <formula1>_YesNo</formula1>
    </dataValidation>
  </dataValidations>
  <hyperlinks>
    <hyperlink ref="D245" r:id="rId1" xr:uid="{A6734FAB-98F1-422E-81A4-4D289D62C9EE}"/>
    <hyperlink ref="D665" r:id="rId2" xr:uid="{08FC4B6A-043A-43A7-B92B-BDE1FF284449}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7EB60-20A7-4313-BBDE-698B6D206C60}">
  <sheetPr codeName="Sheet2"/>
  <dimension ref="B1:C127"/>
  <sheetViews>
    <sheetView showGridLines="0" workbookViewId="0">
      <pane ySplit="1" topLeftCell="A2" activePane="bottomLeft" state="frozen"/>
      <selection pane="bottomLeft"/>
    </sheetView>
  </sheetViews>
  <sheetFormatPr defaultRowHeight="13.8" x14ac:dyDescent="0.3"/>
  <cols>
    <col min="1" max="2" width="4.33203125" customWidth="1"/>
  </cols>
  <sheetData>
    <row r="1" spans="2:3" s="1" customFormat="1" ht="30" customHeight="1" x14ac:dyDescent="0.3">
      <c r="C1" s="2" t="s">
        <v>0</v>
      </c>
    </row>
    <row r="2" spans="2:3" s="3" customFormat="1" ht="16.2" thickBot="1" x14ac:dyDescent="0.35">
      <c r="B2" s="9">
        <f xml:space="preserve"> MAX(B$1:B1) + 1</f>
        <v>1</v>
      </c>
      <c r="C2" s="3" t="s">
        <v>6</v>
      </c>
    </row>
    <row r="4" spans="2:3" x14ac:dyDescent="0.3">
      <c r="C4" t="s">
        <v>313</v>
      </c>
    </row>
    <row r="6" spans="2:3" x14ac:dyDescent="0.3">
      <c r="B6" s="26" t="s">
        <v>7</v>
      </c>
      <c r="C6" t="s">
        <v>8</v>
      </c>
    </row>
    <row r="7" spans="2:3" x14ac:dyDescent="0.3">
      <c r="B7" s="26" t="s">
        <v>9</v>
      </c>
      <c r="C7" t="s">
        <v>10</v>
      </c>
    </row>
    <row r="17" spans="2:3" x14ac:dyDescent="0.3">
      <c r="B17" s="26" t="s">
        <v>11</v>
      </c>
      <c r="C17" t="s">
        <v>18</v>
      </c>
    </row>
    <row r="38" spans="2:3" x14ac:dyDescent="0.3">
      <c r="B38" s="26" t="s">
        <v>12</v>
      </c>
      <c r="C38" t="s">
        <v>13</v>
      </c>
    </row>
    <row r="39" spans="2:3" x14ac:dyDescent="0.3">
      <c r="B39" s="26" t="s">
        <v>14</v>
      </c>
      <c r="C39" t="s">
        <v>347</v>
      </c>
    </row>
    <row r="63" spans="2:3" x14ac:dyDescent="0.3">
      <c r="B63" s="26" t="s">
        <v>15</v>
      </c>
      <c r="C63" t="s">
        <v>16</v>
      </c>
    </row>
    <row r="73" spans="2:3" s="3" customFormat="1" ht="16.2" thickBot="1" x14ac:dyDescent="0.35">
      <c r="B73" s="9">
        <f xml:space="preserve"> MAX(B$1:B70) + 1</f>
        <v>2</v>
      </c>
      <c r="C73" s="3" t="s">
        <v>17</v>
      </c>
    </row>
    <row r="75" spans="2:3" x14ac:dyDescent="0.3">
      <c r="C75" s="68" t="s">
        <v>314</v>
      </c>
    </row>
    <row r="76" spans="2:3" x14ac:dyDescent="0.3">
      <c r="C76" s="68"/>
    </row>
    <row r="77" spans="2:3" x14ac:dyDescent="0.3">
      <c r="C77" s="68" t="s">
        <v>315</v>
      </c>
    </row>
    <row r="78" spans="2:3" x14ac:dyDescent="0.3">
      <c r="C78" s="68" t="s">
        <v>316</v>
      </c>
    </row>
    <row r="79" spans="2:3" x14ac:dyDescent="0.3">
      <c r="C79" s="68" t="s">
        <v>317</v>
      </c>
    </row>
    <row r="80" spans="2:3" x14ac:dyDescent="0.3">
      <c r="C80" s="11" t="s">
        <v>344</v>
      </c>
    </row>
    <row r="81" spans="3:3" x14ac:dyDescent="0.3">
      <c r="C81" s="68" t="s">
        <v>348</v>
      </c>
    </row>
    <row r="82" spans="3:3" x14ac:dyDescent="0.3">
      <c r="C82" s="68"/>
    </row>
    <row r="83" spans="3:3" x14ac:dyDescent="0.3">
      <c r="C83" s="11" t="s">
        <v>318</v>
      </c>
    </row>
    <row r="84" spans="3:3" x14ac:dyDescent="0.3">
      <c r="C84" s="68" t="s">
        <v>319</v>
      </c>
    </row>
    <row r="85" spans="3:3" x14ac:dyDescent="0.3">
      <c r="C85" s="68" t="s">
        <v>320</v>
      </c>
    </row>
    <row r="86" spans="3:3" x14ac:dyDescent="0.3">
      <c r="C86" s="68" t="s">
        <v>19</v>
      </c>
    </row>
    <row r="87" spans="3:3" x14ac:dyDescent="0.3">
      <c r="C87" s="12" t="s">
        <v>20</v>
      </c>
    </row>
    <row r="88" spans="3:3" x14ac:dyDescent="0.3">
      <c r="C88" s="11" t="s">
        <v>21</v>
      </c>
    </row>
    <row r="89" spans="3:3" x14ac:dyDescent="0.3">
      <c r="C89" s="68" t="s">
        <v>321</v>
      </c>
    </row>
    <row r="90" spans="3:3" x14ac:dyDescent="0.3">
      <c r="C90" s="68" t="s">
        <v>322</v>
      </c>
    </row>
    <row r="91" spans="3:3" x14ac:dyDescent="0.3">
      <c r="C91" s="68" t="s">
        <v>323</v>
      </c>
    </row>
    <row r="92" spans="3:3" x14ac:dyDescent="0.3">
      <c r="C92" s="68" t="s">
        <v>324</v>
      </c>
    </row>
    <row r="93" spans="3:3" x14ac:dyDescent="0.3">
      <c r="C93" s="12" t="s">
        <v>22</v>
      </c>
    </row>
    <row r="94" spans="3:3" x14ac:dyDescent="0.3">
      <c r="C94" s="12" t="s">
        <v>23</v>
      </c>
    </row>
    <row r="95" spans="3:3" x14ac:dyDescent="0.3">
      <c r="C95" s="68" t="s">
        <v>19</v>
      </c>
    </row>
    <row r="96" spans="3:3" x14ac:dyDescent="0.3">
      <c r="C96" s="68" t="s">
        <v>325</v>
      </c>
    </row>
    <row r="97" spans="3:3" x14ac:dyDescent="0.3">
      <c r="C97" s="68" t="s">
        <v>19</v>
      </c>
    </row>
    <row r="98" spans="3:3" x14ac:dyDescent="0.3">
      <c r="C98" s="68" t="s">
        <v>345</v>
      </c>
    </row>
    <row r="99" spans="3:3" x14ac:dyDescent="0.3">
      <c r="C99" s="68" t="s">
        <v>326</v>
      </c>
    </row>
    <row r="100" spans="3:3" x14ac:dyDescent="0.3">
      <c r="C100" s="12" t="s">
        <v>327</v>
      </c>
    </row>
    <row r="101" spans="3:3" x14ac:dyDescent="0.3">
      <c r="C101" s="68" t="s">
        <v>328</v>
      </c>
    </row>
    <row r="102" spans="3:3" x14ac:dyDescent="0.3">
      <c r="C102" s="68" t="s">
        <v>329</v>
      </c>
    </row>
    <row r="103" spans="3:3" x14ac:dyDescent="0.3">
      <c r="C103" s="68" t="s">
        <v>330</v>
      </c>
    </row>
    <row r="104" spans="3:3" x14ac:dyDescent="0.3">
      <c r="C104" s="68" t="s">
        <v>331</v>
      </c>
    </row>
    <row r="105" spans="3:3" x14ac:dyDescent="0.3">
      <c r="C105" s="68" t="s">
        <v>332</v>
      </c>
    </row>
    <row r="106" spans="3:3" x14ac:dyDescent="0.3">
      <c r="C106" s="68" t="s">
        <v>333</v>
      </c>
    </row>
    <row r="107" spans="3:3" x14ac:dyDescent="0.3">
      <c r="C107" s="68" t="s">
        <v>334</v>
      </c>
    </row>
    <row r="108" spans="3:3" x14ac:dyDescent="0.3">
      <c r="C108" s="68" t="s">
        <v>335</v>
      </c>
    </row>
    <row r="109" spans="3:3" x14ac:dyDescent="0.3">
      <c r="C109" s="68" t="s">
        <v>336</v>
      </c>
    </row>
    <row r="110" spans="3:3" x14ac:dyDescent="0.3">
      <c r="C110" s="12" t="s">
        <v>337</v>
      </c>
    </row>
    <row r="111" spans="3:3" x14ac:dyDescent="0.3">
      <c r="C111" s="68" t="s">
        <v>338</v>
      </c>
    </row>
    <row r="112" spans="3:3" x14ac:dyDescent="0.3">
      <c r="C112" s="12" t="s">
        <v>339</v>
      </c>
    </row>
    <row r="113" spans="2:3" x14ac:dyDescent="0.3">
      <c r="C113" s="12" t="s">
        <v>24</v>
      </c>
    </row>
    <row r="114" spans="2:3" x14ac:dyDescent="0.3">
      <c r="C114" s="68" t="s">
        <v>340</v>
      </c>
    </row>
    <row r="115" spans="2:3" x14ac:dyDescent="0.3">
      <c r="C115" s="12" t="s">
        <v>25</v>
      </c>
    </row>
    <row r="116" spans="2:3" x14ac:dyDescent="0.3">
      <c r="C116" s="68" t="s">
        <v>19</v>
      </c>
    </row>
    <row r="117" spans="2:3" x14ac:dyDescent="0.3">
      <c r="C117" s="68" t="s">
        <v>341</v>
      </c>
    </row>
    <row r="118" spans="2:3" x14ac:dyDescent="0.3">
      <c r="C118" s="68" t="s">
        <v>19</v>
      </c>
    </row>
    <row r="119" spans="2:3" x14ac:dyDescent="0.3">
      <c r="C119" s="12" t="s">
        <v>342</v>
      </c>
    </row>
    <row r="120" spans="2:3" x14ac:dyDescent="0.3">
      <c r="C120" s="68" t="s">
        <v>19</v>
      </c>
    </row>
    <row r="121" spans="2:3" x14ac:dyDescent="0.3">
      <c r="C121" s="68" t="s">
        <v>343</v>
      </c>
    </row>
    <row r="122" spans="2:3" x14ac:dyDescent="0.3">
      <c r="C122" s="68" t="s">
        <v>346</v>
      </c>
    </row>
    <row r="123" spans="2:3" x14ac:dyDescent="0.3">
      <c r="C123" s="68" t="s">
        <v>19</v>
      </c>
    </row>
    <row r="124" spans="2:3" x14ac:dyDescent="0.3">
      <c r="C124" s="12" t="s">
        <v>26</v>
      </c>
    </row>
    <row r="126" spans="2:3" ht="14.4" thickBot="1" x14ac:dyDescent="0.35"/>
    <row r="127" spans="2:3" s="6" customFormat="1" x14ac:dyDescent="0.3">
      <c r="B127" s="6" t="s">
        <v>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CFACB-B76F-46DB-94B5-806B5CB3990B}">
  <sheetPr codeName="Sheet3"/>
  <dimension ref="B1:D10"/>
  <sheetViews>
    <sheetView showGridLines="0" workbookViewId="0">
      <pane ySplit="1" topLeftCell="A2" activePane="bottomLeft" state="frozen"/>
      <selection pane="bottomLeft"/>
    </sheetView>
  </sheetViews>
  <sheetFormatPr defaultRowHeight="13.8" x14ac:dyDescent="0.3"/>
  <cols>
    <col min="1" max="2" width="4.33203125" customWidth="1"/>
  </cols>
  <sheetData>
    <row r="1" spans="2:4" s="1" customFormat="1" ht="30" customHeight="1" x14ac:dyDescent="0.3">
      <c r="C1" s="2" t="s">
        <v>27</v>
      </c>
    </row>
    <row r="3" spans="2:4" x14ac:dyDescent="0.3">
      <c r="B3" s="14">
        <v>1</v>
      </c>
      <c r="C3" s="15">
        <v>1</v>
      </c>
    </row>
    <row r="4" spans="2:4" x14ac:dyDescent="0.3">
      <c r="B4" s="14">
        <v>0</v>
      </c>
      <c r="C4" s="15">
        <v>0</v>
      </c>
      <c r="D4" s="13" t="s">
        <v>28</v>
      </c>
    </row>
    <row r="6" spans="2:4" x14ac:dyDescent="0.3">
      <c r="B6" s="14">
        <v>1</v>
      </c>
      <c r="C6" s="16">
        <v>1</v>
      </c>
    </row>
    <row r="7" spans="2:4" x14ac:dyDescent="0.3">
      <c r="B7" s="14">
        <v>0</v>
      </c>
      <c r="C7" s="16">
        <v>0</v>
      </c>
      <c r="D7" s="13" t="s">
        <v>29</v>
      </c>
    </row>
    <row r="9" spans="2:4" ht="14.4" thickBot="1" x14ac:dyDescent="0.35"/>
    <row r="10" spans="2:4" s="6" customFormat="1" x14ac:dyDescent="0.3">
      <c r="B10" s="6" t="s">
        <v>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FEJSONBlob xmlns="http://schemas.advancedformulaenvironment.officeapps.live.com/afejsonblob/1.0">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XABuAC8AKgAgACAAUgBYAEwAXwBOAG8AbgBSAGUAcABSAEEATgBEACAARgB1AG4AYwB0AGkAbwBuAFwAbgAgACAAIAAgACAAIAAgACAAdgBlAHIAcwBpAG8AbgAgADEALgAwADQAIAAgACgAMQA0AC8AMAA4AC8AMgAwADIANQApAFwAbgAgACAAIAAgACAAIAAgACAAUgAgAFMAaQBsAGsALAAgAFIAWABMACAARABlAHYAZQBsAG8AcABtAGUAbgB0AFwAbgAgACAAIAAgACAAIAAgACAAaAB0AHQAcABzADoALwAvAGcAaQBzAHQALgBnAGkAdABoAHUAYgAuAGMAbwBtAC8AcgAtAHMAaQBsAGsALwAwAGIANgAyADIANQA1ADcAOABkADYAYwA3AGEANwBkAGQAOAAwAGQAZgA1ADIAMQAzADcANQAxADkAYQA1AGIAXABuACoALwBcAG4ALwAqAFwAbgAgACAAIAAgAE4AYQBtAGUAOgAgACAAIAAgACAAIAAgACAATgBvAG4AUgBlAHAAUgBBAE4ARAAoACkAXABuACAAIAAgACAARABlAHMAYwByAGkAcAB0AGkAbwBuADoAIAAqAC8ALwAqACoAUgBhAG4AZABvAG0AbAB5ACAAZwBlAG4AZQByAGEAdABlAHMAIABhAG4AIABhAHIAcgBhAHkAIABvAGYAIABuAG8AbgAtAHIAZQBwAGUAYQB0AGkAbgBnACAAaQBuAHQAZQBnAGUAcgBzACAAKAB3AGgAbwBsAGUAIABuAHUAbQBiAGUAcgBzACkAIABiAGUAdAB3AGUAZQBuACAAcAByAG8AdgBpAGQAZQBkACAAbQBpAG4AIABhAG4AZAAgAG0AYQB4ACAAdgBhAGwAdQBlAHMAKgAvAC8AKgBcAG4AIAAgACAAIABQAGEAcgBhAG0AZQB0AGUAcgBzADoAXABuACAAIAAgACAAIAAgACAAIAArACAAcgBvAHcAcwAgACAAIAAgACAAIAA9ACAAKABvAHAAdABpAG8AbgBhAGwAKQAgAHQAaABlACAAbgB1AG0AYgBlAHIAIABvAGYAIAByAG8AdwBzACAAdABvACAAYgBlACAAaQBuAGMAbAB1AGQAZQBkACAAaQBuACAAdABoAGUAIABvAHUAdABwAHUAdAAgAGEAcgByAGEAeQBcAG4AIAAgACAAIAAgACAAIAAgACAAIAAgACAAIAAgACAAIAAgACAAIAAgACAAIAAgACAAIAAgACAAIAAgACAAIAAgACAASQBmACAAbgBvACAAaQBuAHAAdQB0ACAAdgBhAGwAdQBlACAAaQBzACAAcAByAG8AdgBpAGQAZQBkACwAIAB3AGkAbABsACAAZABlAGYAYQB1AGwAdAAgAHQAbwAgADEAIAByAG8AdwBcAG4AIAAgACAAIAAgACAAIAAgACsAIABjAG8AbAB1AG0AbgBzACAAIAAgAD0AIAAoAG8AcAB0AGkAbwBuAGEAbAApACAAdABoAGUAIABuAHUAbQBiAGUAcgAgAG8AZgAgAGMAbwBsAHUAbQBuAHMAIAB0AG8AIABiAGUAIABpAG4AYwBsAHUAZABlAGQAIABpAG4AIAB0AGgAZQAgAG8AdQB0AHAAdQB0ACAAYQByAHIAYQB5AFwAbgAgACAAIAAgACAAIAAgACAAIAAgACAAIAAgACAAIAAgACAAIAAgACAAIAAgACAAIAAgACAAIAAgACAAIAAgACAAIABJAGYAIABuAG8AIABpAG4AcAB1AHQAIAB2AGEAbAB1AGUAIABpAHMAIABwAHIAbwB2AGkAZABlAGQALAAgAHcAaQBsAGwAIABkAGUAZgBhAHUAbAB0ACAAdABvACAAMQAgAGMAbwBsAHUAbQBuAFwAbgAgACAAIAAgACAAIAAgACAAKwAgAG0AaQBuACAAIAAgACAAIAAgACAAPQAgACgAbwBwAHQAaQBvAG4AYQBsACkAIAB0AGgAZQAgAGwAbwB3AGUAcwB0ACAAcgBhAG4AZABvAG0AbAB5ACAAZwBlAG4AZQByAGEAdABlAGQAIAB2AGEAbAB1AGUAIAB3AGgAaQBjAGgAIABjAGEAbgAgAGIAZQAgAGkAbgBjAGwAdQBkAGUAZAAgAGkAbgAgAHQAaABlACAAbwB1AHQAcAB1AHQAIABhAHIAcgBhAHkAXABuACAAIAAgACAAIAAgACAAIAAgACAAIAAgACAAIAAgACAAIAAgACAAIAAgACAAIAAgACAAIAAgACAAIAAgACAAIAAgAEkAZgAgAG4AbwB0ACAAaQBuAHAAdQB0ACAAdgBhAGwAdQBlACAAaQBzACAAcAByAG8AdgBpAGQAZQBkACwAIAB3AGkAbABsACAAZABlAGYAYQB1AGwAdAAgAHQAbwAgADAAXABuACAAIAAgACAAIAAgACAAIAArACAAbQBhAHgAIAAgACAAIAAgACAAIAA9ACAAKABvAHAAdABpAG8AbgBhAGwAKQAgAHQAaABlACAAbABhAHIAZwBlAHMAdAAgAHIAYQBuAGQAbwBtAGwAeQAgAGcAZQBuAGUAcgBhAHQAZQBkACAAdgBhAGwAdQBlACAAdwBoAGkAYwBoACAAYwBhAG4AIABiAGUAIABpAG4AYwBsAHUAZABlAGQAIABpAG4AIAB0AGgAZQAgAG8AdQB0AHAAdQB0ACAAYQByAHIAYQB5AFwAbgAgACAAIAAgACAAIAAgACAAIAAgACAAIAAgACAAIAAgACAAIAAgACAAIAAgACAAIAAgACAAIAAgACAAIAAgACAAIABJAGYAIABuAG8AdAAgAGkAbgBwAHUAdAAgAHYAYQBsAHUAZQAgAGkAcwAgAHAAcgBvAHYAaQBkAGUAZAAsACAAdwBpAGwAbAAgAGQAZQBmAGEAdQBsAHQAIAB0AG8AIAAxADAAMABcAG4AIAAgACAAIABFAHIAcgBvAHIAIABjAG8AZABlAHMAOgBcAG4AIAAgACAAIAAgACAAIAAgACMAQwBBAEwAQwAhACAAIAAgACAAIAAgAD0AIABUAGgAZQAgAG4AdQBtAGIAZQByACAAbwBmACAAcABvAHQAZQBuAHQAaQBhAGwAIAB3AGgAbwBsAGUAIABuAHUAbQBiAGUAcgBzACAAKABpAG4AdABlAGcAZQByAHMAKQAgAGIAZQB0AHcAZQBlAG4AIABtAGkAbgAgAGEAbgBkACAAbQBhAHgAIABpAHMAIABsAGUAcwBzACAAdABoAGEAbgAgAHQAaABlACAAbgB1AG0AYgBlAHIAIABvAGYAIAB2AGEAbAB1AGUAcwAgAHIAZQBxAHUAaQByAGUAZAAgAHQAbwAgAGYAaQBsAGwAIAB0AGgAZQAgAFwAbgAgACAAIAAgACAAIAAgACAAIAAgACAAIAAgACAAIAAgACAAIAAgACAAIAAgAG8AdQB0AHAAdQB0ACAAYQByAHIAYQB5ACAAYgBhAHMAZQBkACAAbwBuACAAdABoAGUAIAByAG8AdwBzACAAYQBuAGQAIABjAG8AbAB1AG0AbgBzACAAaQBuAHAAdQB0AHMAXABuACAAIAAgACAAIAAgACAAIAAjAEMAQQBMAEMAIQAgACAAIAAgACAAIAA9ACAAVABoAGUAIABtAGkAbgAgAGkAbgBwAHUAdAAgAHYAYQBsAHUAZQAgAHAAcgBvAHYAaQBkAGUAZAAgAGkAcwAgAGwAZQBzAHMAIAB0AGgAYQBuACAAdABoAGUAIABtAGEAeAAgAGkAbgBwAHUAdAAgAHYAYQBsAHUAZQAgAHAAcgBvAHYAaQBkAGUAZABcAG4AIAAgACAAIAAgACAAIAAgACMAVgBBAEwAVQBFACEAIAAgACAAIAAgAD0AIABUAGgAZQAgAG8AcAB0AGkAbwBuAGEAbAAgAHAAYQByAGEAbQBlAHQAZQByAHMAIAByAG8AdwBzACwAIABjAG8AbAB1AG0AbgBzACwAIABtAGkAbgAgAGEAbgBkAC8AbwByACAAbQBhAHgAIABoAGEAdgBlACAAaQBuAHAAdQB0ACAAdgBhAGwAdQBlAHMAIABwAHIAbwB2AGkAZABlAGQAIAB3AGgAaQBjAGgAIABhAHIAZQAgAGkAbgB2AGEAbABpAGQAXABuACAAIAAgACAAIAAgACAAIAAgACAAIAAgACAAIAAgACAAIAAgACAAIAAgACAAIAAgAC0AIABtAHUAcwB0ACAAYgBlACAAYQAgAHcAaABvAGwAZQAgAG4AdQBtAGIAZQByAC8AaQBuAHQAZQBnAGUAcgBcAG4AIAAgACAAIAAgACAAIAAgACAAIAAgACAAIAAgACAAIAAgACAAIAAgACAAIAAgACAALQAgAHQAaABlACAAcgBvAHcAcwAgAGEAbgBkACAAYwBvAGwAdQBtAG4AcwAgAGkAbgBwAHUAdAAgAHYAYQBsAHUAZQBzACAAbQB1AHMAdAAgAGIAZQAgAHAAbwBzAGkAdABpAHYAZQAgAHYAYQBsAHUAZQBzACAAZwByAGUAYQB0AGUAcgAgAHQAaABhAG4AIAAwAFwAbgAgACAAIAAgAE4AbwB0AGUAcwA6AFwAbgAgACAAIAAgACAAIAAgACAALQAgAEEAcwAgAHQAaABlACAAZgB1AG4AYwB0AGkAbwBuACAAdQBzAGUAcwAgAHIAYQBuAGQAbwBtACAAbgB1AG0AYgBlAHIAIABnAGUAbgBlAHIAYQB0AGkAbwBuACAAaQB0ACAAaQBzACAAYQAgAHYAbwBsAGEAdABpAGwAZQAgAGYAdQBuAGMAdABpAG8AbgAgAGEAbgBkACAAdwBpAGwAbAAgAHIAZQAtAGMAYQBsAGMAdQBsAGEAdABlACAAZQB2AGUAcgB5AHQAaQBtAGUAIAB0AGgAZQByAGUAIABpAHMAIABhACAAYwBhAGwAYwB1AGwAYQB0AGkAbwBuACAAdAByAGkAZwBnAGUAcgBcAG4AIAAgACAAIAAgACAAIAAgAC0AIABEAHUAZQAgAHQAbwAgAHQAaABlACAAbQBlAHQAaABvAGQAbwBsAG8AZwB5AC8AYQBwAHAAcgBvAGEAYwBoACAAdQBzAGUAZAAgAGIAeQAgAHQAaABlACAAZgB1AG4AYwB0AGkAbwBuACAAdABvACAAYQB2AG8AaQBkACAAcgBlAHAAZQBhAHQAaQBuAGcAIAB2AGEAbAB1AGUAcwAgAHcAaQB0AGgAbwB1AHQAIAByAGUAYwB1AHIAcwBpAG8AbgAsACAAaQBmACAAdABoAGUAcgBlACAAaQBzACAAYQAgAGwAYQByAGcAZQAgAGQAaQBmAGYAZQByAGUAbgBjAGUAIABiAGUAdAB3AGUAZQBuAFwAbgAgACAAIAAgACAAIAAgACAAIAAgAHQAaABlACAAbQBpAG4AIABhAG4AZAAgAG0AYQB4ACAAaQBuAHAAdQB0AHMAIAB0AGgAaQBzACAAdwBpAGwAbAAgAHAAcgBvAGQAdQBjAGUAIABhACAAbABhAHIAZwBlAHIAIABtAGUAbQBvAHIAeQAgAGIAdQByAGQAZQBuACAAYQBuAGQAIAB3AGkAbABsACAAbABpAGsAZQBsAHkAIABjAGEAdQBzAGUAIAB0AGgAZQAgAHcAbwByAGsAYgBvAG8AawAgAHQAbwAgAGMAYQBsAGMAdQBsAGEAdABlACAAbQBvAHIAZQAgAHMAbABvAHcAbAB5AFwAbgAqAC8AXABuAFIAWABMAF8ATgBvAG4AUgBlAHAAUgBBAE4ARABfAE4AIAA9ACAATABBAE0AQgBEAEEAKABcAG4AIAAgACAAIAAvAC8AIABQAGEAcgBhAG0AZQB0AGUAcgAgAGQAZQBmAGkAbgBpAHQAaQBvAG4AcwBcAG4AIAAgACAAIABbAHIAbwB3AHMAXQAsAFwAbgAgACAAIAAgAFsAYwBvAGwAdQBtAG4AcwBdACwAXABuACAAIAAgACAAWwBtAGkAbgBdACwAXABuACAAIAAgACAAWwBtAGEAeABdACwAXABuACAAIAAgACAALwAvACAATQBhAGkAbgAgAGYAdQBuAGMAdABpAG8AbgAgAGIAbwBkAHkALwBjAGEAbABjAHUAbABhAHQAaQBvAG4AcwBcAG4AIAAgACAAIABMAEUAVAAoAFwAbgAgACAAIAAgACAAIAAgACAALwAvACAARABlAGEAbABpAG4AZwAgAHcAaQB0AGgAIABvAHAAdABpAG8AbgBhAGwAIABwAGEAcgBhAG0AZQB0AGUAcgBzACAAJgAgAHMAZQB0AHQAaQBuAGcAIABkAGUAZgBhAHUAbAB0ACAAdgBhAGwAdQBlAHMAXABuACAAIAAgACAAIAAgACAAIABfAHIAbwB3AHMALAAgAEkARgAoACAASQBTAE8ATQBJAFQAVABFAEQAKAByAG8AdwBzACkALAAgADEALAAgAEkATgBUACgAcgBvAHcAcwApACkALABcAG4AIAAgACAAIAAgACAAIAAgAF8AYwBvAGwAcwAsACAASQBGACgAIABJAFMATwBNAEkAVABUAEUARAAoAGMAbwBsAHUAbQBuAHMAKQAsACAAMQAsACAASQBOAFQAKABjAG8AbAB1AG0AbgBzACkAKQAsAFwAbgAgACAAIAAgACAAIAAgACAAXwBtAGkAbgAsACAASQBGACgAIABJAFMATwBNAEkAVABUAEUARAAoAG0AaQBuACkALAAgADAALAAgAEkATgBUACgAbQBpAG4AKQApACwAXABuACAAIAAgACAAIAAgACAAIABfAG0AYQB4ACwAIABJAEYAKAAgAEkAUwBPAE0ASQBUAFQARQBEACgAbQBhAHgAKQAsACAAMQAwADAALAAgAEkATgBUACgAbQBhAHgAKQApACwAXABuACAAIAAgACAAIAAgACAAIAAvAC8AIABDAGEAbABjAHUAbABhAHQAaQBuAGcAIAB0AGgAZQAgAGQAZQByAGkAdgBlAGQAIAB2AGEAcgBpAGEAYgBsAGUAcwAgAG4AZQBlAGQAZQBkACAAZgBvAHIAIAB0AGgAZQAgAG0AYQBpAG4AIABjAGEAbABjAHUAbABhAHQAaQBvAG4AXABuACAAIAAgACAAIAAgACAAIABfAGMAbgB0ACwAIABfAHIAbwB3AHMAIAAqACAAXwBjAG8AbABzACwAXABuACAAIAAgACAAIAAgACAAIABfAGQAaQBmACwAIABfAG0AYQB4ACAALQAgAF8AbQBpAG4AIAArACAAMQAsAFwAbgAgACAAIAAgACAAIAAgACAALwAvACAASQBuAHAAdQB0ACAAYwBoAGUAYwBrAHMAIABmAG8AcgAgAHQAaABlACAAbwBwAHQAaQBvAG4AYQBsACAAcABhAHIAYQBtAGUAdABlAHIAcwAgAGEAbgBkACAAcgBlAHEAdQBpAHIAZQBkACAAcABhAHIAYQBtAGUAdABlAHIAcwAsACAAcgBlAHQAdQByAG4AaQBuAGcAIAB0AGgAZQAgAF8AaQBuAHAAQwBoAGsAXABuACAAIAAgACAAIAAgACAAIAAvAC8AIAB2AGEAbAB1AGUAIABhAHMAIAAxAC0AdABvAC0AMwBcAG4AIAAgACAAIAAgACAAIAAgAF8AaQBuAHAAQwBoAGsALAAgAEkARgAoAFwAbgAgACAAIAAgACAAIAAgACAAIAAgACAAIABfAGMAbgB0ACAAPgAgAF8AZABpAGYALABcAG4AIAAgACAAIAAgACAAIAAgACAAIAAgACAAMgAsACAASQBGACgAXABuACAAIAAgACAAIAAgACAAIAAgACAAIAAgAE8AUgAoAFwAbgAgACAAIAAgACAAIAAgACAAIAAgACAAIAAgACAAIAAgAEkAUwBFAFIAUgBPAFIAKABfAHIAbwB3AHMAKQAsACAAXwByAG8AdwBzACAAPAAgADEALABcAG4AIAAgACAAIAAgACAAIAAgACAAIAAgACAAIAAgACAAIABJAFMARQBSAFIATwBSACgAXwBjAG8AbABzACkALAAgAF8AYwBvAGwAcwAgADwAIAAxACwAXABuACAAIAAgACAAIAAgACAAIAAgACAAIAAgACAAIAAgACAASQBTAEUAUgBSAE8AUgAoAF8AbQBpAG4AKQAsACAASQBTAEUAUgBSAE8AUgAoAF8AbQBhAHgAKQAsACAAXwBtAGkAbgAgAD4APQAgAF8AbQBhAHgAXABuACAAIAAgACAAIAAgACAAIAAgACAAIAAgACkALAAgADMALABcAG4AIAAgACAAIAAgACAAIAAgACAAIAAgACAAMQBcAG4AIAAgACAAIAAgACAAIAAgACkAKQAsAFwAbgAgACAAIAAgACAAIAAgACAALwAvACAAQwByAGUAYQB0AGUAIABhACAAcwBpAG0AcABsAGUAIABpAG4AZABlAHgAIAAoAF8AaQBkAHgAKQAgAHcAaQB0AGgAIAB0AGgAZQAgAGMAbwByAHIAZQBjAHQAIABuAHUAbQBiAGUAcgAgAG8AZgAgAHYAYQBsAHUAZQBzACAAZgBvAHIAIAB0AGgAZQAgAHIAbwB3ACAAYQBuAGQAIABjAG8AbAB1AG0AbgBcAG4AIAAgACAAIAAgACAAIAAgAC8ALwAgAGQAaQBtAGUAbgBzAGkAbwBuAHMAIABwAHIAbwB2AGkAZABlAGQALAAgAGEAcwAgAHcAZQBsAGwAIABhAHMAIABhAG4AIABhAHIAcgBhAHkAIABjAG8AbgB0AGEAaQBuAGkAbgBnACAAYQBsAGwAIABpAG4AdABlAGcAZQByACAAdgBhAGwAdQBlAHMAIABiAGUAdAB3AGUAZQBuACAAdABoAGUAIABwAHIAbwB2AGkAZABlAGQAXABuACAAIAAgACAAIAAgACAAIAAvAC8AIABtAGkAbgAgAGEAbgBkACAAbQBhAHgAIAB2AGEAbAB1AGUAcwAgACgAXwBhAHIAcgApAFwAbgAgACAAIAAgACAAIAAgACAAXwBpAGQAeAAsACAAUwBFAFEAVQBFAE4AQwBFACgAXwByAG8AdwBzACAAKgAgAF8AYwBvAGwAcwAsACAAMQAsACAAMAAsACAAMAApACwAXABuACAAIAAgACAAIAAgACAAIABfAGEAcgByACwAIABTAEUAUQBVAEUATgBDAEUAKABfAGQAaQBmACwAIAAxACwAIABfAG0AaQBuACwAIAAxACkALABcAG4AIAAgACAAIAAgACAAIAAgAC8ALwAgAEMAYQBsAGMAdQBsAGEAdABlAHMAIABhACAAcgBhAG4AZABvAG0AbAB5ACAAZwBlAG4AZQByAGEAdABlAGQAIABsAGkAcwB0ACAAbwBmACAAdgBhAGwAdQBlAHMAIABmAG8AcgAgAHQAaABlACAAXwBhAHIAcgAgAGEAcgByAGEAeQAsACAAdQBzAGkAbgBnACAAYQAgAGMAbwBtAGIAaQBuAGEAdABpAG8AbgAgAG8AZgBcAG4AIAAgACAAIAAgACAAIAAgAC8ALwAgAFIARQBEAFUAQwBFACgAKQAgACsAIABGAEkATABUAEUAUgAoACkAIABmAHUAbgBjAHQAaQBvAG4AcwBcAG4AIAAgACAAIAAgACAAIAAgAF8AcgBuAGQALAAgAEQAUgBPAFAAKABcAG4AIAAgACAAIAAgACAAIAAgACAAIAAgACAAUgBFAEQAVQBDAEUAKAAwACwAIABfAGkAZAB4ACwAIABMAEEATQBCAEQAQQAoAF8AYQBjAGMALABfAHYAYQBsACwAIABMAEUAVAAoAFwAbgAgACAAIAAgACAAIAAgACAAIAAgACAAIAAgACAAIAAgAF8AZgBsAHQAcgAsACAARgBJAEwAVABFAFIAKABfAGEAcgByACwAIABJAFMATgBBACgAWABNAEEAVABDAEgAKABfAGEAcgByACwAIABfAGEAYwBjACkAKQApACwAXABuACAAIAAgACAAIAAgACAAIAAgACAAIAAgACAAIAAgACAAXwByAHIALAAgAFIATwBXAFMAKABfAGYAbAB0AHIAKQAsAFwAbgAgACAAIAAgACAAIAAgACAAIAAgACAAIAAgACAAIAAgAFYAUwBUAEEAQwBLACgAXwBhAGMAYwAsACAASQBOAEQARQBYACgAXwBmAGwAdAByACwAIABSAEEATgBEAEIARQBUAFcARQBFAE4AKAAxACwAIABfAHIAcgApACkAKQBcAG4AIAAgACAAIAAgACAAIAAgACAAIAAgACAAKQApACkALABcAG4AIAAgACAAIAAgACAAIAAgADEAKQAsAFwAbgAgACAAIAAgACAAIAAgACAALwAvACAAVABoAGUAIABfAHIAbgBkACAAYQByAHIAYQB5ACAAaQBzACAAdABoAGUAbgAgAHIAZQAtAGMAcgBlAGEAdABlAGQAIABhAHMAIABhAG4AIABvAHUAdABwAHUAdAAgAGEAcgByAGEAeQAgAG0AYQB0AGMAaABpAG4AZwAgAHQAaABlACAAcgBvAHcAIABhAG4AZAAgAGMAbwBsAHUAbQBuACAAZABpAG0AZQBuAHMAaQBvAG4AcwBcAG4AIAAgACAAIAAgACAAIAAgAC8ALwAgAHAAcgBvAHYAaQBkAGUAZAAgAGIAeQAgAHQAaABlACAAdQBzAGUAcgBcAG4AIAAgACAAIAAgACAAIAAgAF8AcgB0AG4ALAAgAE0AQQBLAEUAQQBSAFIAQQBZACgAXwByAG8AdwBzACwAIABfAGMAbwBsAHMALAAgAEwAQQBNAEIARABBACgAXwByACwAXwBjACwAIABJAE4ARABFAFgAKABfAHIAbgBkACwAIAAoAF8AcgAgAC0AIAAxACkAIAAqACAAXwBjAG8AbABzACAAKwAgAF8AYwApACkAKQAsAFwAbgAgACAAIAAgACAAIAAgACAALwAvACAASQBmACAAdABoAGUAIABpAG4AcAB1AHQAIABjAGgAZQBjAGsAcwAgACgAXwBpAG4AcABDAGgAawApACAAaABhAHYAZQAgAGYAbABhAGcAZwBlAGQAIAB0AGgAZQBuACAAdABoAGUAIAByAGUAcQB1AGkAcgBlAGQAIABFAHgAYwBlAGwAIABlAHIAcgBvAHIAIABjAG8AZABlACAAaQBzACAAcgBlAHQAdQByAG4AZQBkACwAXABuACAAIAAgACAAIAAgACAAIAAvAC8AIABvAHQAaABlAHIAdwBpAHMAZQAgAHQAaABlACAAYwBhAGwAYwB1AGwAYQB0AGUAZAAgAHIAZQBzAHUAbAB0ACAAKABfAHIAdABuACkAIABpAHMAIAByAGUAdAB1AHIAbgBlAGQAXABuACAAIAAgACAAIAAgACAAIABDAEgATwBPAFMARQAoAF8AaQBuAHAAQwBoAGsALAAgAF8AcgB0AG4ALAAgAEwAQQBNAEIARABBACgAMAApACwAIAAjAFYAQQBMAFUARQAhACkAXABuACAAIAAgACAAKQBcAG4AKQA7AFwAbgBcAG4ALwAqACAAIABSAFgATABfAE4AbwBuAFIAZQBwAFIAQQBOAEQAIABGAHUAbgBjAHQAaQBvAG4AXABuACAAIAAgACAAIAAgACAAIAB2AGUAcgBzAGkAbwBuACAAMQAuADEAMAAgACAAKAAyADgALwAwADgALwAyADAAMgA1ACkAXABuACAAIAAgACAAIAAgACAAIABSACAAUwBpAGwAawAsACAAUgBYAEwAIABEAGUAdgBlAGwAbwBwAG0AZQBuAHQAXABuACAAIAAgACAAIAAgACAAIABoAHQAdABwAHMAOgAvAC8AZwBpAHMAdAAuAGcAaQB0AGgAdQBiAC4AYwBvAG0ALwByAC0AcwBpAGwAawAvADAANgBkADMAMwBlAGQAZAA3ADgANAAzAGEAMQBiADgANQBmADcANwAzADIANwAzADcAYQAyAGQAYgA3AGQAOABcAG4AKgAvAFwAbgAvACoAXABuACAAIAAgACAATgBhAG0AZQA6ACAAIAAgACAAIAAgACAAIABOAG8AbgBSAGUAcABSAEEATgBEACgAKQBcAG4AIAAgACAAIABEAGUAcwBjAHIAaQBwAHQAaQBvAG4AOgAgACoALwAvACoAKgBSAGEAbgBkAG8AbQBsAHkAIABnAGUAbgBlAHIAYQB0AGUAcwAgAGEAbgAgAGEAcgByAGEAeQAgAG8AZgAgAG4AbwBuAC0AcgBlAHAAZQBhAHQAaQBuAGcAIABuAHUAbQBiAGUAcgBzACAAYgBlAHQAdwBlAGUAbgAgAHAAcgBvAHYAaQBkAGUAZAAgAG0AaQBuACAAYQBuAGQAIABtAGEAeAAgAHYAYQBsAHUAZQBzACoALwAvACoAXABuACAAIAAgACAAUABhAHIAYQBtAGUAdABlAHIAcwA6AFwAbgAgACAAIAAgACAAIAAgACAAKwAgAHIAbwB3AHMAIAAgACAAIAAgACAAPQAgACgAbwBwAHQAaQBvAG4AYQBsACkAIAB0AGgAZQAgAG4AdQBtAGIAZQByACAAbwBmACAAcgBvAHcAcwAgAHQAbwAgAGIAZQAgAGkAbgBjAGwAdQBkAGUAZAAgAGkAbgAgAHQAaABlACAAbwB1AHQAcAB1AHQAIABhAHIAcgBhAHkAXABuACAAIAAgACAAIAAgACAAIAAgACAAIAAgACAAIAAgACAAIAAgACAAIAAgACAAIAAgACAAIAAgACAAIAAgACAAIAAgAEkAZgAgAG4AbwAgAGkAbgBwAHUAdAAgAHYAYQBsAHUAZQAgAGkAcwAgAHAAcgBvAHYAaQBkAGUAZAAsACAAdwBpAGwAbAAgAGQAZQBmAGEAdQBsAHQAIAB0AG8AIAAxACAAcgBvAHcAXABuACAAIAAgACAAIAAgACAAIAArACAAYwBvAGwAdQBtAG4AcwAgACAAIAA9ACAAKABvAHAAdABpAG8AbgBhAGwAKQAgAHQAaABlACAAbgB1AG0AYgBlAHIAIABvAGYAIABjAG8AbAB1AG0AbgBzACAAdABvACAAYgBlACAAaQBuAGMAbAB1AGQAZQBkACAAaQBuACAAdABoAGUAIABvAHUAdABwAHUAdAAgAGEAcgByAGEAeQBcAG4AIAAgACAAIAAgACAAIAAgACAAIAAgACAAIAAgACAAIAAgACAAIAAgACAAIAAgACAAIAAgACAAIAAgACAAIAAgACAASQBmACAAbgBvACAAaQBuAHAAdQB0ACAAdgBhAGwAdQBlACAAaQBzACAAcAByAG8AdgBpAGQAZQBkACwAIAB3AGkAbABsACAAZABlAGYAYQB1AGwAdAAgAHQAbwAgADEAIABjAG8AbAB1AG0AbgBcAG4AIAAgACAAIAAgACAAIAAgACsAIABtAGkAbgAgACAAIAAgACAAIAAgAD0AIAAoAG8AcAB0AGkAbwBuAGEAbAApACAAdABoAGUAIABsAG8AdwBlAHMAdAAgAHIAYQBuAGQAbwBtAGwAeQAgAGcAZQBuAGUAcgBhAHQAZQBkACAAdgBhAGwAdQBlACAAdwBoAGkAYwBoACAAYwBhAG4AIABiAGUAIABpAG4AYwBsAHUAZABlAGQAIABpAG4AIAB0AGgAZQAgAG8AdQB0AHAAdQB0ACAAYQByAHIAYQB5AFwAbgAgACAAIAAgACAAIAAgACAAIAAgACAAIAAgACAAIAAgACAAIAAgACAAIAAgACAAIAAgACAAIAAgACAAIAAgACAAIABJAGYAIABuAG8AdAAgAGkAbgBwAHUAdAAgAHYAYQBsAHUAZQAgAGkAcwAgAHAAcgBvAHYAaQBkAGUAZAAsACAAdwBpAGwAbAAgAGQAZQBmAGEAdQBsAHQAIAB0AG8AIAAwAFwAbgAgACAAIAAgACAAIAAgACAAKwAgAG0AYQB4ACAAIAAgACAAIAAgACAAPQAgACgAbwBwAHQAaQBvAG4AYQBsACkAIAB0AGgAZQAgAGwAYQByAGcAZQBzAHQAIAByAGEAbgBkAG8AbQBsAHkAIABnAGUAbgBlAHIAYQB0AGUAZAAgAHYAYQBsAHUAZQAgAHcAaABpAGMAaAAgAGMAYQBuACAAYgBlACAAaQBuAGMAbAB1AGQAZQBkACAAaQBuACAAdABoAGUAIABvAHUAdABwAHUAdAAgAGEAcgByAGEAeQBcAG4AIAAgACAAIAAgACAAIAAgACAAIAAgACAAIAAgACAAIAAgACAAIAAgACAAIAAgACAAIAAgACAAIAAgACAAIAAgACAASQBmACAAbgBvAHQAIABpAG4AcAB1AHQAIAB2AGEAbAB1AGUAIABpAHMAIABwAHIAbwB2AGkAZABlAGQALAAgAHcAaQBsAGwAIABkAGUAZgBhAHUAbAB0ACAAdABvACAAMQAwADAAXABuACAAIAAgACAAIAAgACAAIAArACAAaQBuAHQAZQBnAGUAcgAgACAAIAA9ACAAKABvAHAAdABpAG8AbgBhAGwAKQAgAGQAZQB0AGUAcgBtAGkAbgBlAHMAIAB3AGgAZQB0AGgAZQByACAAdABoAGUAIAByAGEAbgBkAG8AbQBsAHkAIABnAGUAbgBlAHIAYQB0AGUAZAAgAHYAYQBsAHUAZQBzACAAdwBpAGwAbAAgAGIAZQAgAGkAbgB0AGUAZwBlAHIAcwAgACgAdwBoAG8AbABlACAAbgB1AG0AYgBlAHIAcwApACAAbwByACAAZABlAGMAaQBtAGEAbAAgAHYAYQBsAHUAZQBzAFwAbgAgACAAIAAgACAAIAAgACAAIAAgACAAIAAgACAAIAAgACAAIAAgACAAIAAgACAAIAAgACAAIAAgACAAIAAgACAAIABDAGEAbgAgAGIAZQAgAGkAbgBwAHUAdAAgAGEAcwAgAGUAaQB0AGgAZQByACAAYQAgAGwAbwBnAGkAYwBhAGwAIAAoAEIAbwBvAGwAZQBhAG4AKQAgAHYAYQBsAHUAZQAgAG8AcgAgAGEAIABuAHUAbQBiAGUAcgA6AFwAbgAgACAAIAAgACAAIAAgACAAIAAgACAAIAAgACAAIAAgACAAIAAgACAAIAAgACAAIAAgACAAIAAgACAAIAAgACAAIAAgACAAIAAgAFQAUgBVAEUALwAxACAAPQAgACgAZABlAGYAYQB1AGwAdAApACAAbwB1AHQAcAB1AHQAcwAgAGkAbgB0AGUAZwBlAHIAIAB2AGEAbAB1AGUAcwAgACgAdwBoAG8AbABlACAAbgB1AG0AYgBlAHIAcwApACAAbwBuAGwAeQBcAG4AIAAgACAAIAAgACAAIAAgACAAIAAgACAAIAAgACAAIAAgACAAIAAgACAAIAAgACAAIAAgACAAIAAgACAAIAAgACAAIAAgACAARgBBAEwAUwBFAC8AMAAgAD0AIABvAHUAdABwAHUAdABzACAAbgBvAG4ALQByAG8AdQBuAGQAZQBkACAAZABlAGMAaQBtAGEAbAAgAHYAYQBsAHUAZQBzAFwAbgAgACAAIAAgAEUAcgByAG8AcgAgAGMAbwBkAGUAcwA6AFwAbgAgACAAIAAgACAAIAAgACAAIwBDAEEATABDACEAIAAgACAAIAAgACAAPQAgAFQAaABlACAAbgB1AG0AYgBlAHIAIABvAGYAIABwAG8AdABlAG4AdABpAGEAbAAgAHcAaABvAGwAZQAgAG4AdQBtAGIAZQByAHMAIAAoAGkAbgB0AGUAZwBlAHIAcwApACAAYgBlAHQAdwBlAGUAbgAgAG0AaQBuACAAYQBuAGQAIABtAGEAeAAgAGkAcwAgAGwAZQBzAHMAIAB0AGgAYQBuACAAdABoAGUAIABuAHUAbQBiAGUAcgAgAG8AZgAgAHYAYQBsAHUAZQBzACAAcgBlAHEAdQBpAHIAZQBkACAAdABvACAAZgBpAGwAbAAgAHQAaABlACAAXABuACAAIAAgACAAIAAgACAAIAAgACAAIAAgACAAIAAgACAAIAAgACAAIAAgACAAbwB1AHQAcAB1AHQAIABhAHIAcgBhAHkAIABiAGEAcwBlAGQAIABvAG4AIAB0AGgAZQAgAHIAbwB3AHMAIABhAG4AZAAgAGMAbwBsAHUAbQBuAHMAIABpAG4AcAB1AHQAcwBcAG4AIAAgACAAIAAgACAAIAAgACMAQwBBAEwAQwAhACAAIAAgACAAIAAgAD0AIABUAGgAZQAgAG0AaQBuACAAaQBuAHAAdQB0ACAAdgBhAGwAdQBlACAAcAByAG8AdgBpAGQAZQBkACAAaQBzACAAbABlAHMAcwAgAHQAaABhAG4AIAB0AGgAZQAgAG0AYQB4ACAAaQBuAHAAdQB0ACAAdgBhAGwAdQBlACAAcAByAG8AdgBpAGQAZQBkAFwAbgAgACAAIAAgACAAIAAgACAAIwBWAEEATABVAEUAIQAgACAAIAAgACAAPQAgAFQAaABlACAAbwBwAHQAaQBvAG4AYQBsACAAcABhAHIAYQBtAGUAdABlAHIAcwAgAHIAbwB3AHMALAAgAGMAbwBsAHUAbQBuAHMALAAgAG0AaQBuACAAYQBuAGQALwBvAHIAIABtAGEAeAAgAGgAYQB2AGUAIABpAG4AcAB1AHQAIAB2AGEAbAB1AGUAcwAgAHAAcgBvAHYAaQBkAGUAZAAgAHcAaABpAGMAaAAgAGEAcgBlACAAaQBuAHYAYQBsAGkAZABcAG4AIAAgACAAIAAgACAAIAAgACAAIAAgACAAIAAgACAAIAAgACAAIAAgACAAIAAgACAALQAgAG0AdQBzAHQAIABiAGUAIABhACAAdwBoAG8AbABlACAAbgB1AG0AYgBlAHIALwBpAG4AdABlAGcAZQByAFwAbgAgACAAIAAgACAAIAAgACAAIAAgACAAIAAgACAAIAAgACAAIAAgACAAIAAgACAAIAAtACAAdABoAGUAIAByAG8AdwBzACAAYQBuAGQAIABjAG8AbAB1AG0AbgBzACAAaQBuAHAAdQB0ACAAdgBhAGwAdQBlAHMAIABtAHUAcwB0ACAAYgBlACAAcABvAHMAaQB0AGkAdgBlACAAdgBhAGwAdQBlAHMAIABnAHIAZQBhAHQAZQByACAAdABoAGEAbgAgADAAXABuACAAIAAgACAAIAAgACAAIAAjAFYAQQBMAFUARQAhACAAIAAgACAAIAA9ACAAVABoAGUAIABvAHAAdABpAG8AbgBhAGwAIABwAGEAcgBhAG0AZQB0AGUAcgAgAGkAbgB0AGUAZwBlAHIAIABoAGEAcwAgAGEAbgAgAGkAbgBwAHUAdAAgAHYAYQBsAHUAZQAgAHAAcgBvAHYAaQBkAGUAZAAgAHcAaABpAGMAaAAgAGkAcwAgAGkAbgB2AGEAbABpAGQAXABuACAAIAAgACAAIAAgACAAIAAgACAAIAAgACAAIAAgACAAIAAgACAAIAAgACAAIAAgAC0AIABtAHUAcwB0ACAAYgBlACAAZQBpAHQAaABlAHIAIABhACAAbgB1AG0AYgBlAHIAIAAoADEAIABvAHIAIAAwACkAIABvAHIAIABhACAAbABvAGcAaQBjAGEAbAAvAEIAbwBvAGwAZQBhAG4AIAB2AGEAbAB1AGUAIAAoAFQAUgBVAEUALwBGAEEATABTAEUAKQBcAG4AIAAgACAAIAAgACAAIAAgACMATgBVAE0AIQAgACAAIAAgACAAIAAgAD0AIABJAG4AZABpAGMAYQB0AGUAcwAgAHQAaABhAHQAIAB0AGgAZQAgAHMAdQBwAHAAbwByAHQAaQBuAGcAIABjAHUAcwB0AG8AbQAgAGYAdQBuAGMAdABpAG8AbgAgAFIAWABMAF8AUgBlAGMAUgBBAE4ARAAoACkAIABoAGEAcwAgAGgAaQB0ACAAdABoAGUAIABFAHgAYwBlAGwAIAByAGUAYwB1AHIAcwBpAG8AbgAgAGwAaQBtAGkAdABcAG4AIAAgACAAIABOAG8AdABlAHMAOgBcAG4AIAAgACAAIAAgACAAIAAgAC0AIABUAGgAaQBzACAAZgB1AG4AYwB0AGkAbwBuACAAcgBlAHEAdQBpAHIAZQBzACAAdABoAGUAIABzAHUAcABwAG8AcgB0AGkAbgBnACAAYwB1AHMAdABvAG0AIABmAHUAbgBjAHQAaQBvAG4AIABSAFgATABfAFIAZQBjAFIAQQBOAEQAKAApACAAaQBuACAAbwByAGQAZQByACAAdABvACAAdwBvAHIAawAgAC0APgAgAGkAZgAgAHQAaABlACAAcwB1AHAAcABvAHIAdABpAG4AZwAgAGYAdQBuAGMAdABpAG8AbgAgAGkAcwAgAG4AbwB0ACAAcAByAGUAcwBlAG4AdABcAG4AIAAgACAAIAAgACAAIAAgACAAIAB0AGgAaQBzACAAZgB1AG4AYwB0AGkAbwBuACAAdwBpAGwAbAAgAG4AbwB0ACAAdwBvAHIAawAgAGMAbwByAHIAZQBjAHQAbAB5ACAAYQBuAGQAIAB3AGkAbABsACAAcgBlAHQAdQByAG4AIABhACAAIwBOAEEATQBFAD8AIABlAHIAcgBvAHIAXABuACAAIAAgACAAIAAgACAAIAAtACAAQQBzACAAdABoAGUAIABmAHUAbgBjAHQAaQBvAG4AIAB1AHMAZQBzACAAcgBhAG4AZABvAG0AIABuAHUAbQBiAGUAcgAgAGcAZQBuAGUAcgBhAHQAaQBvAG4AIABpAHQAIABpAHMAIABhACAAdgBvAGwAYQB0AGkAbABlACAAZgB1AG4AYwB0AGkAbwBuACAAYQBuAGQAIAB3AGkAbABsACAAcgBlAC0AYwBhAGwAYwB1AGwAYQB0AGUAIABlAHYAZQByAHkAIAB0AGkAbQBlACAAdABoAGUAcgBlACAAaQBzACAAYQAgAGMAYQBsAGMAdQBsAGEAdABpAG8AbgAgAHQAcgBpAGcAZwBlAHIAXABuACAAIAAgACAAIAAgACAAIAAtACAASQBmACAAdABoAGUAIABmAHUAbgBjAHQAaQBvAG4AIABpAHMAIAB1AG4AYQBiAGwAZQAgAHQAbwAgAGcAZQBuAGUAcgBhAHQAZQAgAGEAIAB1AG4AaQBxAHUAZQAgAHYAYQBsAHUAZQAgAHcAaQB0AGgAaQBuACAAdABoAGUAIAByAGUAYwB1AHIAcwBpAG8AbgAgAGQAZQBwAHQAaAAgAGwAaQBtAGkAdAAsACAAYQAgACMATgAvAEEAIAB2AGEAbAB1AGUAIAB3AGkAbABsACAAYgBlACAAcgBlAHQAdQByAG4AZQBkAFwAbgAgACAAIAAgACAAIAAgACAAIAAgAC0APgAgAGkAbgAgAG8AcgBkAGUAcgAgAHQAbwAgAGMAaABhAG4AZwBlAC8AaQBuAGMAcgBlAGEAcwBlACAAdABoAGUAIABtAGEAeAAgAHIAZQBjAHUAcgBzAGkAbwBuACAAZABlAHAAdABoACwAIAB1AHAAZABhAHQAZQAgAHQAaABlACAAZgBpAG4AYQBsACAAKAA1AHQAaAApACAAYQByAGcAdQBtAGUAbgB0ACAAZgBvAHIAIAB0AGgAZQAgAFIAWABMAF8AUgBlAGMAUgBBAE4ARAAoACkAIABmAHUAbgBjAHQAaQBvAG4AIABjAGEAbABsAFwAbgAqAC8AXABuAFIAWABMAF8ATgBvAG4AUgBlAHAAUgBBAE4ARAAgAD0AIABMAEEATQBCAEQAQQAoAFwAbgAgACAAIAAgAC8ALwAgAFAAYQByAGEAbQBlAHQAZQByACAAZABlAGYAaQBuAGkAdABpAG8AbgBzAFwAbgAgACAAIAAgAFsAcgBvAHcAcwBdACwAXABuACAAIAAgACAAWwBjAG8AbAB1AG0AbgBzAF0ALABcAG4AIAAgACAAIABbAG0AaQBuAF0ALABcAG4AIAAgACAAIABbAG0AYQB4AF0ALABcAG4AIAAgACAAIABbAGkAbgB0AGUAZwBlAHIAXQAsAFwAbgAgACAAIAAgAC8ALwAgAE0AYQBpAG4AIABmAHUAbgBjAHQAaQBvAG4AIABiAG8AZAB5AC8AYwBhAGwAYwB1AGwAYQB0AGkAbwBuAHMAXABuACAAIAAgACAATABFAFQAKABcAG4AIAAgACAAIAAgACAAIAAgAC8ALwAgAEQAZQBhAGwAaQBuAGcAIAB3AGkAdABoACAAbwBwAHQAaQBvAG4AYQBsACAAcABhAHIAYQBtAGUAdABlAHIAcwAgACYAIABzAGUAdAB0AGkAbgBnACAAZABlAGYAYQB1AGwAdAAgAHYAYQBsAHUAZQBzAFwAbgAgACAAIAAgACAAIAAgACAAXwByAG8AdwBzACwAIABJAEYAKAAgAEkAUwBPAE0ASQBUAFQARQBEACgAcgBvAHcAcwApACwAIAAxACwAIABJAE4AVAAoAHIAbwB3AHMAKQApACwAXABuACAAIAAgACAAIAAgACAAIABfAGMAbwBsAHMALAAgAEkARgAoACAASQBTAE8ATQBJAFQAVABFAEQAKABjAG8AbAB1AG0AbgBzACkALAAgADEALAAgAEkATgBUACgAYwBvAGwAdQBtAG4AcwApACkALABcAG4AIAAgACAAIAAgACAAIAAgAF8AbQBpAG4ALAAgAEkARgAoACAASQBTAE8ATQBJAFQAVABFAEQAKABtAGkAbgApACwAIAAwACwAIABJAE4AVAAoAG0AaQBuACkAKQAsAFwAbgAgACAAIAAgACAAIAAgACAAXwBtAGEAeAAsACAASQBGACgAIABJAFMATwBNAEkAVABUAEUARAAoAG0AYQB4ACkALAAgADEAMAAwACwAIABJAE4AVAAoAG0AYQB4ACkAKQAsAFwAbgAgACAAIAAgACAAIAAgACAAXwBpAG4AdAAsACAASQBGACgAIABJAFMATwBNAEkAVABUAEUARAAoAGkAbgB0AGUAZwBlAHIAKQAsACAAMQAsACAASQBOAFQAKABpAG4AdABlAGcAZQByACkAKQAsAFwAbgAgACAAIAAgACAAIAAgACAALwAvACAAQwBhAGwAYwB1AGwAYQB0AGkAbgBnACAAdABoAGUAIABkAGUAcgBpAHYAZQBkACAAdgBhAHIAaQBhAGIAbABlAHMAIABuAGUAZQBkAGUAZAAgAGYAbwByACAAdABoAGUAIABtAGEAaQBuACAAYwBhAGwAYwB1AGwAYQB0AGkAbwBuAFwAbgAgACAAIAAgACAAIAAgACAAXwBjAG4AdAAsACAAXwByAG8AdwBzACAAKgAgAF8AYwBvAGwAcwAsAFwAbgAgACAAIAAgACAAIAAgACAAXwBkAGkAZgAsACAAXwBtAGEAeAAgAC0AIABfAG0AaQBuACAAKwAgADEALABcAG4AIAAgACAAIAAgACAAIAAgAC8ALwAgAEkAbgBwAHUAdAAgAGMAaABlAGMAawBzACAAZgBvAHIAIAB0AGgAZQAgAG8AcAB0AGkAbwBuAGEAbAAgAHAAYQByAGEAbQBlAHQAZQByAHMAIABhAG4AZAAgAHIAZQBxAHUAaQByAGUAZAAgAHAAYQByAGEAbQBlAHQAZQByAHMALAAgAHIAZQB0AHUAcgBuAGkAbgBnACAAdABoAGUAIABfAGkAbgBwAEMAaABrAFwAbgAgACAAIAAgACAAIAAgACAALwAvACAAdgBhAGwAdQBlACAAYQBzACAAMQAtAHQAbwAtADMAXABuACAAIAAgACAAIAAgACAAIABfAGkAbgBwAEMAaABrACwAIABJAEYAKABcAG4AIAAgACAAIAAgACAAIAAgACAAIAAgACAAQQBOAEQAKABfAGkAbgB0ACwAIABfAGMAbgB0ACAAPgAgAF8AZABpAGYAKQAsAFwAbgAgACAAIAAgACAAIAAgACAAIAAgACAAIAAyACwAIABJAEYAKABcAG4AIAAgACAAIAAgACAAIAAgACAAIAAgACAATwBSACgAXABuACAAIAAgACAAIAAgACAAIAAgACAAIAAgACAAIAAgACAASQBTAEUAUgBSAE8AUgAoAF8AcgBvAHcAcwApACwAIABfAHIAbwB3AHMAIAA8ACAAMQAsAFwAbgAgACAAIAAgACAAIAAgACAAIAAgACAAIAAgACAAIAAgAEkAUwBFAFIAUgBPAFIAKABfAGMAbwBsAHMAKQAsACAAXwBjAG8AbABzACAAPAAgADEALABcAG4AIAAgACAAIAAgACAAIAAgACAAIAAgACAAIAAgACAAIABJAFMARQBSAFIATwBSACgAXwBtAGkAbgApACwAIABJAFMARQBSAFIATwBSACgAXwBtAGEAeAApACwAIABfAG0AaQBuACAAPgA9ACAAXwBtAGEAeAAsAFwAbgAgACAAIAAgACAAIAAgACAAIAAgACAAIAAgACAAIAAgAEkAUwBFAFIAUgBPAFIAKABfAGkAbgB0ACkALAAgAF8AaQBuAHQAIAA8ACAAMAAsACAAXwBpAG4AdAAgAD4AIAAxAFwAbgAgACAAIAAgACAAIAAgACAAIAAgACAAIAApACwAIAAzACwAXABuACAAIAAgACAAIAAgACAAIAAgACAAIAAgADEAXABuACAAIAAgACAAIAAgACAAIAApACkALABcAG4AIAAgACAAIAAgACAAIAAgAC8ALwAgAEMAcgBlAGEAdABlACAAYQAgAHMAaQBtAHAAbABlACAAaQBuAGQAZQB4ACAAKABfAGkAZAB4ACkAIAB3AGkAdABoACAAdABoAGUAIABjAG8AcgByAGUAYwB0ACAAbgB1AG0AYgBlAHIAIABvAGYAIAB2AGEAbAB1AGUAcwAgAGYAbwByACAAdABoAGUAIAByAG8AdwAgAGEAbgBkACAAYwBvAGwAdQBtAG4AXABuACAAIAAgACAAIAAgACAAIAAvAC8AIABkAGkAbQBlAG4AcwBpAG8AbgBzACAAcAByAG8AdgBpAGQAZQBkACwAIAB0AG8AIABhAGwAbABvAHcAIABmAG8AcgAgAGMAbwByAHIAZQBjAHQAIABpAHQAZQByAGEAdABpAG8AbgAgAG8AZgAgAHQAaABlACAAUgBFAEQAVQBDAEUAKAApACAAZgB1AG4AYwB0AGkAbwBuAFwAbgAgACAAIAAgACAAIAAgACAAXwBpAGQAeAAsACAAUwBFAFEAVQBFAE4AQwBFACgAXwByAG8AdwBzACAAKgAgAF8AYwBvAGwAcwAsACAAMQAsACAAMAAsACAAMAApACwAXABuACAAIAAgACAAIAAgACAAIAAvAC8AIABDAGEAbABjAHUAbABhAHQAZQAgAGEAIAByAGEAbgBkAG8AbQBsAHkAIABnAGUAbgBlAHIAYQB0AGUAZAAgAGwAaQBzAHQAIABvAGYAIAB2AGEAbAB1AGUAcwAgAHcAaQB0AGgAaQBuACAAdABoAGUAIABfAG0AaQBuACAAYQBuAGQAIABfAG0AYQB4ACAAdgBhAGwAdQBlAHMAIAB1AHMAaQBuAGcAXABuACAAIAAgACAAIAAgACAAIAAvAC8AIAB0AGgAZQAgAHIAZQBjAHUAcgBzAGkAdgBlACAAUgBYAEwAXwBSAGUAYwBSAEEATgBEACAAZgB1AG4AYwB0AGkAbwBuAFwAbgAgACAAIAAgACAAIAAgACAALwAvACAATgBvAHQAZQA6ACAAdABoAGUAIABtAGEAeAAgAHIAZQBjAHUAcgBzAGkAbwBuACAAZABlAHAAdABoACAAbwBmACAAdABoAGUAIABSAFgATABfAFIAZQBjAFIAQQBOAEQAKAApACAAZgB1AG4AYwB0AGkAbwBuACAAaQBzACAAcwBlAHQAIAB2AGkAYQAgAHQAaABlACAAZgBpAG4AYQBsAC8ANQB0AGgAIABhAHIAZwB1AG0AZQBuAHQAXABuACAAIAAgACAAIAAgACAAIABfAHIAbgBkACwAIABEAFIATwBQACgAXABuACAAIAAgACAAIAAgACAAIAAgACAAIAAgAFIARQBEAFUAQwBFACgAMAAsACAAXwBpAGQAeAAsACAATABBAE0AQgBEAEEAKABfAGEAYwBjACwAXwB2AGEAbAAsAFwAbgAgACAAIAAgACAAIAAgACAAIAAgACAAIAAgACAAIAAgAFYAUwBUAEEAQwBLACgAXwBhAGMAYwAsACAAUgBYAEwAXwBSAGUAYwBSAEEATgBEACgAXwBhAGMAYwAsACAAXwBtAGkAbgAsACAAXwBtAGEAeAAsACAAXwBpAG4AdAAsACAAMQAwADAAMAApACkAXABuACAAIAAgACAAIAAgACAAIAAgACAAIAAgACkAKQAsACAAMQBcAG4AIAAgACAAIAAgACAAIAAgACkALABcAG4AIAAgACAAIAAgACAAIAAgAC8ALwAgAFQAaABlACAAXwByAG4AZAAgAGEAcgByAGEAeQAgAGkAcwAgAHQAaABlAG4AIAByAGUALQBjAHIAZQBhAHQAZQBkACAAYQBzACAAYQBuACAAbwB1AHQAcAB1AHQAIABhAHIAcgBhAHkAIABtAGEAdABjAGgAaQBuAGcAIAB0AGgAZQAgAHIAbwB3ACAAYQBuAGQAIABjAG8AbAB1AG0AbgAgAGQAaQBtAGUAbgBzAGkAbwBuAHMAXABuACAAIAAgACAAIAAgACAAIAAvAC8AIABwAHIAbwB2AGkAZABlAGQAIABiAHkAIAB0AGgAZQAgAHUAcwBlAHIAXABuACAAIAAgACAAIAAgACAAIABfAHIAdABuACwAIABNAEEASwBFAEEAUgBSAEEAWQAoAF8AcgBvAHcAcwAsACAAXwBjAG8AbABzACwAIABMAEEATQBCAEQAQQAoAF8AcgAsAF8AYwAsACAASQBOAEQARQBYACgAXwByAG4AZAAsACAAKABfAHIAIAAtACAAMQApACAAKgAgAF8AYwBvAGwAcwAgACsAIABfAGMAKQApACkALABcAG4AIAAgACAAIAAgACAAIAAgAC8ALwAgAEkAZgAgAHQAaABlACAAaQBuAHAAdQB0ACAAYwBoAGUAYwBrAHMAIAAoAF8AaQBuAHAAQwBoAGsAKQAgAGgAYQB2AGUAIABmAGwAYQBnAGcAZQBkACAAdABoAGUAbgAgAHQAaABlACAAcgBlAHEAdQBpAHIAZQBkACAARQB4AGMAZQBsACAAZQByAHIAbwByACAAYwBvAGQAZQAgAGkAcwAgAHIAZQB0AHUAcgBuAGUAZAAsAFwAbgAgACAAIAAgACAAIAAgACAALwAvACAAbwB0AGgAZQByAHcAaQBzAGUAIAB0AGgAZQAgAGMAYQBsAGMAdQBsAGEAdABlAGQAIAByAGUAcwB1AGwAdAAgACgAXwByAHQAbgApACAAaQBzACAAcgBlAHQAdQByAG4AZQBkAFwAbgAgACAAIAAgACAAIAAgACAAQwBIAE8ATwBTAEUAKABfAGkAbgBwAEMAaABrACwAIABfAHIAdABuACwAIABMAEEATQBCAEQAQQAoADAAKQAsACAAIwBWAEEATABVAEUAIQApAFwAbgAgACAAIAAgACkAXABuACkAOwBcAG4ALwAqAFwAbgAgACAAIAAgAE4AYQBtAGUAOgAgACAAIAAgACAAIAAgACAAUgBlAGMAUgBBAE4ARAAoACkAXABuACAAIAAgACAARABlAHMAYwByAGkAcAB0AGkAbwBuADoAIAAqAC8ALwAqACoAUgBlAGMAdQByAHMAaQB2AGUAIABMAEEATQBCAEQAQQAgAGYAdQBuAGMAdABpAG8AbgAgAHIAZQBxAHUAaQByAGUAZAAgAGEAcwAgAGEAIABzAHUAcABwAG8AcgB0ACAAZgB1AG4AYwB0AGkAbwBuACAAZgBvAHIAIAB0AGgAZQAgAFIAWABMAF8ATgBvAG4AUgBlAHAAUgBBAE4ARAAoACkAIABjAHUAcwB0AG8AbQAgAGYAdQBuAGMAaQB0AG8AbgAqAC8ALwAqAFwAbgAgACAAIAAgAFAAYQByAGEAbQBlAHQAZQByAHMAOgBcAG4AIAAgACAAIAAgACAAIAAgACsAIABhAHIAcgBhAHkAIAAgACAAIAAgAD0AIAAoAHIAZQBxAHUAaQByAGUAZAApACAAdABoAGUAIABlAHgAaQBzAHQAaQBuAGcALwBpAG4AaQB0AGkAYQBsACAAYQByAHIAYQB5ACAAbwBmACAAcgBhAG4AZABvAG0AIAB2AGEAbAB1AGUAcwAgAHQAbwAgAGEAZABkACAAdABvAFwAbgAgACAAIAAgACAAIAAgACAAKwAgAG0AaQBuACAAIAAgACAAIAAgACAAPQAgACgAcgBlAHEAdQBpAHIAZQBkACkAIAB0AGgAZQAgAGwAbwB3AGUAcwB0ACAAdgBhAGwAdQBlACAAdwBoAGkAYwBoACAAYwBhAG4AIABiAGUAIAByAGEAbgBkAG8AbQBsAHkAIABnAGUAbgBlAHIAYQB0AGUAZAAgAGEAbgBkACAAcgBlAHQAdQByAG4AZQBkAFwAbgAgACAAIAAgACAAIAAgACAAKwAgAG0AYQB4ACAAIAAgACAAIAAgACAAPQAgACgAcgBlAHEAdQBpAHIAZQBkACkAIAB0AGgAZQAgAGwAYQByAGcAZQBzAHQAIAB2AGEAbAB1AGUAIAB3AGgAaQBjAGgAIABjAGEAbgAgAGIAZQAgAHIAYQBuAGQAbwBtAGwAeQAgAGcAZQBuAGUAcgBhAHQAZQBkACAAYQBuAGQAIAByAGUAdAB1AHIAbgBlAGQAXABuACAAIAAgACAAIAAgACAAIAArACAAaQBuAHQAZQBnAGUAcgAgACAAIAA9ACAAKAByAGUAcQB1AGkAcgBlAGQAKQAgAGQAZQB0AGUAcgBtAGkAbgBlAHMAIAB3AGgAZQB0AGgAZQByACAAdABoAGUAIAB2AGEAbAB1AGUAcwAgAHIAZQB0AHUAcgBuAGUAZAAgAHMAaABvAHUAbABkACAAYgBlACAAaQBuAHQAZQBnAGUAcgBzACAAKAB3AGgAbwBsAGUAIABuAHUAbQBiAGUAcgBzACkAIABvAHIAIABkAGUAYwBpAG0AYQBsACAAdgBhAGwAdQBlAHMAXABuACAAIAAgACAAIAAgACAAIAArACAAUgAgACAAIAAgACAAIAAgACAAIAA9ACAAKAByAGUAcQB1AGkAcgBlAGQAKQAgAHQAaABlACAAcgBlAGMAdQByAHMAaQBvAG4AIABkAGUAcAB0AGgAIABjAG8AdQBuAHQAZQByAFwAbgAgACAAIAAgAE4AbwB0AGUAcwA6AFwAbgAgACAAIAAgACAAIAAgACAALQAgAFQAaABpAHMAIABmAHUAbgBjAHQAaQBvAG4AIABpAHMAIABkAGUAcwBpAGcAbgBlAGQAIABhAHMAIABhACAAcwB1AHAAcABvAHIAdABpAG4AZwAgAGYAdQBuAGMAdABpAG8AbgAgAGYAbwByACAAdABoAGUAIABSAFgATABfAE4AbwBuAFIAZQBwAFIAQQBOAEQAKAApACAAZgB1AG4AYwB0AGkAbwBuACwAIABhAHMAIABzAHUAYwBoACAAdABoAGUAcgBlACAAaQBzACAAbgBvAFwAbgAgACAAIAAgACAAIAAgACAAIAAgAGUAcgByAG8AcgAgAGgAYQBuAGQAbABpAG4AZwAgAG8AcgAgAGkAbgBwAHUAdAAgAGUAcgByAG8AcgAgAHQAcgBhAHAAcABpAG4AZwAsACAAYQBuAGQAIABuAG8AIABvAHAAdABpAG8AbgBhAGwAIABpAG4AcAB1AHQAcwAvAGYAdQBuAGMAdABpAG8AbgBhAGwAaQB0AHkAXABuACAAIAAgACAAIAAgACAAIAAtACAAVABoAGUAIABtAGEAeAAgAHIAZQBjAHUAcgBzAGkAbwBuACAAZABlAHAAdABoACAAKABhAHMAIAB0AHIAYQBjAGsAZQBkACAAYgB5ACAAdABoAGUAIAB2AGEAcgBpAGEAYgBsAGUAIABSACkAIABpAHMAIABzAGUAdAAgAHQAaABlACAAZgBpAHIAcwB0ACAAdABpAG0AZQAgAHQAaABlACAAZgB1AG4AYwB0AGkAbwBuACAAaQBzACAAYwBhAGwAbABlAGQAIABmAHIAbwBtACAAdABoAGUAXABuACAAIAAgACAAIAAgACAAIAAgACAAUgBYAEwAXwBOAG8AbgBSAGUAcABSAEEATgBEACgAKQAgAGYAdQBuAGMAdABpAG8AbgAgAGEAbgBkACAAYwBhAG4AIABiAGUAIABhAGQAagB1AHMAdABlAGQAIAB0AG8AIABvAHAAdABpAG0AaQBzAGUAIABwAGUAcgBmAG8AcgBtAGEAbgBjAGUAXABuACoALwBcAG4AUgBYAEwAXwBSAGUAYwBSAEEATgBEACAAPQAgAEwAQQBNAEIARABBACgAXABuACAAIAAgACAALwAvACAAUABhAHIAYQBtAGUAdABlAHIAIABkAGUAZgBpAG4AaQB0AGkAbwBuAHMAXABuACAAIAAgACAAYQByAHIAYQB5ACwAXABuACAAIAAgACAAbQBpAG4ALABcAG4AIAAgACAAIABtAGEAeAAsAFwAbgAgACAAIAAgAGkAbgB0AGUAZwBlAHIALABcAG4AIAAgACAAIABSACwAXABuACAAIAAgACAALwAvACAATQBhAGkAbgAgAGYAdQBuAGMAdABpAG8AbgAgAGIAbwBkAHkALwBjAGEAbABjAHUAbABhAHQAaQBvAG4AcwBcAG4AIAAgACAAIABMAEUAVAAoAFwAbgAgACAAIAAgACAAIAAgACAALwAvACAAQwBhAGwAYwB1AGwAYQB0AGUAIABhACAAcgBhAG4AZABvAG0AIAB2AGEAbAB1AGUAIABiAGUAdAB3AGUAZQBuACAAdABoAGUAIABtAGkAbgAgAGEAbgBkACAAbQBhAHgAIAB2AGEAbAB1AGUAcwAgAHAAcgBvAHYAaQBkAGUAZABcAG4AIAAgACAAIAAgACAAIAAgAC8ALwAgAC0APgAgAGYAbwByACAAaQBuAHQAZQBnAGUAcgAgAG8AbgBsAHkAIAB2AGEAbAB1AGUAcwAgAHUAcwBlACAAdABoAGUAIABSAEEATgBEAEIARQBUAFcARQBFAE4AKAApACAAZgB1AG4AYwB0AGkAbwBuAFwAbgAgACAAIAAgACAAIAAgACAALwAvACAALQA+ACAAZgBvAHIAIABkAGUAYwBpAG0AYQBsACAAdgBhAGwAdQBlAHMAIAB1AHMAZQAgAHQAaABlACAAUgBBAE4ARAAoACkAIABmAHUAbgBjAHQAaQBvAG4AXABuACAAIAAgACAAIAAgACAAIABfAHYAYQBsACwAIABJAEYAKABpAG4AdABlAGcAZQByACwAXABuACAAIAAgACAAIAAgACAAIAAgACAAIAAgAFIAQQBOAEQAQgBFAFQAVwBFAEUATgAoAG0AaQBuACwAIABtAGEAeAApACwAXABuACAAIAAgACAAIAAgACAAIAAgACAAIAAgAFIAQQBOAEQAKAApACAAKgAgACgAbQBhAHgAIAAtACAAbQBpAG4AKQAgACsAIABtAGkAbgBcAG4AIAAgACAAIAAgACAAIAAgACkALABcAG4AIAAgACAAIAAgACAAIAAgAC8ALwAgAEMAaABlAGMAawAgAGkAZgAgAHQAaABlACAAbQBhAHgAIAByAGUAYwB1AHIAcwBpAG8AbgAgAGQAZQBwAHQAaAAgAGgAYQBzACAAYgBlAGUAbgAgAHIAZQBhAGMAaABlAGQAIAAtAD4AIABSAD0AMABcAG4AIAAgACAAIAAgACAAIAAgAEkARgAoAFIAIAA+AD0AIAAxACwAXABuACAAIAAgACAAIAAgACAAIAAgACAAIAAgAC8ALwAgAEMAaABlAGMAawBzACAAaQBmACAAdABoAGUAIAByAGEAbgBkAG8AbQBsAHkAIABnAGUAbgBlAHIAYQB0AGUAZAAgAHYAYQBsAHUAZQAgACgAXwB2AGEAbAApACAAaQBzACAAYQBsAHIAZQBhAGQAeQAgAHAAcgBlAHMAZQBuAHQAIABpAG4AIAB0AGgAZQAgAGEAcgByAGEAeQBcAG4AIAAgACAAIAAgACAAIAAgACAAIAAgACAALwAvACAALQA+ACAAaQBmACAAbgBvAHQAIAByAGUAdAB1AHIAbgAgAHQAaABlACAAdgBhAGwAdQBlACAAXABuACAAIAAgACAAIAAgACAAIAAgACAAIAAgAC8ALwAgAC0APgAgAG8AdABoAGUAcgB3AGkAcwBlACwAIAByAGUAcABlAGEAdAAgAHQAaABlACAAcAByAG8AYwBlAHMAcwAgAHIAZQBkAHUAYwBpAG4AZwAgAHQAaABlACAAcgBlAGMAdQByAHMAaQBvAG4AIABjAG8AdQBuAHQAZQByACAAKABSACkAIABiAHkAIABvAG4AZQBcAG4AIAAgACAAIAAgACAAIAAgACAAIAAgACAASQBGACgASQBTAE4AQQAoAFgATQBBAFQAQwBIACgAXwB2AGEAbAAsACAAYQByAHIAYQB5ACkAKQAsAFwAbgAgACAAIAAgACAAIAAgACAAIAAgACAAIAAgACAAIAAgAF8AdgBhAGwALABcAG4AIAAgACAAIAAgACAAIAAgACAAIAAgACAAIAAgACAAIABSAFgATABfAFIAZQBjAFIAQQBOAEQAKABhAHIAcgBhAHkALAAgAG0AaQBuACwAIABtAGEAeAAsACAAaQBuAHQAZQBnAGUAcgAsACAAUgAgAC0AIAAxACkAXABuACAAIAAgACAAIAAgACAAIAAgACAAIAAgACkALABcAG4AIAAgACAAIAAgACAAIAAgACAAIAAgACAALwAvACAASQBmACAAdABoAGUAIABtAGEAeAAgAHIAZQBjAHUAcgBzAGkAbwBuACAAZABlAHAAdABoACAAaABhAHMAIABiAGUAZQBuACAAcgBlAGEAYwBoAGUAZAAgACgAUgA9ADAAKQAgAHIAZQB0AHUAcgBuACAAYQAgACMATgAvAEEAIAB2AGEAbAB1AGUAIAB0AG8AIABhAHYAbwBpAGQAIAB0AGgAZQBcAG4AIAAgACAAIAAgACAAIAAgACAAIAAgACAALwAvACAAcgBlAGMAdQByAHMAaQBvAG4AIABsAGkAbQBpAHQAIABiAGUAaQBuAGcAIABoAGkAdAAgAGEAbgAgAGEAIAAjAE4AVQBNACEAIABlAHIAcgBvAHIAIAByAGUAcwB1AGwAdABpAG4AZwBcAG4AIAAgACAAIAAgACAAIAAgACAAIAAgACAATgBBACgAKQBcAG4AIAAgACAAIAAgACAAIAAgACkAXABuACAAIAAgACAAKQBcAG4AKQA7ACIAfQBdACwAIgBwAHIAbwBqAGUAYwB0AE4AYQBtAGUAcwAiADoAWwAiAFIAWABMAF8ATgBvAG4AUgBlAHAAUgBBAE4ARABfAE4AIgAsACIAUgBYAEwAXwBOAG8AbgBSAGUAcABSAEEATgBEACIALAAiAFIAWABMAF8AUgBlAGMAUgBBAE4ARA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Cj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=</AFEJSONBlob>
</file>

<file path=customXml/itemProps1.xml><?xml version="1.0" encoding="utf-8"?>
<ds:datastoreItem xmlns:ds="http://schemas.openxmlformats.org/officeDocument/2006/customXml" ds:itemID="{9008410C-4E9F-4420-B2D6-AAE1D2A7DF9E}">
  <ds:schemaRefs>
    <ds:schemaRef ds:uri="http://schemas.advancedformulaenvironment.officeapps.live.com/afejsonblob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NonRepRAND</vt:lpstr>
      <vt:lpstr>VBA</vt:lpstr>
      <vt:lpstr>Lookups</vt:lpstr>
      <vt:lpstr>_OnOff</vt:lpstr>
      <vt:lpstr>_YesNo</vt:lpstr>
    </vt:vector>
  </TitlesOfParts>
  <Company>RXL Development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RXL Non-Repeating Random Number Generation Function</dc:title>
  <dc:subject>Excel LAMBDA function development</dc:subject>
  <dc:creator>Robert Silk</dc:creator>
  <cp:keywords>https://excel-bits.net/</cp:keywords>
  <cp:lastModifiedBy>Robert Silk</cp:lastModifiedBy>
  <dcterms:created xsi:type="dcterms:W3CDTF">2025-08-12T14:01:43Z</dcterms:created>
  <dcterms:modified xsi:type="dcterms:W3CDTF">2026-05-11T10:46:19Z</dcterms:modified>
  <cp:category>LAMBDA functions</cp:category>
</cp:coreProperties>
</file>