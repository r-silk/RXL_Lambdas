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_RXL\Development\LAMBDA\"/>
    </mc:Choice>
  </mc:AlternateContent>
  <xr:revisionPtr revIDLastSave="0" documentId="13_ncr:1_{28677701-034E-4A86-935F-3C7E6413D6C5}" xr6:coauthVersionLast="47" xr6:coauthVersionMax="47" xr10:uidLastSave="{00000000-0000-0000-0000-000000000000}"/>
  <bookViews>
    <workbookView xWindow="-108" yWindow="-108" windowWidth="23256" windowHeight="12456" xr2:uid="{C29E0D24-0EA8-4D41-8E06-9F040E158B6C}"/>
  </bookViews>
  <sheets>
    <sheet name="SheetName" sheetId="11" r:id="rId1"/>
    <sheet name="WorkbookName" sheetId="14" r:id="rId2"/>
    <sheet name="FilePath" sheetId="15" r:id="rId3"/>
    <sheet name="Demo" sheetId="13" r:id="rId4"/>
    <sheet name="VBA" sheetId="17" r:id="rId5"/>
    <sheet name="Lookups" sheetId="12" r:id="rId6"/>
  </sheets>
  <definedNames>
    <definedName name="_OnOff">Lookups!$C$6:$C$7</definedName>
    <definedName name="_YesNo">Lookups!$C$3:$C$4</definedName>
    <definedName name="RXL_FilePath" comment="Returns the Workbook file path, with or without the full file name, for the cell reference provided; Workbook must be saved first">_xlfn.LAMBDA(_xlpm.cell_ref,_xlop.remove_last_char,_xlop.inc_file_name, _xlfn.LET(_xlpm._chrChk, AND(NOT(_xlfn.ISOMITTED(_xlpm.remove_last_char)), NOT(ISLOGICAL(_xlpm.remove_last_char)), NOT(ISNUMBER(_xlpm.remove_last_char))), _xlpm._fnmChk, AND(NOT(_xlfn.ISOMITTED(_xlpm.inc_file_name)), NOT(ISLOGICAL(_xlpm.inc_file_name)), NOT(ISNUMBER(_xlpm.inc_file_name))), _xlpm._refChk, NOT(ISREF(_xlpm.cell_ref)), _xlpm._lastChr, IF(OR(_xlfn.ISOMITTED(_xlpm.remove_last_char), _xlpm._chrChk), FALSE, _xlpm.remove_last_char), _xlpm._incFile, IF(OR(_xlfn.ISOMITTED(_xlpm.inc_file_name), _xlpm._fnmChk), FALSE, _xlpm.inc_file_name), _xlpm._full, CELL("filename", _xlpm.cell_ref), _xlpm._path, _xlfn.TEXTBEFORE(_xlpm._full, "[", -1, , , "#"), _xlpm._filePath, IF(_xlpm._lastChr, LEFT(_xlpm._path, LEN(_xlpm._path) - 1), _xlpm._path), _xlpm._wbName, _xlfn.TEXTBEFORE(_xlfn.TEXTAFTER(_xlpm._full, "[", -1, , , "#"), "]", -1, , , "#"), _xlpm._errChk, _xlfn.IFS(_xlpm._refChk, "#[Error: cell reference required]", _xlpm._full = "", "#[Error: Workbook must be saved]", OR(_xlpm._chrChk, _xlpm._fnmChk), "#[Error: invalid optional input]", OR(ISERROR(_xlpm._filePath), _xlpm._filePath = "#"), "#[Error reading File Path]", AND(OR(ISERROR(_xlpm._wbName), _xlpm._wbName = "#"), _xlpm._incFile), "#[Error reading Workbook Name]", TRUE, ""), _xlpm._rtn, IF(_xlpm._incFile, _xlpm._path &amp; _xlpm._wbName, _xlpm._filePath), IF(_xlpm._errChk &lt;&gt; "", _xlpm._errChk, _xlpm._rtn)))</definedName>
    <definedName name="RXL_FilePath_Alt" comment="Returns the Workbook file path, with or without the full file name, for the cell reference provided; Workbook must be saved first">_xlfn.LAMBDA(_xlpm.cell_ref,_xlop.remove_last_char,_xlop.inc_file_name,_xlfn.LET(_xlpm._chrChk,AND(NOT(_xlfn.ISOMITTED(_xlpm.remove_last_char)),NOT(ISLOGICAL(_xlpm.remove_last_char)),NOT(ISNUMBER(_xlpm.remove_last_char))),_xlpm._fnmChk,AND(NOT(_xlfn.ISOMITTED(_xlpm.inc_file_name)),NOT(ISLOGICAL(_xlpm.inc_file_name)),NOT(ISNUMBER(_xlpm.inc_file_name))),_xlpm._refChk,NOT(ISREF(_xlpm.cell_ref)),_xlpm._lastChr,IF(OR(_xlfn.ISOMITTED(_xlpm.remove_last_char),_xlpm._chrChk),FALSE,_xlpm.remove_last_char),_xlpm._incFile,IF(OR(_xlfn.ISOMITTED(_xlpm.inc_file_name),_xlpm._fnmChk),FALSE,_xlpm.inc_file_name),_xlpm._full,CELL("filename",_xlpm.cell_ref),_xlpm._nOpen,IFERROR(FIND("&lt;",SUBSTITUTE(_xlpm._full,"[","&lt;",LEN(_xlpm._full)-LEN(SUBSTITUTE(_xlpm._full,"[",""))))-1,0),_xlpm._nClose,IFERROR(FIND("&gt;",SUBSTITUTE(_xlpm._full,"]","&gt;",LEN(_xlpm._full)-LEN(SUBSTITUTE(_xlpm._full,"]",""))))-1,0),_xlpm._posL,IFERROR(FIND("[",_xlpm._full,_xlpm._nOpen),0),_xlpm._posR,IFERROR(FIND("]",_xlpm._full,_xlpm._nClose),0),_xlpm._fPath,IF(_xlpm._posL&gt;0,LEFT(_xlpm._full,_xlpm._posL-1),"#"),_xlpm._rPath,IF(_xlpm._lastChr,LEFT(_xlpm._fPath,LEN(_xlpm._fPath)-1),_xlpm._fPath),_xlpm._wbName,IF(AND(_xlpm._posL&gt;0,_xlpm._posR&gt;0),MID(_xlpm._full,_xlpm._posL+1,_xlpm._posR-(_xlpm._posL+1)),"#"),_xlpm._errChk,_xlfn.IFS(_xlpm._refChk,"#[Error: cell reference required]",OR(_xlpm._chrChk,_xlpm._fnmChk),"#[Error: invalid optional input]",OR(ISERROR(_xlpm._rPath),_xlpm._rPath="#"),"#[Error reading File Path]",AND(OR(ISERROR(_xlpm._wbName),_xlpm._wbName="#"),_xlpm._incFile),"#[Error reading Workbook Name]",TRUE,""),_xlpm._rtn,IF(_xlpm._incFile,_xlpm._fPath&amp;_xlpm._wbName,_xlpm._rPath),IF(_xlpm._errChk&lt;&gt;"",_xlpm._errChk,_xlpm._rtn)))</definedName>
    <definedName name="RXL_SheetName" comment="Returns the worksheet name (as displayed in the worksheet tab) for the cell reference provided; Workbook must be saved first">_xlfn.LAMBDA(_xlpm.cell_ref, _xlfn.LET(_xlpm._inpChk, IF(NOT(ISREF(_xlpm.cell_ref)), "#[Error: cell reference required]", ""), _xlpm._fileName, CELL("filename", _xlpm.cell_ref), _xlpm._wsName, IF(_xlpm._fileName &lt;&gt; "", _xlfn.TEXTAFTER(_xlpm._fileName, "]", -1, , , "#"), "#[Error: Workbook must be saved]"), _xlpm._rtn, IF(OR(ISERROR(_xlpm._wsName), _xlpm._wsName = "#"), "#[Error reading Sheet name]", _xlpm._wsName), IF(_xlpm._inpChk &lt;&gt; "", _xlpm._inpChk, _xlpm._rtn)))</definedName>
    <definedName name="RXL_SheetName_Alt" comment="Returns the worksheet name (as displayed in the worksheet tab) for the cell reference provided; Workbook must be saved first">_xlfn.LAMBDA(_xlpm.cell_ref,_xlfn.LET(_xlpm._inpChk,IF(NOT(ISREF(_xlpm.cell_ref)),"#[Error: cell reference required]",""),_xlpm._fileName,CELL("filename",_xlpm.cell_ref),_xlpm._pos,IFERROR(FIND("?",SUBSTITUTE(_xlpm._fileName,"]","?",LEN(_xlpm._fileName)-LEN(SUBSTITUTE(_xlpm._fileName,"]","")))),0),_xlpm._wsName,IF(_xlpm._pos&lt;&gt;0,RIGHT(_xlpm._fileName,LEN(_xlpm._fileName)-_xlpm._pos),"#"),_xlpm._rtn,IF(OR(ISERROR(_xlpm._wsName),_xlpm._wsName="#"),"#[Error reading Sheet Name]",_xlpm._wsName),IF(_xlpm._inpChk&lt;&gt;"",_xlpm._inpChk,_xlpm._rtn)))</definedName>
    <definedName name="RXL_WbInfo.About" comment="Provides information about the functions in this module">_xlfn.LAMBDA(_xlop.select_function, _xlfn.LET(_xlpm._num, IF(_xlfn.ISOMITTED(_xlpm.select_function), 0, IF(ISNUMBER(_xlpm.select_function), INT(_xlpm.select_function), "#")), _xlpm._arrDef, IF(_xlpm._num = 0, _xlfn.TEXTSPLIT("About:¬RXL Workbook Info functions.|" &amp; "¬Suggested module name = RXL_WbInfo|" &amp; "Version:¬v1.06  (April 2025)|" &amp; "Author:¬R Silk, RXL Development|" &amp; "URL:¬https://gist.github.com/r-silk/8160866c15d6184d4958579928647371|" &amp; "¬|" &amp; "Function¬Description|" &amp; "0 - About¬Provides information about the functions in this module|" &amp; "1 - SheetName¬Returns the referenced Worksheet name|" &amp; "2 - WorkbookName¬Returns the referenced Workbook name|" &amp; "3 - FilePath¬Returns the referenced Workbook file path", "¬", "|"), ""), _xlpm._arrNames, _xlfn.TEXTSPLIT("SheetName¦" &amp; "WorkbookName¦" &amp; "FilePath", "¦"), _xlpm._arrHelp, _xlfn.TEXTSPLIT("NAME:¬SheetName|" &amp; "DESCRIPTION:¬Returns the referenced worksheet name|" &amp; "VERSION:¬v1.04  (23-Mar-2025)|" &amp; "PARAMETERS:¬|" &amp; "cell_ref¬(required) a valid cell reference, e.g. 'Sheet1'!A1" &amp; "¦" &amp; "NAME:¬WorkbookName|" &amp; "DESCRIPTION:¬Returns the referenced Workbook name|" &amp; "VERSION:¬v1.05  (23-Mar-2025)|" &amp; "PARAMETERS:¬|" &amp; "cell_ref¬(required) a valid cell reference, e.g. 'Sheet1'!A1|" &amp; "remove_extension¬(optional) Choose whether to remove the file extension (True/False)" &amp; "¦" &amp; "NAME:¬FilePath|" &amp; "DESCRIPTION:¬Returns the referenced Workbook file path|" &amp; "VERSION:¬v1.04  (23-Mar-2025)|" &amp; "PARAMETERS:¬|" &amp; "cell_ref¬(required) a valid cell reference, e.g. 'Sheet1'!A1|" &amp; "remove_last_char¬(optional) Choose whether to remove the last character of the file path (True/False)|" &amp; "inc_file_name¬(optional) Choose whether to add the file name to the file path (True/False)", "¦"), _xlpm._arrOut, IF(_xlpm._num = "#", _xlfn.LET(_xlpm._idx, SUM(_xlfn.SEQUENCE(1, COUNTA(_xlpm._arrNames)) * (_xlpm._arrNames = _xlpm.select_function)), IF(_xlpm._idx &gt; 0, _xlfn.TEXTSPLIT(INDEX(_xlpm._arrHelp, _xlpm._idx), "¬", "|"), "#[Error: name not recognised]")), IF(_xlpm._num &lt;&gt; 0, IFERROR(_xlfn.TEXTSPLIT(INDEX(_xlpm._arrHelp, _xlpm._num), "¬", "|"), "#[Error: index not recognised]"), "")), IF(_xlpm._arrDef = "", _xlpm._arrOut, _xlpm._arrDef)))</definedName>
    <definedName name="RXL_WbInfo.FilePath" comment="Returns the Workbook file path, with or without the full file name, for the cell reference provided; Workbook must be saved first">_xlfn.LAMBDA(_xlpm.cell_ref,_xlop.remove_last_char,_xlop.inc_file_name, _xlfn.LET(_xlpm._chrChk, AND(NOT(_xlfn.ISOMITTED(_xlpm.remove_last_char)), NOT(ISLOGICAL(_xlpm.remove_last_char)), NOT(ISNUMBER(_xlpm.remove_last_char))), _xlpm._fnmChk, AND(NOT(_xlfn.ISOMITTED(_xlpm.inc_file_name)), NOT(ISLOGICAL(_xlpm.inc_file_name)), NOT(ISNUMBER(_xlpm.inc_file_name))), _xlpm._refChk, NOT(ISREF(_xlpm.cell_ref)), _xlpm._lastChr, IF(OR(_xlfn.ISOMITTED(_xlpm.remove_last_char), _xlpm._chrChk), FALSE, _xlpm.remove_last_char), _xlpm._incFile, IF(OR(_xlfn.ISOMITTED(_xlpm.inc_file_name), _xlpm._fnmChk), FALSE, _xlpm.inc_file_name), _xlpm._full, CELL("filename", _xlpm.cell_ref), _xlpm._path, _xlfn.TEXTBEFORE(_xlpm._full, "[", -1, , , "#"), _xlpm._filePath, IF(_xlpm._lastChr, LEFT(_xlpm._path, LEN(_xlpm._path) - 1), _xlpm._path), _xlpm._wbName, _xlfn.TEXTBEFORE(_xlfn.TEXTAFTER(_xlpm._full, "[", -1, , , "#"), "]", -1, , , "#"), _xlpm._errChk, _xlfn.IFS(_xlpm._refChk, "#[Error: cell reference required]", _xlpm._full = "", "#[Error: Workbook must be saved]", OR(_xlpm._chrChk, _xlpm._fnmChk), "#[Error: invalid optional input]", OR(ISERROR(_xlpm._filePath), _xlpm._filePath = "#"), "#[Error reading File Path]", AND(OR(ISERROR(_xlpm._wbName), _xlpm._wbName = "#"), _xlpm._incFile), "#[Error reading Workbook Name]", TRUE, ""), _xlpm._rtn, IF(_xlpm._incFile, _xlpm._path &amp; _xlpm._wbName, _xlpm._filePath), IF(_xlpm._errChk &lt;&gt; "", _xlpm._errChk, _xlpm._rtn)))</definedName>
    <definedName name="RXL_WbInfo.SheetName" comment="Returns the worksheet name (as displayed in the worksheet tab) for the cell reference provided; Workbook must be saved first">_xlfn.LAMBDA(_xlpm.cell_ref, _xlfn.LET(_xlpm._inpChk, IF(NOT(ISREF(_xlpm.cell_ref)), "#[Error: cell reference required]", ""), _xlpm._fileName, CELL("filename", _xlpm.cell_ref), _xlpm._wsName, IF(_xlpm._fileName &lt;&gt; "", _xlfn.TEXTAFTER(_xlpm._fileName, "]", -1, , , "#"), "#[Error: Workbook must be saved]"), _xlpm._rtn, IF(OR(ISERROR(_xlpm._wsName), _xlpm._wsName = "#"), "#[Error reading Sheet name]", _xlpm._wsName), IF(_xlpm._inpChk &lt;&gt; "", _xlpm._inpChk, _xlpm._rtn)))</definedName>
    <definedName name="RXL_WbInfo.WorkbookName" comment="Returns the Workbook name, with or without the file extension, for the cell reference provided; Workbook must be saved first">_xlfn.LAMBDA(_xlpm.cell_ref,_xlop.remove_extension, _xlfn.LET(_xlpm._extChk, AND(NOT(ISLOGICAL(_xlpm.remove_extension)), NOT(ISNUMBER(_xlpm.remove_extension))), _xlpm._fileExt, IF(OR(_xlfn.ISOMITTED(_xlpm.remove_extension), _xlpm._extChk), FALSE, _xlpm.remove_extension), _xlpm._inpChk, IF(NOT(ISREF(_xlpm.cell_ref)), "#[Error: cell reference required]", ""), _xlpm._fileName, CELL("filename", _xlpm.cell_ref), _xlpm._strName, _xlfn.TEXTBEFORE(_xlfn.TEXTAFTER(_xlpm._fileName, "[", -1, , , "#"), "]", -1, , , "#"), _xlpm._wbName, IF(_xlpm._fileExt, _xlfn.TEXTBEFORE(_xlpm._strName, ".", -1, , , _xlpm._strName), _xlpm._strName), _xlpm._rtn, _xlfn.IFS(_xlpm._fileName = "", "#[Error: Workbook must be saved]", OR(ISERROR(_xlpm._wbName), _xlpm._wbName = "#"), "#[Error reading Workbook name]", TRUE, _xlpm._wbName), IF(_xlpm._inpChk &lt;&gt; "", _xlpm._inpChk, _xlpm._rtn)))</definedName>
    <definedName name="RXL_WorkbookName" comment="Returns the Workbook name, with or without the file extension, for the cell reference provided; Workbook must be saved first">_xlfn.LAMBDA(_xlpm.cell_ref,_xlop.remove_extension, _xlfn.LET(_xlpm._extChk, AND(NOT(ISLOGICAL(_xlpm.remove_extension)), NOT(ISNUMBER(_xlpm.remove_extension))), _xlpm._fileExt, IF(OR(_xlfn.ISOMITTED(_xlpm.remove_extension), _xlpm._extChk), FALSE, _xlpm.remove_extension), _xlpm._inpChk, IF(NOT(ISREF(_xlpm.cell_ref)), "#[Error: cell reference required]", ""), _xlpm._fileName, CELL("filename", _xlpm.cell_ref), _xlpm._strName, _xlfn.TEXTBEFORE(_xlfn.TEXTAFTER(_xlpm._fileName, "[", -1, , , "#"), "]", -1, , , "#"), _xlpm._wbName, IF(_xlpm._fileExt, _xlfn.TEXTBEFORE(_xlpm._strName, ".", -1, , , _xlpm._strName), _xlpm._strName), _xlpm._rtn, _xlfn.IFS(_xlpm._fileName = "", "#[Error: Workbook must be saved]", OR(ISERROR(_xlpm._wbName), _xlpm._wbName = "#"), "#[Error reading Workbook name]", TRUE, _xlpm._wbName), IF(_xlpm._inpChk &lt;&gt; "", _xlpm._inpChk, _xlpm._rtn)))</definedName>
    <definedName name="RXL_WorkbookName_Alt" comment="Returns the Workbook name, with or without the file extension, for the cell reference provided; Workbook must be saved first">_xlfn.LAMBDA(_xlpm.cell_ref,_xlop.remove_extension,_xlfn.LET(_xlpm._inpChk,IF(NOT(ISREF(_xlpm.cell_ref)),"#[Error: cell reference required]",""),_xlpm._extChk,AND(NOT(ISLOGICAL(_xlpm.remove_extension)),NOT(ISNUMBER(_xlpm.remove_extension))),_xlpm._fileExt,IF(OR(_xlfn.ISOMITTED(_xlpm.remove_extension),_xlpm._extChk),FALSE,_xlpm.remove_extension),_xlpm._fileName,CELL("filename",_xlpm.cell_ref),_xlpm._posR,IFERROR(FIND("?",SUBSTITUTE(_xlpm._fileName,"]","?",LEN(_xlpm._fileName)-LEN(SUBSTITUTE(_xlpm._fileName,"]","")))),0),_xlpm._str,IF(_xlpm._posR&gt;0,LEFT(_xlpm._fileName,_xlpm._posR-1),"#"),_xlpm._posL,IFERROR(FIND("?",SUBSTITUTE(_xlpm._str,"[","?",LEN(_xlpm._str)-LEN(SUBSTITUTE(_xlpm._str,"[","")))),0),_xlpm._strName,IF(_xlpm._posL&gt;0,RIGHT(_xlpm._str,LEN(_xlpm._str)-_xlpm._posL),"#"),_xlpm._posX,IF(_xlpm._fileExt,IFERROR(FIND("?",SUBSTITUTE(_xlpm._strName,".","?",LEN(_xlpm._strName)-LEN(SUBSTITUTE(_xlpm._strName,".",""))))-1,0),0),_xlpm._wbName,IF(_xlpm._posX&gt;0,LEFT(_xlpm._strName,_xlpm._posX),_xlpm._strName),_xlpm._rtn,IF(_xlpm._wbName="#","#[Error reading Workbook name]",_xlpm._wbName),IF(_xlpm._inpChk&lt;&gt;"",_xlpm._inpChk,_xlpm._rtn)))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7" l="1"/>
  <c r="D65" i="13" a="1"/>
  <c r="D65" i="13" s="1"/>
  <c r="D61" i="13" a="1"/>
  <c r="D61" i="13" s="1"/>
  <c r="D57" i="13" a="1"/>
  <c r="D57" i="13" s="1"/>
  <c r="D53" i="13" a="1"/>
  <c r="D53" i="13" s="1"/>
  <c r="D49" i="13" a="1"/>
  <c r="D49" i="13" s="1"/>
  <c r="D38" i="13" a="1"/>
  <c r="D38" i="13" s="1"/>
  <c r="D34" i="13" a="1"/>
  <c r="D34" i="13" s="1"/>
  <c r="D30" i="13" a="1"/>
  <c r="D30" i="13" s="1"/>
  <c r="D26" i="13" a="1"/>
  <c r="D26" i="13" s="1"/>
  <c r="D15" i="13" a="1"/>
  <c r="D15" i="13" s="1"/>
  <c r="D11" i="13" a="1"/>
  <c r="D11" i="13" s="1"/>
  <c r="D66" i="13"/>
  <c r="D62" i="13"/>
  <c r="D58" i="13"/>
  <c r="D54" i="13"/>
  <c r="D50" i="13"/>
  <c r="C104" i="15"/>
  <c r="C103" i="15" a="1"/>
  <c r="C103" i="15" s="1"/>
  <c r="C44" i="15"/>
  <c r="C43" i="15" a="1"/>
  <c r="C43" i="15" s="1"/>
  <c r="B39" i="15"/>
  <c r="C36" i="15"/>
  <c r="C35" i="15" a="1"/>
  <c r="C35" i="15" s="1"/>
  <c r="C31" i="15"/>
  <c r="C30" i="15" a="1"/>
  <c r="C30" i="15" s="1"/>
  <c r="C26" i="15"/>
  <c r="C25" i="15" a="1"/>
  <c r="C25" i="15" s="1"/>
  <c r="C21" i="15"/>
  <c r="C20" i="15" a="1"/>
  <c r="C20" i="15" s="1"/>
  <c r="C17" i="15"/>
  <c r="C16" i="15" a="1"/>
  <c r="C16" i="15" s="1"/>
  <c r="C13" i="15"/>
  <c r="C12" i="15" a="1"/>
  <c r="C12" i="15" s="1"/>
  <c r="B2" i="15"/>
  <c r="D39" i="13"/>
  <c r="D35" i="13"/>
  <c r="D31" i="13"/>
  <c r="D27" i="13"/>
  <c r="C87" i="14"/>
  <c r="C86" i="14" a="1"/>
  <c r="C86" i="14" s="1"/>
  <c r="C38" i="14"/>
  <c r="C37" i="14" a="1"/>
  <c r="C37" i="14" s="1"/>
  <c r="B33" i="14"/>
  <c r="C30" i="14"/>
  <c r="C29" i="14" a="1"/>
  <c r="C29" i="14" s="1"/>
  <c r="C26" i="14"/>
  <c r="C25" i="14" a="1"/>
  <c r="C25" i="14" s="1"/>
  <c r="C21" i="14"/>
  <c r="C20" i="14" a="1"/>
  <c r="C20" i="14" s="1"/>
  <c r="C17" i="14"/>
  <c r="C16" i="14" a="1"/>
  <c r="C16" i="14" s="1"/>
  <c r="C13" i="14"/>
  <c r="C12" i="14" a="1"/>
  <c r="C12" i="14" s="1"/>
  <c r="B2" i="14"/>
  <c r="D16" i="13"/>
  <c r="D12" i="13"/>
  <c r="B2" i="13"/>
  <c r="C27" i="11" a="1"/>
  <c r="C27" i="11" s="1"/>
  <c r="C55" i="11" a="1"/>
  <c r="C55" i="11" s="1"/>
  <c r="C19" i="11" a="1"/>
  <c r="C19" i="11" s="1"/>
  <c r="C15" i="11" a="1"/>
  <c r="C15" i="11" s="1"/>
  <c r="B2" i="11"/>
  <c r="B23" i="11" s="1"/>
  <c r="C11" i="11" a="1"/>
  <c r="C11" i="11" s="1"/>
  <c r="C16" i="11"/>
  <c r="C20" i="11"/>
  <c r="C12" i="11"/>
  <c r="C56" i="11"/>
  <c r="C28" i="11"/>
  <c r="B71" i="17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<sst xmlns="http://schemas.openxmlformats.org/spreadsheetml/2006/main" count="390" uniqueCount="244">
  <si>
    <t>)</t>
  </si>
  <si>
    <t>= LAMBDA(</t>
  </si>
  <si>
    <t>LET(</t>
  </si>
  <si>
    <t>End of Sheet</t>
  </si>
  <si>
    <t>Purpose:</t>
  </si>
  <si>
    <t>Initial experiments:</t>
  </si>
  <si>
    <t>Simple LAMBDA() to return the worksheet name in a single function</t>
  </si>
  <si>
    <t>Includes error handling and custom error message rather than a native Excel error</t>
  </si>
  <si>
    <t>Using older functions + LET():</t>
  </si>
  <si>
    <t>Using current functions + LET():</t>
  </si>
  <si>
    <t>_fileName, CELL("filename", cell_ref),</t>
  </si>
  <si>
    <t>// Get the filename string using the native CELL() function and the cell_ref argument</t>
  </si>
  <si>
    <t>// Use the TEXTAFTER() function to look for the final "]" character in the filename string</t>
  </si>
  <si>
    <t>// If no matching "]" character is found then return an empty string</t>
  </si>
  <si>
    <t>// Returns 0 if not found as this would not be returned under normal circumstances</t>
  </si>
  <si>
    <t>// attempt to return the remaining filename string after the "]" character if found, otherwise return an empty string</t>
  </si>
  <si>
    <t>// Check if an error value or empty string has been returned, and if so return a custom error message, otherwise return the worksheet name string</t>
  </si>
  <si>
    <t>// Check for an error value or empty string and if found return a custom error message, otherwise return the worksheet name string</t>
  </si>
  <si>
    <t>// Check that input provided is as cell reference, otherwise create a custom error message</t>
  </si>
  <si>
    <t>// Final check to see if there was an input error, and if so return the custom error message</t>
  </si>
  <si>
    <t>IF(_inpChk &lt;&gt; "", _inpChk, _rtn)</t>
  </si>
  <si>
    <t>Lookup Tables</t>
  </si>
  <si>
    <t>_YesNo</t>
  </si>
  <si>
    <t>Final Versions</t>
  </si>
  <si>
    <t>_wsName, TEXTAFTER( _fileName, "]", -1, , , "#"),</t>
  </si>
  <si>
    <t>_rtn, IF( OR( ISERROR(_wsName), _wsName = "#"), "#[Error reading Sheet name]", _wsName),</t>
  </si>
  <si>
    <t>_wsName, IF(_pos &lt;&gt; 0, RIGHT(_fileName, LEN(_fileName) - _pos), "#"),</t>
  </si>
  <si>
    <t>_rtn, IF( OR( ISERROR(_wsName), _wsName = "#"), "#[Error reading Sheet Name]", _wsName),</t>
  </si>
  <si>
    <t>_inpChk, IF( NOT(ISREF(cell_ref)), "#[Error: cell reference required]", ""),</t>
  </si>
  <si>
    <t>// The filename string returned by the CELL() function has a known and expected format with the Workbook filename within square brackets ("[ ]") followed by the worksheet name</t>
  </si>
  <si>
    <t>// As neither the filename nor the worksheet name can contain a "]" character by finding the last occurrence of this character indicates the start of the worksheet name</t>
  </si>
  <si>
    <t>// "find last occurrence" logic works by using the instance_num parameter of the SUBSTITUTE() function to replace the last "]" with a "?" character</t>
  </si>
  <si>
    <t>// The position of the "?" character is then identified using the FIND() function -- "?" is invalid for file path (Windows), Workbook names, and worksheet names</t>
  </si>
  <si>
    <t>_pos, IFERROR( FIND("?", SUBSTITUTE(_fileName, "]", "?", LEN(_fileName) - LEN( SUBSTITUTE(_fileName, "]", "")))), 0),</t>
  </si>
  <si>
    <t>Alternative/Older functions:</t>
  </si>
  <si>
    <t>cell_ref,</t>
  </si>
  <si>
    <t>// Parameter definition</t>
  </si>
  <si>
    <t>// Single required input, which expects a cell reference on the worksheet in question</t>
  </si>
  <si>
    <t>// Parameter definitions</t>
  </si>
  <si>
    <t>SheetName Function</t>
  </si>
  <si>
    <t>Development</t>
  </si>
  <si>
    <t>Building of versions with both up-to-date functions (i.e. TEXTAFTER) and older functions</t>
  </si>
  <si>
    <t>Current Office 365 Functions</t>
  </si>
  <si>
    <t>_OnOff</t>
  </si>
  <si>
    <t>Minimised version:</t>
  </si>
  <si>
    <t>=LAMBDA(cell_ref,LET(_inpChk,IF(NOT(ISREF(cell_ref)),"#[Error: cell reference required]",""),_fileName,CELL("filename",cell_ref),_wsName,TEXTAFTER(_fileName, "]",-1,,,"#"),_rtn,IF(OR(ISERROR(_wsName),_wsName="#"),"#[Error reading Sheet name]",_wsName),IF(_inpChk&lt;&gt;"",_inpChk,_rtn)))</t>
  </si>
  <si>
    <t>=LAMBDA(cell_ref,LET(_inpChk,IF(NOT(ISREF(cell_ref)),"#[Error: cell reference required]",""),_fileName,CELL("filename",cell_ref),_pos,IFERROR(FIND("?",SUBSTITUTE(_fileName,"]","?",LEN(_fileName)-LEN(SUBSTITUTE(_fileName,"]","")))),0),_wsName,IF(_pos&lt;&gt;0,RIGHT(_fileName,LEN(_fileName)-_pos),"#"),_rtn,IF(OR(ISERROR(_wsName),_wsName="#"),"#[Error reading Sheet Name]",_wsName),IF(_inpChk&lt;&gt;"",_inpChk,_rtn)))</t>
  </si>
  <si>
    <t>Demonstrating Function Usage</t>
  </si>
  <si>
    <t xml:space="preserve">Description:  </t>
  </si>
  <si>
    <t xml:space="preserve">Name:  </t>
  </si>
  <si>
    <t>RXL_SheetName</t>
  </si>
  <si>
    <t>SheetName()</t>
  </si>
  <si>
    <t>Using same-sheet reference</t>
  </si>
  <si>
    <t>Using off-sheet reference</t>
  </si>
  <si>
    <t>Returns the worksheet name (as the per the worksheet tab) for a cell reference</t>
  </si>
  <si>
    <t>WorkbookName Function</t>
  </si>
  <si>
    <t>Simple LAMBDA() to return the workbook name in a single function</t>
  </si>
  <si>
    <t>Include error handling and custom error message rather than a native Excel error</t>
  </si>
  <si>
    <t>Building of versions with both uptodate functions (i.e. TEXTAFTER) and older functions</t>
  </si>
  <si>
    <t>Have ability to return without or without file extension</t>
  </si>
  <si>
    <t>Updated to remove file extension:</t>
  </si>
  <si>
    <t xml:space="preserve">remove extension? </t>
  </si>
  <si>
    <t>[remove_extension],</t>
  </si>
  <si>
    <t>// Main function body/calculations</t>
  </si>
  <si>
    <t>// Update the optional input to a default of False if omitted or a non-Boolean/non-numeric value is supplied</t>
  </si>
  <si>
    <t>_extChk, AND( NOT(ISLOGICAL(remove_extension)), NOT(ISNUMBER(remove_extension))),</t>
  </si>
  <si>
    <t xml:space="preserve">_fileExt, IF( </t>
  </si>
  <si>
    <t xml:space="preserve">OR( ISOMITTED(remove_extension), _extChk), </t>
  </si>
  <si>
    <t>FALSE,</t>
  </si>
  <si>
    <t>remove_extension</t>
  </si>
  <si>
    <t>),</t>
  </si>
  <si>
    <t>// Check that the cell_ref input supplied is a valid cell reference</t>
  </si>
  <si>
    <t xml:space="preserve">_inpChk, IF( </t>
  </si>
  <si>
    <t xml:space="preserve">NOT(ISREF(cell_ref)), </t>
  </si>
  <si>
    <t xml:space="preserve">"#[Error: cell reference required]", </t>
  </si>
  <si>
    <t>""</t>
  </si>
  <si>
    <t>// Use a combination of the TEXTAFTER() and TEXTBEFORE() functions to get the workbook name from the filename string</t>
  </si>
  <si>
    <t>_strName, TEXTBEFORE( TEXTAFTER(_fileName, "[", -1, , , "#"), "]", -1, , , "#"),</t>
  </si>
  <si>
    <t>// Remove the file extension from the workbook name string as required</t>
  </si>
  <si>
    <t>_wbName, IF(</t>
  </si>
  <si>
    <t xml:space="preserve">_fileExt, </t>
  </si>
  <si>
    <t xml:space="preserve">TEXTBEFORE(_strName, ".", -1, , , _strName), </t>
  </si>
  <si>
    <t>_strName</t>
  </si>
  <si>
    <t>// Determine whether to return an error message or the workbook name string</t>
  </si>
  <si>
    <t xml:space="preserve">_rtn, IF( </t>
  </si>
  <si>
    <t xml:space="preserve">OR( ISERROR(_wbName), _wbName = "#"), </t>
  </si>
  <si>
    <t xml:space="preserve">"#[Error reading Workbook name]", </t>
  </si>
  <si>
    <t>_wbName</t>
  </si>
  <si>
    <t>// Finally determine whether to return an input error message or the return string</t>
  </si>
  <si>
    <t>=LAMBDA(cell_ref,[remove_extension],LET(_extChk,AND(NOT(ISLOGICAL(remove_extension)),NOT(ISNUMBER(remove_extension))),_fileExt,IF(OR(ISOMITTED(remove_extension),_extChk),FALSE,remove_extension),_inpChk,IF(NOT(ISREF(cell_ref)),"#[Error: cell reference required]",""),_fileName,CELL("filename",cell_ref),_strName,TEXTBEFORE(TEXTAFTER(_fileName,"[",-1,,,"#"),"]",-1,,,"#"),_wbName,IF(_fileExt,TEXTBEFORE(_strName,".",-1,,,_strName),_strName),_rtn,IF(OR(ISERROR(_wbName),_wbName="#"),"#[Error reading Workbook name]",_wbName),IF(_inpChk&lt;&gt;"",_inpChk,_rtn)))</t>
  </si>
  <si>
    <t>_fileExt, IF( OR( ISOMITTED(remove_extension), _extChk), FALSE, remove_extension),</t>
  </si>
  <si>
    <t>// The filename string has an known format where the Workbook name with file extension is within square brackets ( "[… .xlsx]" ) followed by worksheet name</t>
  </si>
  <si>
    <t>// Neither the Workbook filename nor a worksheet name can contain "[ ]" characters, therefore look for the last occurrence of "]" in the string</t>
  </si>
  <si>
    <t>// The "find last occurrence" logic works by using the instance_num parameter of the SUBSTITUTE() function to change the last occurrence of the "]" character to "?"</t>
  </si>
  <si>
    <t>// Can then use the FIND() function to find the substituted "?" character as this is not an allowed character for file paths or filenames (Windows)</t>
  </si>
  <si>
    <t>_posR, IFERROR( FIND("?", SUBSTITUTE(_fileName, "]", "?", LEN(_fileName) - LEN( SUBSTITUTE(_fileName, "]", "")))), 0),</t>
  </si>
  <si>
    <t>_str, IF(_posR &gt; 0, LEFT(_fileName, _posR - 1), "#"),</t>
  </si>
  <si>
    <t>// Find the positoin of the last occurrence of the "[" character using the same "find last occurrence" logic as above and the "?" character</t>
  </si>
  <si>
    <t>_posL, IFERROR( FIND("?", SUBSTITUTE(_str, "[", "?", LEN(_str) - LEN( SUBSTITUTE(_str, "[", "")))), 0),</t>
  </si>
  <si>
    <t>_strName, IF(_posL &gt; 0, RIGHT(_str, LEN(_str) - _posL), "#"),</t>
  </si>
  <si>
    <t>// If required identify the file extension portion of the extracted file name using the "find last occurrnce" logic for the "." character</t>
  </si>
  <si>
    <t>_posX, IF(_fileExt, IFERROR( FIND("?", SUBSTITUTE(_strName, ".", "?", LEN(_strName) - LEN( SUBSTITUTE(_strName, ".", "")))) - 1, 0), 0),</t>
  </si>
  <si>
    <t>// Remove the file extension portion of the filename if found and required (a non-zero character position)</t>
  </si>
  <si>
    <t>_wbName, IF(_posX &gt; 0, LEFT(_strName, _posX), _strName),</t>
  </si>
  <si>
    <t>_rtn, IF(_wbName = "#", "#[Error reading Workbook name]", _wbName),</t>
  </si>
  <si>
    <t>=LAMBDA(cell_ref,[remove_extension],LET(_inpChk,IF(NOT(ISREF(cell_ref)),"#[Error: cell reference required]",""),_extChk,AND(NOT(ISLOGICAL(remove_extension)),NOT(ISNUMBER(remove_extension))),_fileExt,IF(OR(ISOMITTED(remove_extension),_extChk),FALSE,remove_extension),_fileName,CELL("filename",cell_ref),_posR,IFERROR(FIND("?",SUBSTITUTE(_fileName,"]","?",LEN(_fileName)-LEN(SUBSTITUTE(_fileName,"]","")))),0),_str,IF(_posR&gt;0,LEFT(_fileName,_posR-1),"#"),_posL,IFERROR(FIND("?",SUBSTITUTE(_str,"[","?",LEN(_str)-LEN(SUBSTITUTE(_str,"[","")))),0),_strName,IF(_posL&gt;0,RIGHT(_str,LEN(_str)-_posL),"#"),_posX,IF(_fileExt,IFERROR(FIND("?",SUBSTITUTE(_strName,".","?",LEN(_strName)-LEN(SUBSTITUTE(_strName,".",""))))-1,0),0),_wbName,IF(_posX&gt;0,LEFT(_strName,_posX),_strName),_rtn,IF(_wbName="#","#[Error reading Workbook name]",_wbName),IF(_inpChk&lt;&gt;"",_inpChk,_rtn)))</t>
  </si>
  <si>
    <t>WorkbookName()</t>
  </si>
  <si>
    <t>Including file extension</t>
  </si>
  <si>
    <t>Removing file extension</t>
  </si>
  <si>
    <t>RXL_WorkbookName</t>
  </si>
  <si>
    <t>Returns the Workbook name for a cell reference, with or without the Workbook file extension included</t>
  </si>
  <si>
    <t xml:space="preserve">Gist URL:  </t>
  </si>
  <si>
    <t>FilePath Function</t>
  </si>
  <si>
    <t>Simple LAMBDA() to return the workbook file path in a single function</t>
  </si>
  <si>
    <t>Have ability to return without or without file name &amp; extension</t>
  </si>
  <si>
    <t>Using current functions + LET()  -- get file path only:</t>
  </si>
  <si>
    <t>Using current functions + LET()  -- get file path &amp; name (with extension):</t>
  </si>
  <si>
    <t>Updated to optionally remove last character</t>
  </si>
  <si>
    <t xml:space="preserve">remove last char.? </t>
  </si>
  <si>
    <t xml:space="preserve"> or add file name (with extension):</t>
  </si>
  <si>
    <t xml:space="preserve">include file name? </t>
  </si>
  <si>
    <t>Updated to include optional parameters:</t>
  </si>
  <si>
    <t>[remove_last_char],</t>
  </si>
  <si>
    <t>[inc_file_name],</t>
  </si>
  <si>
    <t>// Input checks</t>
  </si>
  <si>
    <t>_chrChk, AND( NOT(ISOMITTED(remove_last_char)), NOT(ISLOGICAL(remove_last_char)), NOT(ISNUMBER(remove_last_char))),</t>
  </si>
  <si>
    <t>_fnmChk, AND( NOT(ISOMITTED(inc_file_name)), NOT(ISLOGICAL(inc_file_name)), NOT(ISNUMBER(inc_file_name))),</t>
  </si>
  <si>
    <t>_refChk, NOT(ISREF(cell_ref)),</t>
  </si>
  <si>
    <t>// Dealing with optional parameters, setting default values if omitted</t>
  </si>
  <si>
    <t>_lastChr, IF(</t>
  </si>
  <si>
    <t>OR( ISOMITTED(remove_last_char), _chrChk),</t>
  </si>
  <si>
    <t>remove_last_char</t>
  </si>
  <si>
    <t>_incFile, IF(</t>
  </si>
  <si>
    <t>OR( ISOMITTED(inc_file_name), _fnmChk),</t>
  </si>
  <si>
    <t>inc_file_name</t>
  </si>
  <si>
    <t>// Get the full file path and name</t>
  </si>
  <si>
    <t>_full, CELL("filename", cell_ref),</t>
  </si>
  <si>
    <t>// Extract the file path only</t>
  </si>
  <si>
    <t>_path, TEXTBEFORE(_full, "[", -1, , , "#"),</t>
  </si>
  <si>
    <t>_filePath, IF(_lastChr,</t>
  </si>
  <si>
    <t>LEFT(_path, LEN(_path) - 1),</t>
  </si>
  <si>
    <t>_path</t>
  </si>
  <si>
    <t>// Extract the Workbook name element inc. file extension</t>
  </si>
  <si>
    <t>_wbName, TEXTBEFORE( TEXTAFTER(_full, "[", -1, , , "#"), "]", -1, , , "#"),</t>
  </si>
  <si>
    <t>// Check for input errors and calculation errors, and set the appropriate error message</t>
  </si>
  <si>
    <t>// Note - errors placed in order of importance/reporting as only a single message is returned for multiple errors</t>
  </si>
  <si>
    <t>_errChk, IFS(</t>
  </si>
  <si>
    <t>_refChk, "#[Error: cell reference required]",</t>
  </si>
  <si>
    <t>OR(_chrChk, _fnmChk), "#[Error: invalid optional input]",</t>
  </si>
  <si>
    <t>OR( ISERROR(_filePath), _filePath = "#"), "#[Error reading File Path]",</t>
  </si>
  <si>
    <t>AND( OR( ISERROR(_wbName), _wbName = "#"), _incFile), "#[Error reading Workbook Name]",</t>
  </si>
  <si>
    <t>TRUE, ""</t>
  </si>
  <si>
    <t>// Construct the required output string</t>
  </si>
  <si>
    <t>_rtn, IF(_incFile,</t>
  </si>
  <si>
    <t>_path &amp; _wbName,</t>
  </si>
  <si>
    <t>_filePath</t>
  </si>
  <si>
    <t>// Final check - if an error message is present return that, otherwise return the constructed output string</t>
  </si>
  <si>
    <t>IF(_errChk &lt;&gt; "", _errChk, _rtn)</t>
  </si>
  <si>
    <t>=LAMBDA(cell_ref,[remove_last_char],[inc_file_name],LET(_chrChk,AND(NOT(ISOMITTED(remove_last_char)),NOT(ISLOGICAL(remove_last_char)),NOT(ISNUMBER(remove_last_char))),_fnmChk,AND(NOT(ISOMITTED(inc_file_name)),NOT(ISLOGICAL(inc_file_name)),NOT(ISNUMBER(inc_file_name))),_refChk,NOT(ISREF(cell_ref)),_lastChr,IF(OR(ISOMITTED(remove_last_char),_chrChk),FALSE,remove_last_char),_incFile,IF(OR(ISOMITTED(inc_file_name),_fnmChk),FALSE,inc_file_name),_full,CELL("filename",cell_ref),_path,TEXTBEFORE(_full,"[",-1,,,"#"),_filePath,IF(_lastChr,LEFT(_path,LEN(_path)-1),_path),_wbName,TEXTBEFORE(TEXTAFTER(_full,"[",-1,,,"#"),"]",-1,,,"#"),_errChk,IFS(_refChk,"#[Error: cell reference required]",OR(_chrChk,_fnmChk),"#[Error: invalid optional input]",OR(ISERROR(_filePath),_filePath="#"),"#[Error reading File Path]",AND(OR(ISERROR(_wbName),_wbName="#"),_incFile),"#[Error reading Workbook Name]",TRUE,""),_rtn,IF(_incFile,_path&amp;_wbName,_filePath),IF(_errChk&lt;&gt;"",_errChk,_rtn)))</t>
  </si>
  <si>
    <t>// Find the position of the last "[" and "]" characters in the full file path + name string</t>
  </si>
  <si>
    <t>// The Workbook name and worksheet names can not contain the "[ ]" characters but a valid file path can,</t>
  </si>
  <si>
    <t>// therefore look for the last "[ ]" characters in the full file path + name string</t>
  </si>
  <si>
    <t>_nOpen, IFERROR( FIND("&lt;", SUBSTITUTE(_full, "[", "&lt;", LEN(_full) - LEN( SUBSTITUTE(_full, "[", "")))) - 1, 0),</t>
  </si>
  <si>
    <t>_nClose, IFERROR( FIND("&gt;", SUBSTITUTE(_full, "]", "&gt;", LEN(_full) - LEN( SUBSTITUTE(_full, "]", "")))) - 1, 0),</t>
  </si>
  <si>
    <t>_posL, IFERROR( FIND("[", _full, _nOpen), 0),</t>
  </si>
  <si>
    <t>_posR, IFERROR( FIND("]", _full, _nClose), 0),</t>
  </si>
  <si>
    <t>// Extract the file path only, and remove the last character as required</t>
  </si>
  <si>
    <t>_fPath, IF(_posL &gt; 0, LEFT(_full, _posL - 1), "#"),</t>
  </si>
  <si>
    <t>_rPath, IF(_lastChr,</t>
  </si>
  <si>
    <t>LEFT(_fPath, LEN(_fPath) - 1),</t>
  </si>
  <si>
    <t>_fPath</t>
  </si>
  <si>
    <t>_wbName, IF( AND(_posL &gt; 0, _posR &gt; 0), MID(_full, _posL + 1, _posR - (_posL + 1)), "#"),</t>
  </si>
  <si>
    <t>OR( ISERROR(_rPath), _rPath = "#"), "#[Error reading File Path]",</t>
  </si>
  <si>
    <t>_fPath &amp; _wbName,</t>
  </si>
  <si>
    <t>_rPath</t>
  </si>
  <si>
    <t>=LAMBDA(cell_ref,[remove_last_char],[inc_file_name],LET(_chrChk,AND(NOT(ISOMITTED(remove_last_char)),NOT(ISLOGICAL(remove_last_char)),NOT(ISNUMBER(remove_last_char))),_fnmChk,AND(NOT(ISOMITTED(inc_file_name)),NOT(ISLOGICAL(inc_file_name)),NOT(ISNUMBER(inc_file_name))),_refChk,NOT(ISREF(cell_ref)),_lastChr,IF(OR(ISOMITTED(remove_last_char),_chrChk),FALSE,remove_last_char),_incFile,IF(OR(ISOMITTED(inc_file_name),_fnmChk),FALSE,inc_file_name),_full,CELL("filename",cell_ref),_nOpen,IFERROR(FIND("&lt;",SUBSTITUTE(_full,"[","&lt;",LEN(_full)-LEN(SUBSTITUTE(_full,"[",""))))-1,0),_nClose,IFERROR(FIND("&gt;",SUBSTITUTE(_full,"]","&gt;",LEN(_full)-LEN(SUBSTITUTE(_full,"]",""))))-1,0),_posL,IFERROR(FIND("[",_full,_nOpen),0),_posR,IFERROR(FIND("]",_full,_nClose),0),_fPath,IF(_posL&gt;0,LEFT(_full,_posL-1),"#"),_rPath,IF(_lastChr,LEFT(_fPath,LEN(_fPath)-1),_fPath),_wbName,IF(AND(_posL&gt;0,_posR&gt;0),MID(_full,_posL+1,_posR-(_posL+1)),"#"),_errChk,IFS(_refChk,"#[Error: cell reference required]",OR(_chrChk,_fnmChk),"#[Error: invalid optional input]",OR(ISERROR(_rPath),_rPath="#"),"#[Error reading File Path]",AND(OR(ISERROR(_wbName),_wbName="#"),_incFile),"#[Error reading Workbook Name]",TRUE,""),_rtn,IF(_incFile,_fPath&amp;_wbName,_rPath),IF(_errChk&lt;&gt;"",_errChk,_rtn)))</t>
  </si>
  <si>
    <t>FilePath()</t>
  </si>
  <si>
    <t>Including last file path character</t>
  </si>
  <si>
    <t>Removing last file path character</t>
  </si>
  <si>
    <t>Including file name with extension</t>
  </si>
  <si>
    <t>RXL_FilePath</t>
  </si>
  <si>
    <t>Returns the file path for a cell reference, with or without including the referenced Workbook file name &amp; file extension</t>
  </si>
  <si>
    <t>https://gist.github.com/r-silk/ec053e59058e399f0f9aa9ac71531a71</t>
  </si>
  <si>
    <t>https://gist.github.com/r-silk/3331a843a286835cf73a248c68ec00f7</t>
  </si>
  <si>
    <t>https://gist.github.com/r-silk/265d9ad1e36e70f112a71b7ad0def48f</t>
  </si>
  <si>
    <t>Workbook Information Module</t>
  </si>
  <si>
    <t>Instructions</t>
  </si>
  <si>
    <t>VBA Code</t>
  </si>
  <si>
    <t>A.</t>
  </si>
  <si>
    <t>Start by ensuring that you have this Workbook and the Workbook you wish to copy the function to open in the same Excel instance</t>
  </si>
  <si>
    <t>B.</t>
  </si>
  <si>
    <t>Open the VB Editor window</t>
  </si>
  <si>
    <t>C.</t>
  </si>
  <si>
    <t>D.</t>
  </si>
  <si>
    <t>In the code window which opens for ThisWorkbook, paste the VBA code from below exactly as written</t>
  </si>
  <si>
    <t>E.</t>
  </si>
  <si>
    <t>F.</t>
  </si>
  <si>
    <t>Run the CopyLambda sub routine in ThisWorkbook module and check the Immediate window for the feedback message</t>
  </si>
  <si>
    <t xml:space="preserve">    </t>
  </si>
  <si>
    <t xml:space="preserve">    On Error Resume Next</t>
  </si>
  <si>
    <t xml:space="preserve">        'Update "Example.xlsx" with name of the Workbook you wish to copy the function to</t>
  </si>
  <si>
    <t xml:space="preserve">        Exit Sub</t>
  </si>
  <si>
    <t xml:space="preserve">    End If</t>
  </si>
  <si>
    <t xml:space="preserve">        Else</t>
  </si>
  <si>
    <t xml:space="preserve">        End If</t>
  </si>
  <si>
    <t>End Sub</t>
  </si>
  <si>
    <t>In order to copy across the RXL_WbInfo() module from this Workbook to your own project you can use the instructions and VBA code below .</t>
  </si>
  <si>
    <t>In the VB Editor Project Explorer window, select this Workbook (RXL_WbInfo.xlsx) and double click on the object named "ThisWorkbook"</t>
  </si>
  <si>
    <t xml:space="preserve">    ' Defining the module base name and individual function Names</t>
  </si>
  <si>
    <t xml:space="preserve">    ' Creates the list of custom Lambda function to copy</t>
  </si>
  <si>
    <t xml:space="preserve">        arrFuncs = Split(STR_FUNC, "|")</t>
  </si>
  <si>
    <t xml:space="preserve">        strLambda = STR_MDL &amp; "." &amp; arrFuncs(i)</t>
  </si>
  <si>
    <t xml:space="preserve">        </t>
  </si>
  <si>
    <t xml:space="preserve">        On Error Resume Next</t>
  </si>
  <si>
    <t xml:space="preserve">            Err.Clear</t>
  </si>
  <si>
    <t xml:space="preserve">                                  RefersTo:=nm.RefersTo, _</t>
  </si>
  <si>
    <t xml:space="preserve">                                  Visible:=nm.Visible)</t>
  </si>
  <si>
    <t xml:space="preserve">                fn.Comment = nm.Comment</t>
  </si>
  <si>
    <t xml:space="preserve">            Else</t>
  </si>
  <si>
    <t xml:space="preserve">            End If</t>
  </si>
  <si>
    <t xml:space="preserve">    Exit Sub</t>
  </si>
  <si>
    <t>ErrHndlr:</t>
  </si>
  <si>
    <r>
      <rPr>
        <sz val="10"/>
        <color rgb="FF1E4FA8"/>
        <rFont val="Consolas"/>
        <family val="3"/>
      </rPr>
      <t>Private Sub</t>
    </r>
    <r>
      <rPr>
        <sz val="10"/>
        <rFont val="Consolas"/>
        <family val="3"/>
      </rPr>
      <t xml:space="preserve"> CopyLambda()</t>
    </r>
  </si>
  <si>
    <r>
      <t xml:space="preserve">    </t>
    </r>
    <r>
      <rPr>
        <sz val="10"/>
        <color rgb="FF1E4FA8"/>
        <rFont val="Consolas"/>
        <family val="3"/>
      </rPr>
      <t>Dim</t>
    </r>
    <r>
      <rPr>
        <sz val="10"/>
        <rFont val="Consolas"/>
        <family val="3"/>
      </rPr>
      <t xml:space="preserve"> wb </t>
    </r>
    <r>
      <rPr>
        <sz val="10"/>
        <color rgb="FF1E4FA8"/>
        <rFont val="Consolas"/>
        <family val="3"/>
      </rPr>
      <t>As</t>
    </r>
    <r>
      <rPr>
        <sz val="10"/>
        <rFont val="Consolas"/>
        <family val="3"/>
      </rPr>
      <t xml:space="preserve"> Workbook, nm </t>
    </r>
    <r>
      <rPr>
        <sz val="10"/>
        <color rgb="FF1E4FA8"/>
        <rFont val="Consolas"/>
        <family val="3"/>
      </rPr>
      <t>As</t>
    </r>
    <r>
      <rPr>
        <sz val="10"/>
        <rFont val="Consolas"/>
        <family val="3"/>
      </rPr>
      <t xml:space="preserve"> Name, fn </t>
    </r>
    <r>
      <rPr>
        <sz val="10"/>
        <color rgb="FF1E4FA8"/>
        <rFont val="Consolas"/>
        <family val="3"/>
      </rPr>
      <t>As</t>
    </r>
    <r>
      <rPr>
        <sz val="10"/>
        <rFont val="Consolas"/>
        <family val="3"/>
      </rPr>
      <t xml:space="preserve"> Name</t>
    </r>
  </si>
  <si>
    <r>
      <t xml:space="preserve">    </t>
    </r>
    <r>
      <rPr>
        <sz val="10"/>
        <color rgb="FF1E4FA8"/>
        <rFont val="Consolas"/>
        <family val="3"/>
      </rPr>
      <t>Dim</t>
    </r>
    <r>
      <rPr>
        <sz val="10"/>
        <rFont val="Consolas"/>
        <family val="3"/>
      </rPr>
      <t xml:space="preserve"> strLambda </t>
    </r>
    <r>
      <rPr>
        <sz val="10"/>
        <color rgb="FF1E4FA8"/>
        <rFont val="Consolas"/>
        <family val="3"/>
      </rPr>
      <t>As String</t>
    </r>
    <r>
      <rPr>
        <sz val="10"/>
        <rFont val="Consolas"/>
        <family val="3"/>
      </rPr>
      <t xml:space="preserve">, arrFuncs() </t>
    </r>
    <r>
      <rPr>
        <sz val="10"/>
        <color rgb="FF1E4FA8"/>
        <rFont val="Consolas"/>
        <family val="3"/>
      </rPr>
      <t>As String</t>
    </r>
  </si>
  <si>
    <r>
      <t xml:space="preserve">    </t>
    </r>
    <r>
      <rPr>
        <sz val="10"/>
        <color rgb="FF1E4FA8"/>
        <rFont val="Consolas"/>
        <family val="3"/>
      </rPr>
      <t>Dim</t>
    </r>
    <r>
      <rPr>
        <sz val="10"/>
        <rFont val="Consolas"/>
        <family val="3"/>
      </rPr>
      <t xml:space="preserve"> i </t>
    </r>
    <r>
      <rPr>
        <sz val="10"/>
        <color rgb="FF1E4FA8"/>
        <rFont val="Consolas"/>
        <family val="3"/>
      </rPr>
      <t>As Long</t>
    </r>
  </si>
  <si>
    <r>
      <t xml:space="preserve">    </t>
    </r>
    <r>
      <rPr>
        <sz val="10"/>
        <color rgb="FF1E4FA8"/>
        <rFont val="Consolas"/>
        <family val="3"/>
      </rPr>
      <t>Const</t>
    </r>
    <r>
      <rPr>
        <sz val="10"/>
        <rFont val="Consolas"/>
        <family val="3"/>
      </rPr>
      <t xml:space="preserve"> STR_MDL </t>
    </r>
    <r>
      <rPr>
        <sz val="10"/>
        <color rgb="FF1E4FA8"/>
        <rFont val="Consolas"/>
        <family val="3"/>
      </rPr>
      <t>As String</t>
    </r>
    <r>
      <rPr>
        <sz val="10"/>
        <rFont val="Consolas"/>
        <family val="3"/>
      </rPr>
      <t xml:space="preserve"> = "RXL_WbInfo"</t>
    </r>
  </si>
  <si>
    <r>
      <t xml:space="preserve">    </t>
    </r>
    <r>
      <rPr>
        <sz val="10"/>
        <color rgb="FF1E4FA8"/>
        <rFont val="Consolas"/>
        <family val="3"/>
      </rPr>
      <t>Const</t>
    </r>
    <r>
      <rPr>
        <sz val="10"/>
        <rFont val="Consolas"/>
        <family val="3"/>
      </rPr>
      <t xml:space="preserve"> STR_FUNC </t>
    </r>
    <r>
      <rPr>
        <sz val="10"/>
        <color rgb="FF1E4FA8"/>
        <rFont val="Consolas"/>
        <family val="3"/>
      </rPr>
      <t>As String</t>
    </r>
    <r>
      <rPr>
        <sz val="10"/>
        <rFont val="Consolas"/>
        <family val="3"/>
      </rPr>
      <t xml:space="preserve"> = "About|FilePath|SheetName|WorkbookName"</t>
    </r>
  </si>
  <si>
    <r>
      <t xml:space="preserve">    </t>
    </r>
    <r>
      <rPr>
        <sz val="10"/>
        <color rgb="FF1E4FA8"/>
        <rFont val="Consolas"/>
        <family val="3"/>
      </rPr>
      <t>On Error GoTo</t>
    </r>
    <r>
      <rPr>
        <sz val="10"/>
        <rFont val="Consolas"/>
        <family val="3"/>
      </rPr>
      <t xml:space="preserve"> ErrHndlr</t>
    </r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</si>
  <si>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rFont val="Consolas"/>
        <family val="3"/>
      </rPr>
      <t xml:space="preserve"> wb = Application.Workbooks("Example.xlsx")</t>
    </r>
  </si>
  <si>
    <r>
      <t xml:space="preserve">    </t>
    </r>
    <r>
      <rPr>
        <sz val="10"/>
        <color rgb="FF1E4FA8"/>
        <rFont val="Consolas"/>
        <family val="3"/>
      </rPr>
      <t>On Error GoTo</t>
    </r>
    <r>
      <rPr>
        <sz val="10"/>
        <rFont val="Consolas"/>
        <family val="3"/>
      </rPr>
      <t xml:space="preserve"> 0</t>
    </r>
  </si>
  <si>
    <r>
      <t xml:space="preserve">    </t>
    </r>
    <r>
      <rPr>
        <sz val="10"/>
        <color rgb="FF1E4FA8"/>
        <rFont val="Consolas"/>
        <family val="3"/>
      </rPr>
      <t>If</t>
    </r>
    <r>
      <rPr>
        <sz val="10"/>
        <rFont val="Consolas"/>
        <family val="3"/>
      </rPr>
      <t xml:space="preserve"> wb </t>
    </r>
    <r>
      <rPr>
        <sz val="10"/>
        <color rgb="FF1E4FA8"/>
        <rFont val="Consolas"/>
        <family val="3"/>
      </rPr>
      <t>Is Nothing Then</t>
    </r>
  </si>
  <si>
    <r>
      <t xml:space="preserve">    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rFont val="Consolas"/>
        <family val="3"/>
      </rPr>
      <t xml:space="preserve"> "ERROR: Destination Workbook not found - please ensure it is open"</t>
    </r>
  </si>
  <si>
    <r>
      <t xml:space="preserve">    </t>
    </r>
    <r>
      <rPr>
        <sz val="10"/>
        <color rgb="FF1E4FA8"/>
        <rFont val="Consolas"/>
        <family val="3"/>
      </rPr>
      <t>For</t>
    </r>
    <r>
      <rPr>
        <sz val="10"/>
        <rFont val="Consolas"/>
        <family val="3"/>
      </rPr>
      <t xml:space="preserve"> i = </t>
    </r>
    <r>
      <rPr>
        <sz val="10"/>
        <color rgb="FF1E4FA8"/>
        <rFont val="Consolas"/>
        <family val="3"/>
      </rPr>
      <t>LBound</t>
    </r>
    <r>
      <rPr>
        <sz val="10"/>
        <rFont val="Consolas"/>
        <family val="3"/>
      </rPr>
      <t xml:space="preserve">(arrFuncs) To </t>
    </r>
    <r>
      <rPr>
        <sz val="10"/>
        <color rgb="FF1E4FA8"/>
        <rFont val="Consolas"/>
        <family val="3"/>
      </rPr>
      <t>UBound</t>
    </r>
    <r>
      <rPr>
        <sz val="10"/>
        <rFont val="Consolas"/>
        <family val="3"/>
      </rPr>
      <t>(arrFuncs)</t>
    </r>
  </si>
  <si>
    <r>
      <t xml:space="preserve">            </t>
    </r>
    <r>
      <rPr>
        <sz val="10"/>
        <color rgb="FF1E4FA8"/>
        <rFont val="Consolas"/>
        <family val="3"/>
      </rPr>
      <t>Set</t>
    </r>
    <r>
      <rPr>
        <sz val="10"/>
        <rFont val="Consolas"/>
        <family val="3"/>
      </rPr>
      <t xml:space="preserve"> nm = ThisWorkbook.Names(strLambda)</t>
    </r>
  </si>
  <si>
    <r>
      <t xml:space="preserve">        </t>
    </r>
    <r>
      <rPr>
        <sz val="10"/>
        <color rgb="FF1E4FA8"/>
        <rFont val="Consolas"/>
        <family val="3"/>
      </rPr>
      <t>If Not</t>
    </r>
    <r>
      <rPr>
        <sz val="10"/>
        <rFont val="Consolas"/>
        <family val="3"/>
      </rPr>
      <t xml:space="preserve"> nm </t>
    </r>
    <r>
      <rPr>
        <sz val="10"/>
        <color rgb="FF1E4FA8"/>
        <rFont val="Consolas"/>
        <family val="3"/>
      </rPr>
      <t>Is Nothing Then</t>
    </r>
  </si>
  <si>
    <r>
      <t xml:space="preserve">            </t>
    </r>
    <r>
      <rPr>
        <sz val="10"/>
        <color rgb="FF1E4FA8"/>
        <rFont val="Consolas"/>
        <family val="3"/>
      </rPr>
      <t>Set</t>
    </r>
    <r>
      <rPr>
        <sz val="10"/>
        <rFont val="Consolas"/>
        <family val="3"/>
      </rPr>
      <t xml:space="preserve"> fn = wb.Names.Add(Name:=nm.Name, _</t>
    </r>
  </si>
  <si>
    <r>
      <t xml:space="preserve">            </t>
    </r>
    <r>
      <rPr>
        <sz val="10"/>
        <color rgb="FF1E4FA8"/>
        <rFont val="Consolas"/>
        <family val="3"/>
      </rPr>
      <t>If</t>
    </r>
    <r>
      <rPr>
        <sz val="10"/>
        <rFont val="Consolas"/>
        <family val="3"/>
      </rPr>
      <t xml:space="preserve"> Err.Number = 0 </t>
    </r>
    <r>
      <rPr>
        <sz val="10"/>
        <color rgb="FF1E4FA8"/>
        <rFont val="Consolas"/>
        <family val="3"/>
      </rPr>
      <t>Then</t>
    </r>
  </si>
  <si>
    <r>
      <t xml:space="preserve">            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rFont val="Consolas"/>
        <family val="3"/>
      </rPr>
      <t xml:space="preserve"> "Success! -&gt; " &amp; strLambda &amp; " copied to " &amp; wb.Name</t>
    </r>
  </si>
  <si>
    <r>
      <t xml:space="preserve">            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rFont val="Consolas"/>
        <family val="3"/>
      </rPr>
      <t xml:space="preserve"> "ERROR: Unable to copy " &amp; strLambda &amp; " to " &amp; wb.Name</t>
    </r>
  </si>
  <si>
    <r>
      <t xml:space="preserve">        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rFont val="Consolas"/>
        <family val="3"/>
      </rPr>
      <t xml:space="preserve"> "ERROR: " &amp; strLambda &amp; " not found"</t>
    </r>
  </si>
  <si>
    <r>
      <t xml:space="preserve">    </t>
    </r>
    <r>
      <rPr>
        <sz val="10"/>
        <color rgb="FF1E4FA8"/>
        <rFont val="Consolas"/>
        <family val="3"/>
      </rPr>
      <t>Next</t>
    </r>
    <r>
      <rPr>
        <sz val="10"/>
        <rFont val="Consolas"/>
        <family val="3"/>
      </rPr>
      <t xml:space="preserve"> i</t>
    </r>
  </si>
  <si>
    <r>
      <t xml:space="preserve">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rFont val="Consolas"/>
        <family val="3"/>
      </rPr>
      <t xml:space="preserve"> "ERROR: Unable to correctly handle expected module function names"</t>
    </r>
  </si>
  <si>
    <t>After copying the VBA code into code window, update line 16 replacing the text "Example.xlsx" with the name of your Excel Workbook/file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</si>
</sst>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_);[Red]\(#,##0\);\ \-_)"/>
    <numFmt numFmtId="165" formatCode="[Red]&quot;CHECK&quot;;[Red]&quot;ERROR&quot;;&quot;OK&quot;"/>
    <numFmt numFmtId="166" formatCode="#,##0_);\(#,##0\);\-_)"/>
    <numFmt numFmtId="167" formatCode="&quot;£&quot;#,##0.0,\ \K_);&quot;£&quot;\(#,##0.0,\ \K\);&quot;£&quot;0_)"/>
    <numFmt numFmtId="168" formatCode="mmm\-yyyy_)"/>
    <numFmt numFmtId="169" formatCode="00\."/>
    <numFmt numFmtId="170" formatCode="&quot;On (1)&quot;;[Red]&quot;Err&quot;;&quot;Off (0)&quot;"/>
    <numFmt numFmtId="171" formatCode="&quot;Yes (1)&quot;;[Red]&quot;Err&quot;;&quot;No (0)&quot;"/>
  </numFmts>
  <fonts count="43" x14ac:knownFonts="1">
    <font>
      <sz val="10"/>
      <color rgb="FF002138"/>
      <name val="Calibri"/>
      <family val="2"/>
      <scheme val="minor"/>
    </font>
    <font>
      <sz val="10"/>
      <color theme="1"/>
      <name val="Calibri"/>
      <family val="2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F9C35"/>
      <name val="Consolas"/>
      <family val="3"/>
    </font>
    <font>
      <b/>
      <i/>
      <sz val="10"/>
      <color theme="1"/>
      <name val="Calibri"/>
      <family val="2"/>
    </font>
    <font>
      <sz val="10"/>
      <color rgb="FF1E4FA8"/>
      <name val="Consolas"/>
      <family val="3"/>
    </font>
    <font>
      <sz val="10"/>
      <color theme="1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002138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10"/>
      <color rgb="FF808080"/>
      <name val="Calibri"/>
      <family val="2"/>
      <scheme val="minor"/>
    </font>
    <font>
      <u/>
      <sz val="10"/>
      <color rgb="FF960040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2"/>
      <color rgb="FFFFFFFF"/>
      <name val="Arial"/>
      <family val="2"/>
      <scheme val="major"/>
    </font>
    <font>
      <b/>
      <sz val="11"/>
      <color rgb="FFFFFFFF"/>
      <name val="Arial"/>
      <family val="2"/>
      <scheme val="major"/>
    </font>
    <font>
      <b/>
      <sz val="10"/>
      <color rgb="FF595959"/>
      <name val="Arial"/>
      <family val="2"/>
      <scheme val="major"/>
    </font>
    <font>
      <u/>
      <sz val="10"/>
      <color rgb="FFB75EE1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0"/>
      <color rgb="FF195C89"/>
      <name val="Calibri"/>
      <family val="2"/>
      <scheme val="minor"/>
    </font>
    <font>
      <sz val="12"/>
      <color rgb="FF195C89"/>
      <name val="Arial"/>
      <family val="2"/>
      <scheme val="major"/>
    </font>
    <font>
      <sz val="10"/>
      <color theme="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i/>
      <sz val="10"/>
      <color rgb="FF33B9F2"/>
      <name val="Calibri"/>
      <family val="2"/>
      <scheme val="minor"/>
    </font>
    <font>
      <sz val="10"/>
      <color rgb="FF9C5700"/>
      <name val="Calibri"/>
      <family val="2"/>
      <scheme val="minor"/>
    </font>
    <font>
      <i/>
      <sz val="10"/>
      <color rgb="FFFF8225"/>
      <name val="Calibri"/>
      <family val="2"/>
      <scheme val="minor"/>
    </font>
    <font>
      <sz val="10"/>
      <color rgb="FFB400B4"/>
      <name val="Calibri"/>
      <family val="2"/>
      <scheme val="minor"/>
    </font>
    <font>
      <sz val="10"/>
      <color rgb="FF8C0000"/>
      <name val="Calibri"/>
      <family val="2"/>
      <scheme val="minor"/>
    </font>
    <font>
      <b/>
      <sz val="12"/>
      <color rgb="FF195C89"/>
      <name val="Arial"/>
      <family val="2"/>
      <scheme val="major"/>
    </font>
    <font>
      <b/>
      <sz val="16"/>
      <color rgb="FF0E2550"/>
      <name val="Arial"/>
      <family val="2"/>
      <scheme val="major"/>
    </font>
    <font>
      <sz val="10"/>
      <color rgb="FFB4B4B4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FFFFFF"/>
      <name val="Arial"/>
      <family val="2"/>
      <scheme val="major"/>
    </font>
    <font>
      <b/>
      <sz val="10"/>
      <color rgb="FF002138"/>
      <name val="Calibri"/>
      <family val="2"/>
      <scheme val="minor"/>
    </font>
    <font>
      <b/>
      <i/>
      <sz val="10"/>
      <color rgb="FF195C89"/>
      <name val="Calibri"/>
      <family val="2"/>
      <scheme val="minor"/>
    </font>
    <font>
      <b/>
      <i/>
      <sz val="10"/>
      <color rgb="FF002138"/>
      <name val="Calibri"/>
      <family val="2"/>
      <scheme val="minor"/>
    </font>
    <font>
      <sz val="10"/>
      <name val="Consolas"/>
      <family val="3"/>
    </font>
  </fonts>
  <fills count="4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EE6CE"/>
        <bgColor indexed="64"/>
      </patternFill>
    </fill>
    <fill>
      <patternFill patternType="solid">
        <fgColor rgb="FF198B83"/>
        <bgColor indexed="64"/>
      </patternFill>
    </fill>
    <fill>
      <patternFill patternType="solid">
        <fgColor rgb="FF56BAB8"/>
        <bgColor indexed="64"/>
      </patternFill>
    </fill>
    <fill>
      <patternFill patternType="solid">
        <fgColor rgb="FFE6D3B8"/>
        <bgColor indexed="64"/>
      </patternFill>
    </fill>
    <fill>
      <patternFill patternType="solid">
        <fgColor rgb="FFF7ECDD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9E7FF"/>
        <bgColor indexed="64"/>
      </patternFill>
    </fill>
    <fill>
      <patternFill patternType="solid">
        <fgColor rgb="FFEBFAFA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200"/>
        <bgColor indexed="64"/>
      </patternFill>
    </fill>
    <fill>
      <patternFill patternType="solid">
        <fgColor rgb="FFBEE4E3"/>
        <bgColor indexed="64"/>
      </patternFill>
    </fill>
    <fill>
      <patternFill patternType="lightUp">
        <fgColor theme="0" tint="-0.34998626667073579"/>
        <bgColor auto="1"/>
      </patternFill>
    </fill>
    <fill>
      <patternFill patternType="solid">
        <fgColor rgb="FFE4E6E8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rgb="FF787878"/>
      </right>
      <top style="hair">
        <color rgb="FF787878"/>
      </top>
      <bottom style="hair">
        <color rgb="FF787878"/>
      </bottom>
      <diagonal/>
    </border>
    <border>
      <left style="hair">
        <color rgb="FF787878"/>
      </left>
      <right/>
      <top style="hair">
        <color rgb="FF787878"/>
      </top>
      <bottom style="hair">
        <color rgb="FF787878"/>
      </bottom>
      <diagonal/>
    </border>
    <border>
      <left/>
      <right/>
      <top style="hair">
        <color rgb="FF787878"/>
      </top>
      <bottom style="hair">
        <color rgb="FF787878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/>
      <right/>
      <top style="medium">
        <color theme="5"/>
      </top>
      <bottom/>
      <diagonal/>
    </border>
    <border>
      <left style="thin">
        <color rgb="FF198B83"/>
      </left>
      <right style="thin">
        <color rgb="FF198B83"/>
      </right>
      <top style="thin">
        <color rgb="FF198B83"/>
      </top>
      <bottom style="thin">
        <color rgb="FF198B83"/>
      </bottom>
      <diagonal/>
    </border>
    <border>
      <left style="thin">
        <color rgb="FF56BAB8"/>
      </left>
      <right style="thin">
        <color rgb="FF56BAB8"/>
      </right>
      <top style="thin">
        <color rgb="FF56BAB8"/>
      </top>
      <bottom style="thin">
        <color rgb="FF56BAB8"/>
      </bottom>
      <diagonal/>
    </border>
    <border>
      <left style="thin">
        <color rgb="FFE6D3B8"/>
      </left>
      <right style="thin">
        <color rgb="FFE6D3B8"/>
      </right>
      <top style="thin">
        <color rgb="FFE6D3B8"/>
      </top>
      <bottom style="thin">
        <color rgb="FFE6D3B8"/>
      </bottom>
      <diagonal/>
    </border>
    <border>
      <left style="thin">
        <color rgb="FFF7ECDD"/>
      </left>
      <right style="thin">
        <color rgb="FFF7ECDD"/>
      </right>
      <top style="thin">
        <color rgb="FFF7ECDD"/>
      </top>
      <bottom style="thin">
        <color rgb="FFF7ECDD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medium">
        <color theme="5"/>
      </bottom>
      <diagonal/>
    </border>
    <border>
      <left style="hair">
        <color rgb="FF0082B3"/>
      </left>
      <right style="hair">
        <color rgb="FF0082B3"/>
      </right>
      <top style="hair">
        <color rgb="FF0082B3"/>
      </top>
      <bottom style="hair">
        <color rgb="FF0082B3"/>
      </bottom>
      <diagonal/>
    </border>
    <border>
      <left style="hair">
        <color theme="1" tint="0.24994659260841701"/>
      </left>
      <right/>
      <top style="hair">
        <color theme="1" tint="0.24994659260841701"/>
      </top>
      <bottom style="hair">
        <color theme="1" tint="0.24994659260841701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</borders>
  <cellStyleXfs count="91">
    <xf numFmtId="0" fontId="0" fillId="0" borderId="0"/>
    <xf numFmtId="0" fontId="2" fillId="2" borderId="1" applyNumberFormat="0" applyAlignment="0" applyProtection="0"/>
    <xf numFmtId="0" fontId="15" fillId="0" borderId="0" applyNumberFormat="0" applyAlignment="0" applyProtection="0"/>
    <xf numFmtId="0" fontId="15" fillId="0" borderId="0" applyNumberFormat="0" applyAlignment="0" applyProtection="0"/>
    <xf numFmtId="167" fontId="1" fillId="0" borderId="0" applyFont="0" applyFill="0" applyBorder="0" applyAlignment="0" applyProtection="0"/>
    <xf numFmtId="9" fontId="15" fillId="0" borderId="0" applyNumberFormat="0" applyAlignment="0" applyProtection="0"/>
    <xf numFmtId="0" fontId="35" fillId="0" borderId="0" applyAlignment="0" applyProtection="0"/>
    <xf numFmtId="0" fontId="20" fillId="28" borderId="14" applyNumberFormat="0" applyAlignment="0" applyProtection="0"/>
    <xf numFmtId="0" fontId="21" fillId="29" borderId="15" applyNumberFormat="0" applyAlignment="0" applyProtection="0"/>
    <xf numFmtId="0" fontId="22" fillId="30" borderId="16" applyNumberFormat="0" applyAlignment="0" applyProtection="0"/>
    <xf numFmtId="0" fontId="22" fillId="31" borderId="17" applyNumberFormat="0" applyAlignment="0" applyProtection="0"/>
    <xf numFmtId="0" fontId="19" fillId="3" borderId="0" applyNumberFormat="0" applyBorder="0" applyAlignment="0" applyProtection="0"/>
    <xf numFmtId="0" fontId="14" fillId="4" borderId="0" applyNumberFormat="0" applyBorder="0" applyAlignment="0" applyProtection="0"/>
    <xf numFmtId="0" fontId="30" fillId="5" borderId="0" applyNumberFormat="0" applyBorder="0" applyAlignment="0" applyProtection="0"/>
    <xf numFmtId="0" fontId="4" fillId="6" borderId="2" applyNumberFormat="0" applyAlignment="0" applyProtection="0"/>
    <xf numFmtId="0" fontId="5" fillId="6" borderId="1" applyNumberFormat="0" applyAlignment="0" applyProtection="0"/>
    <xf numFmtId="0" fontId="6" fillId="0" borderId="3" applyNumberFormat="0" applyFill="0" applyAlignment="0" applyProtection="0"/>
    <xf numFmtId="0" fontId="7" fillId="7" borderId="4" applyNumberFormat="0" applyAlignment="0" applyProtection="0"/>
    <xf numFmtId="166" fontId="37" fillId="0" borderId="0" applyNumberFormat="0" applyFill="0" applyBorder="0" applyAlignment="0" applyProtection="0"/>
    <xf numFmtId="0" fontId="3" fillId="8" borderId="5" applyNumberFormat="0" applyFont="0" applyAlignment="0" applyProtection="0"/>
    <xf numFmtId="166" fontId="17" fillId="0" borderId="0" applyNumberFormat="0" applyFill="0" applyBorder="0" applyAlignment="0" applyProtection="0"/>
    <xf numFmtId="0" fontId="8" fillId="0" borderId="6" applyNumberFormat="0" applyFill="0" applyAlignment="0" applyProtection="0"/>
    <xf numFmtId="165" fontId="24" fillId="0" borderId="0" applyFill="0">
      <alignment horizontal="center"/>
    </xf>
    <xf numFmtId="0" fontId="16" fillId="34" borderId="10" applyAlignment="0"/>
    <xf numFmtId="166" fontId="27" fillId="35" borderId="0">
      <alignment horizontal="center"/>
    </xf>
    <xf numFmtId="0" fontId="29" fillId="0" borderId="0"/>
    <xf numFmtId="0" fontId="31" fillId="0" borderId="0" applyNumberFormat="0" applyFill="0" applyBorder="0" applyAlignment="0"/>
    <xf numFmtId="0" fontId="28" fillId="39" borderId="20" applyNumberFormat="0" applyBorder="0" applyAlignment="0" applyProtection="0"/>
    <xf numFmtId="166" fontId="13" fillId="40" borderId="10"/>
    <xf numFmtId="166" fontId="13" fillId="40" borderId="12" applyNumberFormat="0"/>
    <xf numFmtId="0" fontId="10" fillId="0" borderId="0" applyFill="0" applyBorder="0" applyAlignment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166" fontId="13" fillId="0" borderId="10" applyAlignment="0"/>
    <xf numFmtId="0" fontId="13" fillId="0" borderId="10" applyAlignment="0"/>
    <xf numFmtId="0" fontId="13" fillId="0" borderId="10" applyAlignment="0"/>
    <xf numFmtId="166" fontId="13" fillId="0" borderId="11" applyNumberFormat="0" applyAlignment="0"/>
    <xf numFmtId="166" fontId="9" fillId="0" borderId="12" applyNumberFormat="0" applyAlignment="0"/>
    <xf numFmtId="0" fontId="16" fillId="27" borderId="10" applyAlignment="0">
      <protection locked="0"/>
    </xf>
    <xf numFmtId="0" fontId="16" fillId="27" borderId="10" applyAlignment="0">
      <protection locked="0"/>
    </xf>
    <xf numFmtId="0" fontId="16" fillId="27" borderId="10" applyAlignment="0">
      <protection locked="0"/>
    </xf>
    <xf numFmtId="0" fontId="16" fillId="27" borderId="10" applyAlignment="0">
      <protection locked="0"/>
    </xf>
    <xf numFmtId="0" fontId="40" fillId="0" borderId="13" applyFill="0">
      <alignment vertical="center"/>
    </xf>
    <xf numFmtId="0" fontId="16" fillId="32" borderId="10" applyAlignment="0">
      <protection locked="0"/>
    </xf>
    <xf numFmtId="0" fontId="16" fillId="32" borderId="10" applyAlignment="0">
      <protection locked="0"/>
    </xf>
    <xf numFmtId="0" fontId="16" fillId="32" borderId="10" applyAlignment="0">
      <protection locked="0"/>
    </xf>
    <xf numFmtId="0" fontId="16" fillId="32" borderId="10" applyAlignment="0">
      <protection locked="0"/>
    </xf>
    <xf numFmtId="0" fontId="26" fillId="0" borderId="0">
      <alignment vertical="center"/>
    </xf>
    <xf numFmtId="166" fontId="28" fillId="37" borderId="0">
      <alignment horizontal="center"/>
    </xf>
    <xf numFmtId="164" fontId="13" fillId="0" borderId="0" applyFill="0" applyAlignment="0"/>
    <xf numFmtId="0" fontId="13" fillId="0" borderId="0" applyFill="0" applyAlignment="0"/>
    <xf numFmtId="168" fontId="13" fillId="0" borderId="0" applyFill="0" applyAlignment="0"/>
    <xf numFmtId="166" fontId="9" fillId="0" borderId="18" applyNumberFormat="0" applyFill="0" applyAlignment="0"/>
    <xf numFmtId="0" fontId="13" fillId="0" borderId="0" applyFill="0" applyAlignment="0"/>
    <xf numFmtId="166" fontId="9" fillId="0" borderId="6" applyNumberFormat="0" applyFill="0" applyAlignment="0"/>
    <xf numFmtId="0" fontId="34" fillId="0" borderId="19"/>
    <xf numFmtId="0" fontId="13" fillId="40" borderId="1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6" fontId="25" fillId="33" borderId="10" applyAlignment="0">
      <protection locked="0"/>
    </xf>
    <xf numFmtId="166" fontId="27" fillId="36" borderId="0">
      <alignment horizontal="center"/>
    </xf>
    <xf numFmtId="0" fontId="25" fillId="0" borderId="0" applyNumberFormat="0" applyFill="0" applyBorder="0" applyAlignment="0"/>
    <xf numFmtId="0" fontId="32" fillId="0" borderId="10" applyAlignment="0"/>
    <xf numFmtId="0" fontId="32" fillId="0" borderId="10" applyAlignment="0"/>
    <xf numFmtId="0" fontId="32" fillId="0" borderId="10" applyAlignment="0"/>
    <xf numFmtId="0" fontId="32" fillId="0" borderId="11" applyNumberFormat="0" applyAlignment="0"/>
    <xf numFmtId="0" fontId="32" fillId="0" borderId="10" applyAlignment="0"/>
    <xf numFmtId="0" fontId="33" fillId="0" borderId="10" applyAlignment="0"/>
    <xf numFmtId="0" fontId="33" fillId="0" borderId="10" applyAlignment="0"/>
    <xf numFmtId="0" fontId="33" fillId="0" borderId="10" applyAlignment="0"/>
    <xf numFmtId="0" fontId="33" fillId="0" borderId="11" applyNumberFormat="0" applyAlignment="0"/>
    <xf numFmtId="0" fontId="33" fillId="0" borderId="10" applyAlignment="0"/>
    <xf numFmtId="0" fontId="13" fillId="38" borderId="0" applyAlignment="0" applyProtection="0"/>
    <xf numFmtId="0" fontId="36" fillId="0" borderId="0" applyNumberFormat="0" applyFill="0" applyBorder="0">
      <alignment horizontal="center"/>
    </xf>
    <xf numFmtId="166" fontId="13" fillId="40" borderId="11" applyNumberFormat="0"/>
  </cellStyleXfs>
  <cellXfs count="41">
    <xf numFmtId="0" fontId="0" fillId="0" borderId="0" xfId="0"/>
    <xf numFmtId="0" fontId="38" fillId="28" borderId="14" xfId="7" applyFont="1" applyAlignment="1">
      <alignment horizontal="left" vertical="center" indent="1"/>
    </xf>
    <xf numFmtId="0" fontId="36" fillId="0" borderId="0" xfId="89" applyAlignment="1"/>
    <xf numFmtId="0" fontId="12" fillId="0" borderId="0" xfId="30" quotePrefix="1" applyFont="1" applyAlignment="1">
      <alignment horizontal="left" indent="2"/>
    </xf>
    <xf numFmtId="0" fontId="12" fillId="0" borderId="0" xfId="30" quotePrefix="1" applyFont="1"/>
    <xf numFmtId="0" fontId="10" fillId="0" borderId="0" xfId="30" quotePrefix="1" applyAlignment="1">
      <alignment horizontal="left" indent="2"/>
    </xf>
    <xf numFmtId="0" fontId="10" fillId="0" borderId="0" xfId="30"/>
    <xf numFmtId="0" fontId="0" fillId="0" borderId="0" xfId="0" quotePrefix="1"/>
    <xf numFmtId="0" fontId="20" fillId="28" borderId="14" xfId="7" applyAlignment="1">
      <alignment vertical="center"/>
    </xf>
    <xf numFmtId="0" fontId="40" fillId="0" borderId="13" xfId="58">
      <alignment vertical="center"/>
    </xf>
    <xf numFmtId="166" fontId="13" fillId="0" borderId="7" xfId="49" applyBorder="1"/>
    <xf numFmtId="166" fontId="13" fillId="0" borderId="8" xfId="49" applyBorder="1"/>
    <xf numFmtId="166" fontId="13" fillId="0" borderId="9" xfId="49" applyBorder="1"/>
    <xf numFmtId="0" fontId="11" fillId="0" borderId="0" xfId="0" applyFont="1"/>
    <xf numFmtId="166" fontId="13" fillId="0" borderId="8" xfId="49" applyBorder="1" applyAlignment="1"/>
    <xf numFmtId="0" fontId="29" fillId="0" borderId="0" xfId="25"/>
    <xf numFmtId="0" fontId="10" fillId="0" borderId="0" xfId="30" quotePrefix="1" applyAlignment="1">
      <alignment horizontal="left" indent="4"/>
    </xf>
    <xf numFmtId="0" fontId="12" fillId="0" borderId="0" xfId="30" quotePrefix="1" applyFont="1" applyAlignment="1">
      <alignment horizontal="left" indent="4"/>
    </xf>
    <xf numFmtId="0" fontId="34" fillId="0" borderId="19" xfId="71"/>
    <xf numFmtId="169" fontId="34" fillId="0" borderId="19" xfId="71" applyNumberFormat="1"/>
    <xf numFmtId="0" fontId="22" fillId="31" borderId="17" xfId="10" applyAlignment="1">
      <alignment vertical="center"/>
    </xf>
    <xf numFmtId="0" fontId="22" fillId="31" borderId="17" xfId="10" applyAlignment="1">
      <alignment horizontal="left" vertical="center" indent="1"/>
    </xf>
    <xf numFmtId="170" fontId="16" fillId="34" borderId="10" xfId="23" applyNumberFormat="1"/>
    <xf numFmtId="171" fontId="16" fillId="34" borderId="10" xfId="23" applyNumberFormat="1"/>
    <xf numFmtId="166" fontId="13" fillId="0" borderId="21" xfId="49" applyBorder="1"/>
    <xf numFmtId="0" fontId="39" fillId="0" borderId="0" xfId="0" applyFont="1"/>
    <xf numFmtId="0" fontId="20" fillId="28" borderId="14" xfId="7" applyNumberFormat="1" applyAlignment="1">
      <alignment vertical="center"/>
    </xf>
    <xf numFmtId="0" fontId="39" fillId="0" borderId="0" xfId="0" applyFont="1" applyAlignment="1">
      <alignment horizontal="right"/>
    </xf>
    <xf numFmtId="0" fontId="22" fillId="31" borderId="17" xfId="10"/>
    <xf numFmtId="0" fontId="41" fillId="0" borderId="0" xfId="0" applyFont="1"/>
    <xf numFmtId="166" fontId="13" fillId="0" borderId="22" xfId="49" applyBorder="1"/>
    <xf numFmtId="166" fontId="13" fillId="0" borderId="23" xfId="49" applyBorder="1"/>
    <xf numFmtId="0" fontId="22" fillId="31" borderId="17" xfId="10" applyAlignment="1">
      <alignment horizontal="left" indent="1"/>
    </xf>
    <xf numFmtId="0" fontId="0" fillId="0" borderId="0" xfId="0" applyAlignment="1">
      <alignment horizontal="right"/>
    </xf>
    <xf numFmtId="171" fontId="16" fillId="32" borderId="10" xfId="59" applyNumberFormat="1" applyAlignment="1">
      <alignment horizontal="center"/>
      <protection locked="0"/>
    </xf>
    <xf numFmtId="0" fontId="12" fillId="0" borderId="0" xfId="30" quotePrefix="1" applyFont="1" applyAlignment="1">
      <alignment horizontal="left" indent="6"/>
    </xf>
    <xf numFmtId="166" fontId="13" fillId="0" borderId="21" xfId="49" applyBorder="1" applyAlignment="1"/>
    <xf numFmtId="0" fontId="23" fillId="0" borderId="0" xfId="73"/>
    <xf numFmtId="0" fontId="10" fillId="0" borderId="0" xfId="0" applyFont="1"/>
    <xf numFmtId="0" fontId="12" fillId="0" borderId="0" xfId="0" applyFont="1"/>
    <xf numFmtId="0" fontId="42" fillId="0" borderId="0" xfId="0" applyFont="1"/>
  </cellXfs>
  <cellStyles count="91">
    <cellStyle name="20% - Accent1" xfId="31" builtinId="30" customBuiltin="1"/>
    <cellStyle name="20% - Accent2" xfId="34" builtinId="34" customBuiltin="1"/>
    <cellStyle name="20% - Accent3" xfId="37" builtinId="38" customBuiltin="1"/>
    <cellStyle name="20% - Accent4" xfId="40" builtinId="42" customBuiltin="1"/>
    <cellStyle name="20% - Accent5" xfId="43" builtinId="46" customBuiltin="1"/>
    <cellStyle name="20% - Accent6" xfId="46" builtinId="50" customBuiltin="1"/>
    <cellStyle name="40% - Accent1" xfId="32" builtinId="31" customBuiltin="1"/>
    <cellStyle name="40% - Accent2" xfId="35" builtinId="35" customBuiltin="1"/>
    <cellStyle name="40% - Accent3" xfId="38" builtinId="39" customBuiltin="1"/>
    <cellStyle name="40% - Accent4" xfId="41" builtinId="43" customBuiltin="1"/>
    <cellStyle name="40% - Accent5" xfId="44" builtinId="47" customBuiltin="1"/>
    <cellStyle name="40% - Accent6" xfId="47" builtinId="51" customBuiltin="1"/>
    <cellStyle name="60% - Accent1" xfId="33" builtinId="32" customBuiltin="1"/>
    <cellStyle name="60% - Accent2" xfId="36" builtinId="36" customBuiltin="1"/>
    <cellStyle name="60% - Accent3" xfId="39" builtinId="40" customBuiltin="1"/>
    <cellStyle name="60% - Accent4" xfId="42" builtinId="44" customBuiltin="1"/>
    <cellStyle name="60% - Accent5" xfId="45" builtinId="48" customBuiltin="1"/>
    <cellStyle name="60% - Accent6" xfId="48" builtinId="52" customBuiltin="1"/>
    <cellStyle name="Bad" xfId="12" builtinId="27" customBuiltin="1"/>
    <cellStyle name="Calc - #" xfId="49" xr:uid="{2495CDAB-90FF-4C3D-BA81-740AFFEAE34F}"/>
    <cellStyle name="Calc - %" xfId="50" xr:uid="{3071A072-FD64-4371-A892-8083BC06D80E}"/>
    <cellStyle name="Calc - Date" xfId="51" xr:uid="{8C138BAE-026B-464A-A8F7-0959008204C5}"/>
    <cellStyle name="Calc - SubTotal" xfId="52" xr:uid="{03F67E89-A370-4CA2-8ED5-E04EED92D31A}"/>
    <cellStyle name="Calc - Total" xfId="53" xr:uid="{66EDCBE4-B269-4428-9460-4A665606A11C}"/>
    <cellStyle name="Calculation" xfId="15" builtinId="22" hidden="1"/>
    <cellStyle name="Check Cell" xfId="17" builtinId="23" hidden="1"/>
    <cellStyle name="Code" xfId="30" xr:uid="{B8FCD659-3DFB-42D6-8526-A2BCC03606B5}"/>
    <cellStyle name="Comma" xfId="2" builtinId="3" customBuiltin="1"/>
    <cellStyle name="Const - #" xfId="54" xr:uid="{FC61DC0C-5CE2-4480-A5B9-156C1F382B6D}"/>
    <cellStyle name="Const - %" xfId="55" xr:uid="{FD8D9826-1E51-49FC-BCBE-58EBB480029D}"/>
    <cellStyle name="Const - Date" xfId="56" xr:uid="{21ED30E5-899D-4676-981F-49908B1827B4}"/>
    <cellStyle name="Const - Text" xfId="57" xr:uid="{DB0E7607-F53D-41E5-B4DA-A2761ECD479C}"/>
    <cellStyle name="Currency" xfId="3" builtinId="4" customBuiltin="1"/>
    <cellStyle name="Currency [0]" xfId="4" builtinId="7" customBuiltin="1"/>
    <cellStyle name="Explanatory Text" xfId="20" builtinId="53" customBuiltin="1"/>
    <cellStyle name="Followed Hyperlink" xfId="74" builtinId="9" customBuiltin="1"/>
    <cellStyle name="Footer" xfId="58" xr:uid="{79781C6A-EB78-482F-AF81-80226C3882E1}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" xfId="73" builtinId="8" customBuiltin="1"/>
    <cellStyle name="Inline Check" xfId="22" xr:uid="{E7FD4D4C-BE0C-4C66-90EF-C5205204C60E}"/>
    <cellStyle name="Input" xfId="1" builtinId="20" hidden="1"/>
    <cellStyle name="Input - #" xfId="59" xr:uid="{B8E537EE-A566-440F-A007-AA2FB5F9A9FB}"/>
    <cellStyle name="Input - %" xfId="60" xr:uid="{976D63A3-80C6-4567-AE8F-0D3E16350EF8}"/>
    <cellStyle name="Input - Date" xfId="61" xr:uid="{61CD4EAE-32D8-4878-9CCC-BC4A561495C9}"/>
    <cellStyle name="Input - Text" xfId="62" xr:uid="{9BAD8F5A-8782-4831-9E5C-ADE825F5200E}"/>
    <cellStyle name="Linked Cell" xfId="16" builtinId="24" hidden="1"/>
    <cellStyle name="Macro Paste" xfId="75" xr:uid="{B7031408-8270-4CF6-9EF6-C95730554BFB}"/>
    <cellStyle name="Message Bar" xfId="63" xr:uid="{3B0D17CD-633D-4591-9C53-704178FD419A}"/>
    <cellStyle name="Model Author Input" xfId="23" xr:uid="{22313D04-CEE3-4C6D-A73A-0922D389E627}"/>
    <cellStyle name="Model Error" xfId="24" xr:uid="{7DF8A411-A2F6-49EF-86E9-1FBCD7E034D7}"/>
    <cellStyle name="Model Input Error" xfId="76" xr:uid="{B8ED4A64-BC78-4F21-B321-D7A218A214B5}"/>
    <cellStyle name="Model Warning" xfId="64" xr:uid="{84E6CA98-0C35-47A7-A1AA-48EE78A8551D}"/>
    <cellStyle name="Named Range" xfId="25" xr:uid="{E1999A07-DF06-4E2D-9D12-B5FF5AB39725}"/>
    <cellStyle name="Neutral" xfId="13" builtinId="28" customBuiltin="1"/>
    <cellStyle name="Normal" xfId="0" builtinId="0" customBuiltin="1"/>
    <cellStyle name="Note" xfId="19" builtinId="10" hidden="1"/>
    <cellStyle name="Notes" xfId="26" xr:uid="{A5B30873-7290-4B84-88CF-F6942C7113B4}"/>
    <cellStyle name="Notes - Alt Text" xfId="77" xr:uid="{C3BD8E38-560D-4E7C-B626-49A71273E491}"/>
    <cellStyle name="Output" xfId="14" builtinId="21" hidden="1"/>
    <cellStyle name="Output - #" xfId="65" xr:uid="{7370FC14-4D4E-4017-ABB2-53D819BCD0F2}"/>
    <cellStyle name="Output - %" xfId="66" xr:uid="{6C044CA3-3915-4D8A-BEF7-C461B38069AA}"/>
    <cellStyle name="Output - Date" xfId="67" xr:uid="{0DAFC17A-95FB-4984-99CB-3F1F041A33E4}"/>
    <cellStyle name="Output - SubTotal" xfId="68" xr:uid="{3944BA35-D861-48C8-BF5E-3B5A261E1A76}"/>
    <cellStyle name="Output - Text" xfId="69" xr:uid="{D8AED5B9-3D8F-49BF-8E7D-B2C435B0B345}"/>
    <cellStyle name="Output - Total" xfId="70" xr:uid="{4535EB24-0E67-4CEB-99CB-25A662CC9E57}"/>
    <cellStyle name="Per cent" xfId="5" builtinId="5" customBuiltin="1"/>
    <cellStyle name="Ref.In - #" xfId="78" xr:uid="{7AC7FA44-CE33-4D97-A9FF-6DB2BE2FBF7C}"/>
    <cellStyle name="Ref.In - %" xfId="79" xr:uid="{BE627C07-1DF5-42CE-90A7-95B617354C42}"/>
    <cellStyle name="Ref.In - Date" xfId="80" xr:uid="{70FB18BE-2731-4B77-8479-BF1A1A35C14E}"/>
    <cellStyle name="Ref.In - SubTotal" xfId="81" xr:uid="{1BCBE048-F1DD-4438-B851-47640116EDC4}"/>
    <cellStyle name="Ref.In - Text" xfId="82" xr:uid="{76DDEE21-CB3B-4B3F-A682-B80A16F240B7}"/>
    <cellStyle name="Ref.Out - #" xfId="83" xr:uid="{5FC54B47-478F-4591-AD7F-336E1608C747}"/>
    <cellStyle name="Ref.Out - %" xfId="84" xr:uid="{9FA89097-514A-441E-B0A0-94BBD3524816}"/>
    <cellStyle name="Ref.Out - Date" xfId="85" xr:uid="{8B20E3B4-706B-41CE-864E-E775C3D3E39B}"/>
    <cellStyle name="Ref.Out - SubTotal" xfId="86" xr:uid="{11BF8659-80CF-4C13-9B69-58CDA4FF5B64}"/>
    <cellStyle name="Ref.Out - Text" xfId="87" xr:uid="{D6E2D691-99EC-4F06-9B51-7814062DE643}"/>
    <cellStyle name="SubTitle" xfId="71" xr:uid="{81F4C8C1-EA43-481A-9676-DC23C4FA3B53}"/>
    <cellStyle name="Time Line" xfId="88" xr:uid="{E03B2099-5F54-4B36-B917-7B8C5089334B}"/>
    <cellStyle name="Title" xfId="6" builtinId="15" customBuiltin="1"/>
    <cellStyle name="Total" xfId="21" builtinId="25" hidden="1"/>
    <cellStyle name="Units Label" xfId="89" xr:uid="{30F76D94-6F5D-4005-AA68-53AB799EC6FC}"/>
    <cellStyle name="Unused" xfId="27" xr:uid="{41FDAA62-0CFA-4ECE-8536-2FE4DDCF7B47}"/>
    <cellStyle name="Variance - #" xfId="28" xr:uid="{C6E31070-8FD9-44FE-9156-8DC91AE2C02C}"/>
    <cellStyle name="Variance - %" xfId="72" xr:uid="{0B45C513-E93C-425C-9EA0-C12C16E6E00D}"/>
    <cellStyle name="Variance - SubTotal" xfId="90" xr:uid="{EA38576B-A343-4751-923A-790D33FCBF99}"/>
    <cellStyle name="Variance - Total" xfId="29" xr:uid="{4F69F40F-674C-4CBD-B34C-2FD1E42EDEB8}"/>
    <cellStyle name="Warning Text" xfId="18" builtinId="11" customBuiltin="1"/>
  </cellStyles>
  <dxfs count="0"/>
  <tableStyles count="0" defaultTableStyle="TableStyleMedium2" defaultPivotStyle="PivotStyleLight16"/>
  <colors>
    <mruColors>
      <color rgb="FF1E4FA8"/>
      <color rgb="FF3F9C35"/>
      <color rgb="FF0000FF"/>
      <color rgb="FF00153D"/>
      <color rgb="FF009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38100</xdr:rowOff>
    </xdr:from>
    <xdr:to>
      <xdr:col>2</xdr:col>
      <xdr:colOff>45720</xdr:colOff>
      <xdr:row>0</xdr:row>
      <xdr:rowOff>355542</xdr:rowOff>
    </xdr:to>
    <xdr:pic>
      <xdr:nvPicPr>
        <xdr:cNvPr id="3" name="Picture 2" descr="A black and white logo&#10;&#10;AI-generated content may be incorrect.">
          <a:extLst>
            <a:ext uri="{FF2B5EF4-FFF2-40B4-BE49-F238E27FC236}">
              <a16:creationId xmlns:a16="http://schemas.microsoft.com/office/drawing/2014/main" id="{54761DF5-C9AB-992D-042B-B520735B8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8100"/>
          <a:ext cx="594360" cy="3174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38100</xdr:rowOff>
    </xdr:from>
    <xdr:to>
      <xdr:col>2</xdr:col>
      <xdr:colOff>45720</xdr:colOff>
      <xdr:row>0</xdr:row>
      <xdr:rowOff>355542</xdr:rowOff>
    </xdr:to>
    <xdr:pic>
      <xdr:nvPicPr>
        <xdr:cNvPr id="2" name="Picture 1" descr="A black and white logo&#10;&#10;AI-generated content may be incorrect.">
          <a:extLst>
            <a:ext uri="{FF2B5EF4-FFF2-40B4-BE49-F238E27FC236}">
              <a16:creationId xmlns:a16="http://schemas.microsoft.com/office/drawing/2014/main" id="{CD9DB006-5FFA-4689-B73B-61326B7F8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8100"/>
          <a:ext cx="609600" cy="3174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38100</xdr:rowOff>
    </xdr:from>
    <xdr:to>
      <xdr:col>2</xdr:col>
      <xdr:colOff>45720</xdr:colOff>
      <xdr:row>0</xdr:row>
      <xdr:rowOff>355542</xdr:rowOff>
    </xdr:to>
    <xdr:pic>
      <xdr:nvPicPr>
        <xdr:cNvPr id="2" name="Picture 1" descr="A black and white logo&#10;&#10;AI-generated content may be incorrect.">
          <a:extLst>
            <a:ext uri="{FF2B5EF4-FFF2-40B4-BE49-F238E27FC236}">
              <a16:creationId xmlns:a16="http://schemas.microsoft.com/office/drawing/2014/main" id="{12E1F32C-576B-4AE5-96F4-77A2265C9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8100"/>
          <a:ext cx="609600" cy="3174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38100</xdr:rowOff>
    </xdr:from>
    <xdr:to>
      <xdr:col>2</xdr:col>
      <xdr:colOff>45720</xdr:colOff>
      <xdr:row>0</xdr:row>
      <xdr:rowOff>355542</xdr:rowOff>
    </xdr:to>
    <xdr:pic>
      <xdr:nvPicPr>
        <xdr:cNvPr id="2" name="Picture 1" descr="A black and white logo&#10;&#10;AI-generated content may be incorrect.">
          <a:extLst>
            <a:ext uri="{FF2B5EF4-FFF2-40B4-BE49-F238E27FC236}">
              <a16:creationId xmlns:a16="http://schemas.microsoft.com/office/drawing/2014/main" id="{65F73977-54F5-4315-80D9-2C72052BD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8100"/>
          <a:ext cx="586740" cy="3174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38100</xdr:rowOff>
    </xdr:from>
    <xdr:to>
      <xdr:col>2</xdr:col>
      <xdr:colOff>45720</xdr:colOff>
      <xdr:row>0</xdr:row>
      <xdr:rowOff>355542</xdr:rowOff>
    </xdr:to>
    <xdr:pic>
      <xdr:nvPicPr>
        <xdr:cNvPr id="2" name="Picture 1" descr="A black and white logo&#10;&#10;AI-generated content may be incorrect.">
          <a:extLst>
            <a:ext uri="{FF2B5EF4-FFF2-40B4-BE49-F238E27FC236}">
              <a16:creationId xmlns:a16="http://schemas.microsoft.com/office/drawing/2014/main" id="{3066911B-2BC0-4069-98DD-45732B314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8100"/>
          <a:ext cx="609600" cy="3174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53340</xdr:rowOff>
    </xdr:from>
    <xdr:to>
      <xdr:col>10</xdr:col>
      <xdr:colOff>555206</xdr:colOff>
      <xdr:row>15</xdr:row>
      <xdr:rowOff>47365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C536C5-4537-43BD-C39F-EC57DFAA5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360" y="1516380"/>
          <a:ext cx="5432006" cy="13961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68580</xdr:rowOff>
    </xdr:from>
    <xdr:to>
      <xdr:col>8</xdr:col>
      <xdr:colOff>526364</xdr:colOff>
      <xdr:row>36</xdr:row>
      <xdr:rowOff>53802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460CF6-63D3-2B3B-0F28-D4852C1BD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360" y="3284220"/>
          <a:ext cx="4183964" cy="3315162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39</xdr:row>
      <xdr:rowOff>68580</xdr:rowOff>
    </xdr:from>
    <xdr:to>
      <xdr:col>17</xdr:col>
      <xdr:colOff>435678</xdr:colOff>
      <xdr:row>61</xdr:row>
      <xdr:rowOff>31013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079E71-9FDA-02B9-4FBB-A23FCBEFA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4361" y="7139940"/>
          <a:ext cx="9579677" cy="38181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45720</xdr:rowOff>
    </xdr:from>
    <xdr:to>
      <xdr:col>9</xdr:col>
      <xdr:colOff>526195</xdr:colOff>
      <xdr:row>69</xdr:row>
      <xdr:rowOff>45811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B091A4D-15A7-2FB6-00F8-742D889D1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4360" y="11323320"/>
          <a:ext cx="4793395" cy="1051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38100</xdr:rowOff>
    </xdr:from>
    <xdr:to>
      <xdr:col>2</xdr:col>
      <xdr:colOff>45720</xdr:colOff>
      <xdr:row>0</xdr:row>
      <xdr:rowOff>355542</xdr:rowOff>
    </xdr:to>
    <xdr:pic>
      <xdr:nvPicPr>
        <xdr:cNvPr id="2" name="Picture 1" descr="A black and white logo&#10;&#10;AI-generated content may be incorrect.">
          <a:extLst>
            <a:ext uri="{FF2B5EF4-FFF2-40B4-BE49-F238E27FC236}">
              <a16:creationId xmlns:a16="http://schemas.microsoft.com/office/drawing/2014/main" id="{0A24780F-62EA-45A8-A36A-9DC3BD891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8100"/>
          <a:ext cx="594360" cy="317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RXL Custom Theme">
  <a:themeElements>
    <a:clrScheme name="RXL Custom Theme">
      <a:dk1>
        <a:srgbClr val="002138"/>
      </a:dk1>
      <a:lt1>
        <a:sysClr val="window" lastClr="FFFFFF"/>
      </a:lt1>
      <a:dk2>
        <a:srgbClr val="002138"/>
      </a:dk2>
      <a:lt2>
        <a:srgbClr val="F8F8F8"/>
      </a:lt2>
      <a:accent1>
        <a:srgbClr val="198B83"/>
      </a:accent1>
      <a:accent2>
        <a:srgbClr val="56BAB8"/>
      </a:accent2>
      <a:accent3>
        <a:srgbClr val="FC6017"/>
      </a:accent3>
      <a:accent4>
        <a:srgbClr val="F88D24"/>
      </a:accent4>
      <a:accent5>
        <a:srgbClr val="E6D3B8"/>
      </a:accent5>
      <a:accent6>
        <a:srgbClr val="FF4F4F"/>
      </a:accent6>
      <a:hlink>
        <a:srgbClr val="467886"/>
      </a:hlink>
      <a:folHlink>
        <a:srgbClr val="96607D"/>
      </a:folHlink>
    </a:clrScheme>
    <a:fontScheme name="RXL Custom Them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3"/>
        </a:solidFill>
        <a:ln w="28575">
          <a:solidFill>
            <a:schemeClr val="accent3">
              <a:lumMod val="7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a:spPr>
      <a:bodyPr vertOverflow="clip" horzOverflow="clip" rtlCol="0" anchor="ctr"/>
      <a:lstStyle>
        <a:defPPr algn="ctr">
          <a:defRPr sz="1200" kern="1200">
            <a:solidFill>
              <a:schemeClr val="bg1"/>
            </a:solidFill>
            <a:latin typeface="+mj-lt"/>
            <a:cs typeface="Arial" panose="020B0604020202020204" pitchFamily="34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898898-00B4-4C03-BA06-A0F23E263CD4}">
  <we:reference id="wa200003696" version="1.3.0.0" store="en-GB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E868B07E-8E73-453F-8EDC-C5D00DFF7CD9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ist.github.com/r-silk/265d9ad1e36e70f112a71b7ad0def48f" TargetMode="External"/><Relationship Id="rId2" Type="http://schemas.openxmlformats.org/officeDocument/2006/relationships/hyperlink" Target="https://gist.github.com/r-silk/3331a843a286835cf73a248c68ec00f7" TargetMode="External"/><Relationship Id="rId1" Type="http://schemas.openxmlformats.org/officeDocument/2006/relationships/hyperlink" Target="https://gist.github.com/r-silk/ec053e59058e399f0f9aa9ac71531a71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7317-EEEF-4D0C-A570-5CBA36EE881D}">
  <sheetPr codeName="Sheet5"/>
  <dimension ref="A1:W86"/>
  <sheetViews>
    <sheetView showGridLines="0" tabSelected="1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1:13" s="8" customFormat="1" ht="30" customHeight="1" x14ac:dyDescent="0.3">
      <c r="A1" s="26"/>
      <c r="C1" s="1" t="s">
        <v>39</v>
      </c>
    </row>
    <row r="2" spans="1:13" s="18" customFormat="1" ht="16.2" thickBot="1" x14ac:dyDescent="0.35">
      <c r="B2" s="19">
        <f xml:space="preserve"> MAX(B$1:B1) + 1</f>
        <v>1</v>
      </c>
      <c r="C2" s="18" t="s">
        <v>40</v>
      </c>
    </row>
    <row r="4" spans="1:13" x14ac:dyDescent="0.3">
      <c r="B4" s="13" t="s">
        <v>4</v>
      </c>
    </row>
    <row r="5" spans="1:13" x14ac:dyDescent="0.3">
      <c r="C5" t="s">
        <v>6</v>
      </c>
    </row>
    <row r="6" spans="1:13" x14ac:dyDescent="0.3">
      <c r="C6" t="s">
        <v>7</v>
      </c>
    </row>
    <row r="7" spans="1:13" x14ac:dyDescent="0.3">
      <c r="C7" t="s">
        <v>41</v>
      </c>
    </row>
    <row r="9" spans="1:13" x14ac:dyDescent="0.3">
      <c r="B9" s="13" t="s">
        <v>5</v>
      </c>
    </row>
    <row r="11" spans="1:13" x14ac:dyDescent="0.3">
      <c r="C11" s="11" t="str" cm="1">
        <f t="array" aca="1" ref="C11" ca="1" xml:space="preserve"> CELL("filename", $C$1)</f>
        <v>D:\Work\_RXL\Development\LAMBDA\[RXL_WbInfo.xlsx]SheetName</v>
      </c>
      <c r="D11" s="12"/>
      <c r="E11" s="12"/>
      <c r="F11" s="12"/>
      <c r="G11" s="12"/>
      <c r="H11" s="12"/>
      <c r="I11" s="12"/>
      <c r="J11" s="12"/>
      <c r="K11" s="12"/>
      <c r="L11" s="12"/>
      <c r="M11" s="10"/>
    </row>
    <row r="12" spans="1:13" x14ac:dyDescent="0.3">
      <c r="C12" s="6" t="str">
        <f ca="1" xml:space="preserve"> _xlfn.FORMULATEXT(C11)</f>
        <v>= CELL("filename", $C$1)</v>
      </c>
    </row>
    <row r="14" spans="1:13" x14ac:dyDescent="0.3">
      <c r="C14" t="s">
        <v>9</v>
      </c>
    </row>
    <row r="15" spans="1:13" x14ac:dyDescent="0.3">
      <c r="C15" s="14" t="str" cm="1">
        <f t="array" aca="1" ref="C15" ca="1" xml:space="preserve"> _xlfn.LET(
  _xlpm._fileName, CELL("filename", $C$1),
  _xlpm._wsName, _xlfn.TEXTAFTER( _xlpm._fileName, "]", -1, , , ""),
  _xlpm._rtn, IF( OR( ISERROR(_xlpm._wsName), _xlpm._wsName = ""), "[Error reading Sheet name]", _xlpm._wsName),
  _xlpm._rtn
)</f>
        <v>SheetName</v>
      </c>
      <c r="D15" s="12"/>
      <c r="E15" s="12"/>
      <c r="F15" s="10"/>
    </row>
    <row r="16" spans="1:13" x14ac:dyDescent="0.3">
      <c r="C16" s="6" t="str">
        <f ca="1" xml:space="preserve"> _xlfn.FORMULATEXT(C15)</f>
        <v>= LET(
  _fileName, CELL("filename", $C$1),
  _wsName, TEXTAFTER( _fileName, "]", -1, , , ""),
  _rtn, IF( OR( ISERROR(_wsName), _wsName = ""), "[Error reading Sheet name]", _wsName),
  _rtn
)</v>
      </c>
    </row>
    <row r="18" spans="2:23" x14ac:dyDescent="0.3">
      <c r="C18" t="s">
        <v>8</v>
      </c>
    </row>
    <row r="19" spans="2:23" x14ac:dyDescent="0.3">
      <c r="C19" s="14" t="str" cm="1">
        <f t="array" aca="1" ref="C19" ca="1" xml:space="preserve"> _xlfn.LET(
  _xlpm._fileName, CELL("filename", $C$1),
  _xlpm._pos, IFERROR( FIND("]", _xlpm._fileName), 0),
  _xlpm._wsName, IF(_xlpm._pos &lt;&gt; 0, RIGHT(_xlpm._fileName, LEN(_xlpm._fileName) - _xlpm._pos), "[Error reading Sheet Name]"),
  _xlpm._wsName
)</f>
        <v>SheetName</v>
      </c>
      <c r="D19" s="12"/>
      <c r="E19" s="12"/>
      <c r="F19" s="10"/>
    </row>
    <row r="20" spans="2:23" x14ac:dyDescent="0.3">
      <c r="C20" s="6" t="str">
        <f ca="1" xml:space="preserve"> _xlfn.FORMULATEXT(C19)</f>
        <v>= LET(
  _fileName, CELL("filename", $C$1),
  _pos, IFERROR( FIND("]", _fileName), 0),
  _wsName, IF(_pos &lt;&gt; 0, RIGHT(_fileName, LEN(_fileName) - _pos), "[Error reading Sheet Name]"),
  _wsName
)</v>
      </c>
    </row>
    <row r="23" spans="2:23" s="18" customFormat="1" ht="16.2" thickBot="1" x14ac:dyDescent="0.35">
      <c r="B23" s="19">
        <f xml:space="preserve"> MAX(B$1:B22) + 1</f>
        <v>2</v>
      </c>
      <c r="C23" s="18" t="s">
        <v>23</v>
      </c>
    </row>
    <row r="25" spans="2:23" x14ac:dyDescent="0.3">
      <c r="B25" s="21" t="s">
        <v>42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7" spans="2:23" x14ac:dyDescent="0.3">
      <c r="C27" s="24" t="str" cm="1">
        <f t="array" aca="1" ref="C27" ca="1" xml:space="preserve"> _xlfn.LAMBDA(_xlpm.cell_ref,
  _xlfn.LET(
    _xlpm._inpChk, IF( NOT(ISREF(_xlpm.cell_ref)), "#[Error: cell reference required]", ""),
    _xlpm._fileName, CELL("filename", _xlpm.cell_ref),
    _xlpm._wsName, _xlfn.TEXTAFTER( _xlpm._fileName, "]", -1, , , "#"),
    _xlpm._rtn, IF( OR( ISERROR(_xlpm._wsName), _xlpm._wsName = "#"), "#[Error reading Sheet name]", _xlpm._wsName),
    IF(_xlpm._inpChk &lt;&gt; "", _xlpm._inpChk, _xlpm._rtn)
  )
)($C$1)</f>
        <v>SheetName</v>
      </c>
      <c r="D27" s="12"/>
      <c r="E27" s="12"/>
      <c r="F27" s="10"/>
    </row>
    <row r="28" spans="2:23" x14ac:dyDescent="0.3">
      <c r="C28" s="6" t="str">
        <f ca="1" xml:space="preserve"> _xlfn.FORMULATEXT(C27)</f>
        <v>= LAMBDA(cell_ref,
  LET(
    _inpChk, IF( NOT(ISREF(cell_ref)), "#[Error: cell reference required]", ""),
    _fileName, CELL("filename", cell_ref),
    _wsName, TEXTAFTER( _fileName, "]", -1, , , "#"),
    _rtn, IF( OR( ISERROR(_wsName), _wsName = "#"), "#[Error reading Sheet name]", _wsName),
    IF(_inpChk &lt;&gt; "", _inpChk, _rtn)
  )
)($C$1)</v>
      </c>
    </row>
    <row r="29" spans="2:23" x14ac:dyDescent="0.3">
      <c r="C29" s="7"/>
    </row>
    <row r="30" spans="2:23" x14ac:dyDescent="0.3">
      <c r="C30" s="4" t="s">
        <v>1</v>
      </c>
    </row>
    <row r="31" spans="2:23" x14ac:dyDescent="0.3">
      <c r="C31" s="5" t="s">
        <v>36</v>
      </c>
    </row>
    <row r="32" spans="2:23" x14ac:dyDescent="0.3">
      <c r="C32" s="3" t="s">
        <v>35</v>
      </c>
    </row>
    <row r="33" spans="3:3" x14ac:dyDescent="0.3">
      <c r="C33" s="5" t="s">
        <v>37</v>
      </c>
    </row>
    <row r="34" spans="3:3" x14ac:dyDescent="0.3">
      <c r="C34" s="3" t="s">
        <v>2</v>
      </c>
    </row>
    <row r="35" spans="3:3" x14ac:dyDescent="0.3">
      <c r="C35" s="16" t="s">
        <v>18</v>
      </c>
    </row>
    <row r="36" spans="3:3" x14ac:dyDescent="0.3">
      <c r="C36" s="17" t="s">
        <v>28</v>
      </c>
    </row>
    <row r="37" spans="3:3" x14ac:dyDescent="0.3">
      <c r="C37" s="16" t="s">
        <v>11</v>
      </c>
    </row>
    <row r="38" spans="3:3" x14ac:dyDescent="0.3">
      <c r="C38" s="17" t="s">
        <v>10</v>
      </c>
    </row>
    <row r="39" spans="3:3" x14ac:dyDescent="0.3">
      <c r="C39" s="16" t="s">
        <v>12</v>
      </c>
    </row>
    <row r="40" spans="3:3" x14ac:dyDescent="0.3">
      <c r="C40" s="16" t="s">
        <v>13</v>
      </c>
    </row>
    <row r="41" spans="3:3" x14ac:dyDescent="0.3">
      <c r="C41" s="17" t="s">
        <v>24</v>
      </c>
    </row>
    <row r="42" spans="3:3" x14ac:dyDescent="0.3">
      <c r="C42" s="16" t="s">
        <v>17</v>
      </c>
    </row>
    <row r="43" spans="3:3" x14ac:dyDescent="0.3">
      <c r="C43" s="17" t="s">
        <v>25</v>
      </c>
    </row>
    <row r="44" spans="3:3" x14ac:dyDescent="0.3">
      <c r="C44" s="16" t="s">
        <v>19</v>
      </c>
    </row>
    <row r="45" spans="3:3" x14ac:dyDescent="0.3">
      <c r="C45" s="17" t="s">
        <v>20</v>
      </c>
    </row>
    <row r="46" spans="3:3" x14ac:dyDescent="0.3">
      <c r="C46" s="3" t="s">
        <v>0</v>
      </c>
    </row>
    <row r="47" spans="3:3" x14ac:dyDescent="0.3">
      <c r="C47" s="4" t="s">
        <v>0</v>
      </c>
    </row>
    <row r="49" spans="2:23" x14ac:dyDescent="0.3">
      <c r="C49" s="25" t="s">
        <v>44</v>
      </c>
    </row>
    <row r="50" spans="2:23" x14ac:dyDescent="0.3">
      <c r="C50" s="4" t="s">
        <v>45</v>
      </c>
    </row>
    <row r="53" spans="2:23" x14ac:dyDescent="0.3">
      <c r="B53" s="21" t="s">
        <v>34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5" spans="2:23" x14ac:dyDescent="0.3">
      <c r="C55" s="11" t="str" cm="1">
        <f t="array" aca="1" ref="C55" ca="1" xml:space="preserve"> _xlfn.LAMBDA(_xlpm.cell_ref,
  _xlfn.LET(
    _xlpm._inpChk, IF( NOT(ISREF(_xlpm.cell_ref)), "#[Error: cell reference required]", ""),
    _xlpm._fileName, CELL("filename", _xlpm.cell_ref),
    _xlpm._pos, IFERROR( FIND("?", SUBSTITUTE(_xlpm._fileName, "]", "?", LEN(_xlpm._fileName) - LEN( SUBSTITUTE(_xlpm._fileName, "]", "")))), 0),
    _xlpm._wsName, IF(_xlpm._pos &lt;&gt; 0, RIGHT(_xlpm._fileName, LEN(_xlpm._fileName) - _xlpm._pos), "#"),
    _xlpm._rtn, IF( OR( ISERROR(_xlpm._wsName), _xlpm._wsName = "#"), "#[Error reading Sheet Name]", _xlpm._wsName),
    IF(_xlpm._inpChk &lt;&gt; "", _xlpm._inpChk, _xlpm._rtn)
  )
)($C$1)</f>
        <v>SheetName</v>
      </c>
      <c r="D55" s="12"/>
      <c r="E55" s="12"/>
      <c r="F55" s="10"/>
    </row>
    <row r="56" spans="2:23" x14ac:dyDescent="0.3">
      <c r="C56" s="6" t="str">
        <f ca="1" xml:space="preserve"> _xlfn.FORMULATEXT(C55)</f>
        <v>= LAMBDA(cell_ref,
  LET(
    _inpChk, IF( NOT(ISREF(cell_ref)), "#[Error: cell reference required]", ""),
    _fileName, CELL("filename", cell_ref),
    _pos, IFERROR( FIND("?", SUBSTITUTE(_fileName, "]", "?", LEN(_fileName) - LEN( SUBSTITUTE(_fileName, "]", "")))), 0),
    _wsName, IF(_pos &lt;&gt; 0, RIGHT(_fileName, LEN(_fileName) - _pos), "#"),
    _rtn, IF( OR( ISERROR(_wsName), _wsName = "#"), "#[Error reading Sheet Name]", _wsName),
    IF(_inpChk &lt;&gt; "", _inpChk, _rtn)
  )
)($C$1)</v>
      </c>
    </row>
    <row r="57" spans="2:23" x14ac:dyDescent="0.3">
      <c r="C57" s="7"/>
    </row>
    <row r="58" spans="2:23" x14ac:dyDescent="0.3">
      <c r="B58" s="7"/>
      <c r="C58" s="4" t="s">
        <v>1</v>
      </c>
    </row>
    <row r="59" spans="2:23" x14ac:dyDescent="0.3">
      <c r="B59" s="7"/>
      <c r="C59" s="5" t="s">
        <v>38</v>
      </c>
    </row>
    <row r="60" spans="2:23" x14ac:dyDescent="0.3">
      <c r="B60" s="7"/>
      <c r="C60" s="3" t="s">
        <v>35</v>
      </c>
    </row>
    <row r="61" spans="2:23" x14ac:dyDescent="0.3">
      <c r="C61" s="5" t="s">
        <v>37</v>
      </c>
    </row>
    <row r="62" spans="2:23" x14ac:dyDescent="0.3">
      <c r="C62" s="3" t="s">
        <v>2</v>
      </c>
    </row>
    <row r="63" spans="2:23" x14ac:dyDescent="0.3">
      <c r="C63" s="16" t="s">
        <v>18</v>
      </c>
    </row>
    <row r="64" spans="2:23" x14ac:dyDescent="0.3">
      <c r="C64" s="17" t="s">
        <v>28</v>
      </c>
    </row>
    <row r="65" spans="3:3" x14ac:dyDescent="0.3">
      <c r="C65" s="16" t="s">
        <v>11</v>
      </c>
    </row>
    <row r="66" spans="3:3" x14ac:dyDescent="0.3">
      <c r="C66" s="17" t="s">
        <v>10</v>
      </c>
    </row>
    <row r="67" spans="3:3" x14ac:dyDescent="0.3">
      <c r="C67" s="16" t="s">
        <v>29</v>
      </c>
    </row>
    <row r="68" spans="3:3" x14ac:dyDescent="0.3">
      <c r="C68" s="16" t="s">
        <v>30</v>
      </c>
    </row>
    <row r="69" spans="3:3" x14ac:dyDescent="0.3">
      <c r="C69" s="16" t="s">
        <v>31</v>
      </c>
    </row>
    <row r="70" spans="3:3" x14ac:dyDescent="0.3">
      <c r="C70" s="16" t="s">
        <v>32</v>
      </c>
    </row>
    <row r="71" spans="3:3" x14ac:dyDescent="0.3">
      <c r="C71" s="16" t="s">
        <v>14</v>
      </c>
    </row>
    <row r="72" spans="3:3" x14ac:dyDescent="0.3">
      <c r="C72" s="17" t="s">
        <v>33</v>
      </c>
    </row>
    <row r="73" spans="3:3" x14ac:dyDescent="0.3">
      <c r="C73" s="16" t="s">
        <v>15</v>
      </c>
    </row>
    <row r="74" spans="3:3" x14ac:dyDescent="0.3">
      <c r="C74" s="17" t="s">
        <v>26</v>
      </c>
    </row>
    <row r="75" spans="3:3" x14ac:dyDescent="0.3">
      <c r="C75" s="16" t="s">
        <v>16</v>
      </c>
    </row>
    <row r="76" spans="3:3" x14ac:dyDescent="0.3">
      <c r="C76" s="17" t="s">
        <v>27</v>
      </c>
    </row>
    <row r="77" spans="3:3" x14ac:dyDescent="0.3">
      <c r="C77" s="16" t="s">
        <v>19</v>
      </c>
    </row>
    <row r="78" spans="3:3" x14ac:dyDescent="0.3">
      <c r="C78" s="17" t="s">
        <v>20</v>
      </c>
    </row>
    <row r="79" spans="3:3" x14ac:dyDescent="0.3">
      <c r="C79" s="3" t="s">
        <v>0</v>
      </c>
    </row>
    <row r="80" spans="3:3" x14ac:dyDescent="0.3">
      <c r="C80" s="4" t="s">
        <v>0</v>
      </c>
    </row>
    <row r="82" spans="2:3" x14ac:dyDescent="0.3">
      <c r="C82" s="25" t="s">
        <v>44</v>
      </c>
    </row>
    <row r="83" spans="2:3" x14ac:dyDescent="0.3">
      <c r="C83" s="4" t="s">
        <v>46</v>
      </c>
    </row>
    <row r="85" spans="2:3" ht="14.4" thickBot="1" x14ac:dyDescent="0.35"/>
    <row r="86" spans="2:3" s="9" customFormat="1" x14ac:dyDescent="0.3">
      <c r="B86" s="9" t="s">
        <v>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A570-26D2-439D-9DA6-A95E85759345}">
  <sheetPr codeName="Sheet1"/>
  <dimension ref="A1:W126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1:13" s="8" customFormat="1" ht="30" customHeight="1" x14ac:dyDescent="0.3">
      <c r="A1" s="26"/>
      <c r="C1" s="1" t="s">
        <v>55</v>
      </c>
    </row>
    <row r="2" spans="1:13" s="18" customFormat="1" ht="16.2" thickBot="1" x14ac:dyDescent="0.35">
      <c r="B2" s="19">
        <f xml:space="preserve"> MAX(B$1:B1) + 1</f>
        <v>1</v>
      </c>
      <c r="C2" s="18" t="s">
        <v>40</v>
      </c>
    </row>
    <row r="4" spans="1:13" x14ac:dyDescent="0.3">
      <c r="B4" s="13" t="s">
        <v>4</v>
      </c>
    </row>
    <row r="5" spans="1:13" x14ac:dyDescent="0.3">
      <c r="C5" t="s">
        <v>56</v>
      </c>
    </row>
    <row r="6" spans="1:13" x14ac:dyDescent="0.3">
      <c r="C6" t="s">
        <v>57</v>
      </c>
    </row>
    <row r="7" spans="1:13" x14ac:dyDescent="0.3">
      <c r="C7" t="s">
        <v>58</v>
      </c>
    </row>
    <row r="8" spans="1:13" x14ac:dyDescent="0.3">
      <c r="C8" t="s">
        <v>59</v>
      </c>
    </row>
    <row r="10" spans="1:13" x14ac:dyDescent="0.3">
      <c r="B10" s="13" t="s">
        <v>5</v>
      </c>
    </row>
    <row r="12" spans="1:13" x14ac:dyDescent="0.3">
      <c r="C12" s="11" t="str" cm="1">
        <f t="array" aca="1" ref="C12" ca="1" xml:space="preserve"> CELL("filename", $A$1)</f>
        <v>D:\Work\_RXL\Development\LAMBDA\[RXL_WbInfo.xlsx]WorkbookName</v>
      </c>
      <c r="D12" s="12"/>
      <c r="E12" s="12"/>
      <c r="F12" s="12"/>
      <c r="G12" s="12"/>
      <c r="H12" s="12"/>
      <c r="I12" s="12"/>
      <c r="J12" s="12"/>
      <c r="K12" s="12"/>
      <c r="L12" s="12"/>
      <c r="M12" s="10"/>
    </row>
    <row r="13" spans="1:13" x14ac:dyDescent="0.3">
      <c r="C13" s="6" t="str">
        <f ca="1" xml:space="preserve"> _xlfn.FORMULATEXT(C12)</f>
        <v>= CELL("filename", $A$1)</v>
      </c>
    </row>
    <row r="15" spans="1:13" x14ac:dyDescent="0.3">
      <c r="C15" t="s">
        <v>9</v>
      </c>
    </row>
    <row r="16" spans="1:13" x14ac:dyDescent="0.3">
      <c r="C16" s="14" t="str" cm="1">
        <f t="array" aca="1" ref="C16" ca="1" xml:space="preserve"> _xlfn.LET(
  _xlpm.cell_ref, $A$1,
  _xlpm._fileName, CELL("filename", _xlpm.cell_ref),
  _xlpm._wbName, _xlfn.TEXTBEFORE( _xlfn.TEXTAFTER(_xlpm._fileName, "[", -1, , , "#"), "]", -1, , , "#"),
  _xlpm._rtn, IF( OR( ISERROR(_xlpm._wbName), _xlpm._wbName = "#"), "#[Error reading Workbook name]", _xlpm._wbName),
  _xlpm._rtn
)</f>
        <v>RXL_WbInfo.xlsx</v>
      </c>
      <c r="D16" s="12"/>
      <c r="E16" s="12"/>
      <c r="F16" s="10"/>
    </row>
    <row r="17" spans="3:8" x14ac:dyDescent="0.3">
      <c r="C17" s="6" t="str">
        <f ca="1" xml:space="preserve"> _xlfn.FORMULATEXT(C16)</f>
        <v>= LET(
  cell_ref, $A$1,
  _fileName, CELL("filename", cell_ref),
  _wbName, TEXTBEFORE( TEXTAFTER(_fileName, "[", -1, , , "#"), "]", -1, , , "#"),
  _rtn, IF( OR( ISERROR(_wbName), _wbName = "#"), "#[Error reading Workbook name]", _wbName),
  _rtn
)</v>
      </c>
    </row>
    <row r="19" spans="3:8" x14ac:dyDescent="0.3">
      <c r="C19" t="s">
        <v>60</v>
      </c>
      <c r="G19" s="33" t="s">
        <v>61</v>
      </c>
      <c r="H19" s="34">
        <v>1</v>
      </c>
    </row>
    <row r="20" spans="3:8" x14ac:dyDescent="0.3">
      <c r="C20" s="14" t="str" cm="1">
        <f t="array" aca="1" ref="C20" ca="1" xml:space="preserve"> _xlfn.LET(
  _xlpm.cell_ref, $A$1,
  _xlpm.remove_extension, $H$19,
  _xlpm._fileName, CELL("filename", $A$1),
  _xlpm._strName, _xlfn.TEXTBEFORE( _xlfn.TEXTAFTER(_xlpm._fileName, "[", -1, , , "#"), "]", -1, , , "#"),
  _xlpm._wbName, IF(_xlpm.remove_extension, _xlfn.TEXTBEFORE(_xlpm._strName, ".", -1, , , _xlpm._strName), _xlpm._strName),
  _xlpm._rtn, IF( OR( ISERROR(_xlpm._wbName), _xlpm._wbName = "#"), "#[Error reading Workbook name]", _xlpm._wbName),
  _xlpm._rtn
)</f>
        <v>RXL_WbInfo</v>
      </c>
      <c r="D20" s="12"/>
      <c r="E20" s="12"/>
      <c r="F20" s="10"/>
    </row>
    <row r="21" spans="3:8" x14ac:dyDescent="0.3">
      <c r="C21" s="6" t="str">
        <f ca="1" xml:space="preserve"> _xlfn.FORMULATEXT(C20)</f>
        <v>= LET(
  cell_ref, $A$1,
  remove_extension, $H$19,
  _fileName, CELL("filename", $A$1),
  _strName, TEXTBEFORE( TEXTAFTER(_fileName, "[", -1, , , "#"), "]", -1, , , "#"),
  _wbName, IF(remove_extension, TEXTBEFORE(_strName, ".", -1, , , _strName), _strName),
  _rtn, IF( OR( ISERROR(_wbName), _wbName = "#"), "#[Error reading Workbook name]", _wbName),
  _rtn
)</v>
      </c>
    </row>
    <row r="24" spans="3:8" x14ac:dyDescent="0.3">
      <c r="C24" t="s">
        <v>8</v>
      </c>
    </row>
    <row r="25" spans="3:8" x14ac:dyDescent="0.3">
      <c r="C25" s="24" t="str" cm="1">
        <f t="array" aca="1" ref="C25" ca="1" xml:space="preserve"> _xlfn.LET(
  _xlpm.cell_ref, $A$1,
  _xlpm._fileName, CELL("filename", _xlpm.cell_ref),
  _xlpm._posR, IFERROR( FIND("]", _xlpm._fileName), 0),
  _xlpm._str, IF(_xlpm._posR &gt; 0, LEFT(_xlpm._fileName, _xlpm._posR - 1), "#"),
  _xlpm._posL, IFERROR( FIND("[", _xlpm._str), 0),
  _xlpm._wbName, IF(_xlpm._posL &gt; 0, RIGHT(_xlpm._str, LEN(_xlpm._str) - _xlpm._posL), "#"),
  _xlpm._rtn, IF(_xlpm._wbName = "#", "#[Error reading Workbook name]", _xlpm._wbName),
  _xlpm._rtn
)</f>
        <v>RXL_WbInfo.xlsx</v>
      </c>
      <c r="D25" s="30"/>
      <c r="E25" s="30"/>
      <c r="F25" s="31"/>
    </row>
    <row r="26" spans="3:8" x14ac:dyDescent="0.3">
      <c r="C26" s="6" t="str">
        <f ca="1" xml:space="preserve"> _xlfn.FORMULATEXT(C25)</f>
        <v>= LET(
  cell_ref, $A$1,
  _fileName, CELL("filename", cell_ref),
  _posR, IFERROR( FIND("]", _fileName), 0),
  _str, IF(_posR &gt; 0, LEFT(_fileName, _posR - 1), "#"),
  _posL, IFERROR( FIND("[", _str), 0),
  _wbName, IF(_posL &gt; 0, RIGHT(_str, LEN(_str) - _posL), "#"),
  _rtn, IF(_wbName = "#", "#[Error reading Workbook name]", _wbName),
  _rtn
)</v>
      </c>
    </row>
    <row r="28" spans="3:8" x14ac:dyDescent="0.3">
      <c r="C28" t="s">
        <v>60</v>
      </c>
      <c r="G28" s="33" t="s">
        <v>61</v>
      </c>
      <c r="H28" s="34">
        <v>1</v>
      </c>
    </row>
    <row r="29" spans="3:8" x14ac:dyDescent="0.3">
      <c r="C29" s="24" t="str" cm="1">
        <f t="array" aca="1" ref="C29" ca="1" xml:space="preserve"> _xlfn.LET(
  _xlpm.cell_ref, $A$1,
  _xlpm.remove_extension, $H$28,
  _xlpm._fileName, CELL("filename", _xlpm.cell_ref),
  _xlpm._posR, IFERROR( FIND("]", _xlpm._fileName), 0),
  _xlpm._str, IF(_xlpm._posR &gt; 0, LEFT(_xlpm._fileName, _xlpm._posR - 1), "#"),
  _xlpm._posL, IFERROR( FIND("[", _xlpm._str), 0),
  _xlpm._strName, IF(_xlpm._posL &gt; 0, RIGHT(_xlpm._str, LEN(_xlpm._str) - _xlpm._posL), "#"),
  _xlpm._posX, IF(_xlpm.remove_extension, IFERROR( FIND("]", SUBSTITUTE(_xlpm._strName, ".", "]", LEN(_xlpm._strName) - LEN( SUBSTITUTE(_xlpm._strName, ".", "")))) - 1, 0), 0),
  _xlpm._wbName, IF(_xlpm._posX &gt; 0, LEFT(_xlpm._strName, _xlpm._posX), _xlpm._strName),
  _xlpm._rtn, IF(_xlpm._wbName = "#", "#[Error reading Workbook name]", _xlpm._wbName),
  _xlpm._rtn
)</f>
        <v>RXL_WbInfo</v>
      </c>
      <c r="D29" s="30"/>
      <c r="E29" s="30"/>
      <c r="F29" s="31"/>
    </row>
    <row r="30" spans="3:8" x14ac:dyDescent="0.3">
      <c r="C30" s="6" t="str">
        <f ca="1" xml:space="preserve"> _xlfn.FORMULATEXT(C29)</f>
        <v>= LET(
  cell_ref, $A$1,
  remove_extension, $H$28,
  _fileName, CELL("filename", cell_ref),
  _posR, IFERROR( FIND("]", _fileName), 0),
  _str, IF(_posR &gt; 0, LEFT(_fileName, _posR - 1), "#"),
  _posL, IFERROR( FIND("[", _str), 0),
  _strName, IF(_posL &gt; 0, RIGHT(_str, LEN(_str) - _posL), "#"),
  _posX, IF(remove_extension, IFERROR( FIND("]", SUBSTITUTE(_strName, ".", "]", LEN(_strName) - LEN( SUBSTITUTE(_strName, ".", "")))) - 1, 0), 0),
  _wbName, IF(_posX &gt; 0, LEFT(_strName, _posX), _strName),
  _rtn, IF(_wbName = "#", "#[Error reading Workbook name]", _wbName),
  _rtn
)</v>
      </c>
    </row>
    <row r="33" spans="2:23" s="18" customFormat="1" ht="16.2" thickBot="1" x14ac:dyDescent="0.35">
      <c r="B33" s="19">
        <f xml:space="preserve"> MAX(B$1:B32) + 1</f>
        <v>2</v>
      </c>
      <c r="C33" s="18" t="s">
        <v>23</v>
      </c>
    </row>
    <row r="35" spans="2:23" x14ac:dyDescent="0.3">
      <c r="B35" s="21" t="s">
        <v>42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7" spans="2:23" x14ac:dyDescent="0.3">
      <c r="C37" s="24" t="str" cm="1">
        <f t="array" aca="1" ref="C37" ca="1" xml:space="preserve"> _xlfn.LAMBDA(_xlpm.cell_ref,_xlop.remove_extension,
  _xlfn.LET(
    _xlpm._extChk, AND( NOT(ISLOGICAL(_xlpm.remove_extension)), NOT(ISNUMBER(_xlpm.remove_extension))),
    _xlpm._fileExt, IF(
      OR( _xlfn.ISOMITTED(_xlpm.remove_extension), _xlpm._extChk),
      FALSE,
      _xlpm.remove_extension
    ),
    _xlpm._inpChk, IF(
      NOT(ISREF(_xlpm.cell_ref)),
      "#[Error: cell reference required]",
      ""
    ),
    _xlpm._fileName, CELL("filename", _xlpm.cell_ref),
    _xlpm._strName, _xlfn.TEXTBEFORE( _xlfn.TEXTAFTER(_xlpm._fileName, "[", -1, , , "#"), "]", -1, , , "#"),
    _xlpm._wbName, IF(
      _xlpm._fileExt,
      _xlfn.TEXTBEFORE(_xlpm._strName, ".", -1, , , _xlpm._strName),
      _xlpm._strName
    ),
    _xlpm._rtn, IF( OR( ISERROR(_xlpm._wbName), _xlpm._wbName = "#"),
      "#[Error reading Workbook name]",
      _xlpm._wbName
      ),
    IF(_xlpm._inpChk &lt;&gt; "", _xlpm._inpChk, _xlpm._rtn)
  )
)($A$1)</f>
        <v>RXL_WbInfo.xlsx</v>
      </c>
      <c r="D37" s="12"/>
      <c r="E37" s="12"/>
      <c r="F37" s="10"/>
    </row>
    <row r="38" spans="2:23" x14ac:dyDescent="0.3">
      <c r="C38" s="6" t="str">
        <f ca="1" xml:space="preserve"> _xlfn.FORMULATEXT(C37)</f>
        <v>= LAMBDA(cell_ref,[remove_extension],
  LET(
    _extChk, AND( NOT(ISLOGICAL(remove_extension)), NOT(ISNUMBER(remove_extension))),
    _fileExt, IF(
      OR( ISOMITTED(remove_extension), _extChk),
      FALSE,
      remove_extension
    ),
    _inpChk, IF(
      NOT(ISREF(cell_ref)),
      "#[Error: cell reference required]",
      ""
    ),
    _fileName, CELL("filename", cell_ref),
    _strName, TEXTBEFORE( TEXTAFTER(_fileName, "[", -1, , , "#"), "]", -1, , , "#"),
    _wbName, IF(
      _fileExt,
      TEXTBEFORE(_strName, ".", -1, , , _strName),
      _strName
    ),
    _rtn, IF( OR( ISERROR(_wbName), _wbName = "#"),
      "#[Error reading Workbook name]",
      _wbName
      ),
    IF(_inpChk &lt;&gt; "", _inpChk, _rtn)
  )
)($A$1)</v>
      </c>
    </row>
    <row r="39" spans="2:23" x14ac:dyDescent="0.3">
      <c r="C39" s="7"/>
    </row>
    <row r="40" spans="2:23" x14ac:dyDescent="0.3">
      <c r="C40" s="4" t="s">
        <v>1</v>
      </c>
    </row>
    <row r="41" spans="2:23" x14ac:dyDescent="0.3">
      <c r="C41" s="5" t="s">
        <v>38</v>
      </c>
    </row>
    <row r="42" spans="2:23" x14ac:dyDescent="0.3">
      <c r="C42" s="3" t="s">
        <v>35</v>
      </c>
    </row>
    <row r="43" spans="2:23" x14ac:dyDescent="0.3">
      <c r="C43" s="3" t="s">
        <v>62</v>
      </c>
    </row>
    <row r="44" spans="2:23" x14ac:dyDescent="0.3">
      <c r="C44" s="5" t="s">
        <v>63</v>
      </c>
    </row>
    <row r="45" spans="2:23" x14ac:dyDescent="0.3">
      <c r="C45" s="17" t="s">
        <v>2</v>
      </c>
    </row>
    <row r="46" spans="2:23" x14ac:dyDescent="0.3">
      <c r="C46" s="16" t="s">
        <v>64</v>
      </c>
    </row>
    <row r="47" spans="2:23" x14ac:dyDescent="0.3">
      <c r="C47" s="17" t="s">
        <v>65</v>
      </c>
    </row>
    <row r="48" spans="2:23" x14ac:dyDescent="0.3">
      <c r="C48" s="17" t="s">
        <v>66</v>
      </c>
    </row>
    <row r="49" spans="3:3" x14ac:dyDescent="0.3">
      <c r="C49" s="35" t="s">
        <v>67</v>
      </c>
    </row>
    <row r="50" spans="3:3" x14ac:dyDescent="0.3">
      <c r="C50" s="35" t="s">
        <v>68</v>
      </c>
    </row>
    <row r="51" spans="3:3" x14ac:dyDescent="0.3">
      <c r="C51" s="35" t="s">
        <v>69</v>
      </c>
    </row>
    <row r="52" spans="3:3" x14ac:dyDescent="0.3">
      <c r="C52" s="17" t="s">
        <v>70</v>
      </c>
    </row>
    <row r="53" spans="3:3" x14ac:dyDescent="0.3">
      <c r="C53" s="16" t="s">
        <v>71</v>
      </c>
    </row>
    <row r="54" spans="3:3" x14ac:dyDescent="0.3">
      <c r="C54" s="17" t="s">
        <v>72</v>
      </c>
    </row>
    <row r="55" spans="3:3" x14ac:dyDescent="0.3">
      <c r="C55" s="35" t="s">
        <v>73</v>
      </c>
    </row>
    <row r="56" spans="3:3" x14ac:dyDescent="0.3">
      <c r="C56" s="35" t="s">
        <v>74</v>
      </c>
    </row>
    <row r="57" spans="3:3" x14ac:dyDescent="0.3">
      <c r="C57" s="35" t="s">
        <v>75</v>
      </c>
    </row>
    <row r="58" spans="3:3" x14ac:dyDescent="0.3">
      <c r="C58" s="17" t="s">
        <v>70</v>
      </c>
    </row>
    <row r="59" spans="3:3" x14ac:dyDescent="0.3">
      <c r="C59" s="16" t="s">
        <v>11</v>
      </c>
    </row>
    <row r="60" spans="3:3" x14ac:dyDescent="0.3">
      <c r="C60" s="17" t="s">
        <v>10</v>
      </c>
    </row>
    <row r="61" spans="3:3" x14ac:dyDescent="0.3">
      <c r="C61" s="16" t="s">
        <v>76</v>
      </c>
    </row>
    <row r="62" spans="3:3" x14ac:dyDescent="0.3">
      <c r="C62" s="17" t="s">
        <v>77</v>
      </c>
    </row>
    <row r="63" spans="3:3" x14ac:dyDescent="0.3">
      <c r="C63" s="16" t="s">
        <v>78</v>
      </c>
    </row>
    <row r="64" spans="3:3" x14ac:dyDescent="0.3">
      <c r="C64" s="17" t="s">
        <v>79</v>
      </c>
    </row>
    <row r="65" spans="3:3" x14ac:dyDescent="0.3">
      <c r="C65" s="35" t="s">
        <v>80</v>
      </c>
    </row>
    <row r="66" spans="3:3" x14ac:dyDescent="0.3">
      <c r="C66" s="35" t="s">
        <v>81</v>
      </c>
    </row>
    <row r="67" spans="3:3" x14ac:dyDescent="0.3">
      <c r="C67" s="35" t="s">
        <v>82</v>
      </c>
    </row>
    <row r="68" spans="3:3" x14ac:dyDescent="0.3">
      <c r="C68" s="17" t="s">
        <v>70</v>
      </c>
    </row>
    <row r="69" spans="3:3" x14ac:dyDescent="0.3">
      <c r="C69" s="16" t="s">
        <v>83</v>
      </c>
    </row>
    <row r="70" spans="3:3" x14ac:dyDescent="0.3">
      <c r="C70" s="17" t="s">
        <v>84</v>
      </c>
    </row>
    <row r="71" spans="3:3" x14ac:dyDescent="0.3">
      <c r="C71" s="35" t="s">
        <v>85</v>
      </c>
    </row>
    <row r="72" spans="3:3" x14ac:dyDescent="0.3">
      <c r="C72" s="35" t="s">
        <v>86</v>
      </c>
    </row>
    <row r="73" spans="3:3" x14ac:dyDescent="0.3">
      <c r="C73" s="35" t="s">
        <v>87</v>
      </c>
    </row>
    <row r="74" spans="3:3" x14ac:dyDescent="0.3">
      <c r="C74" s="17" t="s">
        <v>70</v>
      </c>
    </row>
    <row r="75" spans="3:3" x14ac:dyDescent="0.3">
      <c r="C75" s="16" t="s">
        <v>88</v>
      </c>
    </row>
    <row r="76" spans="3:3" x14ac:dyDescent="0.3">
      <c r="C76" s="17" t="s">
        <v>20</v>
      </c>
    </row>
    <row r="77" spans="3:3" x14ac:dyDescent="0.3">
      <c r="C77" s="3" t="s">
        <v>0</v>
      </c>
    </row>
    <row r="78" spans="3:3" x14ac:dyDescent="0.3">
      <c r="C78" s="4" t="s">
        <v>0</v>
      </c>
    </row>
    <row r="80" spans="3:3" x14ac:dyDescent="0.3">
      <c r="C80" s="25" t="s">
        <v>44</v>
      </c>
    </row>
    <row r="81" spans="2:23" x14ac:dyDescent="0.3">
      <c r="C81" s="4" t="s">
        <v>89</v>
      </c>
    </row>
    <row r="84" spans="2:23" x14ac:dyDescent="0.3">
      <c r="B84" s="21" t="s">
        <v>34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6" spans="2:23" x14ac:dyDescent="0.3">
      <c r="C86" s="11" t="str" cm="1">
        <f t="array" aca="1" ref="C86" ca="1" xml:space="preserve"> _xlfn.LAMBDA(_xlpm.cell_ref,_xlop.remove_extension,
  _xlfn.LET(
    _xlpm._inpChk, IF( NOT(ISREF(_xlpm.cell_ref)), "#[Error: cell reference required]", ""),
    _xlpm._extChk, AND( NOT(ISLOGICAL(_xlpm.remove_extension)), NOT(ISNUMBER(_xlpm.remove_extension))),
    _xlpm._fileExt, IF( OR( _xlfn.ISOMITTED(_xlpm.remove_extension), _xlpm._extChk), FALSE, _xlpm.remove_extension),
    _xlpm._fileName, CELL("filename", _xlpm.cell_ref),
    _xlpm._posR, IFERROR( FIND("?", SUBSTITUTE(_xlpm._fileName, "]", "?", LEN(_xlpm._fileName) - LEN( SUBSTITUTE(_xlpm._fileName, "]", "")))), 0),
    _xlpm._str, IF(_xlpm._posR &gt; 0, LEFT(_xlpm._fileName, _xlpm._posR - 1), "#"),
    _xlpm._posL, IFERROR( FIND("?", SUBSTITUTE(_xlpm._str, "[", "?", LEN(_xlpm._str) - LEN( SUBSTITUTE(_xlpm._str, "[", "")))), 0),
    _xlpm._strName, IF(_xlpm._posL &gt; 0, RIGHT(_xlpm._str, LEN(_xlpm._str) - _xlpm._posL), "#"),
    _xlpm._posX, IF(_xlpm._fileExt, IFERROR( FIND("?", SUBSTITUTE(_xlpm._strName, ".", "?", LEN(_xlpm._strName) - LEN( SUBSTITUTE(_xlpm._strName, ".", "")))) - 1, 0), 0),
    _xlpm._wbName, IF(_xlpm._posX &gt; 0, LEFT(_xlpm._strName, _xlpm._posX), _xlpm._strName),
    _xlpm._rtn, IF(_xlpm._wbName = "#",
      "#[Error reading Workbook name]",
      _xlpm._wbName
      ),
    IF(_xlpm._inpChk &lt;&gt; "", _xlpm._inpChk, _xlpm._rtn)
  )
)($A$1)</f>
        <v>RXL_WbInfo.xlsx</v>
      </c>
      <c r="D86" s="12"/>
      <c r="E86" s="12"/>
      <c r="F86" s="10"/>
    </row>
    <row r="87" spans="2:23" x14ac:dyDescent="0.3">
      <c r="C87" s="6" t="str">
        <f ca="1" xml:space="preserve"> _xlfn.FORMULATEXT(C86)</f>
        <v>= LAMBDA(cell_ref,[remove_extension],
  LET(
    _inpChk, IF( NOT(ISREF(cell_ref)), "#[Error: cell reference required]", ""),
    _extChk, AND( NOT(ISLOGICAL(remove_extension)), NOT(ISNUMBER(remove_extension))),
    _fileExt, IF( OR( ISOMITTED(remove_extension), _extChk), FALSE, remove_extension),
    _fileName, CELL("filename", cell_ref),
    _posR, IFERROR( FIND("?", SUBSTITUTE(_fileName, "]", "?", LEN(_fileName) - LEN( SUBSTITUTE(_fileName, "]", "")))), 0),
    _str, IF(_posR &gt; 0, LEFT(_fileName, _posR - 1), "#"),
    _posL, IFERROR( FIND("?", SUBSTITUTE(_str, "[", "?", LEN(_str) - LEN( SUBSTITUTE(_str, "[", "")))), 0),
    _strName, IF(_posL &gt; 0, RIGHT(_str, LEN(_str) - _posL), "#"),
    _posX, IF(_fileExt, IFERROR( FIND("?", SUBSTITUTE(_strName, ".", "?", LEN(_strName) - LEN( SUBSTITUTE(_strName, ".", "")))) - 1, 0), 0),
    _wbName, IF(_posX &gt; 0, LEFT(_strName, _posX), _strName),
    _rtn, IF(_wbName = "#",
      "#[Error reading Workbook name]",
      _wbName
      ),
    IF(_inpChk &lt;&gt; "", _inpChk, _rtn)
  )
)($A$1)</v>
      </c>
    </row>
    <row r="88" spans="2:23" x14ac:dyDescent="0.3">
      <c r="C88" s="7"/>
    </row>
    <row r="89" spans="2:23" x14ac:dyDescent="0.3">
      <c r="B89" s="7"/>
      <c r="C89" s="4" t="s">
        <v>1</v>
      </c>
    </row>
    <row r="90" spans="2:23" x14ac:dyDescent="0.3">
      <c r="B90" s="7"/>
      <c r="C90" s="5" t="s">
        <v>38</v>
      </c>
    </row>
    <row r="91" spans="2:23" x14ac:dyDescent="0.3">
      <c r="B91" s="7"/>
      <c r="C91" s="3" t="s">
        <v>35</v>
      </c>
    </row>
    <row r="92" spans="2:23" x14ac:dyDescent="0.3">
      <c r="B92" s="7"/>
      <c r="C92" s="3" t="s">
        <v>62</v>
      </c>
    </row>
    <row r="93" spans="2:23" x14ac:dyDescent="0.3">
      <c r="B93" s="7"/>
      <c r="C93" s="5" t="s">
        <v>63</v>
      </c>
    </row>
    <row r="94" spans="2:23" x14ac:dyDescent="0.3">
      <c r="B94" s="7"/>
      <c r="C94" s="3" t="s">
        <v>2</v>
      </c>
    </row>
    <row r="95" spans="2:23" x14ac:dyDescent="0.3">
      <c r="B95" s="7"/>
      <c r="C95" s="16" t="s">
        <v>64</v>
      </c>
    </row>
    <row r="96" spans="2:23" x14ac:dyDescent="0.3">
      <c r="B96" s="7"/>
      <c r="C96" s="17" t="s">
        <v>65</v>
      </c>
    </row>
    <row r="97" spans="2:3" x14ac:dyDescent="0.3">
      <c r="B97" s="7"/>
      <c r="C97" s="17" t="s">
        <v>90</v>
      </c>
    </row>
    <row r="98" spans="2:3" x14ac:dyDescent="0.3">
      <c r="B98" s="7"/>
      <c r="C98" s="16" t="s">
        <v>71</v>
      </c>
    </row>
    <row r="99" spans="2:3" x14ac:dyDescent="0.3">
      <c r="B99" s="7"/>
      <c r="C99" s="17" t="s">
        <v>28</v>
      </c>
    </row>
    <row r="100" spans="2:3" x14ac:dyDescent="0.3">
      <c r="B100" s="7"/>
      <c r="C100" s="16" t="s">
        <v>11</v>
      </c>
    </row>
    <row r="101" spans="2:3" x14ac:dyDescent="0.3">
      <c r="C101" s="17" t="s">
        <v>10</v>
      </c>
    </row>
    <row r="102" spans="2:3" x14ac:dyDescent="0.3">
      <c r="C102" s="16" t="s">
        <v>91</v>
      </c>
    </row>
    <row r="103" spans="2:3" x14ac:dyDescent="0.3">
      <c r="C103" s="16" t="s">
        <v>92</v>
      </c>
    </row>
    <row r="104" spans="2:3" x14ac:dyDescent="0.3">
      <c r="C104" s="16" t="s">
        <v>93</v>
      </c>
    </row>
    <row r="105" spans="2:3" x14ac:dyDescent="0.3">
      <c r="C105" s="16" t="s">
        <v>94</v>
      </c>
    </row>
    <row r="106" spans="2:3" x14ac:dyDescent="0.3">
      <c r="C106" s="17" t="s">
        <v>95</v>
      </c>
    </row>
    <row r="107" spans="2:3" x14ac:dyDescent="0.3">
      <c r="C107" s="17" t="s">
        <v>96</v>
      </c>
    </row>
    <row r="108" spans="2:3" x14ac:dyDescent="0.3">
      <c r="C108" s="16" t="s">
        <v>97</v>
      </c>
    </row>
    <row r="109" spans="2:3" x14ac:dyDescent="0.3">
      <c r="C109" s="17" t="s">
        <v>98</v>
      </c>
    </row>
    <row r="110" spans="2:3" x14ac:dyDescent="0.3">
      <c r="C110" s="17" t="s">
        <v>99</v>
      </c>
    </row>
    <row r="111" spans="2:3" x14ac:dyDescent="0.3">
      <c r="C111" s="16" t="s">
        <v>100</v>
      </c>
    </row>
    <row r="112" spans="2:3" x14ac:dyDescent="0.3">
      <c r="C112" s="17" t="s">
        <v>101</v>
      </c>
    </row>
    <row r="113" spans="2:3" x14ac:dyDescent="0.3">
      <c r="C113" s="16" t="s">
        <v>102</v>
      </c>
    </row>
    <row r="114" spans="2:3" x14ac:dyDescent="0.3">
      <c r="C114" s="17" t="s">
        <v>103</v>
      </c>
    </row>
    <row r="115" spans="2:3" x14ac:dyDescent="0.3">
      <c r="C115" s="16" t="s">
        <v>83</v>
      </c>
    </row>
    <row r="116" spans="2:3" x14ac:dyDescent="0.3">
      <c r="C116" s="17" t="s">
        <v>104</v>
      </c>
    </row>
    <row r="117" spans="2:3" x14ac:dyDescent="0.3">
      <c r="C117" s="16" t="s">
        <v>88</v>
      </c>
    </row>
    <row r="118" spans="2:3" x14ac:dyDescent="0.3">
      <c r="C118" s="17" t="s">
        <v>20</v>
      </c>
    </row>
    <row r="119" spans="2:3" x14ac:dyDescent="0.3">
      <c r="C119" s="3" t="s">
        <v>0</v>
      </c>
    </row>
    <row r="120" spans="2:3" x14ac:dyDescent="0.3">
      <c r="C120" s="4" t="s">
        <v>0</v>
      </c>
    </row>
    <row r="122" spans="2:3" x14ac:dyDescent="0.3">
      <c r="C122" s="25" t="s">
        <v>44</v>
      </c>
    </row>
    <row r="123" spans="2:3" x14ac:dyDescent="0.3">
      <c r="C123" s="4" t="s">
        <v>105</v>
      </c>
    </row>
    <row r="125" spans="2:3" ht="14.4" thickBot="1" x14ac:dyDescent="0.35"/>
    <row r="126" spans="2:3" s="9" customFormat="1" x14ac:dyDescent="0.3">
      <c r="B126" s="9" t="s">
        <v>3</v>
      </c>
    </row>
  </sheetData>
  <dataValidations count="1">
    <dataValidation type="list" allowBlank="1" showInputMessage="1" showErrorMessage="1" sqref="H19 H28" xr:uid="{8455F237-211A-4B1B-8B23-6D9C3BEC5285}">
      <formula1>_YesNo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043E-C3E2-4C03-A268-335FAF038F1D}">
  <sheetPr codeName="Sheet2"/>
  <dimension ref="A1:W168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1:13" s="8" customFormat="1" ht="30" customHeight="1" x14ac:dyDescent="0.3">
      <c r="A1" s="26"/>
      <c r="C1" s="1" t="s">
        <v>112</v>
      </c>
    </row>
    <row r="2" spans="1:13" s="18" customFormat="1" ht="16.2" thickBot="1" x14ac:dyDescent="0.35">
      <c r="B2" s="19">
        <f xml:space="preserve"> MAX(B$1:B1) + 1</f>
        <v>1</v>
      </c>
      <c r="C2" s="18" t="s">
        <v>40</v>
      </c>
    </row>
    <row r="4" spans="1:13" x14ac:dyDescent="0.3">
      <c r="B4" s="13" t="s">
        <v>4</v>
      </c>
    </row>
    <row r="5" spans="1:13" x14ac:dyDescent="0.3">
      <c r="C5" t="s">
        <v>113</v>
      </c>
    </row>
    <row r="6" spans="1:13" x14ac:dyDescent="0.3">
      <c r="C6" t="s">
        <v>57</v>
      </c>
    </row>
    <row r="7" spans="1:13" x14ac:dyDescent="0.3">
      <c r="C7" t="s">
        <v>41</v>
      </c>
    </row>
    <row r="8" spans="1:13" x14ac:dyDescent="0.3">
      <c r="C8" t="s">
        <v>114</v>
      </c>
    </row>
    <row r="10" spans="1:13" x14ac:dyDescent="0.3">
      <c r="B10" s="13" t="s">
        <v>5</v>
      </c>
    </row>
    <row r="12" spans="1:13" x14ac:dyDescent="0.3">
      <c r="C12" s="24" t="str" cm="1">
        <f t="array" aca="1" ref="C12" ca="1" xml:space="preserve"> CELL("filename", $A$1)</f>
        <v>D:\Work\_RXL\Development\LAMBDA\[RXL_WbInfo.xlsx]FilePath</v>
      </c>
      <c r="D12" s="30"/>
      <c r="E12" s="30"/>
      <c r="F12" s="30"/>
      <c r="G12" s="30"/>
      <c r="H12" s="30"/>
      <c r="I12" s="30"/>
      <c r="J12" s="30"/>
      <c r="K12" s="30"/>
      <c r="L12" s="30"/>
      <c r="M12" s="31"/>
    </row>
    <row r="13" spans="1:13" x14ac:dyDescent="0.3">
      <c r="C13" s="6" t="str">
        <f ca="1" xml:space="preserve"> _xlfn.FORMULATEXT(C12)</f>
        <v>= CELL("filename", $A$1)</v>
      </c>
    </row>
    <row r="15" spans="1:13" x14ac:dyDescent="0.3">
      <c r="C15" t="s">
        <v>115</v>
      </c>
    </row>
    <row r="16" spans="1:13" x14ac:dyDescent="0.3">
      <c r="C16" s="36" t="str" cm="1">
        <f t="array" aca="1" ref="C16" ca="1" xml:space="preserve"> _xlfn.LET(
  _xlpm.cell_ref, $A$1,
  _xlpm._full, CELL("filename", _xlpm.cell_ref),
  _xlpm._filePath, _xlfn.TEXTBEFORE(_xlpm._full, "[", -1, , , "#"),
  _xlpm._rtn, IF( OR( ISERROR(_xlpm._filePath), _xlpm._filePath = "#"), "#[Error reading File Path]", _xlpm._filePath),
  _xlpm._rtn
)</f>
        <v>D:\Work\_RXL\Development\LAMBDA\</v>
      </c>
      <c r="D16" s="30"/>
      <c r="E16" s="30"/>
      <c r="F16" s="30"/>
      <c r="G16" s="30"/>
      <c r="H16" s="30"/>
      <c r="I16" s="30"/>
      <c r="J16" s="30"/>
      <c r="K16" s="30"/>
      <c r="L16" s="30"/>
      <c r="M16" s="31"/>
    </row>
    <row r="17" spans="3:13" x14ac:dyDescent="0.3">
      <c r="C17" s="6" t="str">
        <f ca="1" xml:space="preserve"> _xlfn.FORMULATEXT(C16)</f>
        <v>= LET(
  cell_ref, $A$1,
  _full, CELL("filename", cell_ref),
  _filePath, TEXTBEFORE(_full, "[", -1, , , "#"),
  _rtn, IF( OR( ISERROR(_filePath), _filePath = "#"), "#[Error reading File Path]", _filePath),
  _rtn
)</v>
      </c>
    </row>
    <row r="19" spans="3:13" x14ac:dyDescent="0.3">
      <c r="C19" t="s">
        <v>116</v>
      </c>
    </row>
    <row r="20" spans="3:13" x14ac:dyDescent="0.3">
      <c r="C20" s="36" t="str" cm="1">
        <f t="array" aca="1" ref="C20" ca="1" xml:space="preserve"> _xlfn.LET(
  _xlpm.cell_ref, $A$1,
  _xlpm._full, CELL("filename", _xlpm.cell_ref),
  _xlpm._filePath, _xlfn.TEXTBEFORE(_xlpm._full, "[", -1, , , "#"),
  _xlpm._wbName, _xlfn.TEXTBEFORE( _xlfn.TEXTAFTER(_xlpm._full, "[", -1, , , "#"), "]", -1, , , "#"),
  _xlpm._rtn, _xlfn.IFS(
    OR( ISERROR(_xlpm._filePath), _xlpm._filePath = "#"), "#[Error reading File Path]",
    OR( ISERROR(_xlpm._wbName), _xlpm._wbName = "#"), "#[Error reading Workbook Name]",
    TRUE, _xlpm._filePath &amp; _xlpm._wbName
  ),
  _xlpm._rtn
)</f>
        <v>D:\Work\_RXL\Development\LAMBDA\RXL_WbInfo.xlsx</v>
      </c>
      <c r="D20" s="30"/>
      <c r="E20" s="30"/>
      <c r="F20" s="30"/>
      <c r="G20" s="30"/>
      <c r="H20" s="30"/>
      <c r="I20" s="30"/>
      <c r="J20" s="30"/>
      <c r="K20" s="30"/>
      <c r="L20" s="30"/>
      <c r="M20" s="31"/>
    </row>
    <row r="21" spans="3:13" x14ac:dyDescent="0.3">
      <c r="C21" s="6" t="str">
        <f ca="1" xml:space="preserve"> _xlfn.FORMULATEXT(C20)</f>
        <v>= LET(
  cell_ref, $A$1,
  _full, CELL("filename", cell_ref),
  _filePath, TEXTBEFORE(_full, "[", -1, , , "#"),
  _wbName, TEXTBEFORE( TEXTAFTER(_full, "[", -1, , , "#"), "]", -1, , , "#"),
  _rtn, IFS(
    OR( ISERROR(_filePath), _filePath = "#"), "#[Error reading File Path]",
    OR( ISERROR(_wbName), _wbName = "#"), "#[Error reading Workbook Name]",
    TRUE, _filePath &amp; _wbName
  ),
  _rtn
)</v>
      </c>
    </row>
    <row r="23" spans="3:13" x14ac:dyDescent="0.3">
      <c r="C23" t="s">
        <v>117</v>
      </c>
      <c r="H23" s="33" t="s">
        <v>118</v>
      </c>
      <c r="I23" s="34">
        <v>1</v>
      </c>
    </row>
    <row r="24" spans="3:13" x14ac:dyDescent="0.3">
      <c r="C24" t="s">
        <v>119</v>
      </c>
      <c r="H24" s="33" t="s">
        <v>120</v>
      </c>
      <c r="I24" s="34">
        <v>1</v>
      </c>
    </row>
    <row r="25" spans="3:13" x14ac:dyDescent="0.3">
      <c r="C25" s="36" t="str" cm="1">
        <f t="array" aca="1" ref="C25" ca="1" xml:space="preserve"> _xlfn.LET(
  _xlpm.cell_ref, $A$1,
  _xlpm.remove_last_char, I23,
  _xlpm.inc_file_name, I24,
  _xlpm._full, CELL("filename", _xlpm.cell_ref),
  _xlpm._fullPath, _xlfn.TEXTBEFORE(_xlpm._full, "[", -1, , , "#"),
  _xlpm._filePath, IF( AND(_xlpm.remove_last_char, NOT(_xlpm._fullPath = "#")), LEFT(_xlpm._fullPath, LEN(_xlpm._fullPath) - 1), _xlpm._fullPath),
  _xlpm._wbName, _xlfn.TEXTBEFORE( _xlfn.TEXTAFTER(_xlpm._full, "[", -1, , , "#"), "]", -1, , , "#"),
  _xlpm._rtn, _xlfn.IFS(
    OR( ISERROR(_xlpm._filePath), _xlpm._filePath = "#"), "#[Error reading File Path]",
    OR( ISERROR(_xlpm._wbName), _xlpm._wbName = "#"), "#[Error reading Workbook Name]",
    _xlpm.inc_file_name, _xlpm._fullPath &amp; _xlpm._wbName,
    TRUE, _xlpm._filePath
  ),
  _xlpm._rtn
)</f>
        <v>D:\Work\_RXL\Development\LAMBDA\RXL_WbInfo.xlsx</v>
      </c>
      <c r="D25" s="30"/>
      <c r="E25" s="30"/>
      <c r="F25" s="30"/>
      <c r="G25" s="30"/>
      <c r="H25" s="30"/>
      <c r="I25" s="30"/>
      <c r="J25" s="30"/>
      <c r="K25" s="30"/>
      <c r="L25" s="30"/>
      <c r="M25" s="31"/>
    </row>
    <row r="26" spans="3:13" x14ac:dyDescent="0.3">
      <c r="C26" s="6" t="str">
        <f ca="1" xml:space="preserve"> _xlfn.FORMULATEXT(C25)</f>
        <v>= LET(
  cell_ref, $A$1,
  remove_last_char, I23,
  inc_file_name, I24,
  _full, CELL("filename", cell_ref),
  _fullPath, TEXTBEFORE(_full, "[", -1, , , "#"),
  _filePath, IF( AND(remove_last_char, NOT(_fullPath = "#")), LEFT(_fullPath, LEN(_fullPath) - 1), _fullPath),
  _wbName, TEXTBEFORE( TEXTAFTER(_full, "[", -1, , , "#"), "]", -1, , , "#"),
  _rtn, IFS(
    OR( ISERROR(_filePath), _filePath = "#"), "#[Error reading File Path]",
    OR( ISERROR(_wbName), _wbName = "#"), "#[Error reading Workbook Name]",
    inc_file_name, _fullPath &amp; _wbName,
    TRUE, _filePath
  ),
  _rtn
)</v>
      </c>
    </row>
    <row r="29" spans="3:13" x14ac:dyDescent="0.3">
      <c r="C29" t="s">
        <v>8</v>
      </c>
    </row>
    <row r="30" spans="3:13" x14ac:dyDescent="0.3">
      <c r="C30" s="24" t="str" cm="1">
        <f t="array" aca="1" ref="C30" ca="1" xml:space="preserve"> _xlfn.LET(
  _xlpm.cell_ref, $A$1,
  _xlpm._full, CELL("filename", _xlpm.cell_ref),
  _xlpm._nOpen, IFERROR( FIND("&lt;", SUBSTITUTE(_xlpm._full, "[", "&lt;", LEN(_xlpm._full) - LEN( SUBSTITUTE(_xlpm._full, "[", "")))) - 1, 0),
  _xlpm._nClose, IFERROR( FIND("&gt;", SUBSTITUTE(_xlpm._full, "]", "&gt;", LEN(_xlpm._full) - LEN( SUBSTITUTE(_xlpm._full, "]", "")))) - 1, 0),
  _xlpm._posL, IFERROR( FIND("[", _xlpm._full, _xlpm._nOpen), 0),
  _xlpm._posR, IFERROR( FIND("]", _xlpm._full, _xlpm._nClose), 0),
  _xlpm._fPath, IF(_xlpm._posL &gt; 0, LEFT(_xlpm._full, _xlpm._posL - 1), "#"),
  _xlpm._wbName, IF( AND(_xlpm._posL &gt; 0, _xlpm._posR &gt; 0), MID(_xlpm._full, _xlpm._posL + 1, _xlpm._posR - (_xlpm._posL + 1)), "#"),
  _xlpm._errChk, _xlfn.IFS(
    OR( ISERROR(_xlpm._fPath), _xlpm._fPath = "#"), "#[Error reading File Path]",
    OR( ISERROR(_xlpm._wbName), _xlpm._wbName = "#"), "#[Error reading Workbook Name]",
    TRUE, ""
  ),
  _xlpm._rtn, _xlpm._fPath &amp; _xlpm._wbName,
  IF( _xlpm._errChk &lt;&gt; "", _xlpm._errChk, _xlpm._rtn)
)</f>
        <v>D:\Work\_RXL\Development\LAMBDA\RXL_WbInfo.xlsx</v>
      </c>
      <c r="D30" s="30"/>
      <c r="E30" s="30"/>
      <c r="F30" s="30"/>
      <c r="G30" s="30"/>
      <c r="H30" s="30"/>
      <c r="I30" s="30"/>
      <c r="J30" s="30"/>
      <c r="K30" s="30"/>
      <c r="L30" s="30"/>
      <c r="M30" s="31"/>
    </row>
    <row r="31" spans="3:13" x14ac:dyDescent="0.3">
      <c r="C31" s="6" t="str">
        <f ca="1" xml:space="preserve"> _xlfn.FORMULATEXT(C30)</f>
        <v>= LET(
  cell_ref, $A$1,
  _full, CELL("filename", cell_ref),
  _nOpen, IFERROR( FIND("&lt;", SUBSTITUTE(_full, "[", "&lt;", LEN(_full) - LEN( SUBSTITUTE(_full, "[", "")))) - 1, 0),
  _nClose, IFERROR( FIND("&gt;", SUBSTITUTE(_full, "]", "&gt;", LEN(_full) - LEN( SUBSTITUTE(_full, "]", "")))) - 1, 0),
  _posL, IFERROR( FIND("[", _full, _nOpen), 0),
  _posR, IFERROR( FIND("]", _full, _nClose), 0),
  _fPath, IF(_posL &gt; 0, LEFT(_full, _posL - 1), "#"),
  _wbName, IF( AND(_posL &gt; 0, _posR &gt; 0), MID(_full, _posL + 1, _posR - (_posL + 1)), "#"),
  _errChk, IFS(
    OR( ISERROR(_fPath), _fPath = "#"), "#[Error reading File Path]",
    OR( ISERROR(_wbName), _wbName = "#"), "#[Error reading Workbook Name]",
    TRUE, ""
  ),
  _rtn, _fPath &amp; _wbName,
  IF( _errChk &lt;&gt; "", _errChk, _rtn)
)</v>
      </c>
    </row>
    <row r="33" spans="2:23" x14ac:dyDescent="0.3">
      <c r="C33" t="s">
        <v>121</v>
      </c>
      <c r="H33" s="33" t="s">
        <v>118</v>
      </c>
      <c r="I33" s="34">
        <v>1</v>
      </c>
    </row>
    <row r="34" spans="2:23" x14ac:dyDescent="0.3">
      <c r="H34" s="33" t="s">
        <v>120</v>
      </c>
      <c r="I34" s="34">
        <v>1</v>
      </c>
    </row>
    <row r="35" spans="2:23" x14ac:dyDescent="0.3">
      <c r="C35" s="24" t="str" cm="1">
        <f t="array" aca="1" ref="C35" ca="1" xml:space="preserve"> _xlfn.LET(
  _xlpm.cell_ref, $A$1,
  _xlpm.remove_last_char, I33,
  _xlpm.inc_file_name, I34,
  _xlpm._full, CELL("filename", _xlpm.cell_ref),
  _xlpm._nOpen, IFERROR( FIND("&lt;", SUBSTITUTE(_xlpm._full, "[", "&lt;", LEN(_xlpm._full) - LEN( SUBSTITUTE(_xlpm._full, "[", "")))) - 1, 0),
  _xlpm._nClose, IFERROR( FIND("&gt;", SUBSTITUTE(_xlpm._full, "]", "&gt;", LEN(_xlpm._full) - LEN( SUBSTITUTE(_xlpm._full, "]", "")))) - 1, 0),
  _xlpm._posL, IFERROR( FIND("[", _xlpm._full, _xlpm._nOpen), 0),
  _xlpm._posR, IFERROR( FIND("]", _xlpm._full, _xlpm._nClose), 0),
  _xlpm._fPath, IF(_xlpm._posL &gt; 0, LEFT(_xlpm._full, _xlpm._posL - 1), "#"),
  _xlpm._rPath, IF(_xlpm.remove_last_char, LEFT(_xlpm._fPath, LEN(_xlpm._fPath) - 1), _xlpm._fPath),
  _xlpm._wbName, IF( AND(_xlpm._posL &gt; 0, _xlpm._posR &gt; 0), MID(_xlpm._full, _xlpm._posL + 1, _xlpm._posR - (_xlpm._posL + 1)), "#"),
  _xlpm._errChk, _xlfn.IFS(
    OR( ISERROR(_xlpm._fPath), _xlpm._fPath = "#"), "#[Error reading File Path]",
    OR( ISERROR(_xlpm._wbName), _xlpm._wbName = "#"), "#[Error reading Workbook Name]",
    TRUE, ""
  ),
  _xlpm._rtn, IF(_xlpm.inc_file_name, _xlpm._fPath &amp; _xlpm._wbName, _xlpm._rPath),
  IF( _xlpm._errChk &lt;&gt; "", _xlpm._errChk, _xlpm._rtn)
)</f>
        <v>D:\Work\_RXL\Development\LAMBDA\RXL_WbInfo.xlsx</v>
      </c>
      <c r="D35" s="30"/>
      <c r="E35" s="30"/>
      <c r="F35" s="30"/>
      <c r="G35" s="30"/>
      <c r="H35" s="30"/>
      <c r="I35" s="30"/>
      <c r="J35" s="30"/>
      <c r="K35" s="30"/>
      <c r="L35" s="30"/>
      <c r="M35" s="31"/>
    </row>
    <row r="36" spans="2:23" x14ac:dyDescent="0.3">
      <c r="C36" s="6" t="str">
        <f ca="1" xml:space="preserve"> _xlfn.FORMULATEXT(C35)</f>
        <v>= LET(
  cell_ref, $A$1,
  remove_last_char, I33,
  inc_file_name, I34,
  _full, CELL("filename", cell_ref),
  _nOpen, IFERROR( FIND("&lt;", SUBSTITUTE(_full, "[", "&lt;", LEN(_full) - LEN( SUBSTITUTE(_full, "[", "")))) - 1, 0),
  _nClose, IFERROR( FIND("&gt;", SUBSTITUTE(_full, "]", "&gt;", LEN(_full) - LEN( SUBSTITUTE(_full, "]", "")))) - 1, 0),
  _posL, IFERROR( FIND("[", _full, _nOpen), 0),
  _posR, IFERROR( FIND("]", _full, _nClose), 0),
  _fPath, IF(_posL &gt; 0, LEFT(_full, _posL - 1), "#"),
  _rPath, IF(remove_last_char, LEFT(_fPath, LEN(_fPath) - 1), _fPath),
  _wbName, IF( AND(_posL &gt; 0, _posR &gt; 0), MID(_full, _posL + 1, _posR - (_posL + 1)), "#"),
  _errChk, IFS(
    OR( ISERROR(_fPath), _fPath = "#"), "#[Error reading File Path]",
    OR( ISERROR(_wbName), _wbName = "#"), "#[Error reading Workbook Name]",
    TRUE, ""
  ),
  _rtn, IF(inc_file_name, _fPath &amp; _wbName, _rPath),
  IF( _errChk &lt;&gt; "", _errChk, _rtn)
)</v>
      </c>
    </row>
    <row r="39" spans="2:23" s="18" customFormat="1" ht="16.2" thickBot="1" x14ac:dyDescent="0.35">
      <c r="B39" s="19">
        <f xml:space="preserve"> MAX(B$1:B38) + 1</f>
        <v>2</v>
      </c>
      <c r="C39" s="18" t="s">
        <v>23</v>
      </c>
    </row>
    <row r="41" spans="2:23" x14ac:dyDescent="0.3">
      <c r="B41" s="21" t="s">
        <v>42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3" spans="2:23" x14ac:dyDescent="0.3">
      <c r="C43" s="24" t="str" cm="1">
        <f t="array" aca="1" ref="C43" ca="1" xml:space="preserve"> _xlfn.LAMBDA(_xlpm.cell_ref,_xlop.remove_last_char,_xlop.inc_file_name,
  _xlfn.LET(
    _xlpm._chrChk, AND( NOT(_xlfn.ISOMITTED(_xlpm.remove_last_char)), NOT(ISLOGICAL(_xlpm.remove_last_char)), NOT(ISNUMBER(_xlpm.remove_last_char))),
    _xlpm._fnmChk, AND( NOT(_xlfn.ISOMITTED(_xlpm.inc_file_name)), NOT(ISLOGICAL(_xlpm.inc_file_name)), NOT(ISNUMBER(_xlpm.inc_file_name))),
    _xlpm._refChk, NOT(ISREF(_xlpm.cell_ref)),
    _xlpm._lastChr, IF(
      OR( _xlfn.ISOMITTED(_xlpm.remove_last_char), _xlpm._chrChk),
      FALSE,
      _xlpm.remove_last_char
    ),
    _xlpm._incFile, IF(
      OR( _xlfn.ISOMITTED(_xlpm.inc_file_name), _xlpm._fnmChk),
      FALSE,
      _xlpm.inc_file_name
    ),
    _xlpm._full, CELL("filename", _xlpm.cell_ref),
    _xlpm._path, _xlfn.TEXTBEFORE(_xlpm._full, "[", -1, , , "#"),
    _xlpm._filePath, IF(_xlpm._lastChr,
      LEFT(_xlpm._path, LEN(_xlpm._path) - 1),
      _xlpm._path
    ),
    _xlpm._wbName, _xlfn.TEXTBEFORE( _xlfn.TEXTAFTER(_xlpm._full, "[", -1, , , "#"), "]", -1, , , "#"),
    _xlpm._errChk, _xlfn.IFS(
      _xlpm._refChk, "#[Error: cell reference required]",
      OR(_xlpm._chrChk, _xlpm._fnmChk), "#[Error: invalid optional input]",
      OR( ISERROR(_xlpm._filePath), _xlpm._filePath = "#"), "#[Error reading File Path]",
      AND( OR( ISERROR(_xlpm._wbName), _xlpm._wbName = "#"), _xlpm._incFile), "#[Error reading Workbook Name]",
      TRUE, ""
    ),
    _xlpm._rtn, IF(_xlpm._incFile,
      _xlpm._path &amp; _xlpm._wbName,
      _xlpm._filePath
    ),
    IF(_xlpm._errChk &lt;&gt; "", _xlpm._errChk, _xlpm._rtn)
  )
)($A$1)</f>
        <v>D:\Work\_RXL\Development\LAMBDA\</v>
      </c>
      <c r="D43" s="30"/>
      <c r="E43" s="30"/>
      <c r="F43" s="30"/>
      <c r="G43" s="30"/>
      <c r="H43" s="30"/>
      <c r="I43" s="30"/>
      <c r="J43" s="30"/>
      <c r="K43" s="30"/>
      <c r="L43" s="30"/>
      <c r="M43" s="31"/>
    </row>
    <row r="44" spans="2:23" x14ac:dyDescent="0.3">
      <c r="C44" s="6" t="str">
        <f ca="1" xml:space="preserve"> _xlfn.FORMULATEXT(C43)</f>
        <v>= LAMBDA(cell_ref,[remove_last_char],[inc_file_name],
  LET(
    _chrChk, AND( NOT(ISOMITTED(remove_last_char)), NOT(ISLOGICAL(remove_last_char)), NOT(ISNUMBER(remove_last_char))),
    _fnmChk, AND( NOT(ISOMITTED(inc_file_name)), NOT(ISLOGICAL(inc_file_name)), NOT(ISNUMBER(inc_file_name))),
    _refChk, NOT(ISREF(cell_ref)),
    _lastChr, IF(
      OR( ISOMITTED(remove_last_char), _chrChk),
      FALSE,
      remove_last_char
    ),
    _incFile, IF(
      OR( ISOMITTED(inc_file_name), _fnmChk),
      FALSE,
      inc_file_name
    ),
    _full, CELL("filename", cell_ref),
    _path, TEXTBEFORE(_full, "[", -1, , , "#"),
    _filePath, IF(_lastChr,
      LEFT(_path, LEN(_path) - 1),
      _path
    ),
    _wbName, TEXTBEFORE( TEXTAFTER(_full, "[", -1, , , "#"), "]", -1, , , "#"),
    _errChk, IFS(
      _refChk, "#[Error: cell reference required]",
      OR(_chrChk, _fnmChk), "#[Error: invalid optional input]",
      OR( ISERROR(_filePath), _filePath = "#"), "#[Error reading File Path]",
      AND( OR( ISERROR(_wbName), _wbName = "#"), _incFile), "#[Error reading Workbook Name]",
      TRUE, ""
    ),
    _rtn, IF(_incFile,
      _path &amp; _wbName,
      _filePath
    ),
    IF(_errChk &lt;&gt; "", _errChk, _rtn)
  )
)($A$1)</v>
      </c>
    </row>
    <row r="45" spans="2:23" x14ac:dyDescent="0.3">
      <c r="C45" s="7"/>
    </row>
    <row r="46" spans="2:23" x14ac:dyDescent="0.3">
      <c r="C46" s="4" t="s">
        <v>1</v>
      </c>
    </row>
    <row r="47" spans="2:23" x14ac:dyDescent="0.3">
      <c r="C47" s="5" t="s">
        <v>38</v>
      </c>
    </row>
    <row r="48" spans="2:23" x14ac:dyDescent="0.3">
      <c r="C48" s="3" t="s">
        <v>35</v>
      </c>
    </row>
    <row r="49" spans="3:3" x14ac:dyDescent="0.3">
      <c r="C49" s="3" t="s">
        <v>122</v>
      </c>
    </row>
    <row r="50" spans="3:3" x14ac:dyDescent="0.3">
      <c r="C50" s="3" t="s">
        <v>123</v>
      </c>
    </row>
    <row r="51" spans="3:3" x14ac:dyDescent="0.3">
      <c r="C51" s="5" t="s">
        <v>63</v>
      </c>
    </row>
    <row r="52" spans="3:3" x14ac:dyDescent="0.3">
      <c r="C52" s="3" t="s">
        <v>2</v>
      </c>
    </row>
    <row r="53" spans="3:3" x14ac:dyDescent="0.3">
      <c r="C53" s="16" t="s">
        <v>124</v>
      </c>
    </row>
    <row r="54" spans="3:3" x14ac:dyDescent="0.3">
      <c r="C54" s="17" t="s">
        <v>125</v>
      </c>
    </row>
    <row r="55" spans="3:3" x14ac:dyDescent="0.3">
      <c r="C55" s="17" t="s">
        <v>126</v>
      </c>
    </row>
    <row r="56" spans="3:3" x14ac:dyDescent="0.3">
      <c r="C56" s="17" t="s">
        <v>127</v>
      </c>
    </row>
    <row r="57" spans="3:3" x14ac:dyDescent="0.3">
      <c r="C57" s="16" t="s">
        <v>128</v>
      </c>
    </row>
    <row r="58" spans="3:3" x14ac:dyDescent="0.3">
      <c r="C58" s="17" t="s">
        <v>129</v>
      </c>
    </row>
    <row r="59" spans="3:3" x14ac:dyDescent="0.3">
      <c r="C59" s="35" t="s">
        <v>130</v>
      </c>
    </row>
    <row r="60" spans="3:3" x14ac:dyDescent="0.3">
      <c r="C60" s="35" t="s">
        <v>68</v>
      </c>
    </row>
    <row r="61" spans="3:3" x14ac:dyDescent="0.3">
      <c r="C61" s="35" t="s">
        <v>131</v>
      </c>
    </row>
    <row r="62" spans="3:3" x14ac:dyDescent="0.3">
      <c r="C62" s="17" t="s">
        <v>70</v>
      </c>
    </row>
    <row r="63" spans="3:3" x14ac:dyDescent="0.3">
      <c r="C63" s="17" t="s">
        <v>132</v>
      </c>
    </row>
    <row r="64" spans="3:3" x14ac:dyDescent="0.3">
      <c r="C64" s="35" t="s">
        <v>133</v>
      </c>
    </row>
    <row r="65" spans="3:3" x14ac:dyDescent="0.3">
      <c r="C65" s="35" t="s">
        <v>68</v>
      </c>
    </row>
    <row r="66" spans="3:3" x14ac:dyDescent="0.3">
      <c r="C66" s="35" t="s">
        <v>134</v>
      </c>
    </row>
    <row r="67" spans="3:3" x14ac:dyDescent="0.3">
      <c r="C67" s="17" t="s">
        <v>70</v>
      </c>
    </row>
    <row r="68" spans="3:3" x14ac:dyDescent="0.3">
      <c r="C68" s="16" t="s">
        <v>135</v>
      </c>
    </row>
    <row r="69" spans="3:3" x14ac:dyDescent="0.3">
      <c r="C69" s="17" t="s">
        <v>136</v>
      </c>
    </row>
    <row r="70" spans="3:3" x14ac:dyDescent="0.3">
      <c r="C70" s="16" t="s">
        <v>137</v>
      </c>
    </row>
    <row r="71" spans="3:3" x14ac:dyDescent="0.3">
      <c r="C71" s="17" t="s">
        <v>138</v>
      </c>
    </row>
    <row r="72" spans="3:3" x14ac:dyDescent="0.3">
      <c r="C72" s="17" t="s">
        <v>139</v>
      </c>
    </row>
    <row r="73" spans="3:3" x14ac:dyDescent="0.3">
      <c r="C73" s="35" t="s">
        <v>140</v>
      </c>
    </row>
    <row r="74" spans="3:3" x14ac:dyDescent="0.3">
      <c r="C74" s="35" t="s">
        <v>141</v>
      </c>
    </row>
    <row r="75" spans="3:3" x14ac:dyDescent="0.3">
      <c r="C75" s="17" t="s">
        <v>70</v>
      </c>
    </row>
    <row r="76" spans="3:3" x14ac:dyDescent="0.3">
      <c r="C76" s="16" t="s">
        <v>142</v>
      </c>
    </row>
    <row r="77" spans="3:3" x14ac:dyDescent="0.3">
      <c r="C77" s="17" t="s">
        <v>143</v>
      </c>
    </row>
    <row r="78" spans="3:3" x14ac:dyDescent="0.3">
      <c r="C78" s="16" t="s">
        <v>144</v>
      </c>
    </row>
    <row r="79" spans="3:3" x14ac:dyDescent="0.3">
      <c r="C79" s="16" t="s">
        <v>145</v>
      </c>
    </row>
    <row r="80" spans="3:3" x14ac:dyDescent="0.3">
      <c r="C80" s="17" t="s">
        <v>146</v>
      </c>
    </row>
    <row r="81" spans="3:3" x14ac:dyDescent="0.3">
      <c r="C81" s="35" t="s">
        <v>147</v>
      </c>
    </row>
    <row r="82" spans="3:3" x14ac:dyDescent="0.3">
      <c r="C82" s="35" t="s">
        <v>148</v>
      </c>
    </row>
    <row r="83" spans="3:3" x14ac:dyDescent="0.3">
      <c r="C83" s="35" t="s">
        <v>149</v>
      </c>
    </row>
    <row r="84" spans="3:3" x14ac:dyDescent="0.3">
      <c r="C84" s="35" t="s">
        <v>150</v>
      </c>
    </row>
    <row r="85" spans="3:3" x14ac:dyDescent="0.3">
      <c r="C85" s="35" t="s">
        <v>151</v>
      </c>
    </row>
    <row r="86" spans="3:3" x14ac:dyDescent="0.3">
      <c r="C86" s="17" t="s">
        <v>70</v>
      </c>
    </row>
    <row r="87" spans="3:3" x14ac:dyDescent="0.3">
      <c r="C87" s="16" t="s">
        <v>152</v>
      </c>
    </row>
    <row r="88" spans="3:3" x14ac:dyDescent="0.3">
      <c r="C88" s="17" t="s">
        <v>153</v>
      </c>
    </row>
    <row r="89" spans="3:3" x14ac:dyDescent="0.3">
      <c r="C89" s="35" t="s">
        <v>154</v>
      </c>
    </row>
    <row r="90" spans="3:3" x14ac:dyDescent="0.3">
      <c r="C90" s="35" t="s">
        <v>155</v>
      </c>
    </row>
    <row r="91" spans="3:3" x14ac:dyDescent="0.3">
      <c r="C91" s="17" t="s">
        <v>70</v>
      </c>
    </row>
    <row r="92" spans="3:3" x14ac:dyDescent="0.3">
      <c r="C92" s="16" t="s">
        <v>156</v>
      </c>
    </row>
    <row r="93" spans="3:3" x14ac:dyDescent="0.3">
      <c r="C93" s="17" t="s">
        <v>157</v>
      </c>
    </row>
    <row r="94" spans="3:3" x14ac:dyDescent="0.3">
      <c r="C94" s="3" t="s">
        <v>0</v>
      </c>
    </row>
    <row r="95" spans="3:3" x14ac:dyDescent="0.3">
      <c r="C95" s="4" t="s">
        <v>0</v>
      </c>
    </row>
    <row r="97" spans="2:23" x14ac:dyDescent="0.3">
      <c r="C97" s="25" t="s">
        <v>44</v>
      </c>
    </row>
    <row r="98" spans="2:23" x14ac:dyDescent="0.3">
      <c r="C98" s="4" t="s">
        <v>158</v>
      </c>
    </row>
    <row r="101" spans="2:23" x14ac:dyDescent="0.3">
      <c r="B101" s="21" t="s">
        <v>34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3" spans="2:23" x14ac:dyDescent="0.3">
      <c r="C103" s="24" t="str" cm="1">
        <f t="array" aca="1" ref="C103" ca="1" xml:space="preserve"> _xlfn.LAMBDA(_xlpm.cell_ref,_xlop.remove_last_char,_xlop.inc_file_name,
  _xlfn.LET(
    _xlpm._chrChk, AND( NOT(_xlfn.ISOMITTED(_xlpm.remove_last_char)), NOT(ISLOGICAL(_xlpm.remove_last_char)), NOT(ISNUMBER(_xlpm.remove_last_char))),
    _xlpm._fnmChk, AND( NOT(_xlfn.ISOMITTED(_xlpm.inc_file_name)), NOT(ISLOGICAL(_xlpm.inc_file_name)), NOT(ISNUMBER(_xlpm.inc_file_name))),
    _xlpm._refChk, NOT(ISREF(_xlpm.cell_ref)),
    _xlpm._lastChr, IF(
      OR( _xlfn.ISOMITTED(_xlpm.remove_last_char), _xlpm._chrChk),
      FALSE,
      _xlpm.remove_last_char
    ),
    _xlpm._incFile, IF(
      OR( _xlfn.ISOMITTED(_xlpm.inc_file_name), _xlpm._fnmChk),
      FALSE,
      _xlpm.inc_file_name
    ),
    _xlpm._full, CELL("filename", _xlpm.cell_ref),
    _xlpm._nOpen, IFERROR( FIND("&lt;", SUBSTITUTE(_xlpm._full, "[", "&lt;", LEN(_xlpm._full) - LEN( SUBSTITUTE(_xlpm._full, "[", "")))) - 1, 0),
    _xlpm._nClose, IFERROR( FIND("&gt;", SUBSTITUTE(_xlpm._full, "]", "&gt;", LEN(_xlpm._full) - LEN( SUBSTITUTE(_xlpm._full, "]", "")))) - 1, 0),
    _xlpm._posL, IFERROR( FIND("[", _xlpm._full, _xlpm._nOpen), 0),
    _xlpm._posR, IFERROR( FIND("]", _xlpm._full, _xlpm._nClose), 0),
    _xlpm._fPath, IF(_xlpm._posL &gt; 0, LEFT(_xlpm._full, _xlpm._posL - 1), "#"),
    _xlpm._rPath, IF(_xlpm._lastChr,
      LEFT(_xlpm._fPath, LEN(_xlpm._fPath) - 1),
      _xlpm._fPath
    ),
    _xlpm._wbName, IF( AND(_xlpm._posL &gt; 0, _xlpm._posR &gt; 0), MID(_xlpm._full, _xlpm._posL + 1, _xlpm._posR - (_xlpm._posL + 1)), "#"),
    _xlpm._errChk, _xlfn.IFS(
      _xlpm._refChk, "#[Error: cell reference required]",
      OR(_xlpm._chrChk, _xlpm._fnmChk), "#[Error: invalid optional input]",
      OR( ISERROR(_xlpm._rPath), _xlpm._rPath = "#"), "#[Error reading File Path]",
      AND( OR( ISERROR(_xlpm._wbName), _xlpm._wbName = "#"), _xlpm._incFile), "#[Error reading Workbook Name]",
      TRUE, ""
    ),
    _xlpm._rtn, IF(_xlpm._incFile,
      _xlpm._fPath &amp; _xlpm._wbName,
      _xlpm._rPath
    ),
    IF(_xlpm._errChk &lt;&gt; "", _xlpm._errChk, _xlpm._rtn)
  )
)($A$1)</f>
        <v>D:\Work\_RXL\Development\LAMBDA\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1"/>
    </row>
    <row r="104" spans="2:23" x14ac:dyDescent="0.3">
      <c r="C104" s="6" t="str">
        <f ca="1" xml:space="preserve"> _xlfn.FORMULATEXT(C103)</f>
        <v>= LAMBDA(cell_ref,[remove_last_char],[inc_file_name],
  LET(
    _chrChk, AND( NOT(ISOMITTED(remove_last_char)), NOT(ISLOGICAL(remove_last_char)), NOT(ISNUMBER(remove_last_char))),
    _fnmChk, AND( NOT(ISOMITTED(inc_file_name)), NOT(ISLOGICAL(inc_file_name)), NOT(ISNUMBER(inc_file_name))),
    _refChk, NOT(ISREF(cell_ref)),
    _lastChr, IF(
      OR( ISOMITTED(remove_last_char), _chrChk),
      FALSE,
      remove_last_char
    ),
    _incFile, IF(
      OR( ISOMITTED(inc_file_name), _fnmChk),
      FALSE,
      inc_file_name
    ),
    _full, CELL("filename", cell_ref),
    _nOpen, IFERROR( FIND("&lt;", SUBSTITUTE(_full, "[", "&lt;", LEN(_full) - LEN( SUBSTITUTE(_full, "[", "")))) - 1, 0),
    _nClose, IFERROR( FIND("&gt;", SUBSTITUTE(_full, "]", "&gt;", LEN(_full) - LEN( SUBSTITUTE(_full, "]", "")))) - 1, 0),
    _posL, IFERROR( FIND("[", _full, _nOpen), 0),
    _posR, IFERROR( FIND("]", _full, _nClose), 0),
    _fPath, IF(_posL &gt; 0, LEFT(_full, _posL - 1), "#"),
    _rPath, IF(_lastChr,
      LEFT(_fPath, LEN(_fPath) - 1),
      _fPath
    ),
    _wbName, IF( AND(_posL &gt; 0, _posR &gt; 0), MID(_full, _posL + 1, _posR - (_posL + 1)), "#"),
    _errChk, IFS(
      _refChk, "#[Error: cell reference required]",
      OR(_chrChk, _fnmChk), "#[Error: invalid optional input]",
      OR( ISERROR(_rPath), _rPath = "#"), "#[Error reading File Path]",
      AND( OR( ISERROR(_wbName), _wbName = "#"), _incFile), "#[Error reading Workbook Name]",
      TRUE, ""
    ),
    _rtn, IF(_incFile,
      _fPath &amp; _wbName,
      _rPath
    ),
    IF(_errChk &lt;&gt; "", _errChk, _rtn)
  )
)($A$1)</v>
      </c>
    </row>
    <row r="105" spans="2:23" x14ac:dyDescent="0.3">
      <c r="C105" s="7"/>
    </row>
    <row r="106" spans="2:23" x14ac:dyDescent="0.3">
      <c r="B106" s="7"/>
      <c r="C106" s="4" t="s">
        <v>1</v>
      </c>
    </row>
    <row r="107" spans="2:23" x14ac:dyDescent="0.3">
      <c r="B107" s="7"/>
      <c r="C107" s="5" t="s">
        <v>38</v>
      </c>
    </row>
    <row r="108" spans="2:23" x14ac:dyDescent="0.3">
      <c r="B108" s="7"/>
      <c r="C108" s="3" t="s">
        <v>35</v>
      </c>
    </row>
    <row r="109" spans="2:23" x14ac:dyDescent="0.3">
      <c r="B109" s="7"/>
      <c r="C109" s="3" t="s">
        <v>122</v>
      </c>
    </row>
    <row r="110" spans="2:23" x14ac:dyDescent="0.3">
      <c r="B110" s="7"/>
      <c r="C110" s="3" t="s">
        <v>123</v>
      </c>
    </row>
    <row r="111" spans="2:23" x14ac:dyDescent="0.3">
      <c r="B111" s="7"/>
      <c r="C111" s="5" t="s">
        <v>63</v>
      </c>
    </row>
    <row r="112" spans="2:23" x14ac:dyDescent="0.3">
      <c r="B112" s="7"/>
      <c r="C112" s="3" t="s">
        <v>2</v>
      </c>
    </row>
    <row r="113" spans="2:3" x14ac:dyDescent="0.3">
      <c r="B113" s="7"/>
      <c r="C113" s="16" t="s">
        <v>124</v>
      </c>
    </row>
    <row r="114" spans="2:3" x14ac:dyDescent="0.3">
      <c r="B114" s="7"/>
      <c r="C114" s="17" t="s">
        <v>125</v>
      </c>
    </row>
    <row r="115" spans="2:3" x14ac:dyDescent="0.3">
      <c r="B115" s="7"/>
      <c r="C115" s="17" t="s">
        <v>126</v>
      </c>
    </row>
    <row r="116" spans="2:3" x14ac:dyDescent="0.3">
      <c r="B116" s="7"/>
      <c r="C116" s="17" t="s">
        <v>127</v>
      </c>
    </row>
    <row r="117" spans="2:3" x14ac:dyDescent="0.3">
      <c r="B117" s="7"/>
      <c r="C117" s="16" t="s">
        <v>128</v>
      </c>
    </row>
    <row r="118" spans="2:3" x14ac:dyDescent="0.3">
      <c r="B118" s="7"/>
      <c r="C118" s="17" t="s">
        <v>129</v>
      </c>
    </row>
    <row r="119" spans="2:3" x14ac:dyDescent="0.3">
      <c r="B119" s="7"/>
      <c r="C119" s="35" t="s">
        <v>130</v>
      </c>
    </row>
    <row r="120" spans="2:3" x14ac:dyDescent="0.3">
      <c r="B120" s="7"/>
      <c r="C120" s="35" t="s">
        <v>68</v>
      </c>
    </row>
    <row r="121" spans="2:3" x14ac:dyDescent="0.3">
      <c r="B121" s="7"/>
      <c r="C121" s="35" t="s">
        <v>131</v>
      </c>
    </row>
    <row r="122" spans="2:3" x14ac:dyDescent="0.3">
      <c r="B122" s="7"/>
      <c r="C122" s="17" t="s">
        <v>70</v>
      </c>
    </row>
    <row r="123" spans="2:3" x14ac:dyDescent="0.3">
      <c r="B123" s="7"/>
      <c r="C123" s="17" t="s">
        <v>132</v>
      </c>
    </row>
    <row r="124" spans="2:3" x14ac:dyDescent="0.3">
      <c r="B124" s="7"/>
      <c r="C124" s="35" t="s">
        <v>133</v>
      </c>
    </row>
    <row r="125" spans="2:3" x14ac:dyDescent="0.3">
      <c r="C125" s="35" t="s">
        <v>68</v>
      </c>
    </row>
    <row r="126" spans="2:3" x14ac:dyDescent="0.3">
      <c r="C126" s="35" t="s">
        <v>134</v>
      </c>
    </row>
    <row r="127" spans="2:3" x14ac:dyDescent="0.3">
      <c r="C127" s="17" t="s">
        <v>70</v>
      </c>
    </row>
    <row r="128" spans="2:3" x14ac:dyDescent="0.3">
      <c r="C128" s="16" t="s">
        <v>135</v>
      </c>
    </row>
    <row r="129" spans="3:3" x14ac:dyDescent="0.3">
      <c r="C129" s="17" t="s">
        <v>136</v>
      </c>
    </row>
    <row r="130" spans="3:3" x14ac:dyDescent="0.3">
      <c r="C130" s="16" t="s">
        <v>159</v>
      </c>
    </row>
    <row r="131" spans="3:3" x14ac:dyDescent="0.3">
      <c r="C131" s="16" t="s">
        <v>160</v>
      </c>
    </row>
    <row r="132" spans="3:3" x14ac:dyDescent="0.3">
      <c r="C132" s="16" t="s">
        <v>161</v>
      </c>
    </row>
    <row r="133" spans="3:3" x14ac:dyDescent="0.3">
      <c r="C133" s="17" t="s">
        <v>162</v>
      </c>
    </row>
    <row r="134" spans="3:3" x14ac:dyDescent="0.3">
      <c r="C134" s="17" t="s">
        <v>163</v>
      </c>
    </row>
    <row r="135" spans="3:3" x14ac:dyDescent="0.3">
      <c r="C135" s="17" t="s">
        <v>164</v>
      </c>
    </row>
    <row r="136" spans="3:3" x14ac:dyDescent="0.3">
      <c r="C136" s="17" t="s">
        <v>165</v>
      </c>
    </row>
    <row r="137" spans="3:3" x14ac:dyDescent="0.3">
      <c r="C137" s="16" t="s">
        <v>166</v>
      </c>
    </row>
    <row r="138" spans="3:3" x14ac:dyDescent="0.3">
      <c r="C138" s="17" t="s">
        <v>167</v>
      </c>
    </row>
    <row r="139" spans="3:3" x14ac:dyDescent="0.3">
      <c r="C139" s="17" t="s">
        <v>168</v>
      </c>
    </row>
    <row r="140" spans="3:3" x14ac:dyDescent="0.3">
      <c r="C140" s="35" t="s">
        <v>169</v>
      </c>
    </row>
    <row r="141" spans="3:3" x14ac:dyDescent="0.3">
      <c r="C141" s="35" t="s">
        <v>170</v>
      </c>
    </row>
    <row r="142" spans="3:3" x14ac:dyDescent="0.3">
      <c r="C142" s="17" t="s">
        <v>70</v>
      </c>
    </row>
    <row r="143" spans="3:3" x14ac:dyDescent="0.3">
      <c r="C143" s="16" t="s">
        <v>142</v>
      </c>
    </row>
    <row r="144" spans="3:3" x14ac:dyDescent="0.3">
      <c r="C144" s="17" t="s">
        <v>171</v>
      </c>
    </row>
    <row r="145" spans="3:3" x14ac:dyDescent="0.3">
      <c r="C145" s="16" t="s">
        <v>144</v>
      </c>
    </row>
    <row r="146" spans="3:3" x14ac:dyDescent="0.3">
      <c r="C146" s="16" t="s">
        <v>145</v>
      </c>
    </row>
    <row r="147" spans="3:3" x14ac:dyDescent="0.3">
      <c r="C147" s="17" t="s">
        <v>146</v>
      </c>
    </row>
    <row r="148" spans="3:3" x14ac:dyDescent="0.3">
      <c r="C148" s="35" t="s">
        <v>147</v>
      </c>
    </row>
    <row r="149" spans="3:3" x14ac:dyDescent="0.3">
      <c r="C149" s="35" t="s">
        <v>148</v>
      </c>
    </row>
    <row r="150" spans="3:3" x14ac:dyDescent="0.3">
      <c r="C150" s="35" t="s">
        <v>172</v>
      </c>
    </row>
    <row r="151" spans="3:3" x14ac:dyDescent="0.3">
      <c r="C151" s="35" t="s">
        <v>150</v>
      </c>
    </row>
    <row r="152" spans="3:3" x14ac:dyDescent="0.3">
      <c r="C152" s="35" t="s">
        <v>151</v>
      </c>
    </row>
    <row r="153" spans="3:3" x14ac:dyDescent="0.3">
      <c r="C153" s="17" t="s">
        <v>70</v>
      </c>
    </row>
    <row r="154" spans="3:3" x14ac:dyDescent="0.3">
      <c r="C154" s="16" t="s">
        <v>152</v>
      </c>
    </row>
    <row r="155" spans="3:3" x14ac:dyDescent="0.3">
      <c r="C155" s="17" t="s">
        <v>153</v>
      </c>
    </row>
    <row r="156" spans="3:3" x14ac:dyDescent="0.3">
      <c r="C156" s="35" t="s">
        <v>173</v>
      </c>
    </row>
    <row r="157" spans="3:3" x14ac:dyDescent="0.3">
      <c r="C157" s="35" t="s">
        <v>174</v>
      </c>
    </row>
    <row r="158" spans="3:3" x14ac:dyDescent="0.3">
      <c r="C158" s="17" t="s">
        <v>70</v>
      </c>
    </row>
    <row r="159" spans="3:3" x14ac:dyDescent="0.3">
      <c r="C159" s="16" t="s">
        <v>156</v>
      </c>
    </row>
    <row r="160" spans="3:3" x14ac:dyDescent="0.3">
      <c r="C160" s="17" t="s">
        <v>157</v>
      </c>
    </row>
    <row r="161" spans="2:3" x14ac:dyDescent="0.3">
      <c r="C161" s="3" t="s">
        <v>0</v>
      </c>
    </row>
    <row r="162" spans="2:3" x14ac:dyDescent="0.3">
      <c r="C162" s="4" t="s">
        <v>0</v>
      </c>
    </row>
    <row r="164" spans="2:3" x14ac:dyDescent="0.3">
      <c r="C164" s="25" t="s">
        <v>44</v>
      </c>
    </row>
    <row r="165" spans="2:3" x14ac:dyDescent="0.3">
      <c r="C165" s="4" t="s">
        <v>175</v>
      </c>
    </row>
    <row r="167" spans="2:3" ht="14.4" thickBot="1" x14ac:dyDescent="0.35"/>
    <row r="168" spans="2:3" s="9" customFormat="1" x14ac:dyDescent="0.3">
      <c r="B168" s="9" t="s">
        <v>3</v>
      </c>
    </row>
  </sheetData>
  <dataValidations count="1">
    <dataValidation type="list" allowBlank="1" showInputMessage="1" showErrorMessage="1" sqref="I23:I24 I33:I34" xr:uid="{D92041BF-B743-456A-A62F-782DFC08A23F}">
      <formula1>_YesNo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EF8F-92FC-40C6-ADC9-06F7A7DDD240}">
  <sheetPr codeName="Sheet3"/>
  <dimension ref="B1:R69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3" width="4.33203125" customWidth="1"/>
  </cols>
  <sheetData>
    <row r="1" spans="2:18" s="8" customFormat="1" ht="30" customHeight="1" x14ac:dyDescent="0.3">
      <c r="C1" s="1" t="s">
        <v>185</v>
      </c>
    </row>
    <row r="2" spans="2:18" s="18" customFormat="1" ht="16.2" thickBot="1" x14ac:dyDescent="0.35">
      <c r="B2" s="19">
        <f xml:space="preserve"> MAX(B$1:B1) + 1</f>
        <v>1</v>
      </c>
      <c r="C2" s="18" t="s">
        <v>47</v>
      </c>
    </row>
    <row r="4" spans="2:18" x14ac:dyDescent="0.3">
      <c r="B4" s="32" t="s">
        <v>51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6" spans="2:18" x14ac:dyDescent="0.3">
      <c r="D6" s="27" t="s">
        <v>49</v>
      </c>
      <c r="E6" t="s">
        <v>50</v>
      </c>
    </row>
    <row r="7" spans="2:18" x14ac:dyDescent="0.3">
      <c r="D7" s="27" t="s">
        <v>48</v>
      </c>
      <c r="E7" t="s">
        <v>54</v>
      </c>
    </row>
    <row r="8" spans="2:18" x14ac:dyDescent="0.3">
      <c r="D8" s="27" t="s">
        <v>111</v>
      </c>
      <c r="E8" s="37" t="s">
        <v>182</v>
      </c>
    </row>
    <row r="10" spans="2:18" x14ac:dyDescent="0.3">
      <c r="C10" s="29" t="s">
        <v>52</v>
      </c>
    </row>
    <row r="11" spans="2:18" x14ac:dyDescent="0.3">
      <c r="D11" s="24" t="str" cm="1">
        <f t="array" aca="1" ref="D11" ca="1" xml:space="preserve"> RXL_WbInfo.SheetName($A$1)</f>
        <v>Demo</v>
      </c>
      <c r="E11" s="30"/>
      <c r="F11" s="30"/>
      <c r="G11" s="30"/>
      <c r="H11" s="30"/>
      <c r="I11" s="30"/>
      <c r="J11" s="30"/>
      <c r="K11" s="31"/>
    </row>
    <row r="12" spans="2:18" x14ac:dyDescent="0.3">
      <c r="D12" s="6" t="str">
        <f ca="1" xml:space="preserve"> _xlfn.FORMULATEXT(D11)</f>
        <v>= RXL_WbInfo.SheetName($A$1)</v>
      </c>
    </row>
    <row r="14" spans="2:18" x14ac:dyDescent="0.3">
      <c r="C14" s="29" t="s">
        <v>53</v>
      </c>
    </row>
    <row r="15" spans="2:18" x14ac:dyDescent="0.3">
      <c r="D15" s="24" t="str" cm="1">
        <f t="array" aca="1" ref="D15" ca="1" xml:space="preserve"> RXL_WbInfo.SheetName(Lookups!$A$1)</f>
        <v>Lookups</v>
      </c>
      <c r="E15" s="30"/>
      <c r="F15" s="30"/>
      <c r="G15" s="30"/>
      <c r="H15" s="30"/>
      <c r="I15" s="30"/>
      <c r="J15" s="30"/>
      <c r="K15" s="31"/>
    </row>
    <row r="16" spans="2:18" x14ac:dyDescent="0.3">
      <c r="D16" s="6" t="str">
        <f ca="1" xml:space="preserve"> _xlfn.FORMULATEXT(D15)</f>
        <v>= RXL_WbInfo.SheetName(Lookups!$A$1)</v>
      </c>
    </row>
    <row r="19" spans="2:18" x14ac:dyDescent="0.3">
      <c r="B19" s="32" t="s">
        <v>106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1" spans="2:18" x14ac:dyDescent="0.3">
      <c r="D21" s="27" t="s">
        <v>49</v>
      </c>
      <c r="E21" t="s">
        <v>109</v>
      </c>
    </row>
    <row r="22" spans="2:18" x14ac:dyDescent="0.3">
      <c r="D22" s="27" t="s">
        <v>48</v>
      </c>
      <c r="E22" t="s">
        <v>110</v>
      </c>
    </row>
    <row r="23" spans="2:18" x14ac:dyDescent="0.3">
      <c r="D23" s="27" t="s">
        <v>111</v>
      </c>
      <c r="E23" s="37" t="s">
        <v>183</v>
      </c>
    </row>
    <row r="25" spans="2:18" x14ac:dyDescent="0.3">
      <c r="C25" s="29" t="s">
        <v>52</v>
      </c>
    </row>
    <row r="26" spans="2:18" x14ac:dyDescent="0.3">
      <c r="D26" s="24" t="str" cm="1">
        <f t="array" aca="1" ref="D26" ca="1" xml:space="preserve"> RXL_WbInfo.WorkbookName($A$1)</f>
        <v>RXL_WbInfo.xlsx</v>
      </c>
      <c r="E26" s="30"/>
      <c r="F26" s="30"/>
      <c r="G26" s="30"/>
      <c r="H26" s="30"/>
      <c r="I26" s="30"/>
      <c r="J26" s="30"/>
      <c r="K26" s="31"/>
    </row>
    <row r="27" spans="2:18" x14ac:dyDescent="0.3">
      <c r="D27" s="6" t="str">
        <f ca="1" xml:space="preserve"> _xlfn.FORMULATEXT(D26)</f>
        <v>= RXL_WbInfo.WorkbookName($A$1)</v>
      </c>
    </row>
    <row r="29" spans="2:18" x14ac:dyDescent="0.3">
      <c r="C29" s="29" t="s">
        <v>53</v>
      </c>
    </row>
    <row r="30" spans="2:18" x14ac:dyDescent="0.3">
      <c r="D30" s="24" t="str" cm="1">
        <f t="array" aca="1" ref="D30" ca="1" xml:space="preserve"> RXL_WbInfo.WorkbookName(Lookups!$A$1)</f>
        <v>RXL_WbInfo.xlsx</v>
      </c>
      <c r="E30" s="30"/>
      <c r="F30" s="30"/>
      <c r="G30" s="30"/>
      <c r="H30" s="30"/>
      <c r="I30" s="30"/>
      <c r="J30" s="30"/>
      <c r="K30" s="31"/>
    </row>
    <row r="31" spans="2:18" x14ac:dyDescent="0.3">
      <c r="D31" s="6" t="str">
        <f ca="1" xml:space="preserve"> _xlfn.FORMULATEXT(D30)</f>
        <v>= RXL_WbInfo.WorkbookName(Lookups!$A$1)</v>
      </c>
    </row>
    <row r="33" spans="2:18" x14ac:dyDescent="0.3">
      <c r="C33" s="29" t="s">
        <v>107</v>
      </c>
    </row>
    <row r="34" spans="2:18" x14ac:dyDescent="0.3">
      <c r="D34" s="24" t="str" cm="1">
        <f t="array" aca="1" ref="D34" ca="1" xml:space="preserve"> RXL_WbInfo.WorkbookName($A$1, FALSE)</f>
        <v>RXL_WbInfo.xlsx</v>
      </c>
      <c r="E34" s="30"/>
      <c r="F34" s="30"/>
      <c r="G34" s="30"/>
      <c r="H34" s="30"/>
      <c r="I34" s="30"/>
      <c r="J34" s="30"/>
      <c r="K34" s="31"/>
    </row>
    <row r="35" spans="2:18" x14ac:dyDescent="0.3">
      <c r="D35" s="6" t="str">
        <f ca="1" xml:space="preserve"> _xlfn.FORMULATEXT(D34)</f>
        <v>= RXL_WbInfo.WorkbookName($A$1, FALSE)</v>
      </c>
    </row>
    <row r="37" spans="2:18" x14ac:dyDescent="0.3">
      <c r="C37" s="29" t="s">
        <v>108</v>
      </c>
    </row>
    <row r="38" spans="2:18" x14ac:dyDescent="0.3">
      <c r="D38" s="24" t="str" cm="1">
        <f t="array" aca="1" ref="D38" ca="1" xml:space="preserve"> RXL_WbInfo.WorkbookName($A$1, TRUE)</f>
        <v>RXL_WbInfo</v>
      </c>
      <c r="E38" s="30"/>
      <c r="F38" s="30"/>
      <c r="G38" s="30"/>
      <c r="H38" s="30"/>
      <c r="I38" s="30"/>
      <c r="J38" s="30"/>
      <c r="K38" s="31"/>
    </row>
    <row r="39" spans="2:18" x14ac:dyDescent="0.3">
      <c r="D39" s="6" t="str">
        <f ca="1" xml:space="preserve"> _xlfn.FORMULATEXT(D38)</f>
        <v>= RXL_WbInfo.WorkbookName($A$1, TRUE)</v>
      </c>
    </row>
    <row r="42" spans="2:18" x14ac:dyDescent="0.3">
      <c r="B42" s="32" t="s">
        <v>176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</row>
    <row r="44" spans="2:18" x14ac:dyDescent="0.3">
      <c r="D44" s="27" t="s">
        <v>49</v>
      </c>
      <c r="E44" t="s">
        <v>180</v>
      </c>
    </row>
    <row r="45" spans="2:18" x14ac:dyDescent="0.3">
      <c r="D45" s="27" t="s">
        <v>48</v>
      </c>
      <c r="E45" t="s">
        <v>181</v>
      </c>
    </row>
    <row r="46" spans="2:18" x14ac:dyDescent="0.3">
      <c r="D46" s="27" t="s">
        <v>111</v>
      </c>
      <c r="E46" s="37" t="s">
        <v>184</v>
      </c>
    </row>
    <row r="48" spans="2:18" x14ac:dyDescent="0.3">
      <c r="C48" s="29" t="s">
        <v>52</v>
      </c>
    </row>
    <row r="49" spans="3:14" x14ac:dyDescent="0.3">
      <c r="D49" s="24" t="str" cm="1">
        <f t="array" aca="1" ref="D49" ca="1" xml:space="preserve"> RXL_WbInfo.FilePath($A$1)</f>
        <v>D:\Work\_RXL\Development\LAMBDA\</v>
      </c>
      <c r="E49" s="30"/>
      <c r="F49" s="30"/>
      <c r="G49" s="30"/>
      <c r="H49" s="30"/>
      <c r="I49" s="30"/>
      <c r="J49" s="30"/>
      <c r="K49" s="30"/>
      <c r="L49" s="30"/>
      <c r="M49" s="30"/>
      <c r="N49" s="31"/>
    </row>
    <row r="50" spans="3:14" x14ac:dyDescent="0.3">
      <c r="D50" s="6" t="str">
        <f ca="1" xml:space="preserve"> _xlfn.FORMULATEXT(D49)</f>
        <v>= RXL_WbInfo.FilePath($A$1)</v>
      </c>
    </row>
    <row r="52" spans="3:14" x14ac:dyDescent="0.3">
      <c r="C52" s="29" t="s">
        <v>53</v>
      </c>
    </row>
    <row r="53" spans="3:14" x14ac:dyDescent="0.3">
      <c r="D53" s="24" t="str" cm="1">
        <f t="array" aca="1" ref="D53" ca="1" xml:space="preserve"> RXL_WbInfo.FilePath(Lookups!$A$1)</f>
        <v>D:\Work\_RXL\Development\LAMBDA\</v>
      </c>
      <c r="E53" s="30"/>
      <c r="F53" s="30"/>
      <c r="G53" s="30"/>
      <c r="H53" s="30"/>
      <c r="I53" s="30"/>
      <c r="J53" s="30"/>
      <c r="K53" s="30"/>
      <c r="L53" s="30"/>
      <c r="M53" s="30"/>
      <c r="N53" s="31"/>
    </row>
    <row r="54" spans="3:14" x14ac:dyDescent="0.3">
      <c r="D54" s="6" t="str">
        <f ca="1" xml:space="preserve"> _xlfn.FORMULATEXT(D53)</f>
        <v>= RXL_WbInfo.FilePath(Lookups!$A$1)</v>
      </c>
    </row>
    <row r="56" spans="3:14" x14ac:dyDescent="0.3">
      <c r="C56" s="29" t="s">
        <v>177</v>
      </c>
    </row>
    <row r="57" spans="3:14" x14ac:dyDescent="0.3">
      <c r="D57" s="24" t="str" cm="1">
        <f t="array" aca="1" ref="D57" ca="1" xml:space="preserve"> RXL_WbInfo.FilePath($A$1, FALSE)</f>
        <v>D:\Work\_RXL\Development\LAMBDA\</v>
      </c>
      <c r="E57" s="30"/>
      <c r="F57" s="30"/>
      <c r="G57" s="30"/>
      <c r="H57" s="30"/>
      <c r="I57" s="30"/>
      <c r="J57" s="30"/>
      <c r="K57" s="30"/>
      <c r="L57" s="30"/>
      <c r="M57" s="30"/>
      <c r="N57" s="31"/>
    </row>
    <row r="58" spans="3:14" x14ac:dyDescent="0.3">
      <c r="D58" s="6" t="str">
        <f ca="1" xml:space="preserve"> _xlfn.FORMULATEXT(D57)</f>
        <v>= RXL_WbInfo.FilePath($A$1, FALSE)</v>
      </c>
    </row>
    <row r="60" spans="3:14" x14ac:dyDescent="0.3">
      <c r="C60" s="29" t="s">
        <v>178</v>
      </c>
    </row>
    <row r="61" spans="3:14" x14ac:dyDescent="0.3">
      <c r="D61" s="24" t="str" cm="1">
        <f t="array" aca="1" ref="D61" ca="1" xml:space="preserve"> RXL_WbInfo.FilePath($A$1, TRUE)</f>
        <v>D:\Work\_RXL\Development\LAMBDA</v>
      </c>
      <c r="E61" s="30"/>
      <c r="F61" s="30"/>
      <c r="G61" s="30"/>
      <c r="H61" s="30"/>
      <c r="I61" s="30"/>
      <c r="J61" s="30"/>
      <c r="K61" s="30"/>
      <c r="L61" s="30"/>
      <c r="M61" s="30"/>
      <c r="N61" s="31"/>
    </row>
    <row r="62" spans="3:14" x14ac:dyDescent="0.3">
      <c r="D62" s="6" t="str">
        <f ca="1" xml:space="preserve"> _xlfn.FORMULATEXT(D61)</f>
        <v>= RXL_WbInfo.FilePath($A$1, TRUE)</v>
      </c>
    </row>
    <row r="64" spans="3:14" x14ac:dyDescent="0.3">
      <c r="C64" s="29" t="s">
        <v>179</v>
      </c>
    </row>
    <row r="65" spans="2:14" x14ac:dyDescent="0.3">
      <c r="D65" s="24" t="str" cm="1">
        <f t="array" aca="1" ref="D65" ca="1" xml:space="preserve"> RXL_WbInfo.FilePath($A$1, , TRUE)</f>
        <v>D:\Work\_RXL\Development\LAMBDA\RXL_WbInfo.xlsx</v>
      </c>
      <c r="E65" s="30"/>
      <c r="F65" s="30"/>
      <c r="G65" s="30"/>
      <c r="H65" s="30"/>
      <c r="I65" s="30"/>
      <c r="J65" s="30"/>
      <c r="K65" s="30"/>
      <c r="L65" s="30"/>
      <c r="M65" s="30"/>
      <c r="N65" s="31"/>
    </row>
    <row r="66" spans="2:14" x14ac:dyDescent="0.3">
      <c r="D66" s="6" t="str">
        <f ca="1" xml:space="preserve"> _xlfn.FORMULATEXT(D65)</f>
        <v>= RXL_WbInfo.FilePath($A$1, , TRUE)</v>
      </c>
    </row>
    <row r="68" spans="2:14" ht="14.4" thickBot="1" x14ac:dyDescent="0.35"/>
    <row r="69" spans="2:14" s="9" customFormat="1" x14ac:dyDescent="0.3">
      <c r="B69" s="9" t="s">
        <v>3</v>
      </c>
    </row>
  </sheetData>
  <hyperlinks>
    <hyperlink ref="E8" r:id="rId1" xr:uid="{D8C364E3-D80C-4079-BDEC-E7CB109A5B11}"/>
    <hyperlink ref="E23" r:id="rId2" xr:uid="{2A78C76E-3A50-4D75-B464-AAA4B767A009}"/>
    <hyperlink ref="E46" r:id="rId3" xr:uid="{AF90CFF8-6AF4-4670-B5AB-9B7C32D3D74A}"/>
  </hyperlink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E0C9-5BC4-4037-A0C4-2F6DC1820507}">
  <sheetPr codeName="Sheet13"/>
  <dimension ref="B1:C126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2:3" s="8" customFormat="1" ht="30" customHeight="1" x14ac:dyDescent="0.3">
      <c r="C1" s="1" t="s">
        <v>185</v>
      </c>
    </row>
    <row r="2" spans="2:3" s="18" customFormat="1" ht="16.2" thickBot="1" x14ac:dyDescent="0.35">
      <c r="B2" s="19">
        <f xml:space="preserve"> MAX(B$1:B1) + 1</f>
        <v>1</v>
      </c>
      <c r="C2" s="18" t="s">
        <v>186</v>
      </c>
    </row>
    <row r="4" spans="2:3" x14ac:dyDescent="0.3">
      <c r="C4" t="s">
        <v>206</v>
      </c>
    </row>
    <row r="6" spans="2:3" x14ac:dyDescent="0.3">
      <c r="B6" s="33" t="s">
        <v>188</v>
      </c>
      <c r="C6" t="s">
        <v>189</v>
      </c>
    </row>
    <row r="7" spans="2:3" x14ac:dyDescent="0.3">
      <c r="B7" s="33" t="s">
        <v>190</v>
      </c>
      <c r="C7" t="s">
        <v>191</v>
      </c>
    </row>
    <row r="17" spans="2:3" x14ac:dyDescent="0.3">
      <c r="B17" s="33" t="s">
        <v>192</v>
      </c>
      <c r="C17" t="s">
        <v>207</v>
      </c>
    </row>
    <row r="38" spans="2:3" x14ac:dyDescent="0.3">
      <c r="B38" s="33" t="s">
        <v>193</v>
      </c>
      <c r="C38" t="s">
        <v>194</v>
      </c>
    </row>
    <row r="39" spans="2:3" x14ac:dyDescent="0.3">
      <c r="B39" s="33" t="s">
        <v>195</v>
      </c>
      <c r="C39" t="s">
        <v>243</v>
      </c>
    </row>
    <row r="63" spans="2:3" x14ac:dyDescent="0.3">
      <c r="B63" s="33" t="s">
        <v>196</v>
      </c>
      <c r="C63" t="s">
        <v>197</v>
      </c>
    </row>
    <row r="71" spans="2:3" s="18" customFormat="1" ht="16.2" thickBot="1" x14ac:dyDescent="0.35">
      <c r="B71" s="19">
        <f xml:space="preserve"> MAX(B$1:B70) + 1</f>
        <v>2</v>
      </c>
      <c r="C71" s="18" t="s">
        <v>187</v>
      </c>
    </row>
    <row r="73" spans="2:3" x14ac:dyDescent="0.3">
      <c r="C73" s="40" t="s">
        <v>222</v>
      </c>
    </row>
    <row r="74" spans="2:3" x14ac:dyDescent="0.3">
      <c r="C74" s="40"/>
    </row>
    <row r="75" spans="2:3" x14ac:dyDescent="0.3">
      <c r="C75" s="40" t="s">
        <v>223</v>
      </c>
    </row>
    <row r="76" spans="2:3" x14ac:dyDescent="0.3">
      <c r="C76" s="40" t="s">
        <v>224</v>
      </c>
    </row>
    <row r="77" spans="2:3" x14ac:dyDescent="0.3">
      <c r="C77" s="40" t="s">
        <v>225</v>
      </c>
    </row>
    <row r="78" spans="2:3" x14ac:dyDescent="0.3">
      <c r="C78" s="38" t="s">
        <v>208</v>
      </c>
    </row>
    <row r="79" spans="2:3" x14ac:dyDescent="0.3">
      <c r="C79" s="40" t="s">
        <v>226</v>
      </c>
    </row>
    <row r="80" spans="2:3" x14ac:dyDescent="0.3">
      <c r="C80" s="40" t="s">
        <v>227</v>
      </c>
    </row>
    <row r="81" spans="3:3" x14ac:dyDescent="0.3">
      <c r="C81" s="40" t="s">
        <v>198</v>
      </c>
    </row>
    <row r="82" spans="3:3" x14ac:dyDescent="0.3">
      <c r="C82" s="38" t="s">
        <v>209</v>
      </c>
    </row>
    <row r="83" spans="3:3" x14ac:dyDescent="0.3">
      <c r="C83" s="40" t="s">
        <v>228</v>
      </c>
    </row>
    <row r="84" spans="3:3" x14ac:dyDescent="0.3">
      <c r="C84" s="40" t="s">
        <v>210</v>
      </c>
    </row>
    <row r="85" spans="3:3" x14ac:dyDescent="0.3">
      <c r="C85" s="40" t="s">
        <v>198</v>
      </c>
    </row>
    <row r="86" spans="3:3" x14ac:dyDescent="0.3">
      <c r="C86" s="39" t="s">
        <v>199</v>
      </c>
    </row>
    <row r="87" spans="3:3" x14ac:dyDescent="0.3">
      <c r="C87" s="38" t="s">
        <v>200</v>
      </c>
    </row>
    <row r="88" spans="3:3" x14ac:dyDescent="0.3">
      <c r="C88" s="40" t="s">
        <v>229</v>
      </c>
    </row>
    <row r="89" spans="3:3" x14ac:dyDescent="0.3">
      <c r="C89" s="40" t="s">
        <v>230</v>
      </c>
    </row>
    <row r="90" spans="3:3" x14ac:dyDescent="0.3">
      <c r="C90" s="40" t="s">
        <v>231</v>
      </c>
    </row>
    <row r="91" spans="3:3" x14ac:dyDescent="0.3">
      <c r="C91" s="40" t="s">
        <v>232</v>
      </c>
    </row>
    <row r="92" spans="3:3" x14ac:dyDescent="0.3">
      <c r="C92" s="39" t="s">
        <v>201</v>
      </c>
    </row>
    <row r="93" spans="3:3" x14ac:dyDescent="0.3">
      <c r="C93" s="39" t="s">
        <v>202</v>
      </c>
    </row>
    <row r="94" spans="3:3" x14ac:dyDescent="0.3">
      <c r="C94" s="40" t="s">
        <v>198</v>
      </c>
    </row>
    <row r="95" spans="3:3" x14ac:dyDescent="0.3">
      <c r="C95" s="40" t="s">
        <v>233</v>
      </c>
    </row>
    <row r="96" spans="3:3" x14ac:dyDescent="0.3">
      <c r="C96" s="40" t="s">
        <v>198</v>
      </c>
    </row>
    <row r="97" spans="3:3" x14ac:dyDescent="0.3">
      <c r="C97" s="40" t="s">
        <v>211</v>
      </c>
    </row>
    <row r="98" spans="3:3" x14ac:dyDescent="0.3">
      <c r="C98" s="40" t="s">
        <v>212</v>
      </c>
    </row>
    <row r="99" spans="3:3" x14ac:dyDescent="0.3">
      <c r="C99" s="39" t="s">
        <v>213</v>
      </c>
    </row>
    <row r="100" spans="3:3" x14ac:dyDescent="0.3">
      <c r="C100" s="40" t="s">
        <v>234</v>
      </c>
    </row>
    <row r="101" spans="3:3" x14ac:dyDescent="0.3">
      <c r="C101" s="40" t="s">
        <v>235</v>
      </c>
    </row>
    <row r="102" spans="3:3" x14ac:dyDescent="0.3">
      <c r="C102" s="40" t="s">
        <v>214</v>
      </c>
    </row>
    <row r="103" spans="3:3" x14ac:dyDescent="0.3">
      <c r="C103" s="40" t="s">
        <v>236</v>
      </c>
    </row>
    <row r="104" spans="3:3" x14ac:dyDescent="0.3">
      <c r="C104" s="40" t="s">
        <v>215</v>
      </c>
    </row>
    <row r="105" spans="3:3" x14ac:dyDescent="0.3">
      <c r="C105" s="40" t="s">
        <v>216</v>
      </c>
    </row>
    <row r="106" spans="3:3" x14ac:dyDescent="0.3">
      <c r="C106" s="40" t="s">
        <v>237</v>
      </c>
    </row>
    <row r="107" spans="3:3" x14ac:dyDescent="0.3">
      <c r="C107" s="40" t="s">
        <v>217</v>
      </c>
    </row>
    <row r="108" spans="3:3" x14ac:dyDescent="0.3">
      <c r="C108" s="40" t="s">
        <v>238</v>
      </c>
    </row>
    <row r="109" spans="3:3" x14ac:dyDescent="0.3">
      <c r="C109" s="39" t="s">
        <v>218</v>
      </c>
    </row>
    <row r="110" spans="3:3" x14ac:dyDescent="0.3">
      <c r="C110" s="40" t="s">
        <v>239</v>
      </c>
    </row>
    <row r="111" spans="3:3" x14ac:dyDescent="0.3">
      <c r="C111" s="39" t="s">
        <v>219</v>
      </c>
    </row>
    <row r="112" spans="3:3" x14ac:dyDescent="0.3">
      <c r="C112" s="39" t="s">
        <v>203</v>
      </c>
    </row>
    <row r="113" spans="2:3" x14ac:dyDescent="0.3">
      <c r="C113" s="40" t="s">
        <v>240</v>
      </c>
    </row>
    <row r="114" spans="2:3" x14ac:dyDescent="0.3">
      <c r="C114" s="39" t="s">
        <v>204</v>
      </c>
    </row>
    <row r="115" spans="2:3" x14ac:dyDescent="0.3">
      <c r="C115" s="40" t="s">
        <v>198</v>
      </c>
    </row>
    <row r="116" spans="2:3" x14ac:dyDescent="0.3">
      <c r="C116" s="40" t="s">
        <v>241</v>
      </c>
    </row>
    <row r="117" spans="2:3" x14ac:dyDescent="0.3">
      <c r="C117" s="40" t="s">
        <v>198</v>
      </c>
    </row>
    <row r="118" spans="2:3" x14ac:dyDescent="0.3">
      <c r="C118" s="39" t="s">
        <v>220</v>
      </c>
    </row>
    <row r="119" spans="2:3" x14ac:dyDescent="0.3">
      <c r="C119" s="40" t="s">
        <v>198</v>
      </c>
    </row>
    <row r="120" spans="2:3" x14ac:dyDescent="0.3">
      <c r="C120" s="40" t="s">
        <v>221</v>
      </c>
    </row>
    <row r="121" spans="2:3" x14ac:dyDescent="0.3">
      <c r="C121" s="40" t="s">
        <v>242</v>
      </c>
    </row>
    <row r="122" spans="2:3" x14ac:dyDescent="0.3">
      <c r="C122" s="40" t="s">
        <v>198</v>
      </c>
    </row>
    <row r="123" spans="2:3" x14ac:dyDescent="0.3">
      <c r="C123" s="39" t="s">
        <v>205</v>
      </c>
    </row>
    <row r="125" spans="2:3" ht="14.4" thickBot="1" x14ac:dyDescent="0.35"/>
    <row r="126" spans="2:3" s="9" customFormat="1" x14ac:dyDescent="0.3">
      <c r="B126" s="9" t="s">
        <v>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A15E-3384-4194-A934-E1FDEF2D75BB}">
  <sheetPr codeName="Sheet12"/>
  <dimension ref="B1:D10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2:4" s="8" customFormat="1" ht="30" customHeight="1" x14ac:dyDescent="0.3">
      <c r="C1" s="1" t="s">
        <v>21</v>
      </c>
    </row>
    <row r="3" spans="2:4" x14ac:dyDescent="0.3">
      <c r="B3" s="2">
        <v>1</v>
      </c>
      <c r="C3" s="23">
        <v>1</v>
      </c>
    </row>
    <row r="4" spans="2:4" x14ac:dyDescent="0.3">
      <c r="B4" s="2">
        <v>0</v>
      </c>
      <c r="C4" s="23">
        <v>0</v>
      </c>
      <c r="D4" s="15" t="s">
        <v>22</v>
      </c>
    </row>
    <row r="6" spans="2:4" x14ac:dyDescent="0.3">
      <c r="B6" s="2">
        <v>1</v>
      </c>
      <c r="C6" s="22">
        <v>1</v>
      </c>
    </row>
    <row r="7" spans="2:4" x14ac:dyDescent="0.3">
      <c r="B7" s="2">
        <v>0</v>
      </c>
      <c r="C7" s="22">
        <v>0</v>
      </c>
      <c r="D7" s="15" t="s">
        <v>43</v>
      </c>
    </row>
    <row r="9" spans="2:4" ht="14.4" thickBot="1" x14ac:dyDescent="0.35"/>
    <row r="10" spans="2:4" s="9" customFormat="1" x14ac:dyDescent="0.3">
      <c r="B10" s="9" t="s">
        <v>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8AKgAgACAAUgBYAEwAXwBTAGgAZQBlAHQATgBhAG0AZQAgAEYAdQBuAGMAdABpAG8AbgBcAG4AIAAgACAAIAAgACAAIAAgAHYAZQByAHMAaQBvAG4AIAAxAC4AMAA0ACAAIAAoADIAMwAtAE0AYQByAC0AMgAwADIANQApACAAXABuACAAIAAgACAAIAAgACAAIABSACAAUwBpAGwAawAsACAAUgBYAEwAIABEAGUAdgBlAGwAbwBwAG0AZQBuAHQAXABuACAAIAAgACAAIAAgACAAIABoAHQAdABwAHMAOgAvAC8AZwBpAHMAdAAuAGcAaQB0AGgAdQBiAC4AYwBvAG0ALwByAC0AcwBpAGwAawAvAGUAYwAwADUAMwBlADUAOQAwADUAOABlADMAOQA5AGYAMABmADkAYQBhADkAYQBjADcAMQA1ADMAMQBhADcAMQBcAG4AKgAvAFwAbgAvACoAXABuACAAIAAgACAATgBhAG0AZQA6ACAAIAAgACAAIAAgACAAIABTAGgAZQBlAHQATgBhAG0AZQAoACkAXABuACAAIAAgACAARABlAHMAYwByAGkAcAB0AGkAbwBuADoAIAAqAC8ALwAqACoAUgBlAHQAdQByAG4AcwAgAHQAaABlACAAdwBvAHIAawBzAGgAZQBlAHQAIABuAGEAbQBlACAAKABhAHMAIABkAGkAcwBwAGwAYQB5AGUAZAAgAGkAbgAgAHQAaABlACAAdwBvAHIAawBzAGgAZQBlAHQAIAB0AGEAYgApACAAZgBvAHIAIAB0AGgAZQAgAGMAZQBsAGwAIAByAGUAZgBlAHIAZQBuAGMAZQAgAHAAcgBvAHYAaQBkAGUAZAA7ACAAVwBvAHIAawBiAG8AbwBrACAAbQB1AHMAdAAgAGIAZQAgAHMAYQB2AGUAZAAgAGYAaQByAHMAdAAqAC8ALwAqAFwAbgAgACAAIAAgAFAAYQByAGEAbQBlAHQAZQByAHMAOgBcAG4AIAAgACAAIAAgACAAIAAgACsAIABjAGUAbABsAF8AcgBlAGYAIAAgACAAIAAgACAAPQAgACgAcgBlAHEAdQBpAHIAZQBkACkAIABBACAAdgBhAGwAaQBkACAAYwBlAGwAbAAgAHIAZQBmAGUAcgBlAG4AYwBlACwAIABlAC4AZwAuACAAQQAxACwAIABvAHIAIAAnAFMAaABlAGUAdAAxACcAIQBBADEAXABuACAAIAAgACAARQByAHIAbwByACAAYwBvAGQAZQBzADoAXABuACAAIAAgACAAIAAgACAAIAAjAFsARQByAHIAbwByADoAIABjAGUAbABsACAAcgBlAGYAZQByAGUAbgBjAGUAIAByAGUAcQB1AGkAcgBlAGQAXQAgACAAIAA9ACAAdABoAGUAIABjAGUAbABsAF8AcgBlAGYAIABwAGEAcgBhAG0AZQB0AGUAcgAgAHIAZQBxAHUAaQByAGUAcwAgAGEAIAB2AGEAbABpAGQAIABjAGUAbABsACAAcgBlAGYAZQByAGUAbgBjAGUAXABuACAAIAAgACAAIAAgACAAIAAjAFsARQByAHIAbwByADoAIABXAG8AcgBrAGIAbwBvAGsAIABtAHUAcwB0ACAAYgBlACAAcwBhAHYAZQBkAF0AIAAgACAAIAA9ACAAdABoAGUAIABXAG8AcgBrAGIAbwBvAGsAIABmAGkAbABlACAAbQB1AHMAdAAgAGIAZQAgAHMAYQB2AGUAZAAgAGYAaQByAHMAdAAgAGkAbgAgAG8AcgBkAGUAcgAgAGYAbwByACAAdABoAGUAIABmAHUAbgBjAHQAaQBvAG4AIAB0AG8AIAB3AG8AcgBrACAAYwBvAHIAcgBlAGMAdABsAHkAXABuACAAIAAgACAAIAAgACAAIAAjAFsARQByAHIAbwByACAAcgBlAGEAZABpAG4AZwAgAFMAaABlAGUAdAAgAG4AYQBtAGUAXQAgACAAIAAgACAAIAAgACAAIAA9ACAAYQBuACAAZQByAHIAbwByACAAbwBjAGMAdQByAHIAZQBkACAAZwBlAHQAdABpAG4AZwAgAHQAaABlACAAZgBpAGwAZQBuAGEAbQBlACAAcwB0AHIAaQBuAGcAIABvAHIAIABlAHgAdAByAGEAYwB0AGkAbgBnACAAdABoAGUAIAB3AG8AcgBrAHMAaABlAGUAdAAgAG4AYQBtAGUAIABmAHIAbwBtACAAdABoAGUAIABmAGkAbABlAG4AYQBtAGUAIABzAHQAcgBpAG4AZwBcAG4AIAAgACAAIABOAG8AdABlAHMAOgBcAG4AIAAgACAAIAAgACAAIAAgAC0AIABUAGgAZQAgAGYAdQBuAGMAdABpAG8AbgAgAG8AdQB0AHAAdQB0AHMAIABjAHUAcwB0AG8AbQAgAGUAcgByAG8AcgAgAG0AZQBzAHMAYQBnAGUAcwAgAGEAcwAgAHMAdAByAGkAbgBnAHMAOwAgAHQAaABlAHMAZQAgAHcAaQBsAGwAIABuAG8AdAAgAGIAZQAgAGYAbABhAGcAZwBlAGQAIABiAHkAIABFAHgAYwBlAGwAIABvAHIAIABhAG4AeQAgAGEAZABkAC0AaQBuAHMAIABhAHMAIABlAHIAcgBvAHIAIABjAGUAbABsAHMALgBcAG4AIAAgACAAIAAgACAAIAAgAC0AIABBAGwAdABlAHIAbgBhAHQAaQB2AGUAbAB5ACwAIAB0AGgAZQAgAGMAdQBzAHQAbwBtACAAZQByAHIAbwByACAAbQBlAHMAcwBhAGcAZQBzACAAYwBhAG4AIABiAGUAIAByAGUAcABsAGEAYwBlAGQAIAB3AGkAdABoACAAbgBhAHQAaQB2AGUAIABFAHgAYwBlAGwAIABlAHIAcgBvAHIAIABjAG8AZABlAHMAIABzAG8AIAB0AGgAYQB0ACAAdABoAGUAIABlAHIAcgBvAHIAIABpAHMAIABmAGwAYQBnAGcAZQBkACAAaQBuACAAdABoAGUAIABuAG8AcgBtAGEAbAAgAHcAYQB5ADsAIABcAG4AIAAgACAAIAAgACAAIAAgACAAIAB0AG8AIABkAG8AIAB0AGgAaQBzADoAXABuACAAIAAgACAAIAAgACAAIAAgACAAIAAgAC0ALQAgAHIAZQBwAGwAYQBjAGUAIAB0AGgAZQAgAFwAIgAjAFsARQByAHIAbwByADoAIABjAGUAbABsACAAcgBlAGYAZQByAGUAbgBjAGUAIAByAGUAcQB1AGkAcgBlAGQAXQBcACIAIABzAHQAcgBpAG4AZwAgAHcAaQB0AGgAIAB0AGgAZQAgACMAVgBBAEwAVQBFACEAIAAoAG8AcgAgACMAUgBFAEYAIQApACAAZQByAHIAbwByACAAYwBvAGQAZQBcAG4AIAAgACAAIAAgACAAIAAgACAAIAAgACAALQAtACAAcgBlAHAAbABhAGMAZQAgAHQAaABlACAAXAAiACMAWwBFAHIAcgBvAHIAOgAgAFcAbwByAGsAYgBvAG8AawAgAG0AdQBzAHQAIABiAGUAIABzAGEAdgBlAGQAXQBcACIAIABhAG4AZAAgAFwAIgAjAFsARQByAHIAbwByACAAcgBlAGEAZABpAG4AZwAgAFMAaABlAGUAdAAgAG4AYQBtAGUAXQBcACIAIABzAHQAcgBpAG4AZwBzACAAdwBpAHQAaAAgAEwAQQBNAEIARABBACgAMAApACAAaQBuACAAbwByAGQAZQByACAAdABvACAAYwByAGUAYQB0AGUAIABhACAAIwBDAEEATABDACEAIABlAHIAcgBvAHIAIABjAG8AZABlAFwAbgAqAC8AXABuAFIAWABMAF8AUwBoAGUAZQB0AE4AYQBtAGUAIAA9ACAATABBAE0AQgBEAEEAKABcAG4AIAAgACAAIAAvAC8AIABQAGEAcgBhAG0AZQB0AGUAcgAgAGQAZQBmAGkAbgBpAHQAaQBvAG4AXABuACAAIAAgACAAYwBlAGwAbABfAHIAZQBmACwAXABuACAAIAAgACAALwAvACAATQBhAGkAbgAgAGYAdQBuAGMAdABpAG8AbgAgAGIAbwBkAHkALwBjAGEAbABjAHUAbABhAHQAaQBvAG4AcwBcAG4AIAAgACAAIABMAEUAVAAoAFwAbgAgACAAIAAgACAAIAAgACAALwAvACAAQwBoAGUAYwBrACAAdABoAGEAdAAgAGkAbgBwAHUAdAAgAHAAcgBvAHYAaQBkAGUAZAAgAGkAcwAgAGEAcwAgAGMAZQBsAGwAIAByAGUAZgBlAHIAZQBuAGMAZQAsACAAbwB0AGgAZQByAHcAaQBzAGUAIABjAHIAZQBhAHQAZQAgAGEAIABjAHUAcwB0AG8AbQAgAGUAcgByAG8AcgAgAG0AZQBzAHMAYQBnAGUAXABuACAAIAAgACAAIAAgACAAIABfAGkAbgBwAEMAaABrACwAIABJAEYAKAAgAE4ATwBUACgASQBTAFIARQBGACgAYwBlAGwAbABfAHIAZQBmACkAKQAsACAAXAAiACMAWwBFAHIAcgBvAHIAOgAgAGMAZQBsAGwAIAByAGUAZgBlAHIAZQBuAGMAZQAgAHIAZQBxAHUAaQByAGUAZABdAFwAIgAsACAAXAAiAFwAIgApACwAXABuACAAIAAgACAAIAAgACAAIAAvAC8AIABHAGUAdAAgAHQAaABlACAAZgBpAGwAZQBuAGEAbQBlACAAcwB0AHIAaQBuAGcAIAB1AHMAaQBuAGcAIAB0AGgAZQAgAG4AYQB0AGkAdgBlACAAQwBFAEwATAAoACkAIABmAHUAbgBjAHQAaQBvAG4AIABhAG4AZAAgAHQAaABlACAAYwBlAGwAbABfAHIAZQBmACAAYQByAGcAdQBtAGUAbgB0AFwAbgAgACAAIAAgACAAIAAgACAAXwBmAGkAbABlAE4AYQBtAGUALAAgAEMARQBMAEwAKABcACIAZgBpAGwAZQBuAGEAbQBlAFwAIgAsACAAYwBlAGwAbABfAHIAZQBmACkALABcAG4AIAAgACAAIAAgACAAIAAgAC8ALwAgAFUAcwBlACAAdABoAGUAIABUAEUAWABUAEEARgBUAEUAUgAoACkAIABmAHUAbgBjAHQAaQBvAG4AIAB0AG8AIABsAG8AbwBrACAAZgBvAHIAIAB0AGgAZQAgAGYAaQBuAGEAbAAgAFwAIgBdAFwAIgAgAGMAaABhAHIAYQBjAHQAZQByACAAaQBuACAAdABoAGUAIABmAGkAbABlAG4AYQBtAGUAIABzAHQAcgBpAG4AZwBcAG4AIAAgACAAIAAgACAAIAAgAC8ALwAgAEkAZgAgAG4AbwAgAG0AYQB0AGMAaABpAG4AZwAgAFwAIgBdAFwAIgAgAGMAaABhAHIAYQBjAHQAZQByACAAaQBzACAAZgBvAHUAbgBkACAAdABoAGUAbgAgAHIAZQB0AHUAcgBuACAAYQBuACAAZQBtAHAAdAB5ACAAcwB0AHIAaQBuAGcAXABuACAAIAAgACAAIAAgACAAIABfAHcAcwBOAGEAbQBlACwAIABJAEYAKABfAGYAaQBsAGUATgBhAG0AZQAgADwAPgAgAFwAIgBcACIALAAgAFQARQBYAFQAQQBGAFQARQBSACgAIABfAGYAaQBsAGUATgBhAG0AZQAsACAAXAAiAF0AXAAiACwAIAAtADEALAAgACwAIAAsACAAXAAiACMAXAAiACkALAAgAFwAIgAjAFsARQByAHIAbwByADoAIABXAG8AcgBrAGIAbwBvAGsAIABtAHUAcwB0ACAAYgBlACAAcwBhAHYAZQBkAF0AXAAiACkALABcAG4AIAAgACAAIAAgACAAIAAgAC8ALwAgAEMAaABlAGMAawAgAGYAbwByACAAYQBuACAAZQByAHIAbwByACAAdgBhAGwAdQBlACAAbwByACAAZQBtAHAAdAB5ACAAcwB0AHIAaQBuAGcAIABhAG4AZAAgAGkAZgAgAGYAbwB1AG4AZAAgAHIAZQB0AHUAcgBuACAAYQAgAGMAdQBzAHQAbwBtACAAZQByAHIAbwByACAAbQBlAHMAcwBhAGcAZQAsACAAbwB0AGgAZQByAHcAaQBzAGUAIAByAGUAdAB1AHIAbgAgAHQAaABlACAAdwBvAHIAawBzAGgAZQBlAHQAIABuAGEAbQBlACAAcwB0AHIAaQBuAGcAXABuACAAIAAgACAAIAAgACAAIABfAHIAdABuACwAIABJAEYAKAAgAE8AUgAoACAASQBTAEUAUgBSAE8AUgAoAF8AdwBzAE4AYQBtAGUAKQAsACAAXwB3AHMATgBhAG0AZQAgAD0AIABcACIAIwBcACIAKQAsACAAXAAiACMAWwBFAHIAcgBvAHIAIAByAGUAYQBkAGkAbgBnACAAUwBoAGUAZQB0ACAAbgBhAG0AZQBdAFwAIgAsACAAXwB3AHMATgBhAG0AZQApACwAXABuACAAIAAgACAAIAAgACAAIAAvAC8AIABGAGkAbgBhAGwAIABjAGgAZQBjAGsAIAB0AG8AIABzAGUAZQAgAGkAZgAgAHQAaABlAHIAZQAgAHcAYQBzACAAYQBuACAAaQBuAHAAdQB0ACAAZQByAHIAbwByACwAIABhAG4AZAAgAGkAZgAgAHMAbwAgAHIAZQB0AHUAcgBuACAAdABoAGUAIABjAHUAcwB0AG8AbQAgAGUAcgByAG8AcgAgAG0AZQBzAHMAYQBnAGUAXABuACAAIAAgACAAIAAgACAAIABJAEYAKABfAGkAbgBwAEMAaABrACAAPAA+ACAAXAAiAFwAIgAsACAAXwBpAG4AcABDAGgAawAsACAAXwByAHQAbgApAFwAbgAgACAAIAAgACkAXABuACkAOwBcAG4AXABuAC8AKgAgACAAUgBYAEwAXwBXAG8AcgBrAGIAbwBvAGsATgBhAG0AZQAgAEYAdQBuAGMAdABpAG8AbgBcAG4AIAAgACAAIAAgACAAIAAgAHYAZQByAHMAaQBvAG4AIAAxAC4AMAA1ACAAIAAoADIAMwAtAE0AYQByAC0AMgAwADIANQApAFwAbgAgACAAIAAgACAAIAAgACAAUgAgAFMAaQBsAGsALAAgAFIAWABMACAARABlAHYAZQBsAG8AcABtAGUAbgB0AFwAbgAgACAAIAAgACAAIAAgACAAaAB0AHQAcABzADoALwAvAGcAaQBzAHQALgBnAGkAdABoAHUAYgAuAGMAbwBtAC8AcgAtAHMAaQBsAGsALwAzADMAMwAxAGEAOAA0ADMAYQAyADgANgA4ADMANQBjAGYANwAzAGEAMgA0ADgAYwA2ADgAZQBjADAAMABmADcAXABuACoALwBcAG4ALwAqAFwAbgAgACAAIAAgAE4AYQBtAGUAOgAgACAAIAAgACAAIAAgACAAVwBvAHIAawBiAG8AbwBrAE4AYQBtAGUAKAApAFwAbgAgACAAIAAgAEQAZQBzAGMAcgBpAHAAdABpAG8AbgA6ACAAKgAvAC8AKgAqAFIAZQB0AHUAcgBuAHMAIAB0AGgAZQAgAFcAbwByAGsAYgBvAG8AawAgAG4AYQBtAGUALAAgAHcAaQB0AGgAIABvAHIAIAB3AGkAdABoAG8AdQB0ACAAdABoAGUAIABmAGkAbABlACAAZQB4AHQAZQBuAHMAaQBvAG4ALAAgAGYAbwByACAAdABoAGUAIABjAGUAbABsACAAcgBlAGYAZQByAGUAbgBjAGUAIABwAHIAbwB2AGkAZABlAGQAOwAgAFcAbwByAGsAYgBvAG8AawAgAG0AdQBzAHQAIABiAGUAIABzAGEAdgBlAGQAIABmAGkAcgBzAHQAKgAvAC8AKgBcAG4AIAAgACAAIABQAGEAcgBhAG0AZQB0AGUAcgBzADoAXABuACAAIAAgACAAIAAgACAAIAArACAAYwBlAGwAbABfAHIAZQBmACAAIAAgACAAIAAgACAAIAAgACAAPQAgACgAcgBlAHEAdQBpAHIAZQBkACkAIABBACAAdgBhAGwAaQBkACAAYwBlAGwAbAAgAHIAZQBmAGUAcgBlAG4AYwBlACwAIABlAC4AZwAuACAAQQAxACwAIABvAHIAIAAnAFMAaABlAGUAdAAxACcAIQBBADEAXABuACAAIAAgACAAIAAgACAAIAArACAAcgBlAG0AbwB2AGUAXwBlAHgAdABlAG4AcwBpAG8AbgAgACAAPQAgACgAbwBwAHQAaQBvAG4AYQBsACkAIABBACAAVABSAFUARQAvAEYAQQBMAFMARQAgAG8AcgAgADEALwAwACAAdgBhAGwAdQBlACAAdABvACAAZABlAHQAZQByAG0AaQBuAGUAIAB3AGgAZQB0AGgAZQByACAAdABvACAAcgBlAG0AbwB2AGUAIAB0AGgAZQAgAGYAaQBsAGUAIABlAHgAdABlAG4AcwBpAG8AbgAgAGYAcgBvAG0AIAB0AGgAZQAgAHcAbwByAGsAYgBvAG8AawAgAGYAaQBsAGUAbgBhAG0AZQBcAG4AIAAgACAAIABFAHIAcgBvAHIAIABjAG8AZABlAHMAOgBcAG4AIAAgACAAIAAgACAAIAAgACMAWwBFAHIAcgBvAHIAOgAgAGMAZQBsAGwAIAByAGUAZgBlAHIAZQBuAGMAZQAgAHIAZQBxAHUAaQByAGUAZABdACAAIAAgAD0AIAB0AGgAZQAgAGMAZQBsAGwAXwByAGUAZgAgAHAAYQByAGEAbQBlAHQAZQByACAAcgBlAHEAdQBpAHIAZQBzACAAYQAgAHYAYQBsAGkAZAAgAGMAZQBsAGwAIAByAGUAZgBlAHIAZQBuAGMAZQBcAG4AIAAgACAAIAAgACAAIAAgACMAWwBFAHIAcgBvAHIAOgAgAFcAbwByAGsAYgBvAG8AawAgAG0AdQBzAHQAIABiAGUAIABzAGEAdgBlAGQAXQAgACAAIAAgAD0AIAB0AGgAZQAgAFcAbwByAGsAYgBvAG8AawAgAGYAaQBsAGUAIABtAHUAcwB0ACAAYgBlACAAcwBhAHYAZQBkACAAZgBpAHIAcwB0ACAAaQBuACAAbwByAGQAZQByACAAZgBvAHIAIAB0AGgAZQAgAGYAdQBuAGMAdABpAG8AbgAgAHQAbwAgAHcAbwByAGsAIABjAG8AcgByAGUAYwB0AGwAeQBcAG4AIAAgACAAIAAgACAAIAAgACMAWwBFAHIAcgBvAHIAIAByAGUAYQBkAGkAbgBnACAAVwBvAHIAawBiAG8AbwBrACAAbgBhAG0AZQBdACAAIAAgACAAIAAgAD0AIABhAG4AIABlAHIAcgBvAHIAIABvAGMAYwB1AHIAcgBlAGQAIABnAGUAdAB0AGkAbgBnACAAdABoAGUAIABmAGkAbABlAG4AYQBtAGUAIABzAHQAcgBpAG4AZwAgAG8AcgAgAGUAeAB0AHIAYQBjAHQAaQBuAGcAIAB0AGgAZQAgAFcAbwByAGsAYgBvAG8AawAgAG4AYQBtAGUAIABmAHIAbwBtACAAdABoAGUAIABmAGkAbABlAG4AYQBtAGUAIABzAHQAcgBpAG4AZwBcAG4AIAAgACAAIABOAG8AdABlAHMAOgBcAG4AIAAgACAAIAAgACAAIAAgAC0AIABUAGgAZQAgAGYAdQBuAGMAdABpAG8AbgAgAG8AdQB0AHAAdQB0AHMAIABjAHUAcwB0AG8AbQAgAGUAcgByAG8AcgAgAG0AZQBzAHMAYQBnAGUAcwAgAGEAcwAgAHMAdAByAGkAbgBnAHMAOwAgAHQAaABlAHMAZQAgAHcAaQBsAGwAIABuAG8AdAAgAGIAZQAgAGYAbABhAGcAZwBlAGQAIABiAHkAIABFAHgAYwBlAGwAIABvAHIAIABhAG4AeQAgAGEAZABkAC0AaQBuAHMAIABhAHMAIABlAHIAcgBvAHIAIABjAGUAbABsAHMALgBcAG4AIAAgACAAIAAgACAAIAAgAC0AIABBAGwAdABlAHIAbgBhAHQAaQB2AGUAbAB5ACwAIAB0AGgAZQAgAGMAdQBzAHQAbwBtACAAZQByAHIAbwByACAAbQBlAHMAcwBhAGcAZQBzACAAYwBhAG4AIABiAGUAIAByAGUAcABsAGEAYwBlAGQAIAB3AGkAdABoACAAbgBhAHQAaQB2AGUAIABFAHgAYwBlAGwAIABlAHIAcgBvAHIAIABjAG8AZABlAHMAIABzAG8AIAB0AGgAYQB0ACAAdABoAGUAIABlAHIAcgBvAHIAIABpAHMAIABmAGwAYQBnAGcAZQBkACAAaQBuACAAdABoAGUAIABuAG8AcgBtAGEAbAAgAHcAYQB5ADsAIABcAG4AIAAgACAAIAAgACAAIAAgACAAIAB0AG8AIABkAG8AIAB0AGgAaQBzADoAXABuACAAIAAgACAAIAAgACAAIAAgACAAIAAgAC0ALQAgAHIAZQBwAGwAYQBjAGUAIAB0AGgAZQAgAFwAIgAjAFsARQByAHIAbwByADoAIABjAGUAbABsACAAcgBlAGYAZQByAGUAbgBjAGUAIAByAGUAcQB1AGkAcgBlAGQAXQBcACIAIABzAHQAcgBpAG4AZwAgAHcAaQB0AGgAIAB0AGgAZQAgACMAVgBBAEwAVQBFACEAIAAoAG8AcgAgACMAUgBFAEYAIQApACAAZQByAHIAbwByACAAYwBvAGQAZQBcAG4AIAAgACAAIAAgACAAIAAgACAAIAAgACAALQAtACAAcgBlAHAAbABhAGMAZQAgAHQAaABlACAAXAAiACMAWwBFAHIAcgBvAHIAOgAgAFcAbwByAGsAYgBvAG8AawAgAG0AdQBzAHQAIABiAGUAIABzAGEAdgBlAGQAXQBcACIAIABhAG4AZAAgAFwAIgAjAFsARQByAHIAbwByACAAcgBlAGEAZABpAG4AZwAgAFcAbwByAGsAYgBvAG8AawAgAG4AYQBtAGUAXQBcACIAIABzAHQAcgBpAG4AZwBzACAAdwBpAHQAaAAgAEwAQQBNAEIARABBACgAMAApACAAaQBuACAAbwByAGQAZQByACAAdABvACAAYwByAGUAYQB0AGUAIABhACAAIwBDAEEATABDACEAIABlAHIAcgBvAHIAIABjAG8AZABlAFwAbgAqAC8AXABuAFIAWABMAF8AVwBvAHIAawBiAG8AbwBrAE4AYQBtAGUAIAA9ACAATABBAE0AQgBEAEEAKABcAG4AIAAgACAAIAAvAC8AIABQAGEAcgBhAG0AZQB0AGUAcgAgAGQAZQBmAGkAbgBpAHQAaQBvAG4AcwBcAG4AIAAgACAAIABjAGUAbABsAF8AcgBlAGYALABcAG4AIAAgACAAIABbAHIAZQBtAG8AdgBlAF8AZQB4AHQAZQBuAHMAaQBvAG4AXQAsAFwAbgAgACAAIAAgAC8ALwAgAE0AYQBpAG4AIABmAHUAbgBjAHQAaQBvAG4AIABiAG8AZAB5AC8AYwBhAGwAYwB1AGwAYQB0AGkAbwBuAHMAXABuACAAIAAgACAATABFAFQAKABcAG4AIAAgACAAIAAgACAAIAAgAC8ALwAgAFUAcABkAGEAdABlACAAdABoAGUAIABvAHAAdABpAG8AbgBhAGwAIABpAG4AcAB1AHQAIAB0AG8AIABhACAAZABlAGYAYQB1AGwAdAAgAG8AZgAgAEYAYQBsAHMAZQAgAGkAZgAgAG8AbQBpAHQAdABlAGQAIABvAHIAIABhACAAbgBvAG4ALQBCAG8AbwBsAGUAYQBuAC8AbgBvAG4ALQBuAHUAbQBlAHIAaQBjACAAdgBhAGwAdQBlACAAaQBzACAAcwB1AHAAcABsAGkAZQBkAFwAbgAgACAAIAAgACAAIAAgACAAXwBlAHgAdABDAGgAawAsACAAQQBOAEQAKAAgAE4ATwBUACgASQBTAEwATwBHAEkAQwBBAEwAKAByAGUAbQBvAHYAZQBfAGUAeAB0AGUAbgBzAGkAbwBuACkAKQAsACAATgBPAFQAKABJAFMATgBVAE0AQgBFAFIAKAByAGUAbQBvAHYAZQBfAGUAeAB0AGUAbgBzAGkAbwBuACkAKQApACwAXABuACAAIAAgACAAIAAgACAAIABfAGYAaQBsAGUARQB4AHQALAAgAEkARgAoACAAXABuACAAIAAgACAAIAAgACAAIAAgACAAIAAgAE8AUgAoACAASQBTAE8ATQBJAFQAVABFAEQAKAByAGUAbQBvAHYAZQBfAGUAeAB0AGUAbgBzAGkAbwBuACkALAAgAF8AZQB4AHQAQwBoAGsAKQAsACAAXABuACAAIAAgACAAIAAgACAAIAAgACAAIAAgAEYAQQBMAFMARQAsAFwAbgAgACAAIAAgACAAIAAgACAAIAAgACAAIAByAGUAbQBvAHYAZQBfAGUAeAB0AGUAbgBzAGkAbwBuAFwAbgAgACAAIAAgACAAIAAgACAAKQAsAFwAbgAgACAAIAAgACAAIAAgACAALwAvACAAQwBoAGUAYwBrACAAdABoAGEAdAAgAHQAaABlACAAYwBlAGwAbABfAHIAZQBmACAAaQBuAHAAdQB0ACAAcwB1AHAAcABsAGkAZQBkACAAaQBzACAAYQAgAHYAYQBsAGkAZAAgAGMAZQBsAGwAIAByAGUAZgBlAHIAZQBuAGMAZQBcAG4AIAAgACAAIAAgACAAIAAgAF8AaQBuAHAAQwBoAGsALAAgAEkARgAoACAAXABuACAAIAAgACAAIAAgACAAIAAgACAAIAAgAE4ATwBUACgASQBTAFIARQBGACgAYwBlAGwAbABfAHIAZQBmACkAKQAsACAAXABuACAAIAAgACAAIAAgACAAIAAgACAAIAAgAFwAIgAjAFsARQByAHIAbwByADoAIABjAGUAbABsACAAcgBlAGYAZQByAGUAbgBjAGUAIAByAGUAcQB1AGkAcgBlAGQAXQBcACIALAAgAFwAbgAgACAAIAAgACAAIAAgACAAIAAgACAAIABcACIAXAAiAFwAbgAgACAAIAAgACAAIAAgACAAKQAsAFwAbgAgACAAIAAgACAAIAAgACAALwAvACAARwBlAHQAIAB0AGgAZQAgAGYAaQBsAGUAbgBhAG0AZQAgAHMAdAByAGkAbgBnACAAdQBzAGkAbgBnACAAdABoAGUAIABuAGEAdABpAHYAZQAgAEMARQBMAEwAKAApACAAZgB1AG4AYwB0AGkAbwBuACAAYQBuAGQAIAB0AGgAZQAgAGMAZQBsAGwAXwByAGUAZgAgAGEAcgBnAHUAbQBlAG4AdABcAG4AIAAgACAAIAAgACAAIAAgAF8AZgBpAGwAZQBOAGEAbQBlACwAIABDAEUATABMACgAXAAiAGYAaQBsAGUAbgBhAG0AZQBcACIALAAgAGMAZQBsAGwAXwByAGUAZgApACwAXABuACAAIAAgACAAIAAgACAAIAAvAC8AIABVAHMAZQAgAGEAIABjAG8AbQBiAGkAbgBhAHQAaQBvAG4AIABvAGYAIAB0AGgAZQAgAFQARQBYAFQAQQBGAFQARQBSACgAKQAgAGEAbgBkACAAVABFAFgAVABCAEUARgBPAFIARQAoACkAIABmAHUAbgBjAHQAaQBvAG4AcwAgAHQAbwAgAGcAZQB0ACAAdABoAGUAIAB3AG8AcgBrAGIAbwBvAGsAIABuAGEAbQBlACAAZgByAG8AbQAgAHQAaABlACAAZgBpAGwAZQBuAGEAbQBlACAAcwB0AHIAaQBuAGcAXABuACAAIAAgACAAIAAgACAAIABfAHMAdAByAE4AYQBtAGUALAAgAFQARQBYAFQAQgBFAEYATwBSAEUAKAAgAFQARQBYAFQAQQBGAFQARQBSACgAXwBmAGkAbABlAE4AYQBtAGUALAAgAFwAIgBbAFwAIgAsACAALQAxACwAIAAsACAALAAgAFwAIgAjAFwAIgApACwAIABcACIAXQBcACIALAAgAC0AMQAsACAALAAgACwAIABcACIAIwBcACIAKQAsAFwAbgAgACAAIAAgACAAIAAgACAALwAvACAAUgBlAG0AbwB2AGUAIAB0AGgAZQAgAGYAaQBsAGUAIABlAHgAdABlAG4AcwBpAG8AbgAgAGYAcgBvAG0AIAB0AGgAZQAgAHcAbwByAGsAYgBvAG8AawAgAG4AYQBtAGUAIABzAHQAcgBpAG4AZwAgAGEAcwAgAHIAZQBxAHUAaQByAGUAZABcAG4AIAAgACAAIAAgACAAIAAgAF8AdwBiAE4AYQBtAGUALAAgAEkARgAoAFwAbgAgACAAIAAgACAAIAAgACAAIAAgACAAIABfAGYAaQBsAGUARQB4AHQALAAgAFwAbgAgACAAIAAgACAAIAAgACAAIAAgACAAIABUAEUAWABUAEIARQBGAE8AUgBFACgAXwBzAHQAcgBOAGEAbQBlACwAIABcACIALgBcACIALAAgAC0AMQAsACAALAAgACwAIABfAHMAdAByAE4AYQBtAGUAKQAsACAAXABuACAAIAAgACAAIAAgACAAIAAgACAAIAAgAF8AcwB0AHIATgBhAG0AZQBcAG4AIAAgACAAIAAgACAAIAAgACkALABcAG4AIAAgACAAIAAgACAAIAAgAC8ALwAgAEQAZQB0AGUAcgBtAGkAbgBlACAAdwBoAGUAdABoAGUAcgAgAHQAbwAgAHIAZQB0AHUAcgBuACAAYQBuACAAZQByAHIAbwByACAAbQBlAHMAcwBhAGcAZQAgAG8AcgAgAHQAaABlACAAdwBvAHIAawBiAG8AbwBrACAAbgBhAG0AZQAgAHMAdAByAGkAbgBnAFwAbgAgACAAIAAgACAAIAAgACAAXwByAHQAbgAsACAASQBGAFMAKABcAG4AIAAgACAAIAAgACAAIAAgACAAIAAgACAAXwBmAGkAbABlAE4AYQBtAGUAIAA9ACAAXAAiAFwAIgAsACAAXAAiACMAWwBFAHIAcgBvAHIAOgAgAFcAbwByAGsAYgBvAG8AawAgAG0AdQBzAHQAIABiAGUAIABzAGEAdgBlAGQAXQBcACIALABcAG4AIAAgACAAIAAgACAAIAAgACAAIAAgACAATwBSACgAIABJAFMARQBSAFIATwBSACgAXwB3AGIATgBhAG0AZQApACwAIABfAHcAYgBOAGEAbQBlACAAPQAgAFwAIgAjAFwAIgApACwAIABcACIAIwBbAEUAcgByAG8AcgAgAHIAZQBhAGQAaQBuAGcAIABXAG8AcgBrAGIAbwBvAGsAIABuAGEAbQBlAF0AXAAiACwAIABcAG4AIAAgACAAIAAgACAAIAAgACAAIAAgACAAVABSAFUARQAsACAAXwB3AGIATgBhAG0AZQBcAG4AIAAgACAAIAAgACAAIAAgACkALABcAG4AIAAgACAAIAAgACAAIAAgAC8ALwAgAEYAaQBuAGEAbABsAHkAIABkAGUAdABlAHIAbQBpAG4AZQAgAHcAaABlAHQAaABlAHIAIAB0AG8AIAByAGUAdAB1AHIAbgAgAGEAbgAgAGkAbgBwAHUAdAAgAGUAcgByAG8AcgAgAG0AZQBzAHMAYQBnAGUAIABvAHIAIAB0AGgAZQAgAHIAZQB0AHUAcgBuACAAcwB0AHIAaQBuAGcAXABuACAAIAAgACAAIAAgACAAIABJAEYAKABfAGkAbgBwAEMAaABrACAAPAA+ACAAXAAiAFwAIgAsACAAXwBpAG4AcABDAGgAawAsACAAXwByAHQAbgApAFwAbgAgACAAIAAgACkAXABuACkAOwBcAG4AXABuAC8AKgAgACAAUgBYAEwAXwBGAGkAbABlAFAAYQB0AGgAIABGAHUAbgBjAHQAaQBvAG4AXABuACAAIAAgACAAIAAgACAAIAB2AGUAcgBzAGkAbwBuACAAMQAuADAANAAgACAAKAAyADMALQBNAGEAcgAtADIAMAAyADUAKQBcAG4AIAAgACAAIAAgACAAIAAgAFIAIABTAGkAbABrACwAIABSAFgATAAgAEQAZQB2AGUAbABvAHAAbQBlAG4AdABcAG4AIAAgACAAIAAgACAAIAAgAGgAdAB0AHAAcwA6AC8ALwBnAGkAcwB0AC4AZwBpAHQAaAB1AGIALgBjAG8AbQAvAHIALQBzAGkAbABrAC8AMgA2ADUAZAA5AGEAZAAxAGUAMwA2AGUANwAwAGYAMQAxADIAYQA3ADEAYgA3AGEAZAAwAGQAZQBmADQAOABmAFwAbgAqAC8AXABuAC8AKgBcAG4AIAAgACAAIABOAGEAbQBlADoAIAAgACAAIAAgACAAIAAgAEYAaQBsAGUAUABhAHQAaAAoACkAXABuACAAIAAgACAARABlAHMAYwByAGkAcAB0AGkAbwBuADoAIAAqAC8ALwAqACoAUgBlAHQAdQByAG4AcwAgAHQAaABlACAAVwBvAHIAawBiAG8AbwBrACAAZgBpAGwAZQAgAHAAYQB0AGgALAAgAHcAaQB0AGgAIABvAHIAIAB3AGkAdABoAG8AdQB0ACAAdABoAGUAIABmAHUAbABsACAAZgBpAGwAZQAgAG4AYQBtAGUALAAgAGYAbwByACAAdABoAGUAIABjAGUAbABsACAAcgBlAGYAZQByAGUAbgBjAGUAIABwAHIAbwB2AGkAZABlAGQAOwAgAFcAbwByAGsAYgBvAG8AawAgAG0AdQBzAHQAIABiAGUAIABzAGEAdgBlAGQAIABmAGkAcgBzAHQAKgAvAC8AKgBcAG4AIAAgACAAIABQAGEAcgBhAG0AZQB0AGUAcgBzADoAXABuACAAIAAgACAAIAAgACAAIAArACAAYwBlAGwAbABfAHIAZQBmACAAIAAgACAAIAAgACAAIAAgACAAPQAgACgAcgBlAHEAdQBpAHIAZQBkACkAIABBACAAdgBhAGwAaQBkACAAYwBlAGwAbAAgAHIAZQBmAGUAcgBlAG4AYwBlACwAIABlAC4AZwAuACAAQQAxACwAIABvAHIAIAAnAFMAaABlAGUAdAAxACcAIQBBADEAXABuACAAIAAgACAAIAAgACAAIAArACAAcgBlAG0AbwB2AGUAXwBsAGEAcwB0AF8AYwBoAGEAcgAgACAAPQAgACgAbwBwAHQAaQBvAG4AYQBsACkAIABBACAAVABSAFUARQAvAEYAQQBMAFMARQAgAG8AcgAgADEALwAwACAAdgBhAGwAdQBlACAAdABvACAAZABlAHQAZQByAG0AaQBuAGUAIAB3AGgAZQB0AGgAZQByACAAdABvACAAcgBlAG0AbwB2AGUAIAB0AGgAZQAgAGwAYQBzAHQAIABjAGgAYQByAGEAYwB0AGUAcgAgAGkAbgAgAHQAaABlACAAZgBpAGwAZQAgAHAAYQB0AGgAIABzAHQAcgBpAG4AZwBcAG4AIAAgACAAIAAgACAAIAAgACsAIABpAG4AYwBfAGYAaQBsAGUAXwBuAGEAbQBlACAAIAAgACAAIAA9ACAAKABvAHAAdABpAG8AbgBhAGwAKQAgAEEAIABUAFIAVQBFAC8ARgBBAEwAUwBFACAAbwByACAAMQAvADAAIAB2AGEAbAB1AGUAIAB0AG8AIABkAGUAdABlAHIAbQBpAG4AZQAgAHcAaABlAHQAaABlAHIAIAB0AG8AIABpAG4AYwBsAHUAZABlACAAdABoAGUAIABmAHUAbABsACAAZgBpAGwAZQAgAG4AYQBtAGUAIAB3AGkAdABoACAAZgBpAGwAZQAgAGUAeAB0AGUAbgBzAGkAbwBuAFwAbgAgACAAIAAgAEUAcgByAG8AcgAgAGMAbwBkAGUAcwA6AFwAbgAgACAAIAAgACAAIAAgACAAIwBbAEUAcgByAG8AcgA6ACAAYwBlAGwAbAAgAHIAZQBmAGUAcgBlAG4AYwBlACAAcgBlAHEAdQBpAHIAZQBkAF0AIAAgACAAPQAgAHQAaABlACAAYwBlAGwAbABfAHIAZQBmACAAcABhAHIAYQBtAGUAdABlAHIAIAByAGUAcQB1AGkAcgBlAHMAIABhACAAdgBhAGwAaQBkACAAYwBlAGwAbAAgAHIAZQBmAGUAcgBlAG4AYwBlAFwAbgAgACAAIAAgACAAIAAgACAAIwBbAEUAcgByAG8AcgA6ACAAaQBuAHYAYQBsAGkAZAAgAG8AcAB0AGkAbwBuAGEAbAAgAGkAbgBwAHUAdABdACAAIAAgACAAPQAgAGUAaQB0AGgAZQByACAAdABoAGUAIAByAGUAbQBvAHYAZQBfAGwAYQBzAHQAXwBjAGgAYQByACAAbwB0ACAAaQBuAGMAXwBmAGkAbABlAF8AbgBhAG0AZQAgAGkAbgBwAHUAdABzACAAYQByAGUAIABuAG8AdAAgAGEAIABsAG8AZwBpAGMAYQBsACAAKABUAFIAVQBFAC8ARgBBAEwAUwBFACkAIABvAHIAIABuAHUAbQBlAHIAaQBjACAAdgBhAGwAdQBlAFwAbgAgACAAIAAgACAAIAAgACAAIwBbAEUAcgByAG8AcgA6ACAAVwBvAHIAawBiAG8AbwBrACAAbQB1AHMAdAAgAGIAZQAgAHMAYQB2AGUAZABdACAAIAAgACAAPQAgAHQAaABlACAAVwBvAHIAawBiAG8AbwBrACAAZgBpAGwAZQAgAG0AdQBzAHQAIABiAGUAIABzAGEAdgBlAGQAIABmAGkAcgBzAHQAIABpAG4AIABvAHIAZABlAHIAIABmAG8AcgAgAHQAaABlACAAZgB1AG4AYwB0AGkAbwBuACAAdABvACAAdwBvAHIAawAgAGMAbwByAHIAZQBjAHQAbAB5AFwAbgAgACAAIAAgACAAIAAgACAAIwBbAEUAcgByAG8AcgAgAHIAZQBhAGQAaQBuAGcAIABGAGkAbABlACAAUABhAHQAaABdACAAIAAgACAAIAAgACAAIAAgACAAPQAgAGEAbgAgAGUAcgByAG8AcgAgAG8AYwBjAHUAcgByAGUAZAAgAGcAZQB0AHQAaQBuAGcAIAB0AGgAZQAgAGYAaQBsAGUAIABuAGEAbQBlACAAcwB0AHIAaQBuAGcAIABvAHIAIABlAHgAdAByAGEAYwB0AGkAbgBnACAAdABoAGUAIABmAGkAbABlACAAcABhAHQAaAAgAGYAcgBvAG0AIAB0AGgAZQAgAGYAaQBsAGUAIABuAGEAbQBlACAAcwB0AHIAaQBuAGcAXABuACAAIAAgACAAIAAgACAAIAAjAFsARQByAHIAbwByACAAcgBlAGEAZABpAG4AZwAgAFcAbwByAGsAYgBvAG8AawAgAG4AYQBtAGUAXQAgACAAIAAgACAAIAA9ACAAYQBuACAAZQByAHIAbwByACAAbwBjAGMAdQByAHIAZQBkACAAZwBlAHQAdABpAG4AZwAgAHQAaABlACAAZgBpAGwAZQAgAG4AYQBtAGUAIABzAHQAcgBpAG4AZwAgAG8AcgAgAGUAeAB0AHIAYQBjAHQAaQBuAGcAIAB0AGgAZQAgAFcAbwByAGsAYgBvAG8AawAgAG4AYQBtAGUAIABmAHIAbwBtACAAdABoAGUAIABmAGkAbABlACAAbgBhAG0AZQAgAHMAdAByAGkAbgBnAFwAbgAgACAAIAAgAE4AbwB0AGUAcwA6AFwAbgAgACAAIAAgACAAIAAgACAALQAgAFQAaABlACAAZgB1AG4AYwB0AGkAbwBuACAAbwB1AHQAcAB1AHQAcwAgAGMAdQBzAHQAbwBtACAAZQByAHIAbwByACAAbQBlAHMAcwBhAGcAZQBzACAAYQBzACAAcwB0AHIAaQBuAGcAcwA7ACAAdABoAGUAcwBlACAAdwBpAGwAbAAgAG4AbwB0ACAAYgBlACAAZgBsAGEAZwBnAGUAZAAgAGIAeQAgAEUAeABjAGUAbAAgAG8AcgAgAGEAbgB5ACAAYQBkAGQALQBpAG4AcwAgAGEAcwAgAGUAcgByAG8AcgAgAGMAZQBsAGwAcwAuAFwAbgAgACAAIAAgACAAIAAgACAALQAgAEEAbAB0AGUAcgBuAGEAdABpAHYAZQBsAHkALAAgAHQAaABlACAAYwB1AHMAdABvAG0AIABlAHIAcgBvAHIAIABtAGUAcwBzAGEAZwBlAHMAIABjAGEAbgAgAGIAZQAgAHIAZQBwAGwAYQBjAGUAZAAgAHcAaQB0AGgAIABuAGEAdABpAHYAZQAgAEUAeABjAGUAbAAgAGUAcgByAG8AcgAgAGMAbwBkAGUAcwAgAHMAbwAgAHQAaABhAHQAIAB0AGgAZQAgAGUAcgByAG8AcgAgAGkAcwAgAGYAbABhAGcAZwBlAGQAIABpAG4AIAB0AGgAZQAgAG4AbwByAG0AYQBsACAAdwBhAHkAOwAgAFwAbgAgACAAIAAgACAAIAAgACAAIAAgAHQAbwAgAGQAbwAgAHQAaABpAHMAOgBcAG4AIAAgACAAIAAgACAAIAAgACAAIAAgACAALQAtACAAcgBlAHAAbABhAGMAZQAgAHQAaABlACAAXAAiACMAWwBFAHIAcgBvAHIAOgAgAGMAZQBsAGwAIAByAGUAZgBlAHIAZQBuAGMAZQAgAHIAZQBxAHUAaQByAGUAZABdAFwAIgAgAHMAdAByAGkAbgBnACAAdwBpAHQAaAAgAHQAaABlACAAIwBWAEEATABVAEUAIQAgACgAbwByACAAIwBSAEUARgAhACkAIABlAHIAcgBvAHIAIABjAG8AZABlAFwAbgAgACAAIAAgACAAIAAgACAAIAAgACAAIAAtAC0AIAByAGUAcABsAGEAYwBlACAAdABoAGUAIABcACIAIwBbAEUAcgByAG8AcgA6ACAAaQBuAHYAYQBsAGkAZAAgAG8AcAB0AGkAbwBuAGEAbAAgAGkAbgBwAHUAdABdAFwAIgAgAHMAdAByAGkAbgBnACAAdwBpAHQAaAAgAHQAaABlACAAIwBWAEEATABVAEUAIQAgAGUAcgByAG8AcgAgAGMAbwBkAGUAXABuACAAIAAgACAAIAAgACAAIAAgACAAIAAgAC0ALQAgAHIAZQBwAGwAYQBjAGUAIAB0AGgAZQAgAFwAIgAjAFsARQByAHIAbwByADoAIABXAG8AcgBrAGIAbwBvAGsAIABtAHUAcwB0ACAAYgBlACAAcwBhAHYAZQBkAF0AXAAiACwAIABcACIAIwBbAEUAcgByAG8AcgAgAHIAZQBhAGQAaQBuAGcAIABGAGkAbABlACAAUABhAHQAaABdAFwAIgAsACAAYQBuAGQAIABcACIAIwBbAEUAcgByAG8AcgAgAHIAZQBhAGQAaQBuAGcAIABTAGgAZQBlAHQAIABuAGEAbQBlAF0AXAAiACAAcwB0AHIAaQBuAGcAcwAgAHcAaQB0AGgAIABMAEEATQBCAEQAQQAoADAAKQAgAGkAbgAgAG8AcgBkAGUAcgAgAHQAbwAgAGMAcgBlAGEAdABlACAAYQAgACMAQwBBAEwAQwAhACAAZQByAHIAbwByACAAYwBvAGQAZQBcAG4AKgAvAFwAbgBSAFgATABfAEYAaQBsAGUAUABhAHQAaAAgAD0AIABMAEEATQBCAEQAQQAoAFwAbgAgACAAIAAgAC8ALwAgAFAAYQByAGEAbQBlAHQAZQByACAAZABlAGYAaQBuAGkAdABpAG8AbgBzAFwAbgAgACAAIAAgAGMAZQBsAGwAXwByAGUAZgAsAFwAbgAgACAAIAAgAFsAcgBlAG0AbwB2AGUAXwBsAGEAcwB0AF8AYwBoAGEAcgBdACwAXABuACAAIAAgACAAWwBpAG4AYwBfAGYAaQBsAGUAXwBuAGEAbQBlAF0ALABcAG4AIAAgACAAIAAvAC8AIABNAGEAaQBuACAAZgB1AG4AYwB0AGkAbwBuACAAYgBvAGQAeQAvAGMAYQBsAGMAdQBsAGEAdABpAG8AbgBzAFwAbgAgACAAIAAgAEwARQBUACgAXABuACAAIAAgACAAIAAgACAAIAAvAC8AIABJAG4AcAB1AHQAIABjAGgAZQBjAGsAcwBcAG4AIAAgACAAIAAgACAAIAAgAF8AYwBoAHIAQwBoAGsALAAgAEEATgBEACgAIABOAE8AVAAoAEkAUwBPAE0ASQBUAFQARQBEACgAcgBlAG0AbwB2AGUAXwBsAGEAcwB0AF8AYwBoAGEAcgApACkALAAgAE4ATwBUACgASQBTAEwATwBHAEkAQwBBAEwAKAByAGUAbQBvAHYAZQBfAGwAYQBzAHQAXwBjAGgAYQByACkAKQAsACAATgBPAFQAKABJAFMATgBVAE0AQgBFAFIAKAByAGUAbQBvAHYAZQBfAGwAYQBzAHQAXwBjAGgAYQByACkAKQApACwAXABuACAAIAAgACAAIAAgACAAIABfAGYAbgBtAEMAaABrACwAIABBAE4ARAAoACAATgBPAFQAKABJAFMATwBNAEkAVABUAEUARAAoAGkAbgBjAF8AZgBpAGwAZQBfAG4AYQBtAGUAKQApACwAIABOAE8AVAAoAEkAUwBMAE8ARwBJAEMAQQBMACgAaQBuAGMAXwBmAGkAbABlAF8AbgBhAG0AZQApACkALAAgAE4ATwBUACgASQBTAE4AVQBNAEIARQBSACgAaQBuAGMAXwBmAGkAbABlAF8AbgBhAG0AZQApACkAKQAsAFwAbgAgACAAIAAgACAAIAAgACAAXwByAGUAZgBDAGgAawAsACAATgBPAFQAKABJAFMAUgBFAEYAKABjAGUAbABsAF8AcgBlAGYAKQApACwAXABuACAAIAAgACAAIAAgACAAIAAvAC8AIABEAGUAYQBsAGkAbgBnACAAdwBpAHQAaAAgAG8AcAB0AGkAbwBuAGEAbAAgAHAAYQByAGEAbQBlAHQAZQByAHMALAAgAHMAZQB0AHQAaQBuAGcAIABkAGUAZgBhAHUAbAB0ACAAdgBhAGwAdQBlAHMAIABpAGYAIABvAG0AaQB0AHQAZQBkAFwAbgAgACAAIAAgACAAIAAgACAAXwBsAGEAcwB0AEMAaAByACwAIABJAEYAKABcAG4AIAAgACAAIAAgACAAIAAgACAAIAAgACAATwBSACgAIABJAFMATwBNAEkAVABUAEUARAAoAHIAZQBtAG8AdgBlAF8AbABhAHMAdABfAGMAaABhAHIAKQAsACAAXwBjAGgAcgBDAGgAawApACwAXABuACAAIAAgACAAIAAgACAAIAAgACAAIAAgAEYAQQBMAFMARQAsAFwAbgAgACAAIAAgACAAIAAgACAAIAAgACAAIAByAGUAbQBvAHYAZQBfAGwAYQBzAHQAXwBjAGgAYQByAFwAbgAgACAAIAAgACAAIAAgACAAKQAsAFwAbgAgACAAIAAgACAAIAAgACAAXwBpAG4AYwBGAGkAbABlACwAIABJAEYAKABcAG4AIAAgACAAIAAgACAAIAAgACAAIAAgACAATwBSACgAIABJAFMATwBNAEkAVABUAEUARAAoAGkAbgBjAF8AZgBpAGwAZQBfAG4AYQBtAGUAKQAsACAAXwBmAG4AbQBDAGgAawApACwAXABuACAAIAAgACAAIAAgACAAIAAgACAAIAAgAEYAQQBMAFMARQAsAFwAbgAgACAAIAAgACAAIAAgACAAIAAgACAAIABpAG4AYwBfAGYAaQBsAGUAXwBuAGEAbQBlAFwAbgAgACAAIAAgACAAIAAgACAAKQAsAFwAbgAgACAAIAAgACAAIAAgACAALwAvACAARwBlAHQAIAB0AGgAZQAgAGYAdQBsAGwAIABmAGkAbABlACAAcABhAHQAaAAgAGEAbgBkACAAbgBhAG0AZQBcAG4AIAAgACAAIAAgACAAIAAgAF8AZgB1AGwAbAAsACAAQwBFAEwATAAoAFwAIgBmAGkAbABlAG4AYQBtAGUAXAAiACwAIABjAGUAbABsAF8AcgBlAGYAKQAsAFwAbgAgACAAIAAgACAAIAAgACAALwAvACAARQB4AHQAcgBhAGMAdAAgAHQAaABlACAAZgBpAGwAZQAgAHAAYQB0AGgAIABvAG4AbAB5AFwAbgAgACAAIAAgACAAIAAgACAAXwBwAGEAdABoACwAIABUAEUAWABUAEIARQBGAE8AUgBFACgAXwBmAHUAbABsACwAIABcACIAWwBcACIALAAgAC0AMQAsACAALAAgACwAIABcACIAIwBcACIAKQAsAFwAbgAgACAAIAAgACAAIAAgACAAXwBmAGkAbABlAFAAYQB0AGgALAAgAEkARgAoAF8AbABhAHMAdABDAGgAcgAsAFwAbgAgACAAIAAgACAAIAAgACAAIAAgACAAIABMAEUARgBUACgAXwBwAGEAdABoACwAIABMAEUATgAoAF8AcABhAHQAaAApACAALQAgADEAKQAsAFwAbgAgACAAIAAgACAAIAAgACAAIAAgACAAIABfAHAAYQB0AGgAXABuACAAIAAgACAAIAAgACAAIAApACwAXABuACAAIAAgACAAIAAgACAAIAAvAC8AIABFAHgAdAByAGEAYwB0ACAAdABoAGUAIABXAG8AcgBrAGIAbwBvAGsAIABuAGEAbQBlACAAZQBsAGUAbQBlAG4AdAAgAGkAbgBjAC4AIABmAGkAbABlACAAZQB4AHQAZQBuAHMAaQBvAG4AXABuACAAIAAgACAAIAAgACAAIABfAHcAYgBOAGEAbQBlACwAIABUAEUAWABUAEIARQBGAE8AUgBFACgAIABUAEUAWABUAEEARgBUAEUAUgAoAF8AZgB1AGwAbAAsACAAXAAiAFsAXAAiACwAIAAtADEALAAgACwAIAAsACAAXAAiACMAXAAiACkALAAgAFwAIgBdAFwAIgAsACAALQAxACwAIAAsACAALAAgAFwAIgAjAFwAIgApACwAXABuACAAIAAgACAAIAAgACAAIAAvAC8AIABDAGgAZQBjAGsAIABmAG8AcgAgAGkAbgBwAHUAdAAgAGUAcgByAG8AcgBzACAAYQBuAGQAIABjAGEAbABjAHUAbABhAHQAaQBvAG4AIABlAHIAcgBvAHIAcwAsACAAYQBuAGQAIABzAGUAdAAgAHQAaABlACAAYQBwAHAAcgBvAHAAcgBpAGEAdABlACAAZQByAHIAbwByACAAbQBlAHMAcwBhAGcAZQBcAG4AIAAgACAAIAAgACAAIAAgAC8ALwAgAE4AbwB0AGUAIAAtACAAZQByAHIAbwByAHMAIABwAGwAYQBjAGUAZAAgAGkAbgAgAG8AcgBkAGUAcgAgAG8AZgAgAGkAbQBwAG8AcgB0AGEAbgBjAGUALwByAGUAcABvAHIAdABpAG4AZwAgAGEAcwAgAG8AbgBsAHkAIABhACAAcwBpAG4AZwBsAGUAIABtAGUAcwBzAGEAZwBlACAAaQBzACAAcgBlAHQAdQByAG4AZQBkACAAZgBvAHIAIABtAHUAbAB0AGkAcABsAGUAIABlAHIAcgBvAHIAcwBcAG4AIAAgACAAIAAgACAAIAAgAF8AZQByAHIAQwBoAGsALAAgAEkARgBTACgAXABuACAAIAAgACAAIAAgACAAIAAgACAAIAAgAF8AcgBlAGYAQwBoAGsALAAgAFwAIgAjAFsARQByAHIAbwByADoAIABjAGUAbABsACAAcgBlAGYAZQByAGUAbgBjAGUAIAByAGUAcQB1AGkAcgBlAGQAXQBcACIALABcAG4AIAAgACAAIAAgACAAIAAgACAAIAAgACAAXwBmAHUAbABsACAAPQAgAFwAIgBcACIALAAgAFwAIgAjAFsARQByAHIAbwByADoAIABXAG8AcgBrAGIAbwBvAGsAIABtAHUAcwB0ACAAYgBlACAAcwBhAHYAZQBkAF0AXAAiACwAXABuACAAIAAgACAAIAAgACAAIAAgACAAIAAgAE8AUgAoAF8AYwBoAHIAQwBoAGsALAAgAF8AZgBuAG0AQwBoAGsAKQAsACAAXAAiACMAWwBFAHIAcgBvAHIAOgAgAGkAbgB2AGEAbABpAGQAIABvAHAAdABpAG8AbgBhAGwAIABpAG4AcAB1AHQAXQBcACIALABcAG4AIAAgACAAIAAgACAAIAAgACAAIAAgACAATwBSACgAIABJAFMARQBSAFIATwBSACgAXwBmAGkAbABlAFAAYQB0AGgAKQAsACAAXwBmAGkAbABlAFAAYQB0AGgAIAA9ACAAXAAiACMAXAAiACkALAAgAFwAIgAjAFsARQByAHIAbwByACAAcgBlAGEAZABpAG4AZwAgAEYAaQBsAGUAIABQAGEAdABoAF0AXAAiACwAXABuACAAIAAgACAAIAAgACAAIAAgACAAIAAgAEEATgBEACgAIABPAFIAKAAgAEkAUwBFAFIAUgBPAFIAKABfAHcAYgBOAGEAbQBlACkALAAgAF8AdwBiAE4AYQBtAGUAIAA9ACAAXAAiACMAXAAiACkALAAgAF8AaQBuAGMARgBpAGwAZQApACwAIABcACIAIwBbAEUAcgByAG8AcgAgAHIAZQBhAGQAaQBuAGcAIABXAG8AcgBrAGIAbwBvAGsAIABOAGEAbQBlAF0AXAAiACwAXABuACAAIAAgACAAIAAgACAAIAAgACAAIAAgAFQAUgBVAEUALAAgAFwAIgBcACIAXABuACAAIAAgACAAIAAgACAAIAApACwAXABuACAAIAAgACAAIAAgACAAIAAvAC8AIABDAG8AbgBzAHQAcgB1AGMAdAAgAHQAaABlACAAcgBlAHEAdQBpAHIAZQBkACAAbwB1AHQAcAB1AHQAIABzAHQAcgBpAG4AZwBcAG4AIAAgACAAIAAgACAAIAAgAF8AcgB0AG4ALAAgAEkARgAoAF8AaQBuAGMARgBpAGwAZQAsAFwAbgAgACAAIAAgACAAIAAgACAAIAAgACAAIABfAHAAYQB0AGgAIAAmACAAXwB3AGIATgBhAG0AZQAsAFwAbgAgACAAIAAgACAAIAAgACAAIAAgACAAIABfAGYAaQBsAGUAUABhAHQAaABcAG4AIAAgACAAIAAgACAAIAAgACkALABcAG4AIAAgACAAIAAgACAAIAAgAC8ALwAgAEYAaQBuAGEAbAAgAGMAaABlAGMAawAgAC0AIABpAGYAIABhAG4AIABlAHIAcgBvAHIAIABtAGUAcwBzAGEAZwBlACAAaQBzACAAcAByAGUAcwBlAG4AdAAgAHIAZQB0AHUAcgBuACAAdABoAGEAdAAsACAAbwB0AGgAZQByAHcAaQBzAGUAIAByAGUAdAB1AHIAbgAgAHQAaABlACAAYwBvAG4AcwB0AHIAdQBjAHQAZQBkACAAbwB1AHQAcAB1AHQAIABzAHQAcgBpAG4AZwBcAG4AIAAgACAAIAAgACAAIAAgAEkARgAoAF8AZQByAHIAQwBoAGsAIAA8AD4AIABcACIAXAAiACwAIABfAGUAcgByAEMAaABrACwAIABfAHIAdABuACkAXABuACAAIAAgACAAKQBcAG4AKQA7ACIAfQAsAHsAIgBwAGEAdABoACIAOgAiAC8AcAByAG8AagBlAGMAdABzAC8AUgBYAEwAXwBXAGIASQBuAGYAbwAiACwAIgB0AGUAeAB0ACIAOgAiAC8AKgBcAG4AIAAgACAAIABNAE8ARABVAEwARQA6ACAAIAAgACAAIABSAFgATABfAFcAYgBJAG4AZgBvAFwAbgAgACAAIAAgAEEAVQBUAEgATwBSADoAIAAgACAAIAAgAFIAIABTAGkAbABrACwAIABSAFgATAAgAEQAZQB2AGUAbABvAHAAbQBlAG4AdABcAG4AIAAgACAAIABXAEUAQgBTAEkAVABFADoAIAAgACAAIABoAHQAdABwAHMAOgAvAC8AZQB4AGMAZQBsAC0AYgBpAHQAcwAuAG4AZQB0AFwAbgAgACAAIAAgAEcASQBTAFQAIABVAFIATAA6ACAAIAAgAGgAdAB0AHAAcwA6AC8ALwBnAGkAcwB0AC4AZwBpAHQAaAB1AGIALgBjAG8AbQAvAHIALQBzAGkAbABrAC8AOQBjADEAOAAwADkAMABmADYAMABmAGYAZQA0ADQAMgBiADcAZAAyADIAZQA2ADAANQA4AGUAOAAzAGUANABhAFwAbgAgACAAIAAgAFYARQBSAFMASQBPAE4AOgAgACAAIAAgADEALgAwADYAIAAoAEEAcAByAC0AMgAwADIANQApAFwAbgAqAC8AXABuAC8AKgBcAG4AIAAgACAAIABOAGEAbQBlADoAIAAgACAAIAAgACAAIAAgAEEAYgBvAHUAdAAoACkAXABuACAAIAAgACAAVgBlAHIAcwBpAG8AbgA6ACAAIAAgACAAIAAxAC4AMQAwACAAKAAyADMALQBBAHAAcgAtADIAMAAyADUAKQAgAC0ALQAgAFIAIABTAGkAbABrACwAIABSAFgATAAgAEQAZQB2AGUAbABvAHAAbQBlAG4AdABcAG4AIAAgACAAIABEAGUAcwBjAHIAaQBwAHQAaQBvAG4AOgAgACoALwAvACoAKgBQAHIAbwB2AGkAZABlAHMAIABpAG4AZgBvAHIAbQBhAHQAaQBvAG4AIABhAGIAbwB1AHQAIAB0AGgAZQAgAGYAdQBuAGMAdABpAG8AbgBzACAAaQBuACAAdABoAGkAcwAgAG0AbwBkAHUAbABlACoALwAvACoAXABuACAAIAAgACAAUABhAHIAYQBtAGUAdABlAHIAcwA6AFwAbgAgACAAIAAgACAAIAAgACAAKwAgAHMAZQBsAGUAYwB0AF8AZgB1AG4AYwB0AGkAbwBuACAAIAAgAD0AIAAoAG8AcAB0AGkAbwBuAGEAbAApACAAdABoAGUAIABuAGEAbQBlACAAbwByACAAaQBuAGQAZQB4ACAAbgB1AG0AYgBlAHIAIABvAGYAIAB0AGgAZQAgAGYAdQBuAGMAdABpAG8AbgAgAHQAaABhAHQAIAB1AHMAZQByACAAdwBhAG4AdABzACAAaQBuAGYAbwByAG0AYQB0AGkAbwBuACAAYQBiAG8AdQB0AFwAbgAgACAAIAAgAEUAcgByAG8AcgAgAGMAbwBkAGUAcwA6AFwAbgAgACAAIAAgACAAIAAgACAAIwBbAEUAcgByAG8AcgA6ACAAbgBhAG0AZQAgAG4AbwB0ACAAcgBlAGMAbwBnAG4AaQBzAGUAZABdACAAIAAgAD0AIAB0AGgAZQAgAHAAcgBvAHYAaQBkAGUAZAAgAG4AYQBtAGUAIABzAHQAcgBpAG4AZwAgAGQAbwBlAHMAIABuAG8AdAAgAG0AYQB0AGMAaAAgAHQAaABvAHMAZQAgAGkAbgAgAHQAaABlACAAbQBvAGQAdQBsAGUAXABuACAAIAAgACAAIAAgACAAIAAjAFsARQByAHIAbwByADoAIABpAG4AZABlAHgAIABuAG8AdAAgAHIAZQBjAG8AZwBuAGkAcwBlAGQAXQAgACAAPQAgAHQAaABlACAAcAByAG8AdgBpAGQAZQBkACAAaQBuAGQAZQB4ACAAbgB1AG0AYgBlAHIAIABkAG8AZQBzACAAbgBvAHQAIABtAGEAdABjAGgAIAB0AGgAbwBzAGUAIABpAG4AIAB0AGgAZQAgAG0AbwBkAHUAbABlAFwAbgAgACAAIAAgAE4AbwB0AGUAcwA6AFwAbgAgACAAIAAgACAAIAAgACAALQAgAGkAZgAgAHQAaABlACAAcwBlAGwAZQBjAHQAXwBmAHUAbgBjAHQAaQBvAG4AIABpAG4AcAB1AHQAIABpAHMAIABvAG0AaQB0AHQAZQBkACAAbwByACAAYQBuACAAaQBuAGQAZQB4ACAAbwBmACAAMAAgAGkAcwAgAHAAcgBvAHYAaQBkAGUAZAAgAHQAaABlAG4AIABhACAAdABhAGIAbABlACAAbwBmACAAaQBuAGYAbwByAG0AYQB0AGkAbwBuACAAYQBiAG8AdQB0ACAAdABoAGUAIABtAG8AZAB1AGwAZQAgAGkAcwAgAHIAZQB0AHUAcgBuAGUAZABcAG4AIAAgACAAIAAgACAAIAAgAC0AIAB0AGgAZQAgAHUAcwBlAHIAIABjAGEAbgAgAGUAaQB0AGgAZQByACAAcAByAG8AdgBpAGQAZQAgAHQAaABlACAAaQBuAGQAZQB4ACAAbwBmACAAdABoAGUAIABjAGgAbwBzAGUAbgAgAGYAdQBuAGMAdABpAG8AbgAgAGEAcwAgAGEAbgAgAGkAbgB0AGUAZwBlAHIAIAAoADEAKwApACwAIABvAHIAIAB0AGgAZQAgAG4AYQBtAGUAIABvAGYAIAB0AGgAZQAgAGMAaABvAHMAZQBuACAAZgB1AG4AYwB0AGkAbwBuACAAYQBzACAAYQAgAHMAdAByAGkAbgBnAFwAbgBcAG4AKgAvAFwAbgBBAGIAbwB1AHQAIAA9ACAATABBAE0AQgBEAEEAKABbAHMAZQBsAGUAYwB0AF8AZgB1AG4AYwB0AGkAbwBuAF0ALABcAG4AIAAgACAAIABMAEUAVAAoAFwAbgAgACAAIAAgACAAIAAgACAAXwBuAHUAbQAsACAASQBGACgAIABJAFMATwBNAEkAVABUAEUARAAoAHMAZQBsAGUAYwB0AF8AZgB1AG4AYwB0AGkAbwBuACkALAAgADAALABcAG4AIAAgACAAIAAgACAAIAAgACAAIAAgACAASQBGACgAIABJAFMATgBVAE0AQgBFAFIAKABzAGUAbABlAGMAdABfAGYAdQBuAGMAdABpAG8AbgApACwAIABJAE4AVAAoAHMAZQBsAGUAYwB0AF8AZgB1AG4AYwB0AGkAbwBuACkALAAgAFwAIgAjAFwAIgApAFwAbgAgACAAIAAgACAAIAAgACAAKQAsAFwAbgAgACAAIAAgACAAIAAgACAAXwBhAHIAcgBEAGUAZgAsACAASQBGACgAXwBuAHUAbQAgAD0AIAAwACwAIABUAEUAWABUAFMAUABMAEkAVAAoAFwAbgAgACAAIAAgACAAIAAgACAAIAAgACAAIABcACIAQQBiAG8AdQB0ADoArABSAFgATAAgAFcAbwByAGsAYgBvAG8AawAgAEkAbgBmAG8AIABmAHUAbgBjAHQAaQBvAG4AcwAuAHwAXAAiACAAJgBcAG4AIAAgACAAIAAgACAAIAAgACAAIAAgACAAXAAiAKwAUwB1AGcAZwBlAHMAdABlAGQAIABtAG8AZAB1AGwAZQAgAG4AYQBtAGUAIAA9ACAAUgBYAEwAXwBXAGIASQBuAGYAbwB8AFwAIgAgACYAXABuACAAIAAgACAAIAAgACAAIAAgACAAIAAgAFwAIgBWAGUAcgBzAGkAbwBuADoArAB2ADEALgAwADYAIAAgACgAQQBwAHIAaQBsACAAMgAwADIANQApAHwAXAAiACAAJgBcAG4AIAAgACAAIAAgACAAIAAgACAAIAAgACAAXAAiAEEAdQB0AGgAbwByADoArABSACAAUwBpAGwAawAsACAAUgBYAEwAIABEAGUAdgBlAGwAbwBwAG0AZQBuAHQAfABcACIAIAAmAFwAbgAgACAAIAAgACAAIAAgACAAIAAgACAAIABcACIAVQBSAEwAOgCsAGgAdAB0AHAAcwA6AC8ALwBnAGkAcwB0AC4AZwBpAHQAaAB1AGIALgBjAG8AbQAvAHIALQBzAGkAbABrAC8AOAAxADYAMAA4ADYANgBjADEANQBkADYAMQA4ADQAZAA0ADkANQA4ADUANwA5ADkAMgA4ADYANAA3ADMANwAxAHwAXAAiACYAXABuACAAIAAgACAAIAAgACAAIAAgACAAIAAgAFwAIgCsAHwAXAAiACAAJgBcAG4AIAAgACAAIAAgACAAIAAgACAAIAAgACAAXAAiAEYAdQBuAGMAdABpAG8AbgCsAEQAZQBzAGMAcgBpAHAAdABpAG8AbgB8AFwAIgAgACYAXABuACAAIAAgACAAIAAgACAAIAAgACAAIAAgAFwAIgAwACAALQAgAEEAYgBvAHUAdACsAFAAcgBvAHYAaQBkAGUAcwAgAGkAbgBmAG8AcgBtAGEAdABpAG8AbgAgAGEAYgBvAHUAdAAgAHQAaABlACAAZgB1AG4AYwB0AGkAbwBuAHMAIABpAG4AIAB0AGgAaQBzACAAbQBvAGQAdQBsAGUAfABcACIAIAAmAFwAbgAgACAAIAAgACAAIAAgACAAIAAgACAAIABcACIAMQAgAC0AIABTAGgAZQBlAHQATgBhAG0AZQCsAFIAZQB0AHUAcgBuAHMAIAB0AGgAZQAgAHIAZQBmAGUAcgBlAG4AYwBlAGQAIABXAG8AcgBrAHMAaABlAGUAdAAgAG4AYQBtAGUAfABcACIAIAAmAFwAbgAgACAAIAAgACAAIAAgACAAIAAgACAAIABcACIAMgAgAC0AIABXAG8AcgBrAGIAbwBvAGsATgBhAG0AZQCsAFIAZQB0AHUAcgBuAHMAIAB0AGgAZQAgAHIAZQBmAGUAcgBlAG4AYwBlAGQAIABXAG8AcgBrAGIAbwBvAGsAIABuAGEAbQBlAHwAXAAiACAAJgBcAG4AIAAgACAAIAAgACAAIAAgACAAIAAgACAAXAAiADMAIAAtACAARgBpAGwAZQBQAGEAdABoAKwAUgBlAHQAdQByAG4AcwAgAHQAaABlACAAcgBlAGYAZQByAGUAbgBjAGUAZAAgAFcAbwByAGsAYgBvAG8AawAgAGYAaQBsAGUAIABwAGEAdABoAFwAIgAsAFwAbgAgACAAIAAgACAAIAAgACAAIAAgACAAIABcACIArABcACIALAAgAFwAIgB8AFwAIgApACwAXABuACAAIAAgACAAIAAgACAAIAAgACAAIAAgAFwAIgBcACIAXABuACAAIAAgACAAIAAgACAAIAApACwAXABuACAAIAAgACAAIAAgACAAIABfAGEAcgByAE4AYQBtAGUAcwAsACAAVABFAFgAVABTAFAATABJAFQAKABcAG4AIAAgACAAIAAgACAAIAAgACAAIAAgACAAXAAiAFMAaABlAGUAdABOAGEAbQBlAKYAXAAiACAAJgBcAG4AIAAgACAAIAAgACAAIAAgACAAIAAgACAAXAAiAFcAbwByAGsAYgBvAG8AawBOAGEAbQBlAKYAXAAiACAAJgBcAG4AIAAgACAAIAAgACAAIAAgACAAIAAgACAAXAAiAEYAaQBsAGUAUABhAHQAaABcACIALABcAG4AIAAgACAAIAAgACAAIAAgACAAIAAgACAAXAAiAKYAXAAiAFwAbgAgACAAIAAgACAAIAAgACAAKQAsAFwAbgAgACAAIAAgACAAIAAgACAAXwBhAHIAcgBIAGUAbABwACwAIABUAEUAWABUAFMAUABMAEkAVAAoAFwAbgAgACAAIAAgACAAIAAgACAAIAAgACAAIABcACIATgBBAE0ARQA6AKwAUwBoAGUAZQB0AE4AYQBtAGUAfABcACIAIAAmAFwAbgAgACAAIAAgACAAIAAgACAAIAAgACAAIABcACIARABFAFMAQwBSAEkAUABUAEkATwBOADoArABSAGUAdAB1AHIAbgBzACAAdABoAGUAIAByAGUAZgBlAHIAZQBuAGMAZQBkACAAdwBvAHIAawBzAGgAZQBlAHQAIABuAGEAbQBlAHwAXAAiACAAJgBcAG4AIAAgACAAIAAgACAAIAAgACAAIAAgACAAXAAiAFYARQBSAFMASQBPAE4AOgCsAHYAMQAuADAANAAgACAAKAAyADMALQBNAGEAcgAtADIAMAAyADUAKQB8AFwAIgAgACYAXABuACAAIAAgACAAIAAgACAAIAAgACAAIAAgAFwAIgBQAEEAUgBBAE0ARQBUAEUAUgBTADoArAB8AFwAIgAgACYAXABuACAAIAAgACAAIAAgACAAIAAgACAAIAAgAFwAIgBjAGUAbABsAF8AcgBlAGYArAAoAHIAZQBxAHUAaQByAGUAZAApACAAYQAgAHYAYQBsAGkAZAAgAGMAZQBsAGwAIAByAGUAZgBlAHIAZQBuAGMAZQAsACAAZQAuAGcALgAgACcAUwBoAGUAZQB0ADEAJwAhAEEAMQBcACIAIAAmAFwAbgAgACAAIAAgACAAIAAgACAAIAAgACAAIABcACIApgBcACIAIAAmAFwAbgAgACAAIAAgACAAIAAgACAAIAAgACAAIABcACIATgBBAE0ARQA6AKwAVwBvAHIAawBiAG8AbwBrAE4AYQBtAGUAfABcACIAIAAmAFwAbgAgACAAIAAgACAAIAAgACAAIAAgACAAIABcACIARABFAFMAQwBSAEkAUABUAEkATwBOADoArABSAGUAdAB1AHIAbgBzACAAdABoAGUAIAByAGUAZgBlAHIAZQBuAGMAZQBkACAAVwBvAHIAawBiAG8AbwBrACAAbgBhAG0AZQB8AFwAIgAgACYAXABuACAAIAAgACAAIAAgACAAIAAgACAAIAAgAFwAIgBWAEUAUgBTAEkATwBOADoArAB2ADEALgAwADUAIAAgACgAMgAzAC0ATQBhAHIALQAyADAAMgA1ACkAfABcACIAIAAmAFwAbgAgACAAIAAgACAAIAAgACAAIAAgACAAIABcACIAUABBAFIAQQBNAEUAVABFAFIAUwA6AKwAfABcACIAIAAmAFwAbgAgACAAIAAgACAAIAAgACAAIAAgACAAIABcACIAYwBlAGwAbABfAHIAZQBmAKwAKAByAGUAcQB1AGkAcgBlAGQAKQAgAGEAIAB2AGEAbABpAGQAIABjAGUAbABsACAAcgBlAGYAZQByAGUAbgBjAGUALAAgAGUALgBnAC4AIAAnAFMAaABlAGUAdAAxACcAIQBBADEAfABcACIAIAAmAFwAbgAgACAAIAAgACAAIAAgACAAIAAgACAAIABcACIAcgBlAG0AbwB2AGUAXwBlAHgAdABlAG4AcwBpAG8AbgCsACgAbwBwAHQAaQBvAG4AYQBsACkAIABDAGgAbwBvAHMAZQAgAHcAaABlAHQAaABlAHIAIAB0AG8AIAByAGUAbQBvAHYAZQAgAHQAaABlACAAZgBpAGwAZQAgAGUAeAB0AGUAbgBzAGkAbwBuACAAKABUAHIAdQBlAC8ARgBhAGwAcwBlACkAXAAiACAAJgBcAG4AIAAgACAAIAAgACAAIAAgACAAIAAgACAAXAAiAKYAXAAiACAAJgBcAG4AIAAgACAAIAAgACAAIAAgACAAIAAgACAAXAAiAE4AQQBNAEUAOgCsAEYAaQBsAGUAUABhAHQAaAB8AFwAIgAgACYAXABuACAAIAAgACAAIAAgACAAIAAgACAAIAAgAFwAIgBEAEUAUwBDAFIASQBQAFQASQBPAE4AOgCsAFIAZQB0AHUAcgBuAHMAIAB0AGgAZQAgAHIAZQBmAGUAcgBlAG4AYwBlAGQAIABXAG8AcgBrAGIAbwBvAGsAIABmAGkAbABlACAAcABhAHQAaAB8AFwAIgAgACYAXABuACAAIAAgACAAIAAgACAAIAAgACAAIAAgAFwAIgBWAEUAUgBTAEkATwBOADoArAB2ADEALgAwADQAIAAgACgAMgAzAC0ATQBhAHIALQAyADAAMgA1ACkAfABcACIAIAAmAFwAbgAgACAAIAAgACAAIAAgACAAIAAgACAAIABcACIAUABBAFIAQQBNAEUAVABFAFIAUwA6AKwAfABcACIAIAAmAFwAbgAgACAAIAAgACAAIAAgACAAIAAgACAAIABcACIAYwBlAGwAbABfAHIAZQBmAKwAKAByAGUAcQB1AGkAcgBlAGQAKQAgAGEAIAB2AGEAbABpAGQAIABjAGUAbABsACAAcgBlAGYAZQByAGUAbgBjAGUALAAgAGUALgBnAC4AIAAnAFMAaABlAGUAdAAxACcAIQBBADEAfABcACIAIAAmAFwAbgAgACAAIAAgACAAIAAgACAAIAAgACAAIABcACIAcgBlAG0AbwB2AGUAXwBsAGEAcwB0AF8AYwBoAGEAcgCsACgAbwBwAHQAaQBvAG4AYQBsACkAIABDAGgAbwBvAHMAZQAgAHcAaABlAHQAaABlAHIAIAB0AG8AIAByAGUAbQBvAHYAZQAgAHQAaABlACAAbABhAHMAdAAgAGMAaABhAHIAYQBjAHQAZQByACAAbwBmACAAdABoAGUAIABmAGkAbABlACAAcABhAHQAaAAgACgAVAByAHUAZQAvAEYAYQBsAHMAZQApAHwAXAAiACAAJgBcAG4AIAAgACAAIAAgACAAIAAgACAAIAAgACAAXAAiAGkAbgBjAF8AZgBpAGwAZQBfAG4AYQBtAGUArAAoAG8AcAB0AGkAbwBuAGEAbAApACAAQwBoAG8AbwBzAGUAIAB3AGgAZQB0AGgAZQByACAAdABvACAAYQBkAGQAIAB0AGgAZQAgAGYAaQBsAGUAIABuAGEAbQBlACAAdABvACAAdABoAGUAIABmAGkAbABlACAAcABhAHQAaAAgACgAVAByAHUAZQAvAEYAYQBsAHMAZQApAFwAIgAsAFwAbgAgACAAIAAgACAAIAAgACAAIAAgACAAIABcACIApgBcACIAXABuACAAIAAgACAAIAAgACAAIAApACwAXABuACAAIAAgACAAIAAgACAAIABfAGEAcgByAE8AdQB0ACwAIABJAEYAKABfAG4AdQBtACAAPQAgAFwAIgAjAFwAIgAsAFwAbgAgACAAIAAgACAAIAAgACAAIAAgACAAIABMAEUAVAAoAFwAbgAgACAAIAAgACAAIAAgACAAIAAgACAAIAAgACAAIAAgACAAXwBpAGQAeAAsACAAUwBVAE0AKAAgAFMARQBRAFUARQBOAEMARQAoADEALAAgAEMATwBVAE4AVABBACgAXwBhAHIAcgBOAGEAbQBlAHMAKQApACAAKgAgACgAXwBhAHIAcgBOAGEAbQBlAHMAIAA9ACAAcwBlAGwAZQBjAHQAXwBmAHUAbgBjAHQAaQBvAG4AKQApACwAXABuACAAIAAgACAAIAAgACAAIAAgACAAIAAgACAAIAAgACAAIABJAEYAKABfAGkAZAB4ACAAPgAgADAALAAgAFQARQBYAFQAUwBQAEwASQBUACgAIABJAE4ARABFAFgAKABfAGEAcgByAEgAZQBsAHAALAAgAF8AaQBkAHgAKQAsACAAXAAiAKwAXAAiACwAIABcACIAfABcACIAKQAsACAAXAAiACMAWwBFAHIAcgBvAHIAOgAgAG4AYQBtAGUAIABuAG8AdAAgAHIAZQBjAG8AZwBuAGkAcwBlAGQAXQBcACIAKQBcAG4AIAAgACAAIAAgACAAIAAgACAAIAAgACAAKQAsAFwAbgAgACAAIAAgACAAIAAgACAAIAAgACAAIABJAEYAKABfAG4AdQBtACAAPAA+ACAAMAAsACAASQBGAEUAUgBSAE8AUgAoACAAVABFAFgAVABTAFAATABJAFQAKAAgAEkATgBEAEUAWAAoAF8AYQByAHIASABlAGwAcAAsACAAXwBuAHUAbQApACwAIABcACIArABcACIALAAgAFwAIgB8AFwAIgApACwAIABcACIAIwBbAEUAcgByAG8AcgA6ACAAaQBuAGQAZQB4ACAAbgBvAHQAIAByAGUAYwBvAGcAbgBpAHMAZQBkAF0AXAAiACkALABcAG4AIAAgACAAIAAgACAAIAAgACAAIAAgACAAXAAiAFwAIgApAFwAbgAgACAAIAAgACAAIAAgACAAKQAsAFwAbgAgACAAIAAgACAAIAAgACAASQBGACgAXwBhAHIAcgBEAGUAZgAgAD0AIABcACIAXAAiACwAIABfAGEAcgByAE8AdQB0ACwAIABfAGEAcgByAEQAZQBmACkAXABuACAAIAAgACAAKQBcAG4AKQA7AFwAbgBcAG4ALwAqAFwAbgAgACAAIAAgAE4AYQBtAGUAOgAgACAAIAAgACAAIAAgACAAUwBoAGUAZQB0AE4AYQBtAGUAKAApAFwAbgAgACAAIAAgAFYAZQByAHMAaQBvAG4AOgAgACAAIAAgACAAMQAuADAANAAgACgAMgAzAC0ATQBhAHIALQAyADAAMgA1ACkAIAAtAC0AIABSACAAUwBpAGwAawAsACAAUgBYAEwAIABEAGUAdgBlAGwAbwBwAG0AZQBuAHQAXABuACAAIAAgACAARABlAHMAYwByAGkAcAB0AGkAbwBuADoAIAAqAC8ALwAqACoAUgBlAHQAdQByAG4AcwAgAHQAaABlACAAdwBvAHIAawBzAGgAZQBlAHQAIABuAGEAbQBlACAAKABhAHMAIABkAGkAcwBwAGwAYQB5AGUAZAAgAGkAbgAgAHQAaABlACAAdwBvAHIAawBzAGgAZQBlAHQAIAB0AGEAYgApACAAZgBvAHIAIAB0AGgAZQAgAGMAZQBsAGwAIAByAGUAZgBlAHIAZQBuAGMAZQAgAHAAcgBvAHYAaQBkAGUAZAA7ACAAVwBvAHIAawBiAG8AbwBrACAAbQB1AHMAdAAgAGIAZQAgAHMAYQB2AGUAZAAgAGYAaQByAHMAdAAqAC8ALwAqAFwAbgAgACAAIAAgAFAAYQByAGEAbQBlAHQAZQByAHMAOgBcAG4AIAAgACAAIAAgACAAIAAgACsAIABjAGUAbABsAF8AcgBlAGYAIAAgACAAIAAgACAAPQAgACgAcgBlAHEAdQBpAHIAZQBkACkAIABBACAAdgBhAGwAaQBkACAAYwBlAGwAbAAgAHIAZQBmAGUAcgBlAG4AYwBlACwAIABlAC4AZwAuACAAQQAxACwAIABvAHIAIAAnAFMAaABlAGUAdAAxACcAIQBBADEAXABuACAAIAAgACAARQByAHIAbwByACAAYwBvAGQAZQBzADoAXABuACAAIAAgACAAIAAgACAAIAAjAFsARQByAHIAbwByADoAIABjAGUAbABsACAAcgBlAGYAZQByAGUAbgBjAGUAIAByAGUAcQB1AGkAcgBlAGQAXQAgACAAIAA9ACAAdABoAGUAIABjAGUAbABsAF8AcgBlAGYAIABwAGEAcgBhAG0AZQB0AGUAcgAgAHIAZQBxAHUAaQByAGUAcwAgAGEAIAB2AGEAbABpAGQAIABjAGUAbABsACAAcgBlAGYAZQByAGUAbgBjAGUAXABuACAAIAAgACAAIAAgACAAIAAjAFsARQByAHIAbwByADoAIABXAG8AcgBrAGIAbwBvAGsAIABtAHUAcwB0ACAAYgBlACAAcwBhAHYAZQBkAF0AIAAgACAAIAA9ACAAdABoAGUAIABXAG8AcgBrAGIAbwBvAGsAIABmAGkAbABlACAAbQB1AHMAdAAgAGIAZQAgAHMAYQB2AGUAZAAgAGYAaQByAHMAdAAgAGkAbgAgAG8AcgBkAGUAcgAgAGYAbwByACAAdABoAGUAIABmAHUAbgBjAHQAaQBvAG4AIAB0AG8AIAB3AG8AcgBrACAAYwBvAHIAcgBlAGMAdABsAHkAXABuACAAIAAgACAAIAAgACAAIAAjAFsARQByAHIAbwByACAAcgBlAGEAZABpAG4AZwAgAFMAaABlAGUAdAAgAG4AYQBtAGUAXQAgACAAIAAgACAAIAAgACAAIAA9ACAAYQBuACAAZQByAHIAbwByACAAbwBjAGMAdQByAHIAZQBkACAAZwBlAHQAdABpAG4AZwAgAHQAaABlACAAZgBpAGwAZQBuAGEAbQBlACAAcwB0AHIAaQBuAGcAIABvAHIAIABlAHgAdAByAGEAYwB0AGkAbgBnACAAdABoAGUAIAB3AG8AcgBrAHMAaABlAGUAdAAgAG4AYQBtAGUAIABmAHIAbwBtACAAdABoAGUAIABmAGkAbABlAG4AYQBtAGUAIABzAHQAcgBpAG4AZwBcAG4AIAAgACAAIABOAG8AdABlAHMAOgBcAG4AIAAgACAAIAAgACAAIAAgAC0AIABUAGgAZQAgAGYAdQBuAGMAdABpAG8AbgAgAG8AdQB0AHAAdQB0AHMAIABjAHUAcwB0AG8AbQAgAGUAcgByAG8AcgAgAG0AZQBzAHMAYQBnAGUAcwAgAGEAcwAgAHMAdAByAGkAbgBnAHMAOwAgAHQAaABlAHMAZQAgAHcAaQBsAGwAIABuAG8AdAAgAGIAZQAgAGYAbABhAGcAZwBlAGQAIABiAHkAIABFAHgAYwBlAGwAIABvAHIAIABhAG4AeQAgAGEAZABkAC0AaQBuAHMAIABhAHMAIABlAHIAcgBvAHIAIABjAGUAbABsAHMALgBcAG4AIAAgACAAIAAgACAAIAAgAC0AIABBAGwAdABlAHIAbgBhAHQAaQB2AGUAbAB5ACwAIAB0AGgAZQAgAGMAdQBzAHQAbwBtACAAZQByAHIAbwByACAAbQBlAHMAcwBhAGcAZQBzACAAYwBhAG4AIABiAGUAIAByAGUAcABsAGEAYwBlAGQAIAB3AGkAdABoACAAbgBhAHQAaQB2AGUAIABFAHgAYwBlAGwAIABlAHIAcgBvAHIAIABjAG8AZABlAHMAIABzAG8AIAB0AGgAYQB0ACAAdABoAGUAIABlAHIAcgBvAHIAIABpAHMAIABmAGwAYQBnAGcAZQBkACAAaQBuACAAdABoAGUAIABuAG8AcgBtAGEAbAAgAHcAYQB5ADsAIABcAG4AIAAgACAAIAAgACAAIAAgACAAIAB0AG8AIABkAG8AIAB0AGgAaQBzADoAXABuACAAIAAgACAAIAAgACAAIAAgACAAIAAgAC0ALQAgAHIAZQBwAGwAYQBjAGUAIAB0AGgAZQAgAFwAIgAjAFsARQByAHIAbwByADoAIABjAGUAbABsACAAcgBlAGYAZQByAGUAbgBjAGUAIAByAGUAcQB1AGkAcgBlAGQAXQBcACIAIABzAHQAcgBpAG4AZwAgAHcAaQB0AGgAIAB0AGgAZQAgACMAVgBBAEwAVQBFACEAIAAoAG8AcgAgACMAUgBFAEYAIQApACAAZQByAHIAbwByACAAYwBvAGQAZQBcAG4AIAAgACAAIAAgACAAIAAgACAAIAAgACAALQAtACAAcgBlAHAAbABhAGMAZQAgAHQAaABlACAAXAAiACMAWwBFAHIAcgBvAHIAOgAgAFcAbwByAGsAYgBvAG8AawAgAG0AdQBzAHQAIABiAGUAIABzAGEAdgBlAGQAXQBcACIAIABhAG4AZAAgAFwAIgAjAFsARQByAHIAbwByACAAcgBlAGEAZABpAG4AZwAgAFMAaABlAGUAdAAgAG4AYQBtAGUAXQBcACIAIABzAHQAcgBpAG4AZwBzACAAdwBpAHQAaAAgAEwAQQBNAEIARABBACgAMAApACAAaQBuACAAbwByAGQAZQByACAAdABvACAAYwByAGUAYQB0AGUAIABhACAAIwBDAEEATABDACEAIABlAHIAcgBvAHIAIABjAG8AZABlAFwAbgAqAC8AXABuAFMAaABlAGUAdABOAGEAbQBlACAAPQAgAEwAQQBNAEIARABBACgAXABuACAAIAAgACAALwAvACAAUABhAHIAYQBtAGUAdABlAHIAIABkAGUAZgBpAG4AaQB0AGkAbwBuAFwAbgAgACAAIAAgAGMAZQBsAGwAXwByAGUAZgAsAFwAbgAgACAAIAAgAC8ALwAgAE0AYQBpAG4AIABmAHUAbgBjAHQAaQBvAG4AIABiAG8AZAB5AC8AYwBhAGwAYwB1AGwAYQB0AGkAbwBuAHMAXABuACAAIAAgACAATABFAFQAKABcAG4AIAAgACAAIAAgACAAIAAgAC8ALwAgAEMAaABlAGMAawAgAHQAaABhAHQAIABpAG4AcAB1AHQAIABwAHIAbwB2AGkAZABlAGQAIABpAHMAIABhAHMAIABjAGUAbABsACAAcgBlAGYAZQByAGUAbgBjAGUALAAgAG8AdABoAGUAcgB3AGkAcwBlACAAYwByAGUAYQB0AGUAIABhACAAYwB1AHMAdABvAG0AIABlAHIAcgBvAHIAIABtAGUAcwBzAGEAZwBlAFwAbgAgACAAIAAgACAAIAAgACAAXwBpAG4AcABDAGgAawAsACAASQBGACgAIABOAE8AVAAoAEkAUwBSAEUARgAoAGMAZQBsAGwAXwByAGUAZgApACkALAAgAFwAIgAjAFsARQByAHIAbwByADoAIABjAGUAbABsACAAcgBlAGYAZQByAGUAbgBjAGUAIAByAGUAcQB1AGkAcgBlAGQAXQBcACIALAAgAFwAIgBcACIAKQAsAFwAbgAgACAAIAAgACAAIAAgACAALwAvACAARwBlAHQAIAB0AGgAZQAgAGYAaQBsAGUAbgBhAG0AZQAgAHMAdAByAGkAbgBnACAAdQBzAGkAbgBnACAAdABoAGUAIABuAGEAdABpAHYAZQAgAEMARQBMAEwAKAApACAAZgB1AG4AYwB0AGkAbwBuACAAYQBuAGQAIAB0AGgAZQAgAGMAZQBsAGwAXwByAGUAZgAgAGEAcgBnAHUAbQBlAG4AdABcAG4AIAAgACAAIAAgACAAIAAgAF8AZgBpAGwAZQBOAGEAbQBlACwAIABDAEUATABMACgAXAAiAGYAaQBsAGUAbgBhAG0AZQBcACIALAAgAGMAZQBsAGwAXwByAGUAZgApACwAXABuACAAIAAgACAAIAAgACAAIAAvAC8AIABVAHMAZQAgAHQAaABlACAAVABFAFgAVABBAEYAVABFAFIAKAApACAAZgB1AG4AYwB0AGkAbwBuACAAdABvACAAbABvAG8AawAgAGYAbwByACAAdABoAGUAIABmAGkAbgBhAGwAIABcACIAXQBcACIAIABjAGgAYQByAGEAYwB0AGUAcgAgAGkAbgAgAHQAaABlACAAZgBpAGwAZQBuAGEAbQBlACAAcwB0AHIAaQBuAGcAXABuACAAIAAgACAAIAAgACAAIAAvAC8AIABJAGYAIABuAG8AIABtAGEAdABjAGgAaQBuAGcAIABcACIAXQBcACIAIABjAGgAYQByAGEAYwB0AGUAcgAgAGkAcwAgAGYAbwB1AG4AZAAgAHQAaABlAG4AIAByAGUAdAB1AHIAbgAgAGEAbgAgAGUAbQBwAHQAeQAgAHMAdAByAGkAbgBnAFwAbgAgACAAIAAgACAAIAAgACAAXwB3AHMATgBhAG0AZQAsACAASQBGACgAXwBmAGkAbABlAE4AYQBtAGUAIAA8AD4AIABcACIAXAAiACwAIABUAEUAWABUAEEARgBUAEUAUgAoACAAXwBmAGkAbABlAE4AYQBtAGUALAAgAFwAIgBdAFwAIgAsACAALQAxACwAIAAsACAALAAgAFwAIgAjAFwAIgApACwAIABcACIAIwBbAEUAcgByAG8AcgA6ACAAVwBvAHIAawBiAG8AbwBrACAAbQB1AHMAdAAgAGIAZQAgAHMAYQB2AGUAZABdAFwAIgApACwAXABuACAAIAAgACAAIAAgACAAIAAvAC8AIABDAGgAZQBjAGsAIABmAG8AcgAgAGEAbgAgAGUAcgByAG8AcgAgAHYAYQBsAHUAZQAgAG8AcgAgAGUAbQBwAHQAeQAgAHMAdAByAGkAbgBnACAAYQBuAGQAIABpAGYAIABmAG8AdQBuAGQAIAByAGUAdAB1AHIAbgAgAGEAIABjAHUAcwB0AG8AbQAgAGUAcgByAG8AcgAgAG0AZQBzAHMAYQBnAGUALAAgAG8AdABoAGUAcgB3AGkAcwBlACAAcgBlAHQAdQByAG4AIAB0AGgAZQAgAHcAbwByAGsAcwBoAGUAZQB0ACAAbgBhAG0AZQAgAHMAdAByAGkAbgBnAFwAbgAgACAAIAAgACAAIAAgACAAXwByAHQAbgAsACAASQBGACgAIABPAFIAKAAgAEkAUwBFAFIAUgBPAFIAKABfAHcAcwBOAGEAbQBlACkALAAgAF8AdwBzAE4AYQBtAGUAIAA9ACAAXAAiACMAXAAiACkALAAgAFwAIgAjAFsARQByAHIAbwByACAAcgBlAGEAZABpAG4AZwAgAFMAaABlAGUAdAAgAG4AYQBtAGUAXQBcACIALAAgAF8AdwBzAE4AYQBtAGUAKQAsAFwAbgAgACAAIAAgACAAIAAgACAALwAvACAARgBpAG4AYQBsACAAYwBoAGUAYwBrACAAdABvACAAcwBlAGUAIABpAGYAIAB0AGgAZQByAGUAIAB3AGEAcwAgAGEAbgAgAGkAbgBwAHUAdAAgAGUAcgByAG8AcgAsACAAYQBuAGQAIABpAGYAIABzAG8AIAByAGUAdAB1AHIAbgAgAHQAaABlACAAYwB1AHMAdABvAG0AIABlAHIAcgBvAHIAIABtAGUAcwBzAGEAZwBlAFwAbgAgACAAIAAgACAAIAAgACAASQBGACgAXwBpAG4AcABDAGgAawAgADwAPgAgAFwAIgBcACIALAAgAF8AaQBuAHAAQwBoAGsALAAgAF8AcgB0AG4AKQBcAG4AIAAgACAAIAApAFwAbgApADsAXABuAFwAbgAvACoAXABuACAAIAAgACAATgBhAG0AZQA6ACAAIAAgACAAIAAgACAAIABXAG8AcgBrAGIAbwBvAGsATgBhAG0AZQAoACkAXABuACAAIAAgACAAVgBlAHIAcwBpAG8AbgA6ACAAIAAgACAAIAAxAC4AMAA1ACAAKAAyADMALQBNAGEAcgAtADIAMAAyADUAKQAgAC0ALQAgAFIAIABTAGkAbABrACwAIABSAFgATAAgAEQAZQB2AGUAbABvAHAAbQBlAG4AdABcAG4AIAAgACAAIABEAGUAcwBjAHIAaQBwAHQAaQBvAG4AOgAgACoALwAvACoAKgBSAGUAdAB1AHIAbgBzACAAdABoAGUAIABXAG8AcgBrAGIAbwBvAGsAIABuAGEAbQBlACwAIAB3AGkAdABoACAAbwByACAAdwBpAHQAaABvAHUAdAAgAHQAaABlACAAZgBpAGwAZQAgAGUAeAB0AGUAbgBzAGkAbwBuACwAIABmAG8AcgAgAHQAaABlACAAYwBlAGwAbAAgAHIAZQBmAGUAcgBlAG4AYwBlACAAcAByAG8AdgBpAGQAZQBkADsAIABXAG8AcgBrAGIAbwBvAGsAIABtAHUAcwB0ACAAYgBlACAAcwBhAHYAZQBkACAAZgBpAHIAcwB0ACoALwAvACoAXABuACAAIAAgACAAUABhAHIAYQBtAGUAdABlAHIAcwA6AFwAbgAgACAAIAAgACAAIAAgACAAKwAgAGMAZQBsAGwAXwByAGUAZgAgACAAIAAgACAAIAAgACAAIAAgAD0AIAAoAHIAZQBxAHUAaQByAGUAZAApACAAQQAgAHYAYQBsAGkAZAAgAGMAZQBsAGwAIAByAGUAZgBlAHIAZQBuAGMAZQAsACAAZQAuAGcALgAgAEEAMQAsACAAbwByACAAJwBTAGgAZQBlAHQAMQAnACEAQQAxAFwAbgAgACAAIAAgACAAIAAgACAAKwAgAHIAZQBtAG8AdgBlAF8AZQB4AHQAZQBuAHMAaQBvAG4AIAAgAD0AIAAoAG8AcAB0AGkAbwBuAGEAbAApACAAQQAgAFQAUgBVAEUALwBGAEEATABTAEUAIABvAHIAIAAxAC8AMAAgAHYAYQBsAHUAZQAgAHQAbwAgAGQAZQB0AGUAcgBtAGkAbgBlACAAdwBoAGUAdABoAGUAcgAgAHQAbwAgAHIAZQBtAG8AdgBlACAAdABoAGUAIABmAGkAbABlACAAZQB4AHQAZQBuAHMAaQBvAG4AIABmAHIAbwBtACAAdABoAGUAIAB3AG8AcgBrAGIAbwBvAGsAIABmAGkAbABlAG4AYQBtAGUAXABuACAAIAAgACAARQByAHIAbwByACAAYwBvAGQAZQBzADoAXABuACAAIAAgACAAIAAgACAAIAAjAFsARQByAHIAbwByADoAIABjAGUAbABsACAAcgBlAGYAZQByAGUAbgBjAGUAIAByAGUAcQB1AGkAcgBlAGQAXQAgACAAIAA9ACAAdABoAGUAIABjAGUAbABsAF8AcgBlAGYAIABwAGEAcgBhAG0AZQB0AGUAcgAgAHIAZQBxAHUAaQByAGUAcwAgAGEAIAB2AGEAbABpAGQAIABjAGUAbABsACAAcgBlAGYAZQByAGUAbgBjAGUAXABuACAAIAAgACAAIAAgACAAIAAjAFsARQByAHIAbwByADoAIABXAG8AcgBrAGIAbwBvAGsAIABtAHUAcwB0ACAAYgBlACAAcwBhAHYAZQBkAF0AIAAgACAAIAA9ACAAdABoAGUAIABXAG8AcgBrAGIAbwBvAGsAIABmAGkAbABlACAAbQB1AHMAdAAgAGIAZQAgAHMAYQB2AGUAZAAgAGYAaQByAHMAdAAgAGkAbgAgAG8AcgBkAGUAcgAgAGYAbwByACAAdABoAGUAIABmAHUAbgBjAHQAaQBvAG4AIAB0AG8AIAB3AG8AcgBrACAAYwBvAHIAcgBlAGMAdABsAHkAXABuACAAIAAgACAAIAAgACAAIAAjAFsARQByAHIAbwByACAAcgBlAGEAZABpAG4AZwAgAFcAbwByAGsAYgBvAG8AawAgAG4AYQBtAGUAXQAgACAAIAAgACAAIAA9ACAAYQBuACAAZQByAHIAbwByACAAbwBjAGMAdQByAHIAZQBkACAAZwBlAHQAdABpAG4AZwAgAHQAaABlACAAZgBpAGwAZQBuAGEAbQBlACAAcwB0AHIAaQBuAGcAIABvAHIAIABlAHgAdAByAGEAYwB0AGkAbgBnACAAdABoAGUAIABXAG8AcgBrAGIAbwBvAGsAIABuAGEAbQBlACAAZgByAG8AbQAgAHQAaABlACAAZgBpAGwAZQBuAGEAbQBlACAAcwB0AHIAaQBuAGcAXABuACAAIAAgACAATgBvAHQAZQBzADoAXABuACAAIAAgACAAIAAgACAAIAAtACAAVABoAGUAIABmAHUAbgBjAHQAaQBvAG4AIABvAHUAdABwAHUAdABzACAAYwB1AHMAdABvAG0AIABlAHIAcgBvAHIAIABtAGUAcwBzAGEAZwBlAHMAIABhAHMAIABzAHQAcgBpAG4AZwBzADsAIAB0AGgAZQBzAGUAIAB3AGkAbABsACAAbgBvAHQAIABiAGUAIABmAGwAYQBnAGcAZQBkACAAYgB5ACAARQB4AGMAZQBsACAAbwByACAAYQBuAHkAIABhAGQAZAAtAGkAbgBzACAAYQBzACAAZQByAHIAbwByACAAYwBlAGwAbABzAC4AXABuACAAIAAgACAAIAAgACAAIAAtACAAQQBsAHQAZQByAG4AYQB0AGkAdgBlAGwAeQAsACAAdABoAGUAIABjAHUAcwB0AG8AbQAgAGUAcgByAG8AcgAgAG0AZQBzAHMAYQBnAGUAcwAgAGMAYQBuACAAYgBlACAAcgBlAHAAbABhAGMAZQBkACAAdwBpAHQAaAAgAG4AYQB0AGkAdgBlACAARQB4AGMAZQBsACAAZQByAHIAbwByACAAYwBvAGQAZQBzACAAcwBvACAAdABoAGEAdAAgAHQAaABlACAAZQByAHIAbwByACAAaQBzACAAZgBsAGEAZwBnAGUAZAAgAGkAbgAgAHQAaABlACAAbgBvAHIAbQBhAGwAIAB3AGEAeQA7ACAAXABuACAAIAAgACAAIAAgACAAIAAgACAAdABvACAAZABvACAAdABoAGkAcwA6AFwAbgAgACAAIAAgACAAIAAgACAAIAAgACAAIAAtAC0AIAByAGUAcABsAGEAYwBlACAAdABoAGUAIABcACIAIwBbAEUAcgByAG8AcgA6ACAAYwBlAGwAbAAgAHIAZQBmAGUAcgBlAG4AYwBlACAAcgBlAHEAdQBpAHIAZQBkAF0AXAAiACAAcwB0AHIAaQBuAGcAIAB3AGkAdABoACAAdABoAGUAIAAjAFYAQQBMAFUARQAhACAAKABvAHIAIAAjAFIARQBGACEAKQAgAGUAcgByAG8AcgAgAGMAbwBkAGUAXABuACAAIAAgACAAIAAgACAAIAAgACAAIAAgAC0ALQAgAHIAZQBwAGwAYQBjAGUAIAB0AGgAZQAgAFwAIgAjAFsARQByAHIAbwByADoAIABXAG8AcgBrAGIAbwBvAGsAIABtAHUAcwB0ACAAYgBlACAAcwBhAHYAZQBkAF0AXAAiACAAYQBuAGQAIABcACIAIwBbAEUAcgByAG8AcgAgAHIAZQBhAGQAaQBuAGcAIABXAG8AcgBrAGIAbwBvAGsAIABuAGEAbQBlAF0AXAAiACAAcwB0AHIAaQBuAGcAcwAgAHcAaQB0AGgAIABMAEEATQBCAEQAQQAoADAAKQAgAGkAbgAgAG8AcgBkAGUAcgAgAHQAbwAgAGMAcgBlAGEAdABlACAAYQAgACMAQwBBAEwAQwAhACAAZQByAHIAbwByACAAYwBvAGQAZQBcAG4AKgAvAFwAbgBXAG8AcgBrAGIAbwBvAGsATgBhAG0AZQAgAD0AIABMAEEATQBCAEQAQQAoAFwAbgAgACAAIAAgAC8ALwAgAFAAYQByAGEAbQBlAHQAZQByACAAZABlAGYAaQBuAGkAdABpAG8AbgBzAFwAbgAgACAAIAAgAGMAZQBsAGwAXwByAGUAZgAsAFwAbgAgACAAIAAgAFsAcgBlAG0AbwB2AGUAXwBlAHgAdABlAG4AcwBpAG8AbgBdACwAXABuACAAIAAgACAALwAvACAATQBhAGkAbgAgAGYAdQBuAGMAdABpAG8AbgAgAGIAbwBkAHkALwBjAGEAbABjAHUAbABhAHQAaQBvAG4AcwBcAG4AIAAgACAAIABMAEUAVAAoAFwAbgAgACAAIAAgACAAIAAgACAALwAvACAAVQBwAGQAYQB0AGUAIAB0AGgAZQAgAG8AcAB0AGkAbwBuAGEAbAAgAGkAbgBwAHUAdAAgAHQAbwAgAGEAIABkAGUAZgBhAHUAbAB0ACAAbwBmACAARgBhAGwAcwBlACAAaQBmACAAbwBtAGkAdAB0AGUAZAAgAG8AcgAgAGEAIABuAG8AbgAtAEIAbwBvAGwAZQBhAG4ALwBuAG8AbgAtAG4AdQBtAGUAcgBpAGMAIAB2AGEAbAB1AGUAIABpAHMAIABzAHUAcABwAGwAaQBlAGQAXABuACAAIAAgACAAIAAgACAAIABfAGUAeAB0AEMAaABrACwAIABBAE4ARAAoACAATgBPAFQAKABJAFMATABPAEcASQBDAEEATAAoAHIAZQBtAG8AdgBlAF8AZQB4AHQAZQBuAHMAaQBvAG4AKQApACwAIABOAE8AVAAoAEkAUwBOAFUATQBCAEUAUgAoAHIAZQBtAG8AdgBlAF8AZQB4AHQAZQBuAHMAaQBvAG4AKQApACkALABcAG4AIAAgACAAIAAgACAAIAAgAF8AZgBpAGwAZQBFAHgAdAAsACAASQBGACgAIABcAG4AIAAgACAAIAAgACAAIAAgACAAIAAgACAATwBSACgAIABJAFMATwBNAEkAVABUAEUARAAoAHIAZQBtAG8AdgBlAF8AZQB4AHQAZQBuAHMAaQBvAG4AKQAsACAAXwBlAHgAdABDAGgAawApACwAIABcAG4AIAAgACAAIAAgACAAIAAgACAAIAAgACAARgBBAEwAUwBFACwAXABuACAAIAAgACAAIAAgACAAIAAgACAAIAAgAHIAZQBtAG8AdgBlAF8AZQB4AHQAZQBuAHMAaQBvAG4AXABuACAAIAAgACAAIAAgACAAIAApACwAXABuACAAIAAgACAAIAAgACAAIAAvAC8AIABDAGgAZQBjAGsAIAB0AGgAYQB0ACAAdABoAGUAIABjAGUAbABsAF8AcgBlAGYAIABpAG4AcAB1AHQAIABzAHUAcABwAGwAaQBlAGQAIABpAHMAIABhACAAdgBhAGwAaQBkACAAYwBlAGwAbAAgAHIAZQBmAGUAcgBlAG4AYwBlAFwAbgAgACAAIAAgACAAIAAgACAAXwBpAG4AcABDAGgAawAsACAASQBGACgAIABcAG4AIAAgACAAIAAgACAAIAAgACAAIAAgACAATgBPAFQAKABJAFMAUgBFAEYAKABjAGUAbABsAF8AcgBlAGYAKQApACwAIABcAG4AIAAgACAAIAAgACAAIAAgACAAIAAgACAAXAAiACMAWwBFAHIAcgBvAHIAOgAgAGMAZQBsAGwAIAByAGUAZgBlAHIAZQBuAGMAZQAgAHIAZQBxAHUAaQByAGUAZABdAFwAIgAsACAAXABuACAAIAAgACAAIAAgACAAIAAgACAAIAAgAFwAIgBcACIAXABuACAAIAAgACAAIAAgACAAIAApACwAXABuACAAIAAgACAAIAAgACAAIAAvAC8AIABHAGUAdAAgAHQAaABlACAAZgBpAGwAZQBuAGEAbQBlACAAcwB0AHIAaQBuAGcAIAB1AHMAaQBuAGcAIAB0AGgAZQAgAG4AYQB0AGkAdgBlACAAQwBFAEwATAAoACkAIABmAHUAbgBjAHQAaQBvAG4AIABhAG4AZAAgAHQAaABlACAAYwBlAGwAbABfAHIAZQBmACAAYQByAGcAdQBtAGUAbgB0AFwAbgAgACAAIAAgACAAIAAgACAAXwBmAGkAbABlAE4AYQBtAGUALAAgAEMARQBMAEwAKABcACIAZgBpAGwAZQBuAGEAbQBlAFwAIgAsACAAYwBlAGwAbABfAHIAZQBmACkALABcAG4AIAAgACAAIAAgACAAIAAgAC8ALwAgAFUAcwBlACAAYQAgAGMAbwBtAGIAaQBuAGEAdABpAG8AbgAgAG8AZgAgAHQAaABlACAAVABFAFgAVABBAEYAVABFAFIAKAApACAAYQBuAGQAIABUAEUAWABUAEIARQBGAE8AUgBFACgAKQAgAGYAdQBuAGMAdABpAG8AbgBzACAAdABvACAAZwBlAHQAIAB0AGgAZQAgAHcAbwByAGsAYgBvAG8AawAgAG4AYQBtAGUAIABmAHIAbwBtACAAdABoAGUAIABmAGkAbABlAG4AYQBtAGUAIABzAHQAcgBpAG4AZwBcAG4AIAAgACAAIAAgACAAIAAgAF8AcwB0AHIATgBhAG0AZQAsACAAVABFAFgAVABCAEUARgBPAFIARQAoACAAVABFAFgAVABBAEYAVABFAFIAKABfAGYAaQBsAGUATgBhAG0AZQAsACAAXAAiAFsAXAAiACwAIAAtADEALAAgACwAIAAsACAAXAAiACMAXAAiACkALAAgAFwAIgBdAFwAIgAsACAALQAxACwAIAAsACAALAAgAFwAIgAjAFwAIgApACwAXABuACAAIAAgACAAIAAgACAAIAAvAC8AIABSAGUAbQBvAHYAZQAgAHQAaABlACAAZgBpAGwAZQAgAGUAeAB0AGUAbgBzAGkAbwBuACAAZgByAG8AbQAgAHQAaABlACAAdwBvAHIAawBiAG8AbwBrACAAbgBhAG0AZQAgAHMAdAByAGkAbgBnACAAYQBzACAAcgBlAHEAdQBpAHIAZQBkAFwAbgAgACAAIAAgACAAIAAgACAAXwB3AGIATgBhAG0AZQAsACAASQBGACgAXABuACAAIAAgACAAIAAgACAAIAAgACAAIAAgAF8AZgBpAGwAZQBFAHgAdAAsACAAXABuACAAIAAgACAAIAAgACAAIAAgACAAIAAgAFQARQBYAFQAQgBFAEYATwBSAEUAKABfAHMAdAByAE4AYQBtAGUALAAgAFwAIgAuAFwAIgAsACAALQAxACwAIAAsACAALAAgAF8AcwB0AHIATgBhAG0AZQApACwAIABcAG4AIAAgACAAIAAgACAAIAAgACAAIAAgACAAXwBzAHQAcgBOAGEAbQBlAFwAbgAgACAAIAAgACAAIAAgACAAKQAsAFwAbgAgACAAIAAgACAAIAAgACAALwAvACAARABlAHQAZQByAG0AaQBuAGUAIAB3AGgAZQB0AGgAZQByACAAdABvACAAcgBlAHQAdQByAG4AIABhAG4AIABlAHIAcgBvAHIAIABtAGUAcwBzAGEAZwBlACAAbwByACAAdABoAGUAIAB3AG8AcgBrAGIAbwBvAGsAIABuAGEAbQBlACAAcwB0AHIAaQBuAGcAXABuACAAIAAgACAAIAAgACAAIABfAHIAdABuACwAIABJAEYAUwAoAFwAbgAgACAAIAAgACAAIAAgACAAIAAgACAAIABfAGYAaQBsAGUATgBhAG0AZQAgAD0AIABcACIAXAAiACwAIABcACIAIwBbAEUAcgByAG8AcgA6ACAAVwBvAHIAawBiAG8AbwBrACAAbQB1AHMAdAAgAGIAZQAgAHMAYQB2AGUAZABdAFwAIgAsAFwAbgAgACAAIAAgACAAIAAgACAAIAAgACAAIABPAFIAKAAgAEkAUwBFAFIAUgBPAFIAKABfAHcAYgBOAGEAbQBlACkALAAgAF8AdwBiAE4AYQBtAGUAIAA9ACAAXAAiACMAXAAiACkALAAgAFwAIgAjAFsARQByAHIAbwByACAAcgBlAGEAZABpAG4AZwAgAFcAbwByAGsAYgBvAG8AawAgAG4AYQBtAGUAXQBcACIALAAgAFwAbgAgACAAIAAgACAAIAAgACAAIAAgACAAIABUAFIAVQBFACwAIABfAHcAYgBOAGEAbQBlAFwAbgAgACAAIAAgACAAIAAgACAAKQAsAFwAbgAgACAAIAAgACAAIAAgACAALwAvACAARgBpAG4AYQBsAGwAeQAgAGQAZQB0AGUAcgBtAGkAbgBlACAAdwBoAGUAdABoAGUAcgAgAHQAbwAgAHIAZQB0AHUAcgBuACAAYQBuACAAaQBuAHAAdQB0ACAAZQByAHIAbwByACAAbQBlAHMAcwBhAGcAZQAgAG8AcgAgAHQAaABlACAAcgBlAHQAdQByAG4AIABzAHQAcgBpAG4AZwBcAG4AIAAgACAAIAAgACAAIAAgAEkARgAoAF8AaQBuAHAAQwBoAGsAIAA8AD4AIABcACIAXAAiACwAIABfAGkAbgBwAEMAaABrACwAIABfAHIAdABuACkAXABuACAAIAAgACAAKQBcAG4AKQA7AFwAbgBcAG4ALwAqAFwAbgAgACAAIAAgAE4AYQBtAGUAOgAgACAAIAAgACAAIAAgACAARgBpAGwAZQBQAGEAdABoACgAKQBcAG4AIAAgACAAIABWAGUAcgBzAGkAbwBuADoAIAAgACAAIAAgADEALgAwADQAIAAoADIAMwAtAE0AYQByAC0AMgAwADIANQApACAALQAtACAAUgAgAFMAaQBsAGsALAAgAFIAWABMACAARABlAHYAZQBsAG8AcABtAGUAbgB0AFwAbgAgACAAIAAgAEQAZQBzAGMAcgBpAHAAdABpAG8AbgA6ACAAKgAvAC8AKgAqAFIAZQB0AHUAcgBuAHMAIAB0AGgAZQAgAFcAbwByAGsAYgBvAG8AawAgAGYAaQBsAGUAIABwAGEAdABoACwAIAB3AGkAdABoACAAbwByACAAdwBpAHQAaABvAHUAdAAgAHQAaABlACAAZgB1AGwAbAAgAGYAaQBsAGUAIABuAGEAbQBlACwAIABmAG8AcgAgAHQAaABlACAAYwBlAGwAbAAgAHIAZQBmAGUAcgBlAG4AYwBlACAAcAByAG8AdgBpAGQAZQBkADsAIABXAG8AcgBrAGIAbwBvAGsAIABtAHUAcwB0ACAAYgBlACAAcwBhAHYAZQBkACAAZgBpAHIAcwB0ACoALwAvACoAXABuACAAIAAgACAAUABhAHIAYQBtAGUAdABlAHIAcwA6AFwAbgAgACAAIAAgACAAIAAgACAAKwAgAGMAZQBsAGwAXwByAGUAZgAgACAAIAAgACAAIAAgACAAIAAgAD0AIAAoAHIAZQBxAHUAaQByAGUAZAApACAAQQAgAHYAYQBsAGkAZAAgAGMAZQBsAGwAIAByAGUAZgBlAHIAZQBuAGMAZQAsACAAZQAuAGcALgAgAEEAMQAsACAAbwByACAAJwBTAGgAZQBlAHQAMQAnACEAQQAxAFwAbgAgACAAIAAgACAAIAAgACAAKwAgAHIAZQBtAG8AdgBlAF8AbABhAHMAdABfAGMAaABhAHIAIAAgAD0AIAAoAG8AcAB0AGkAbwBuAGEAbAApACAAQQAgAFQAUgBVAEUALwBGAEEATABTAEUAIABvAHIAIAAxAC8AMAAgAHYAYQBsAHUAZQAgAHQAbwAgAGQAZQB0AGUAcgBtAGkAbgBlACAAdwBoAGUAdABoAGUAcgAgAHQAbwAgAHIAZQBtAG8AdgBlACAAdABoAGUAIABsAGEAcwB0ACAAYwBoAGEAcgBhAGMAdABlAHIAIABpAG4AIAB0AGgAZQAgAGYAaQBsAGUAIABwAGEAdABoACAAcwB0AHIAaQBuAGcAXABuACAAIAAgACAAIAAgACAAIAArACAAaQBuAGMAXwBmAGkAbABlAF8AbgBhAG0AZQAgACAAIAAgACAAPQAgACgAbwBwAHQAaQBvAG4AYQBsACkAIABBACAAVABSAFUARQAvAEYAQQBMAFMARQAgAG8AcgAgADEALwAwACAAdgBhAGwAdQBlACAAdABvACAAZABlAHQAZQByAG0AaQBuAGUAIAB3AGgAZQB0AGgAZQByACAAdABvACAAaQBuAGMAbAB1AGQAZQAgAHQAaABlACAAZgB1AGwAbAAgAGYAaQBsAGUAIABuAGEAbQBlACAAdwBpAHQAaAAgAGYAaQBsAGUAIABlAHgAdABlAG4AcwBpAG8AbgBcAG4AIAAgACAAIABFAHIAcgBvAHIAIABjAG8AZABlAHMAOgBcAG4AIAAgACAAIAAgACAAIAAgACMAWwBFAHIAcgBvAHIAOgAgAGMAZQBsAGwAIAByAGUAZgBlAHIAZQBuAGMAZQAgAHIAZQBxAHUAaQByAGUAZABdACAAIAAgAD0AIAB0AGgAZQAgAGMAZQBsAGwAXwByAGUAZgAgAHAAYQByAGEAbQBlAHQAZQByACAAcgBlAHEAdQBpAHIAZQBzACAAYQAgAHYAYQBsAGkAZAAgAGMAZQBsAGwAIAByAGUAZgBlAHIAZQBuAGMAZQBcAG4AIAAgACAAIAAgACAAIAAgACMAWwBFAHIAcgBvAHIAOgAgAGkAbgB2AGEAbABpAGQAIABvAHAAdABpAG8AbgBhAGwAIABpAG4AcAB1AHQAXQAgACAAIAAgAD0AIABlAGkAdABoAGUAcgAgAHQAaABlACAAcgBlAG0AbwB2AGUAXwBsAGEAcwB0AF8AYwBoAGEAcgAgAG8AdAAgAGkAbgBjAF8AZgBpAGwAZQBfAG4AYQBtAGUAIABpAG4AcAB1AHQAcwAgAGEAcgBlACAAbgBvAHQAIABhACAAbABvAGcAaQBjAGEAbAAgACgAVABSAFUARQAvAEYAQQBMAFMARQApACAAbwByACAAbgB1AG0AZQByAGkAYwAgAHYAYQBsAHUAZQBcAG4AIAAgACAAIAAgACAAIAAgACMAWwBFAHIAcgBvAHIAOgAgAFcAbwByAGsAYgBvAG8AawAgAG0AdQBzAHQAIABiAGUAIABzAGEAdgBlAGQAXQAgACAAIAAgAD0AIAB0AGgAZQAgAFcAbwByAGsAYgBvAG8AawAgAGYAaQBsAGUAIABtAHUAcwB0ACAAYgBlACAAcwBhAHYAZQBkACAAZgBpAHIAcwB0ACAAaQBuACAAbwByAGQAZQByACAAZgBvAHIAIAB0AGgAZQAgAGYAdQBuAGMAdABpAG8AbgAgAHQAbwAgAHcAbwByAGsAIABjAG8AcgByAGUAYwB0AGwAeQBcAG4AIAAgACAAIAAgACAAIAAgACMAWwBFAHIAcgBvAHIAIAByAGUAYQBkAGkAbgBnACAARgBpAGwAZQAgAFAAYQB0AGgAXQAgACAAIAAgACAAIAAgACAAIAAgAD0AIABhAG4AIABlAHIAcgBvAHIAIABvAGMAYwB1AHIAcgBlAGQAIABnAGUAdAB0AGkAbgBnACAAdABoAGUAIABmAGkAbABlACAAbgBhAG0AZQAgAHMAdAByAGkAbgBnACAAbwByACAAZQB4AHQAcgBhAGMAdABpAG4AZwAgAHQAaABlACAAZgBpAGwAZQAgAHAAYQB0AGgAIABmAHIAbwBtACAAdABoAGUAIABmAGkAbABlACAAbgBhAG0AZQAgAHMAdAByAGkAbgBnAFwAbgAgACAAIAAgACAAIAAgACAAIwBbAEUAcgByAG8AcgAgAHIAZQBhAGQAaQBuAGcAIABXAG8AcgBrAGIAbwBvAGsAIABuAGEAbQBlAF0AIAAgACAAIAAgACAAPQAgAGEAbgAgAGUAcgByAG8AcgAgAG8AYwBjAHUAcgByAGUAZAAgAGcAZQB0AHQAaQBuAGcAIAB0AGgAZQAgAGYAaQBsAGUAIABuAGEAbQBlACAAcwB0AHIAaQBuAGcAIABvAHIAIABlAHgAdAByAGEAYwB0AGkAbgBnACAAdABoAGUAIABXAG8AcgBrAGIAbwBvAGsAIABuAGEAbQBlACAAZgByAG8AbQAgAHQAaABlACAAZgBpAGwAZQAgAG4AYQBtAGUAIABzAHQAcgBpAG4AZwBcAG4AIAAgACAAIABOAG8AdABlAHMAOgBcAG4AIAAgACAAIAAgACAAIAAgAC0AIABUAGgAZQAgAGYAdQBuAGMAdABpAG8AbgAgAG8AdQB0AHAAdQB0AHMAIABjAHUAcwB0AG8AbQAgAGUAcgByAG8AcgAgAG0AZQBzAHMAYQBnAGUAcwAgAGEAcwAgAHMAdAByAGkAbgBnAHMAOwAgAHQAaABlAHMAZQAgAHcAaQBsAGwAIABuAG8AdAAgAGIAZQAgAGYAbABhAGcAZwBlAGQAIABiAHkAIABFAHgAYwBlAGwAIABvAHIAIABhAG4AeQAgAGEAZABkAC0AaQBuAHMAIABhAHMAIABlAHIAcgBvAHIAIABjAGUAbABsAHMALgBcAG4AIAAgACAAIAAgACAAIAAgAC0AIABBAGwAdABlAHIAbgBhAHQAaQB2AGUAbAB5ACwAIAB0AGgAZQAgAGMAdQBzAHQAbwBtACAAZQByAHIAbwByACAAbQBlAHMAcwBhAGcAZQBzACAAYwBhAG4AIABiAGUAIAByAGUAcABsAGEAYwBlAGQAIAB3AGkAdABoACAAbgBhAHQAaQB2AGUAIABFAHgAYwBlAGwAIABlAHIAcgBvAHIAIABjAG8AZABlAHMAIABzAG8AIAB0AGgAYQB0ACAAdABoAGUAIABlAHIAcgBvAHIAIABpAHMAIABmAGwAYQBnAGcAZQBkACAAaQBuACAAdABoAGUAIABuAG8AcgBtAGEAbAAgAHcAYQB5ADsAIABcAG4AIAAgACAAIAAgACAAIAAgACAAIAB0AG8AIABkAG8AIAB0AGgAaQBzADoAXABuACAAIAAgACAAIAAgACAAIAAgACAAIAAgAC0ALQAgAHIAZQBwAGwAYQBjAGUAIAB0AGgAZQAgAFwAIgAjAFsARQByAHIAbwByADoAIABjAGUAbABsACAAcgBlAGYAZQByAGUAbgBjAGUAIAByAGUAcQB1AGkAcgBlAGQAXQBcACIAIABzAHQAcgBpAG4AZwAgAHcAaQB0AGgAIAB0AGgAZQAgACMAVgBBAEwAVQBFACEAIAAoAG8AcgAgACMAUgBFAEYAIQApACAAZQByAHIAbwByACAAYwBvAGQAZQBcAG4AIAAgACAAIAAgACAAIAAgACAAIAAgACAALQAtACAAcgBlAHAAbABhAGMAZQAgAHQAaABlACAAXAAiACMAWwBFAHIAcgBvAHIAOgAgAGkAbgB2AGEAbABpAGQAIABvAHAAdABpAG8AbgBhAGwAIABpAG4AcAB1AHQAXQBcACIAIABzAHQAcgBpAG4AZwAgAHcAaQB0AGgAIAB0AGgAZQAgACMAVgBBAEwAVQBFACEAIABlAHIAcgBvAHIAIABjAG8AZABlAFwAbgAgACAAIAAgACAAIAAgACAAIAAgACAAIAAtAC0AIAByAGUAcABsAGEAYwBlACAAdABoAGUAIABcACIAIwBbAEUAcgByAG8AcgA6ACAAVwBvAHIAawBiAG8AbwBrACAAbQB1AHMAdAAgAGIAZQAgAHMAYQB2AGUAZABdAFwAIgAsACAAXAAiACMAWwBFAHIAcgBvAHIAIAByAGUAYQBkAGkAbgBnACAARgBpAGwAZQAgAFAAYQB0AGgAXQBcACIALAAgAGEAbgBkACAAXAAiACMAWwBFAHIAcgBvAHIAIAByAGUAYQBkAGkAbgBnACAAUwBoAGUAZQB0ACAAbgBhAG0AZQBdAFwAIgAgAHMAdAByAGkAbgBnAHMAIAB3AGkAdABoACAATABBAE0AQgBEAEEAKAAwACkAIABpAG4AIABvAHIAZABlAHIAIAB0AG8AIABjAHIAZQBhAHQAZQAgAGEAIAAjAEMAQQBMAEMAIQAgAGUAcgByAG8AcgAgAGMAbwBkAGUAXABuACoALwBcAG4ARgBpAGwAZQBQAGEAdABoACAAPQAgAEwAQQBNAEIARABBACgAXABuACAAIAAgACAALwAvACAAUABhAHIAYQBtAGUAdABlAHIAIABkAGUAZgBpAG4AaQB0AGkAbwBuAHMAXABuACAAIAAgACAAYwBlAGwAbABfAHIAZQBmACwAXABuACAAIAAgACAAWwByAGUAbQBvAHYAZQBfAGwAYQBzAHQAXwBjAGgAYQByAF0ALABcAG4AIAAgACAAIABbAGkAbgBjAF8AZgBpAGwAZQBfAG4AYQBtAGUAXQAsAFwAbgAgACAAIAAgAC8ALwAgAE0AYQBpAG4AIABmAHUAbgBjAHQAaQBvAG4AIABiAG8AZAB5AC8AYwBhAGwAYwB1AGwAYQB0AGkAbwBuAHMAXABuACAAIAAgACAATABFAFQAKABcAG4AIAAgACAAIAAgACAAIAAgAC8ALwAgAEkAbgBwAHUAdAAgAGMAaABlAGMAawBzAFwAbgAgACAAIAAgACAAIAAgACAAXwBjAGgAcgBDAGgAawAsACAAQQBOAEQAKAAgAE4ATwBUACgASQBTAE8ATQBJAFQAVABFAEQAKAByAGUAbQBvAHYAZQBfAGwAYQBzAHQAXwBjAGgAYQByACkAKQAsACAATgBPAFQAKABJAFMATABPAEcASQBDAEEATAAoAHIAZQBtAG8AdgBlAF8AbABhAHMAdABfAGMAaABhAHIAKQApACwAIABOAE8AVAAoAEkAUwBOAFUATQBCAEUAUgAoAHIAZQBtAG8AdgBlAF8AbABhAHMAdABfAGMAaABhAHIAKQApACkALABcAG4AIAAgACAAIAAgACAAIAAgAF8AZgBuAG0AQwBoAGsALAAgAEEATgBEACgAIABOAE8AVAAoAEkAUwBPAE0ASQBUAFQARQBEACgAaQBuAGMAXwBmAGkAbABlAF8AbgBhAG0AZQApACkALAAgAE4ATwBUACgASQBTAEwATwBHAEkAQwBBAEwAKABpAG4AYwBfAGYAaQBsAGUAXwBuAGEAbQBlACkAKQAsACAATgBPAFQAKABJAFMATgBVAE0AQgBFAFIAKABpAG4AYwBfAGYAaQBsAGUAXwBuAGEAbQBlACkAKQApACwAXABuACAAIAAgACAAIAAgACAAIABfAHIAZQBmAEMAaABrACwAIABOAE8AVAAoAEkAUwBSAEUARgAoAGMAZQBsAGwAXwByAGUAZgApACkALABcAG4AIAAgACAAIAAgACAAIAAgAC8ALwAgAEQAZQBhAGwAaQBuAGcAIAB3AGkAdABoACAAbwBwAHQAaQBvAG4AYQBsACAAcABhAHIAYQBtAGUAdABlAHIAcwAsACAAcwBlAHQAdABpAG4AZwAgAGQAZQBmAGEAdQBsAHQAIAB2AGEAbAB1AGUAcwAgAGkAZgAgAG8AbQBpAHQAdABlAGQAXABuACAAIAAgACAAIAAgACAAIABfAGwAYQBzAHQAQwBoAHIALAAgAEkARgAoAFwAbgAgACAAIAAgACAAIAAgACAAIAAgACAAIABPAFIAKAAgAEkAUwBPAE0ASQBUAFQARQBEACgAcgBlAG0AbwB2AGUAXwBsAGEAcwB0AF8AYwBoAGEAcgApACwAIABfAGMAaAByAEMAaABrACkALABcAG4AIAAgACAAIAAgACAAIAAgACAAIAAgACAARgBBAEwAUwBFACwAXABuACAAIAAgACAAIAAgACAAIAAgACAAIAAgAHIAZQBtAG8AdgBlAF8AbABhAHMAdABfAGMAaABhAHIAXABuACAAIAAgACAAIAAgACAAIAApACwAXABuACAAIAAgACAAIAAgACAAIABfAGkAbgBjAEYAaQBsAGUALAAgAEkARgAoAFwAbgAgACAAIAAgACAAIAAgACAAIAAgACAAIABPAFIAKAAgAEkAUwBPAE0ASQBUAFQARQBEACgAaQBuAGMAXwBmAGkAbABlAF8AbgBhAG0AZQApACwAIABfAGYAbgBtAEMAaABrACkALABcAG4AIAAgACAAIAAgACAAIAAgACAAIAAgACAARgBBAEwAUwBFACwAXABuACAAIAAgACAAIAAgACAAIAAgACAAIAAgAGkAbgBjAF8AZgBpAGwAZQBfAG4AYQBtAGUAXABuACAAIAAgACAAIAAgACAAIAApACwAXABuACAAIAAgACAAIAAgACAAIAAvAC8AIABHAGUAdAAgAHQAaABlACAAZgB1AGwAbAAgAGYAaQBsAGUAIABwAGEAdABoACAAYQBuAGQAIABuAGEAbQBlAFwAbgAgACAAIAAgACAAIAAgACAAXwBmAHUAbABsACwAIABDAEUATABMACgAXAAiAGYAaQBsAGUAbgBhAG0AZQBcACIALAAgAGMAZQBsAGwAXwByAGUAZgApACwAXABuACAAIAAgACAAIAAgACAAIAAvAC8AIABFAHgAdAByAGEAYwB0ACAAdABoAGUAIABmAGkAbABlACAAcABhAHQAaAAgAG8AbgBsAHkAXABuACAAIAAgACAAIAAgACAAIABfAHAAYQB0AGgALAAgAFQARQBYAFQAQgBFAEYATwBSAEUAKABfAGYAdQBsAGwALAAgAFwAIgBbAFwAIgAsACAALQAxACwAIAAsACAALAAgAFwAIgAjAFwAIgApACwAXABuACAAIAAgACAAIAAgACAAIABfAGYAaQBsAGUAUABhAHQAaAAsACAASQBGACgAXwBsAGEAcwB0AEMAaAByACwAXABuACAAIAAgACAAIAAgACAAIAAgACAAIAAgAEwARQBGAFQAKABfAHAAYQB0AGgALAAgAEwARQBOACgAXwBwAGEAdABoACkAIAAtACAAMQApACwAXABuACAAIAAgACAAIAAgACAAIAAgACAAIAAgAF8AcABhAHQAaABcAG4AIAAgACAAIAAgACAAIAAgACkALABcAG4AIAAgACAAIAAgACAAIAAgAC8ALwAgAEUAeAB0AHIAYQBjAHQAIAB0AGgAZQAgAFcAbwByAGsAYgBvAG8AawAgAG4AYQBtAGUAIABlAGwAZQBtAGUAbgB0ACAAaQBuAGMALgAgAGYAaQBsAGUAIABlAHgAdABlAG4AcwBpAG8AbgBcAG4AIAAgACAAIAAgACAAIAAgAF8AdwBiAE4AYQBtAGUALAAgAFQARQBYAFQAQgBFAEYATwBSAEUAKAAgAFQARQBYAFQAQQBGAFQARQBSACgAXwBmAHUAbABsACwAIABcACIAWwBcACIALAAgAC0AMQAsACAALAAgACwAIABcACIAIwBcACIAKQAsACAAXAAiAF0AXAAiACwAIAAtADEALAAgACwAIAAsACAAXAAiACMAXAAiACkALABcAG4AIAAgACAAIAAgACAAIAAgAC8ALwAgAEMAaABlAGMAawAgAGYAbwByACAAaQBuAHAAdQB0ACAAZQByAHIAbwByAHMAIABhAG4AZAAgAGMAYQBsAGMAdQBsAGEAdABpAG8AbgAgAGUAcgByAG8AcgBzACwAIABhAG4AZAAgAHMAZQB0ACAAdABoAGUAIABhAHAAcAByAG8AcAByAGkAYQB0AGUAIABlAHIAcgBvAHIAIABtAGUAcwBzAGEAZwBlAFwAbgAgACAAIAAgACAAIAAgACAALwAvACAATgBvAHQAZQAgAC0AIABlAHIAcgBvAHIAcwAgAHAAbABhAGMAZQBkACAAaQBuACAAbwByAGQAZQByACAAbwBmACAAaQBtAHAAbwByAHQAYQBuAGMAZQAvAHIAZQBwAG8AcgB0AGkAbgBnACAAYQBzACAAbwBuAGwAeQAgAGEAIABzAGkAbgBnAGwAZQAgAG0AZQBzAHMAYQBnAGUAIABpAHMAIAByAGUAdAB1AHIAbgBlAGQAIABmAG8AcgAgAG0AdQBsAHQAaQBwAGwAZQAgAGUAcgByAG8AcgBzAFwAbgAgACAAIAAgACAAIAAgACAAXwBlAHIAcgBDAGgAawAsACAASQBGAFMAKABcAG4AIAAgACAAIAAgACAAIAAgACAAIAAgACAAXwByAGUAZgBDAGgAawAsACAAXAAiACMAWwBFAHIAcgBvAHIAOgAgAGMAZQBsAGwAIAByAGUAZgBlAHIAZQBuAGMAZQAgAHIAZQBxAHUAaQByAGUAZABdAFwAIgAsAFwAbgAgACAAIAAgACAAIAAgACAAIAAgACAAIABfAGYAdQBsAGwAIAA9ACAAXAAiAFwAIgAsACAAXAAiACMAWwBFAHIAcgBvAHIAOgAgAFcAbwByAGsAYgBvAG8AawAgAG0AdQBzAHQAIABiAGUAIABzAGEAdgBlAGQAXQBcACIALABcAG4AIAAgACAAIAAgACAAIAAgACAAIAAgACAATwBSACgAXwBjAGgAcgBDAGgAawAsACAAXwBmAG4AbQBDAGgAawApACwAIABcACIAIwBbAEUAcgByAG8AcgA6ACAAaQBuAHYAYQBsAGkAZAAgAG8AcAB0AGkAbwBuAGEAbAAgAGkAbgBwAHUAdABdAFwAIgAsAFwAbgAgACAAIAAgACAAIAAgACAAIAAgACAAIABPAFIAKAAgAEkAUwBFAFIAUgBPAFIAKABfAGYAaQBsAGUAUABhAHQAaAApACwAIABfAGYAaQBsAGUAUABhAHQAaAAgAD0AIABcACIAIwBcACIAKQAsACAAXAAiACMAWwBFAHIAcgBvAHIAIAByAGUAYQBkAGkAbgBnACAARgBpAGwAZQAgAFAAYQB0AGgAXQBcACIALABcAG4AIAAgACAAIAAgACAAIAAgACAAIAAgACAAQQBOAEQAKAAgAE8AUgAoACAASQBTAEUAUgBSAE8AUgAoAF8AdwBiAE4AYQBtAGUAKQAsACAAXwB3AGIATgBhAG0AZQAgAD0AIABcACIAIwBcACIAKQAsACAAXwBpAG4AYwBGAGkAbABlACkALAAgAFwAIgAjAFsARQByAHIAbwByACAAcgBlAGEAZABpAG4AZwAgAFcAbwByAGsAYgBvAG8AawAgAE4AYQBtAGUAXQBcACIALABcAG4AIAAgACAAIAAgACAAIAAgACAAIAAgACAAVABSAFUARQAsACAAXAAiAFwAIgBcAG4AIAAgACAAIAAgACAAIAAgACkALABcAG4AIAAgACAAIAAgACAAIAAgAC8ALwAgAEMAbwBuAHMAdAByAHUAYwB0ACAAdABoAGUAIAByAGUAcQB1AGkAcgBlAGQAIABvAHUAdABwAHUAdAAgAHMAdAByAGkAbgBnAFwAbgAgACAAIAAgACAAIAAgACAAXwByAHQAbgAsACAASQBGACgAXwBpAG4AYwBGAGkAbABlACwAXABuACAAIAAgACAAIAAgACAAIAAgACAAIAAgAF8AcABhAHQAaAAgACYAIABfAHcAYgBOAGEAbQBlACwAXABuACAAIAAgACAAIAAgACAAIAAgACAAIAAgAF8AZgBpAGwAZQBQAGEAdABoAFwAbgAgACAAIAAgACAAIAAgACAAKQAsAFwAbgAgACAAIAAgACAAIAAgACAALwAvACAARgBpAG4AYQBsACAAYwBoAGUAYwBrACAALQAgAGkAZgAgAGEAbgAgAGUAcgByAG8AcgAgAG0AZQBzAHMAYQBnAGUAIABpAHMAIABwAHIAZQBzAGUAbgB0ACAAcgBlAHQAdQByAG4AIAB0AGgAYQB0ACwAIABvAHQAaABlAHIAdwBpAHMAZQAgAHIAZQB0AHUAcgBuACAAdABoAGUAIABjAG8AbgBzAHQAcgB1AGMAdABlAGQAIABvAHUAdABwAHUAdAAgAHMAdAByAGkAbgBnAFwAbgAgACAAIAAgACAAIAAgACAASQBGACgAXwBlAHIAcgBDAGgAawAgADwAPgAgAFwAIgBcACIALAAgAF8AZQByAHIAQwBoAGsALAAgAF8AcgB0AG4AKQBcAG4AIAAgACAAIAApAFwAbgApADsAIgB9AF0ALAAiAHAAcgBvAGoAZQBjAHQATgBhAG0AZQBzACIAOgBbACIAUgBYAEwAXwBTAGgAZQBlAHQATgBhAG0AZQAiACwAIgBSAFgATABfAFcAbwByAGsAYgBvAG8AawBOAGEAbQBlACIALAAiAFIAWABMAF8ARgBpAGwAZQBQAGEAdABoACIALAAiAFIAWABMAF8AVwBiAEkAbgBmAG8ALgBBAGIAbwB1AHQAIgAsACIAUgBYAEwAXwBXAGIASQBuAGYAbwAuAFMAaABlAGUAdABOAGEAbQBlACIALAAiAFIAWABMAF8AVwBiAEkAbgBmAG8ALgBXAG8AcgBrAGIAbwBvAGsATgBhAG0AZQAiACwAIgBSAFgATABfAFcAYgBJAG4AZgBvAC4ARgBpAGwAZQBQAGEAdABo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KM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Props1.xml><?xml version="1.0" encoding="utf-8"?>
<ds:datastoreItem xmlns:ds="http://schemas.openxmlformats.org/officeDocument/2006/customXml" ds:itemID="{E868B07E-8E73-453F-8EDC-C5D00DFF7CD9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SheetName</vt:lpstr>
      <vt:lpstr>WorkbookName</vt:lpstr>
      <vt:lpstr>FilePath</vt:lpstr>
      <vt:lpstr>Demo</vt:lpstr>
      <vt:lpstr>VBA</vt:lpstr>
      <vt:lpstr>Lookups</vt:lpstr>
      <vt:lpstr>_OnOff</vt:lpstr>
      <vt:lpstr>_YesNo</vt:lpstr>
    </vt:vector>
  </TitlesOfParts>
  <Company>RXL Development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RXL Workbook Info Lambda Function Module</dc:title>
  <dc:subject>Excel LAMBDA function development</dc:subject>
  <dc:creator>Robert Silk</dc:creator>
  <cp:keywords>https://excel-bits.net</cp:keywords>
  <dc:description/>
  <cp:lastModifiedBy>Robert Silk</cp:lastModifiedBy>
  <dcterms:created xsi:type="dcterms:W3CDTF">2023-11-03T12:13:36Z</dcterms:created>
  <dcterms:modified xsi:type="dcterms:W3CDTF">2026-05-06T13:54:06Z</dcterms:modified>
  <cp:category>LAMBDA functions</cp:category>
</cp:coreProperties>
</file>