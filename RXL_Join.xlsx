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Work\_RXL\Development\LAMBDA\"/>
    </mc:Choice>
  </mc:AlternateContent>
  <xr:revisionPtr revIDLastSave="0" documentId="13_ncr:1_{29AC2703-A0B6-4B21-A2C1-B418C1BCB1AD}" xr6:coauthVersionLast="47" xr6:coauthVersionMax="47" xr10:uidLastSave="{00000000-0000-0000-0000-000000000000}"/>
  <bookViews>
    <workbookView xWindow="-108" yWindow="-108" windowWidth="23256" windowHeight="12456" activeTab="1" xr2:uid="{A193CA51-2AAA-4D95-958E-6416375E2BC8}"/>
  </bookViews>
  <sheets>
    <sheet name="Join" sheetId="1" r:id="rId1"/>
    <sheet name="Demo" sheetId="3" r:id="rId2"/>
    <sheet name="VBA" sheetId="5" r:id="rId3"/>
    <sheet name="Lookups" sheetId="2" r:id="rId4"/>
  </sheets>
  <definedNames>
    <definedName name="_OnOff">Lookups!$C$6:$C$7</definedName>
    <definedName name="_YesNo">Lookups!$C$3:$C$4</definedName>
    <definedName name="RXL_Join" comment="Joins two data tables together matching rows based on chosen columns from each input array; similar to the SQL JOIN operation">_xlfn.LAMBDA(_xlpm.first_array,_xlpm.second_array,_xlpm.first_match_index,_xlpm.second_match_index,_xlop.join_type,_xlop.first_array_cols,_xlop.second_array_cols,_xlop.sort,_xlop.replace_na, _xlfn.LET(_xlpm._arr1, _xlpm.first_array, _xlpm._arr2, _xlpm.second_array, _xlpm._col1, _xlpm.first_match_index, _xlpm._col2, _xlpm.second_match_index, _xlpm._idx1, IF(_xlfn.ISOMITTED(_xlpm.first_array_cols), _xlfn.SEQUENCE(1, COLUMNS(_xlpm._arr1)), IF(SUM(--ISERROR(_xlpm.first_array_cols)) &gt; 0, 0, _xlpm.first_array_cols)), _xlpm._idx2, IF(_xlfn.ISOMITTED(_xlpm.second_array_cols), _xlfn.SEQUENCE(1, COLUMNS(_xlpm._arr2)), IF(SUM(--ISERROR(_xlpm.second_array_cols)) &gt; 0, 0, _xlpm.second_array_cols)), _xlpm._inpT, IF(_xlfn.ISOMITTED(_xlpm.join_type), 0, INT(_xlpm.join_type)), _xlpm._typ, IF(ISNUMBER(_xlpm._inpT), _xlpm._inpT + 1, _xlfn.IFNA(MATCH(LOWER(_xlpm.join_type), {"left","right","inner","full"}, 0), -1)), _xlpm._srt, IF(_xlfn.ISOMITTED(_xlpm.sort), 0, IF(ISERROR(_xlpm.sort), "", INT(_xlpm.sort))), _xlpm._inpR, IF(_xlfn.ISOMITTED(_xlpm.replace_na), FALSE, INDEX(_xlpm.replace_na, 1, 1)), _xlpm._rep, IF(ISLOGICAL(_xlpm._inpR), IF(_xlpm._inpR, "", NA()), _xlpm._inpR), _xlpm._inpChk, IF(OR(NOT(ISNUMBER(_xlpm._col1)), NOT(ISNUMBER(_xlpm._col2)), MIN(_xlpm._col1) &lt; 1, MAX(_xlpm._col1) &gt; COLUMNS(_xlpm._arr1), MIN(_xlpm._col2) &lt; 1, MAX(_xlpm._col2) &gt; COLUMNS(_xlpm._arr2), NOT(ISNUMBER(_xlpm._idx1)), NOT(ISNUMBER(_xlpm._idx2)), MIN(_xlpm._idx1) &lt; 1, MAX(_xlpm._idx1) &gt; COLUMNS(_xlpm._arr1), MIN(_xlpm._idx2) &lt; 1, MAX(_xlpm._idx2) &gt; COLUMNS(_xlpm._arr2)), 2, IF(OR(_xlpm._typ &lt; 1, _xlpm._typ &gt; 4, ISERROR(_xlpm._srt), _xlpm._srt &lt; -1, _xlpm._srt &gt; 1), 3, 1)), _xlpm._uId1, _xlfn.SCAN(0, _xlfn.SEQUENCE(ROWS(_xlpm._arr1)), _xlfn.LAMBDA(_xlpm._acc,_xlpm._val, _xlfn.CONCAT(INDEX(_xlpm._arr1, _xlpm._val, _xlpm._col1)))), _xlpm._uId2, _xlfn.SCAN(0, _xlfn.SEQUENCE(ROWS(_xlpm._arr2)), _xlfn.LAMBDA(_xlpm._acc,_xlpm._val, _xlfn.CONCAT(INDEX(_xlpm._arr2, _xlpm._val,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_xlfn.LET(_xlpm._fltr, _xlfn.SCAN(0, _xlfn.SEQUENCE(ROWS(_xlpm._out2), 1), _xlfn.LAMBDA(_xlpm._acc,_xlpm._val, IF(ISNA(MATCH(_xlpm._val, _xlpm._mtch, 0)), 1, 0))), _xlpm._arr, _xlfn._xlws.FILTER(_xlpm._out2, _xlpm._fltr = 1, "#[Empty]"), _xlpm._mCl, _xlfn._xlws.FILTER(_xlpm._uId2, _xlpm._fltr = 1, NA()), _xlpm._blnk, _xlfn.MAKEARRAY(ROWS(_xlpm._arr), _xlpm._cc1, _xlfn.LAMBDA(_xlpm._r,_xlpm._c, NA())), IF(_xlpm._srt &lt;&gt; 0, _xlfn.HSTACK(_xlpm._mCl, _xlpm._blnk, _xlpm._arr), _xlfn.HSTACK(_xlpm._blnk, _xlpm._arr))), _xlpm._arrC, IF(_xlpm._srt &lt;&gt; 0, _xlfn.HSTACK(_xlpm._uId1, _xlpm._out1, _xlpm._arrN), _xlfn.HSTACK(_xlpm._out1, _xlpm._arrN)), _xlpm._arrL, IF(OR(_xlpm._typ = 2, _xlpm._typ = 3), _xlfn._xlws.FILTER(_xlpm._arrC, _xlpm._mtch &lt;&gt; 0, "#[Empty]"), _xlpm._arrC), _xlpm._calc, CHOOSE(_xlpm._typ, _xlpm._arrL, IF(INDEX(_xlpm._arrL, 1, 1) = "#[Empty]", _xlpm._arrR, IF(INDEX(_xlpm._arrR, 1, _xlpm._ccS + 1) = "#[Empty]", _xlpm._arrL, _xlfn.VSTACK(_xlpm._arrL, _xlpm._arrR))), IF(INDEX(_xlpm._arrL, 1, 1) = "#[Empty]", _xlfn.MAKEARRAY(1, _xlpm._ccS + _xlpm._cc2, _xlfn.LAMBDA(_xlpm._r,_xlpm._c, NA())), _xlpm._arrL), IF(INDEX(_xlpm._arrR, 1, _xlpm._ccS + 1) = "#[Empty]", _xlpm._arrL, _xlfn.VSTACK(_xlpm._arrL, _xlpm._arrR))), _xlpm._rtn, _xlfn.LET(_xlpm._arrS, IF(_xlpm._srt &lt;&gt; 0, _xlfn.DROP(_xlfn.SORTBY(_xlpm._calc, _xlfn.CHOOSECOLS(_xlpm._calc, 1), _xlpm._srt), 0, 1), _xlpm._calc), _xlpm._aRep, IF(ISNA(_xlpm._rep), _xlpm._arrS, IF(ISNA(_xlpm._arrS), _xlpm._rep, _xlpm._arrS)), _xlpm._aRep), CHOOSE(_xlpm._inpChk, _xlpm._rtn, _xlfn.LAMBDA(0), #VALUE!)))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1" i="3" l="1" a="1"/>
  <c r="D289" i="3" a="1"/>
  <c r="D307" i="3" a="1"/>
  <c r="D319" i="3"/>
  <c r="D301" i="3"/>
  <c r="D283" i="3"/>
  <c r="D253" i="3" a="1"/>
  <c r="D265" i="3"/>
  <c r="D233" i="3" a="1"/>
  <c r="D195" i="3" a="1"/>
  <c r="D245" i="3"/>
  <c r="D214" i="3" a="1"/>
  <c r="D226" i="3"/>
  <c r="D207" i="3"/>
  <c r="D174" i="3" a="1"/>
  <c r="D186" i="3"/>
  <c r="D156" i="3" a="1"/>
  <c r="D139" i="3" a="1"/>
  <c r="D168" i="3"/>
  <c r="D151" i="3"/>
  <c r="D120" i="3" a="1"/>
  <c r="D132" i="3"/>
  <c r="D103" i="3" a="1"/>
  <c r="D69" i="3" a="1"/>
  <c r="D86" i="3" a="1"/>
  <c r="D115" i="3"/>
  <c r="D98" i="3"/>
  <c r="D81" i="3"/>
  <c r="D50" i="3" a="1"/>
  <c r="D62" i="3"/>
  <c r="D45" i="3"/>
  <c r="D35" i="3" a="1"/>
  <c r="H755" i="1" a="1"/>
  <c r="H755" i="1" s="1"/>
  <c r="H752" i="1" a="1"/>
  <c r="H752" i="1" s="1"/>
  <c r="H753" i="1" a="1"/>
  <c r="H753" i="1" s="1"/>
  <c r="E760" i="1" s="1" a="1"/>
  <c r="E760" i="1" s="1"/>
  <c r="O761" i="1" a="1"/>
  <c r="O761" i="1" s="1"/>
  <c r="L753" i="1"/>
  <c r="L752" i="1"/>
  <c r="L755" i="1"/>
  <c r="L754" i="1"/>
  <c r="H754" i="1" a="1"/>
  <c r="H754" i="1" s="1"/>
  <c r="H646" i="1" a="1"/>
  <c r="H646" i="1" s="1"/>
  <c r="O653" i="1" a="1"/>
  <c r="O653" i="1" s="1"/>
  <c r="E653" i="1" a="1"/>
  <c r="E653" i="1" s="1"/>
  <c r="C653" i="1" a="1"/>
  <c r="C653" i="1" s="1"/>
  <c r="E652" i="1" a="1"/>
  <c r="E652" i="1" s="1"/>
  <c r="C652" i="1" a="1"/>
  <c r="C652" i="1" s="1"/>
  <c r="L647" i="1"/>
  <c r="H647" i="1" a="1"/>
  <c r="H647" i="1" s="1"/>
  <c r="L646" i="1"/>
  <c r="F604" i="1" a="1"/>
  <c r="F604" i="1" s="1"/>
  <c r="E600" i="1" a="1"/>
  <c r="E600" i="1" s="1"/>
  <c r="E599" i="1" a="1"/>
  <c r="E599" i="1" s="1"/>
  <c r="E595" i="1"/>
  <c r="E594" i="1"/>
  <c r="O509" i="1" a="1"/>
  <c r="O509" i="1" s="1"/>
  <c r="E509" i="1" a="1"/>
  <c r="E509" i="1" s="1"/>
  <c r="C509" i="1" a="1"/>
  <c r="C509" i="1" s="1"/>
  <c r="E508" i="1" a="1"/>
  <c r="E508" i="1" s="1"/>
  <c r="C508" i="1" a="1"/>
  <c r="C508" i="1" s="1"/>
  <c r="L503" i="1"/>
  <c r="H503" i="1" a="1"/>
  <c r="H503" i="1" s="1"/>
  <c r="L502" i="1"/>
  <c r="H502" i="1" a="1"/>
  <c r="H502" i="1" s="1"/>
  <c r="D490" i="1" a="1"/>
  <c r="D490" i="1" s="1"/>
  <c r="D489" i="1"/>
  <c r="O417" i="1" a="1"/>
  <c r="O417" i="1" s="1"/>
  <c r="E417" i="1" a="1"/>
  <c r="E417" i="1" s="1"/>
  <c r="C417" i="1" a="1"/>
  <c r="C417" i="1" s="1"/>
  <c r="E416" i="1" a="1"/>
  <c r="E416" i="1" s="1"/>
  <c r="C416" i="1" a="1"/>
  <c r="C416" i="1" s="1"/>
  <c r="L412" i="1"/>
  <c r="H412" i="1" a="1"/>
  <c r="H412" i="1" s="1"/>
  <c r="L411" i="1"/>
  <c r="H411" i="1" a="1"/>
  <c r="H411" i="1" s="1"/>
  <c r="L351" i="1"/>
  <c r="L350" i="1"/>
  <c r="O355" i="1" a="1"/>
  <c r="O355" i="1" s="1"/>
  <c r="H351" i="1" a="1"/>
  <c r="H351" i="1" s="1"/>
  <c r="H350" i="1" a="1"/>
  <c r="H350" i="1" s="1"/>
  <c r="E354" i="1" a="1"/>
  <c r="E354" i="1" s="1"/>
  <c r="C354" i="1" a="1"/>
  <c r="C354" i="1" s="1"/>
  <c r="E355" i="1" a="1"/>
  <c r="E355" i="1" s="1"/>
  <c r="C355" i="1" a="1"/>
  <c r="C337" i="1" a="1"/>
  <c r="C337" i="1" s="1"/>
  <c r="L338" i="1"/>
  <c r="I335" i="1" a="1"/>
  <c r="I335" i="1" s="1"/>
  <c r="I338" i="1" s="1" a="1"/>
  <c r="I338" i="1" s="1"/>
  <c r="L337" i="1"/>
  <c r="L335" i="1"/>
  <c r="C338" i="1" a="1"/>
  <c r="C338" i="1" s="1"/>
  <c r="G338" i="1" s="1" a="1"/>
  <c r="G338" i="1" s="1"/>
  <c r="G281" i="1" a="1"/>
  <c r="G306" i="1" a="1"/>
  <c r="C306" i="1" a="1"/>
  <c r="C306" i="1" s="1"/>
  <c r="E306" i="1" a="1"/>
  <c r="E306" i="1" s="1"/>
  <c r="E281" i="1" a="1"/>
  <c r="E281" i="1" s="1"/>
  <c r="O281" i="1" a="1"/>
  <c r="O281" i="1" s="1"/>
  <c r="C281" i="1" a="1"/>
  <c r="G227" i="1" a="1"/>
  <c r="G204" i="1"/>
  <c r="G239" i="1" a="1"/>
  <c r="G239" i="1" s="1"/>
  <c r="E227" i="1" a="1"/>
  <c r="E227" i="1" s="1"/>
  <c r="C227" i="1" a="1"/>
  <c r="C227" i="1" s="1"/>
  <c r="G184" i="1" a="1"/>
  <c r="G184" i="1" s="1"/>
  <c r="G205" i="1" a="1"/>
  <c r="G205" i="1" s="1"/>
  <c r="G176" i="1" a="1"/>
  <c r="G176" i="1" s="1"/>
  <c r="E176" i="1" a="1"/>
  <c r="E176" i="1" s="1"/>
  <c r="C176" i="1" a="1"/>
  <c r="C176" i="1" s="1"/>
  <c r="G137" i="1" a="1"/>
  <c r="G137" i="1" s="1"/>
  <c r="G149" i="1" a="1"/>
  <c r="G149" i="1" s="1"/>
  <c r="E137" i="1" a="1"/>
  <c r="E137" i="1" s="1"/>
  <c r="E111" i="1" a="1"/>
  <c r="E111" i="1" s="1"/>
  <c r="C137" i="1" a="1"/>
  <c r="C137" i="1" s="1"/>
  <c r="M111" i="1" a="1"/>
  <c r="M111" i="1" s="1"/>
  <c r="G121" i="1" a="1"/>
  <c r="G121" i="1" s="1"/>
  <c r="J111" i="1" a="1"/>
  <c r="J111" i="1" s="1"/>
  <c r="G111" i="1" a="1"/>
  <c r="C111" i="1" a="1"/>
  <c r="C111" i="1" s="1"/>
  <c r="G92" i="1" a="1"/>
  <c r="G92" i="1" s="1"/>
  <c r="G84" i="1" a="1"/>
  <c r="G84" i="1" s="1"/>
  <c r="C84" i="1" a="1"/>
  <c r="C84" i="1" s="1"/>
  <c r="C61" i="1" a="1"/>
  <c r="C61" i="1" s="1"/>
  <c r="E38" i="1" a="1"/>
  <c r="E38" i="1" s="1"/>
  <c r="C38" i="1" a="1"/>
  <c r="C38" i="1" s="1"/>
  <c r="E84" i="1" a="1"/>
  <c r="E84" i="1" s="1"/>
  <c r="L38" i="1"/>
  <c r="L61" i="1"/>
  <c r="G46" i="1" a="1"/>
  <c r="G46" i="1" s="1"/>
  <c r="G69" i="1" a="1"/>
  <c r="G69" i="1" s="1"/>
  <c r="G61" i="1" a="1"/>
  <c r="G61" i="1" s="1"/>
  <c r="I61" i="1" s="1" a="1"/>
  <c r="I61" i="1" s="1"/>
  <c r="E61" i="1" a="1"/>
  <c r="E61" i="1" s="1"/>
  <c r="G38" i="1" a="1"/>
  <c r="G38" i="1" s="1"/>
  <c r="I38" i="1" s="1" a="1"/>
  <c r="I38" i="1" s="1"/>
  <c r="B71" i="5"/>
  <c r="B2" i="5"/>
  <c r="B2" i="3"/>
  <c r="D271" i="3" l="1"/>
  <c r="D289" i="3"/>
  <c r="D307" i="3"/>
  <c r="D253" i="3"/>
  <c r="D233" i="3"/>
  <c r="D195" i="3"/>
  <c r="D214" i="3"/>
  <c r="D174" i="3"/>
  <c r="D156" i="3"/>
  <c r="D139" i="3"/>
  <c r="D120" i="3"/>
  <c r="D103" i="3"/>
  <c r="D69" i="3"/>
  <c r="D86" i="3"/>
  <c r="D50" i="3"/>
  <c r="D35" i="3"/>
  <c r="G227" i="1"/>
  <c r="G760" i="1" a="1"/>
  <c r="G761" i="1" a="1"/>
  <c r="C760" i="1" a="1"/>
  <c r="C760" i="1" s="1"/>
  <c r="C761" i="1" a="1"/>
  <c r="C761" i="1" s="1"/>
  <c r="E761" i="1" a="1"/>
  <c r="E761" i="1" s="1"/>
  <c r="E604" i="1" a="1"/>
  <c r="E604" i="1" s="1"/>
  <c r="G653" i="1" a="1"/>
  <c r="G653" i="1" s="1"/>
  <c r="G652" i="1" a="1"/>
  <c r="G652" i="1" s="1"/>
  <c r="G509" i="1" a="1"/>
  <c r="G509" i="1" s="1"/>
  <c r="G508" i="1" a="1"/>
  <c r="G508" i="1" s="1"/>
  <c r="G417" i="1" a="1"/>
  <c r="G417" i="1" s="1"/>
  <c r="G416" i="1" a="1"/>
  <c r="G416" i="1" s="1"/>
  <c r="G354" i="1" a="1"/>
  <c r="G355" i="1" a="1"/>
  <c r="C355" i="1"/>
  <c r="I337" i="1" a="1"/>
  <c r="I337" i="1" s="1"/>
  <c r="G337" i="1" a="1"/>
  <c r="G337" i="1" s="1"/>
  <c r="G281" i="1"/>
  <c r="G306" i="1"/>
  <c r="C281" i="1"/>
  <c r="G111" i="1"/>
  <c r="B23" i="1"/>
  <c r="G761" i="1" l="1"/>
  <c r="G760" i="1"/>
  <c r="G355" i="1"/>
  <c r="G354" i="1"/>
  <c r="B34" i="1" a="1"/>
  <c r="B34" i="1" s="1"/>
  <c r="B57" i="1" l="1" a="1"/>
  <c r="B57" i="1" s="1"/>
  <c r="B80" i="1" l="1" a="1"/>
  <c r="B80" i="1" s="1"/>
  <c r="B107" i="1" l="1" a="1"/>
  <c r="B107" i="1" s="1"/>
  <c r="B133" i="1" l="1" a="1"/>
  <c r="B133" i="1" s="1"/>
  <c r="B172" i="1" l="1" a="1"/>
  <c r="B172" i="1" s="1"/>
  <c r="B201" i="1" l="1" a="1"/>
  <c r="B201" i="1" s="1"/>
  <c r="B221" i="1" l="1" a="1"/>
  <c r="B221" i="1" s="1"/>
  <c r="B275" i="1" l="1" a="1"/>
  <c r="B275" i="1" s="1"/>
  <c r="B333" i="1" l="1" a="1"/>
  <c r="B333" i="1" s="1"/>
  <c r="B348" i="1" l="1" a="1"/>
  <c r="B348" i="1" s="1"/>
  <c r="B409" i="1" l="1" a="1"/>
  <c r="B409" i="1" s="1"/>
  <c r="B485" i="1" l="1" a="1"/>
  <c r="B485" i="1" s="1"/>
  <c r="B500" i="1" l="1" a="1"/>
  <c r="B500" i="1" s="1"/>
  <c r="B592" i="1" l="1" a="1"/>
  <c r="B592" i="1" s="1"/>
  <c r="B644" i="1" l="1" a="1"/>
  <c r="B644" i="1" s="1"/>
  <c r="B751" i="1" s="1" a="1"/>
  <c r="B751" i="1" s="1"/>
  <c r="B85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<sst xmlns="http://schemas.openxmlformats.org/spreadsheetml/2006/main" count="847" uniqueCount="400">
  <si>
    <t>Input data tables:</t>
  </si>
  <si>
    <t>Purpose:</t>
  </si>
  <si>
    <t>Development</t>
  </si>
  <si>
    <t>Lookup Tables</t>
  </si>
  <si>
    <t>_YesNo</t>
  </si>
  <si>
    <t>_OnOff</t>
  </si>
  <si>
    <t>End of Sheet</t>
  </si>
  <si>
    <t>Approach:</t>
  </si>
  <si>
    <t>Final Version</t>
  </si>
  <si>
    <t>Col.1</t>
  </si>
  <si>
    <t>Col.2</t>
  </si>
  <si>
    <t>Col.3</t>
  </si>
  <si>
    <t>Description:</t>
  </si>
  <si>
    <t>Parameters:</t>
  </si>
  <si>
    <t>Errors:</t>
  </si>
  <si>
    <t>Function:</t>
  </si>
  <si>
    <t>second_array</t>
  </si>
  <si>
    <t>first_array</t>
  </si>
  <si>
    <t>[required]</t>
  </si>
  <si>
    <t>Notes:</t>
  </si>
  <si>
    <t>)</t>
  </si>
  <si>
    <t>= LAMBDA(</t>
  </si>
  <si>
    <t>Minimised version:</t>
  </si>
  <si>
    <t>Demonstrating Function Usage</t>
  </si>
  <si>
    <t xml:space="preserve">Name:  </t>
  </si>
  <si>
    <t xml:space="preserve">Description:  </t>
  </si>
  <si>
    <t xml:space="preserve">Gist URL:  </t>
  </si>
  <si>
    <t>Test data set:</t>
  </si>
  <si>
    <t>Demonstrating main parameters:</t>
  </si>
  <si>
    <t>Demonstrating replacing #N/A values:</t>
  </si>
  <si>
    <t>Instructions</t>
  </si>
  <si>
    <t>VBA Code</t>
  </si>
  <si>
    <t>A.</t>
  </si>
  <si>
    <t>Start by ensuring that you have this Workbook and the Workbook you wish to copy the function to open in the same Excel instance</t>
  </si>
  <si>
    <t>B.</t>
  </si>
  <si>
    <t>Open the VB Editor window</t>
  </si>
  <si>
    <t>C.</t>
  </si>
  <si>
    <t>D.</t>
  </si>
  <si>
    <t>In the code window which opens for ThisWorkbook, paste the VBA code from below exactly as written</t>
  </si>
  <si>
    <t>E.</t>
  </si>
  <si>
    <t>After copying the VBA code into code window, update line 11 replacing the text "Example.xlsx" with the name of your Excel Workbook/file</t>
  </si>
  <si>
    <t>F.</t>
  </si>
  <si>
    <t>Run the CopyLambda sub routine in ThisWorkbook module and check the Immediate window for the feedback message</t>
  </si>
  <si>
    <t xml:space="preserve">    </t>
  </si>
  <si>
    <t xml:space="preserve">    'Name of custom Lambda function to copy</t>
  </si>
  <si>
    <t xml:space="preserve">    On Error Resume Next</t>
  </si>
  <si>
    <t xml:space="preserve">        'Update "Example.xlsx" with name of the Workbook you wish to copy the function to</t>
  </si>
  <si>
    <t xml:space="preserve">    On Error GoTo 0</t>
  </si>
  <si>
    <t xml:space="preserve">        Exit Sub</t>
  </si>
  <si>
    <t xml:space="preserve">    End If</t>
  </si>
  <si>
    <t xml:space="preserve">        Err.Clear</t>
  </si>
  <si>
    <t xml:space="preserve">                              RefersTo:=nm.RefersTo, _</t>
  </si>
  <si>
    <t xml:space="preserve">                              Visible:=nm.Visible)</t>
  </si>
  <si>
    <t xml:space="preserve">            fn.Comment = nm.Comment</t>
  </si>
  <si>
    <t xml:space="preserve">        Else</t>
  </si>
  <si>
    <t xml:space="preserve">        End If</t>
  </si>
  <si>
    <t xml:space="preserve">    Else</t>
  </si>
  <si>
    <t>End Sub</t>
  </si>
  <si>
    <r>
      <rPr>
        <sz val="10"/>
        <color rgb="FF1E4FA8"/>
        <rFont val="Consolas"/>
        <family val="3"/>
      </rPr>
      <t>Private Sub</t>
    </r>
    <r>
      <rPr>
        <sz val="10"/>
        <color rgb="FF002138"/>
        <rFont val="Consolas"/>
        <family val="3"/>
      </rPr>
      <t xml:space="preserve"> CopyLambda()</t>
    </r>
  </si>
  <si>
    <r>
      <t xml:space="preserve">    </t>
    </r>
    <r>
      <rPr>
        <sz val="10"/>
        <color rgb="FF1E4FA8"/>
        <rFont val="Consolas"/>
        <family val="3"/>
      </rPr>
      <t>Dim</t>
    </r>
    <r>
      <rPr>
        <sz val="10"/>
        <color rgb="FF002138"/>
        <rFont val="Consolas"/>
        <family val="3"/>
      </rPr>
      <t xml:space="preserve"> wb </t>
    </r>
    <r>
      <rPr>
        <sz val="10"/>
        <color rgb="FF1E4FA8"/>
        <rFont val="Consolas"/>
        <family val="3"/>
      </rPr>
      <t>As</t>
    </r>
    <r>
      <rPr>
        <sz val="10"/>
        <color rgb="FF002138"/>
        <rFont val="Consolas"/>
        <family val="3"/>
      </rPr>
      <t xml:space="preserve"> Workbook, nm </t>
    </r>
    <r>
      <rPr>
        <sz val="10"/>
        <color rgb="FF1E4FA8"/>
        <rFont val="Consolas"/>
        <family val="3"/>
      </rPr>
      <t>As</t>
    </r>
    <r>
      <rPr>
        <sz val="10"/>
        <color rgb="FF002138"/>
        <rFont val="Consolas"/>
        <family val="3"/>
      </rPr>
      <t xml:space="preserve"> Name, fn </t>
    </r>
    <r>
      <rPr>
        <sz val="10"/>
        <color rgb="FF1E4FA8"/>
        <rFont val="Consolas"/>
        <family val="3"/>
      </rPr>
      <t>As</t>
    </r>
    <r>
      <rPr>
        <sz val="10"/>
        <color rgb="FF002138"/>
        <rFont val="Consolas"/>
        <family val="3"/>
      </rPr>
      <t xml:space="preserve"> Name</t>
    </r>
  </si>
  <si>
    <r>
      <t xml:space="preserve">    </t>
    </r>
    <r>
      <rPr>
        <sz val="10"/>
        <color rgb="FF1E4FA8"/>
        <rFont val="Consolas"/>
        <family val="3"/>
      </rPr>
      <t>Dim</t>
    </r>
    <r>
      <rPr>
        <sz val="10"/>
        <color rgb="FF002138"/>
        <rFont val="Consolas"/>
        <family val="3"/>
      </rPr>
      <t xml:space="preserve"> strLambda </t>
    </r>
    <r>
      <rPr>
        <sz val="10"/>
        <color rgb="FF1E4FA8"/>
        <rFont val="Consolas"/>
        <family val="3"/>
      </rPr>
      <t>As String</t>
    </r>
  </si>
  <si>
    <r>
      <t xml:space="preserve">        </t>
    </r>
    <r>
      <rPr>
        <sz val="10"/>
        <color rgb="FF1E4FA8"/>
        <rFont val="Consolas"/>
        <family val="3"/>
      </rPr>
      <t>Set</t>
    </r>
    <r>
      <rPr>
        <sz val="10"/>
        <color rgb="FF002138"/>
        <rFont val="Consolas"/>
        <family val="3"/>
      </rPr>
      <t xml:space="preserve"> wb = Application.Workbooks("Example.xlsx")</t>
    </r>
  </si>
  <si>
    <r>
      <t xml:space="preserve">    </t>
    </r>
    <r>
      <rPr>
        <sz val="10"/>
        <color rgb="FF1E4FA8"/>
        <rFont val="Consolas"/>
        <family val="3"/>
      </rPr>
      <t>If</t>
    </r>
    <r>
      <rPr>
        <sz val="10"/>
        <color rgb="FF002138"/>
        <rFont val="Consolas"/>
        <family val="3"/>
      </rPr>
      <t xml:space="preserve"> wb </t>
    </r>
    <r>
      <rPr>
        <sz val="10"/>
        <color rgb="FF1E4FA8"/>
        <rFont val="Consolas"/>
        <family val="3"/>
      </rPr>
      <t>Is Nothing Then</t>
    </r>
  </si>
  <si>
    <r>
      <t xml:space="preserve">        </t>
    </r>
    <r>
      <rPr>
        <sz val="10"/>
        <color rgb="FF1E4FA8"/>
        <rFont val="Consolas"/>
        <family val="3"/>
      </rPr>
      <t>Debug.Print</t>
    </r>
    <r>
      <rPr>
        <sz val="10"/>
        <color rgb="FF002138"/>
        <rFont val="Consolas"/>
        <family val="3"/>
      </rPr>
      <t xml:space="preserve"> "ERROR: Destination Workbook not found - please ensure it is open"</t>
    </r>
  </si>
  <si>
    <r>
      <t xml:space="preserve">        </t>
    </r>
    <r>
      <rPr>
        <sz val="10"/>
        <color rgb="FF1E4FA8"/>
        <rFont val="Consolas"/>
        <family val="3"/>
      </rPr>
      <t>Set</t>
    </r>
    <r>
      <rPr>
        <sz val="10"/>
        <color rgb="FF002138"/>
        <rFont val="Consolas"/>
        <family val="3"/>
      </rPr>
      <t xml:space="preserve"> nm = ThisWorkbook.Names(strLambda)</t>
    </r>
  </si>
  <si>
    <r>
      <t xml:space="preserve">    </t>
    </r>
    <r>
      <rPr>
        <sz val="10"/>
        <color rgb="FF1E4FA8"/>
        <rFont val="Consolas"/>
        <family val="3"/>
      </rPr>
      <t>If Not</t>
    </r>
    <r>
      <rPr>
        <sz val="10"/>
        <color rgb="FF002138"/>
        <rFont val="Consolas"/>
        <family val="3"/>
      </rPr>
      <t xml:space="preserve"> nm </t>
    </r>
    <r>
      <rPr>
        <sz val="10"/>
        <color rgb="FF1E4FA8"/>
        <rFont val="Consolas"/>
        <family val="3"/>
      </rPr>
      <t>Is Nothing Then</t>
    </r>
  </si>
  <si>
    <r>
      <t xml:space="preserve">        </t>
    </r>
    <r>
      <rPr>
        <sz val="10"/>
        <color rgb="FF1E4FA8"/>
        <rFont val="Consolas"/>
        <family val="3"/>
      </rPr>
      <t>Set</t>
    </r>
    <r>
      <rPr>
        <sz val="10"/>
        <color rgb="FF002138"/>
        <rFont val="Consolas"/>
        <family val="3"/>
      </rPr>
      <t xml:space="preserve"> fn = wb.Names.Add(Name:=nm.Name, _</t>
    </r>
  </si>
  <si>
    <r>
      <t xml:space="preserve">        </t>
    </r>
    <r>
      <rPr>
        <sz val="10"/>
        <color rgb="FF1E4FA8"/>
        <rFont val="Consolas"/>
        <family val="3"/>
      </rPr>
      <t>If</t>
    </r>
    <r>
      <rPr>
        <sz val="10"/>
        <color rgb="FF002138"/>
        <rFont val="Consolas"/>
        <family val="3"/>
      </rPr>
      <t xml:space="preserve"> Err.Number = 0 </t>
    </r>
    <r>
      <rPr>
        <sz val="10"/>
        <color rgb="FF1E4FA8"/>
        <rFont val="Consolas"/>
        <family val="3"/>
      </rPr>
      <t>Then</t>
    </r>
  </si>
  <si>
    <r>
      <t xml:space="preserve">            </t>
    </r>
    <r>
      <rPr>
        <sz val="10"/>
        <color rgb="FF1E4FA8"/>
        <rFont val="Consolas"/>
        <family val="3"/>
      </rPr>
      <t>Debug.Print</t>
    </r>
    <r>
      <rPr>
        <sz val="10"/>
        <color rgb="FF002138"/>
        <rFont val="Consolas"/>
        <family val="3"/>
      </rPr>
      <t xml:space="preserve"> "Success! -&gt; " &amp; strLambda &amp; " copied to " &amp; wb.Name</t>
    </r>
  </si>
  <si>
    <r>
      <t xml:space="preserve">            </t>
    </r>
    <r>
      <rPr>
        <sz val="10"/>
        <color rgb="FF1E4FA8"/>
        <rFont val="Consolas"/>
        <family val="3"/>
      </rPr>
      <t>Debug.Print</t>
    </r>
    <r>
      <rPr>
        <sz val="10"/>
        <color rgb="FF002138"/>
        <rFont val="Consolas"/>
        <family val="3"/>
      </rPr>
      <t xml:space="preserve"> "ERROR: Unable to copy " &amp; strLambda &amp; " to " &amp; wb.Name</t>
    </r>
  </si>
  <si>
    <r>
      <t xml:space="preserve">        </t>
    </r>
    <r>
      <rPr>
        <sz val="10"/>
        <color rgb="FF1E4FA8"/>
        <rFont val="Consolas"/>
        <family val="3"/>
      </rPr>
      <t>Debug.Print</t>
    </r>
    <r>
      <rPr>
        <sz val="10"/>
        <color rgb="FF002138"/>
        <rFont val="Consolas"/>
        <family val="3"/>
      </rPr>
      <t xml:space="preserve"> "ERROR: " &amp; strLambda &amp; " not found"</t>
    </r>
  </si>
  <si>
    <t>A custom Lambda function which replicates the output from a SQL JOIN operation</t>
  </si>
  <si>
    <t xml:space="preserve"> -- ability to output equivalent of LEFT/RIGHT/INNER/OUTER JOINs</t>
  </si>
  <si>
    <t>Ideally would match the same columns to avoid replication or allow for user to choose which columns to include in output from each input array</t>
  </si>
  <si>
    <t xml:space="preserve"> - Start by attempting to match unique id rows in second array against each row in the first array</t>
  </si>
  <si>
    <t xml:space="preserve">  -- use the unique id row in the first array to filter the second array into matched and unmatched</t>
  </si>
  <si>
    <t>ID</t>
  </si>
  <si>
    <t>AAA</t>
  </si>
  <si>
    <t>BBB</t>
  </si>
  <si>
    <t>CCC</t>
  </si>
  <si>
    <t>DDD</t>
  </si>
  <si>
    <t>EEE</t>
  </si>
  <si>
    <t>FFF</t>
  </si>
  <si>
    <t>GGG</t>
  </si>
  <si>
    <t>HHH</t>
  </si>
  <si>
    <t>III</t>
  </si>
  <si>
    <t>X-001</t>
  </si>
  <si>
    <t>X-002</t>
  </si>
  <si>
    <t>X-003</t>
  </si>
  <si>
    <t>X-004</t>
  </si>
  <si>
    <t>X-005</t>
  </si>
  <si>
    <t>X-006</t>
  </si>
  <si>
    <t>X-007</t>
  </si>
  <si>
    <t>X-008</t>
  </si>
  <si>
    <t>X-009</t>
  </si>
  <si>
    <t>X-010</t>
  </si>
  <si>
    <t>JJJ</t>
  </si>
  <si>
    <t>!</t>
  </si>
  <si>
    <t>"</t>
  </si>
  <si>
    <t>£</t>
  </si>
  <si>
    <t>$</t>
  </si>
  <si>
    <t>%</t>
  </si>
  <si>
    <t>^</t>
  </si>
  <si>
    <t>&amp;</t>
  </si>
  <si>
    <t>*</t>
  </si>
  <si>
    <t>(</t>
  </si>
  <si>
    <t>Col.10</t>
  </si>
  <si>
    <t>Join()</t>
  </si>
  <si>
    <t>RXL_Join</t>
  </si>
  <si>
    <t>Join Function</t>
  </si>
  <si>
    <t xml:space="preserve">    strLambda = "RXL_Join"</t>
  </si>
  <si>
    <t>In order to copy across the RXL_Join() function from this Workbook to your own project you can use the instructions and VBA code below .</t>
  </si>
  <si>
    <t>In the VB Editor Project Explorer window, select this Workbook (RXL_Join.xlsx) and double click on the object named "ThisWorkbook"</t>
  </si>
  <si>
    <t>Also check line 7 of the code has the correct name of the function you wish to copy (i.e. "RXL_Join")</t>
  </si>
  <si>
    <t>X-011</t>
  </si>
  <si>
    <t>X-012</t>
  </si>
  <si>
    <t>Col.20</t>
  </si>
  <si>
    <t>Col.30</t>
  </si>
  <si>
    <t>!!!</t>
  </si>
  <si>
    <t>"""</t>
  </si>
  <si>
    <t>£££</t>
  </si>
  <si>
    <t>$$$</t>
  </si>
  <si>
    <t>%%%</t>
  </si>
  <si>
    <t>^^^</t>
  </si>
  <si>
    <t>&amp;&amp;&amp;</t>
  </si>
  <si>
    <t>***</t>
  </si>
  <si>
    <t>one</t>
  </si>
  <si>
    <t>nine</t>
  </si>
  <si>
    <t>seven</t>
  </si>
  <si>
    <t>ten</t>
  </si>
  <si>
    <t>two</t>
  </si>
  <si>
    <t>four</t>
  </si>
  <si>
    <t>eight</t>
  </si>
  <si>
    <t>twelve</t>
  </si>
  <si>
    <t>six</t>
  </si>
  <si>
    <t>eleven</t>
  </si>
  <si>
    <t>Matching unique id columns and creating an index array for second_array</t>
  </si>
  <si>
    <t>Index</t>
  </si>
  <si>
    <t>Calculation</t>
  </si>
  <si>
    <t>Proof - second_array using calculated Index</t>
  </si>
  <si>
    <t>Initial Development</t>
  </si>
  <si>
    <t>Matching ID columns, creating new second_array, and combining with first_array for output</t>
  </si>
  <si>
    <t>Left Fltr</t>
  </si>
  <si>
    <t>Right Fltr</t>
  </si>
  <si>
    <t>Right Idx</t>
  </si>
  <si>
    <t>Matching ID columns, creating new second_array + combining with first_array, producing INNER JOIN style output</t>
  </si>
  <si>
    <t>Matching ID columns, creating new second_array + combining with first_array, producing OUTER JOIN / FULL JOIN style output</t>
  </si>
  <si>
    <t>Dealing with output_type input options -- determines type of JOIN style to output</t>
  </si>
  <si>
    <t>Options</t>
  </si>
  <si>
    <t>Number</t>
  </si>
  <si>
    <t>Text</t>
  </si>
  <si>
    <t>left</t>
  </si>
  <si>
    <t>right</t>
  </si>
  <si>
    <t>inner</t>
  </si>
  <si>
    <t>full</t>
  </si>
  <si>
    <t>Combining versions (E), (F), and (G) to allow for user to set output type via input</t>
  </si>
  <si>
    <t>Updating version (H) to cope with empty/null arrays from calculated steps</t>
  </si>
  <si>
    <t xml:space="preserve">join_type: </t>
  </si>
  <si>
    <t>join_type</t>
  </si>
  <si>
    <t>more than one match column</t>
  </si>
  <si>
    <t>Using an input array of column indexes to set the columns to output</t>
  </si>
  <si>
    <t xml:space="preserve"> -&gt; [1st data set]  missing items in second_array + random order</t>
  </si>
  <si>
    <t xml:space="preserve"> -&gt; [1st data set]  matching number of items, random order in second_array</t>
  </si>
  <si>
    <t xml:space="preserve"> -&gt; [2nd test data set]  unmatched ID items in both first_array (ordered) and second_array (random order)</t>
  </si>
  <si>
    <t xml:space="preserve"> -&gt; [1st data set]  developing with single input array</t>
  </si>
  <si>
    <t>match_column</t>
  </si>
  <si>
    <t>Updating version (I) with (J) to provide for setting output columns and order</t>
  </si>
  <si>
    <t>first_array_cols</t>
  </si>
  <si>
    <t xml:space="preserve">first_array_cols: </t>
  </si>
  <si>
    <t xml:space="preserve">second_array_cols: </t>
  </si>
  <si>
    <t>Extending Functionality</t>
  </si>
  <si>
    <t>Updating version (K) to allow for sorting of output on match column (unique ID columns)</t>
  </si>
  <si>
    <t xml:space="preserve">sort: </t>
  </si>
  <si>
    <t>Developing options for replacing #N/A values</t>
  </si>
  <si>
    <t xml:space="preserve">replace_na: </t>
  </si>
  <si>
    <t xml:space="preserve">Calculation: </t>
  </si>
  <si>
    <t>Updating version (L) with version (M) to allow for replacing #N/A values in the calculated and filtered output</t>
  </si>
  <si>
    <t>Testing input checks for function inputs</t>
  </si>
  <si>
    <t xml:space="preserve">first_array: </t>
  </si>
  <si>
    <t xml:space="preserve">second_array: </t>
  </si>
  <si>
    <t>Input Checks &amp; Optional Parameters</t>
  </si>
  <si>
    <t xml:space="preserve">first_array_index: </t>
  </si>
  <si>
    <t xml:space="preserve">second_array_index: </t>
  </si>
  <si>
    <t>Updating version (N) with version (O) to include input checks + conversion to LAMBDA() function</t>
  </si>
  <si>
    <t>second_array_cols</t>
  </si>
  <si>
    <t>sort</t>
  </si>
  <si>
    <t>replace_na</t>
  </si>
  <si>
    <t>[optional]</t>
  </si>
  <si>
    <t>second_match_index</t>
  </si>
  <si>
    <t>first_match_index</t>
  </si>
  <si>
    <t>Determines the type of join output which the function produces</t>
  </si>
  <si>
    <t>"left"</t>
  </si>
  <si>
    <t>"right"</t>
  </si>
  <si>
    <t>"inner"</t>
  </si>
  <si>
    <t>"full"</t>
  </si>
  <si>
    <t>= LEFT JOIN</t>
  </si>
  <si>
    <t>= RIGHT JOIN</t>
  </si>
  <si>
    <t>= INNER JOIN</t>
  </si>
  <si>
    <t>= FULL/OUTER JOIN</t>
  </si>
  <si>
    <t>= outputs all rows from the primary (left) array, including any unmatched rows</t>
  </si>
  <si>
    <t>= outputs the matched and joined rows from the primary (left) array followed by any unmatched rows from the secondary (right) array</t>
  </si>
  <si>
    <t>= outputs only the rows from the primary (left) array which are matched and joined to the secondary (right) array</t>
  </si>
  <si>
    <t>= outputs all rows from the primary (left) array followed by unmatched rows from the secondary (right) array</t>
  </si>
  <si>
    <r>
      <t xml:space="preserve">If no input value is provided, will </t>
    </r>
    <r>
      <rPr>
        <b/>
        <sz val="10"/>
        <color rgb="FF002138"/>
        <rFont val="Calibri"/>
        <family val="2"/>
        <scheme val="minor"/>
      </rPr>
      <t>default</t>
    </r>
    <r>
      <rPr>
        <sz val="10"/>
        <color rgb="FF002138"/>
        <rFont val="Calibri"/>
        <family val="2"/>
        <scheme val="minor"/>
      </rPr>
      <t xml:space="preserve"> to </t>
    </r>
    <r>
      <rPr>
        <sz val="10"/>
        <color rgb="FF0000FF"/>
        <rFont val="Consolas"/>
        <family val="3"/>
      </rPr>
      <t>0</t>
    </r>
    <r>
      <rPr>
        <sz val="10"/>
        <color rgb="FF002138"/>
        <rFont val="Calibri"/>
        <family val="2"/>
        <scheme val="minor"/>
      </rPr>
      <t xml:space="preserve"> (LEFT JOIN)</t>
    </r>
  </si>
  <si>
    <r>
      <t xml:space="preserve">An array of column index values that determines which columns from the </t>
    </r>
    <r>
      <rPr>
        <sz val="10"/>
        <color rgb="FF0065A8"/>
        <rFont val="Consolas"/>
        <family val="3"/>
      </rPr>
      <t>first_array</t>
    </r>
    <r>
      <rPr>
        <sz val="10"/>
        <color rgb="FF002138"/>
        <rFont val="Calibri"/>
        <family val="2"/>
        <scheme val="minor"/>
      </rPr>
      <t xml:space="preserve"> (primary/left array) will be included in the function output</t>
    </r>
  </si>
  <si>
    <r>
      <t xml:space="preserve">An array of column index values that determines which columns from the </t>
    </r>
    <r>
      <rPr>
        <sz val="10"/>
        <color rgb="FF0065A8"/>
        <rFont val="Consolas"/>
        <family val="3"/>
      </rPr>
      <t>second_array</t>
    </r>
    <r>
      <rPr>
        <sz val="10"/>
        <color rgb="FF002138"/>
        <rFont val="Calibri"/>
        <family val="2"/>
        <scheme val="minor"/>
      </rPr>
      <t xml:space="preserve"> (secondary/right array) will be included in the function output</t>
    </r>
  </si>
  <si>
    <r>
      <t xml:space="preserve">The input should be provided as a single row of comma-separated integer values, e.g. </t>
    </r>
    <r>
      <rPr>
        <sz val="10"/>
        <color rgb="FF0000FF"/>
        <rFont val="Consolas"/>
        <family val="3"/>
      </rPr>
      <t>{1,2,3}</t>
    </r>
  </si>
  <si>
    <t>The first or main (primary/left) data array, to which the second (secondary/right) data array will be joined</t>
  </si>
  <si>
    <t>The second (secondary/right) data array, which is joined to the first (primary/left) data array</t>
  </si>
  <si>
    <r>
      <t xml:space="preserve">If no input is provided, will </t>
    </r>
    <r>
      <rPr>
        <b/>
        <sz val="10"/>
        <color rgb="FF002138"/>
        <rFont val="Calibri"/>
        <family val="2"/>
        <scheme val="minor"/>
      </rPr>
      <t>default</t>
    </r>
    <r>
      <rPr>
        <sz val="10"/>
        <color rgb="FF002138"/>
        <rFont val="Calibri"/>
        <family val="2"/>
        <scheme val="minor"/>
      </rPr>
      <t xml:space="preserve"> to including all columns from the </t>
    </r>
    <r>
      <rPr>
        <sz val="10"/>
        <color rgb="FF0065A8"/>
        <rFont val="Consolas"/>
        <family val="3"/>
      </rPr>
      <t>first_array</t>
    </r>
  </si>
  <si>
    <r>
      <t xml:space="preserve">If no input is provided, will </t>
    </r>
    <r>
      <rPr>
        <b/>
        <sz val="10"/>
        <color rgb="FF002138"/>
        <rFont val="Calibri"/>
        <family val="2"/>
        <scheme val="minor"/>
      </rPr>
      <t>default</t>
    </r>
    <r>
      <rPr>
        <sz val="10"/>
        <color rgb="FF002138"/>
        <rFont val="Calibri"/>
        <family val="2"/>
        <scheme val="minor"/>
      </rPr>
      <t xml:space="preserve"> to including all columns from the </t>
    </r>
    <r>
      <rPr>
        <sz val="10"/>
        <color rgb="FF0065A8"/>
        <rFont val="Consolas"/>
        <family val="3"/>
      </rPr>
      <t>second_array</t>
    </r>
  </si>
  <si>
    <t>Allows the user to sort the function output based on the match column(s)</t>
  </si>
  <si>
    <r>
      <t xml:space="preserve">If no input is provided, will </t>
    </r>
    <r>
      <rPr>
        <b/>
        <sz val="10"/>
        <color rgb="FF002138"/>
        <rFont val="Calibri"/>
        <family val="2"/>
        <scheme val="minor"/>
      </rPr>
      <t>default</t>
    </r>
    <r>
      <rPr>
        <sz val="10"/>
        <color rgb="FF002138"/>
        <rFont val="Calibri"/>
        <family val="2"/>
        <scheme val="minor"/>
      </rPr>
      <t xml:space="preserve"> to an unsorted output (</t>
    </r>
    <r>
      <rPr>
        <sz val="10"/>
        <color rgb="FF0000FF"/>
        <rFont val="Consolas"/>
        <family val="3"/>
      </rPr>
      <t>0</t>
    </r>
    <r>
      <rPr>
        <sz val="10"/>
        <color rgb="FF002138"/>
        <rFont val="Calibri"/>
        <family val="2"/>
        <scheme val="minor"/>
      </rPr>
      <t>/</t>
    </r>
    <r>
      <rPr>
        <sz val="10"/>
        <color rgb="FF0000FF"/>
        <rFont val="Consolas"/>
        <family val="3"/>
      </rPr>
      <t>FALSE</t>
    </r>
    <r>
      <rPr>
        <sz val="10"/>
        <color rgb="FF002138"/>
        <rFont val="Calibri"/>
        <family val="2"/>
        <scheme val="minor"/>
      </rPr>
      <t>)</t>
    </r>
  </si>
  <si>
    <t>= no sorting</t>
  </si>
  <si>
    <t>= function output sorted in ascending order (e.g. A-Z or 1-9)</t>
  </si>
  <si>
    <t>= function output sorted in descending order (e.g. Z-A or 9-1)</t>
  </si>
  <si>
    <t>Can be input as either a number or text string from the list of options below:</t>
  </si>
  <si>
    <t>Can be input as either a number or a logical/Boolean value:</t>
  </si>
  <si>
    <t>Can be input as either a logical/Boolean value or any other value:</t>
  </si>
  <si>
    <t>[other]</t>
  </si>
  <si>
    <r>
      <t xml:space="preserve">Allows the user to replace any </t>
    </r>
    <r>
      <rPr>
        <sz val="10"/>
        <color rgb="FFC00000"/>
        <rFont val="Consolas"/>
        <family val="3"/>
      </rPr>
      <t>#N/A</t>
    </r>
    <r>
      <rPr>
        <sz val="10"/>
        <color rgb="FF002138"/>
        <rFont val="Calibri"/>
        <family val="2"/>
        <scheme val="minor"/>
      </rPr>
      <t xml:space="preserve"> values in the function output to be replaced with a provided value or a blank text string (</t>
    </r>
    <r>
      <rPr>
        <sz val="10"/>
        <color rgb="FF002138"/>
        <rFont val="Consolas"/>
        <family val="3"/>
      </rPr>
      <t>""</t>
    </r>
    <r>
      <rPr>
        <sz val="10"/>
        <color rgb="FF002138"/>
        <rFont val="Calibri"/>
        <family val="2"/>
        <scheme val="minor"/>
      </rPr>
      <t>)</t>
    </r>
  </si>
  <si>
    <r>
      <t xml:space="preserve">= no replacement of </t>
    </r>
    <r>
      <rPr>
        <sz val="10"/>
        <color rgb="FFC00000"/>
        <rFont val="Consolas"/>
        <family val="3"/>
      </rPr>
      <t>#N/A</t>
    </r>
    <r>
      <rPr>
        <sz val="10"/>
        <color rgb="FF002138"/>
        <rFont val="Calibri"/>
        <family val="2"/>
        <scheme val="minor"/>
      </rPr>
      <t xml:space="preserve"> values</t>
    </r>
  </si>
  <si>
    <r>
      <t xml:space="preserve">= replacing </t>
    </r>
    <r>
      <rPr>
        <sz val="10"/>
        <color rgb="FFC00000"/>
        <rFont val="Consolas"/>
        <family val="3"/>
      </rPr>
      <t>#N/A</t>
    </r>
    <r>
      <rPr>
        <sz val="10"/>
        <color rgb="FF002138"/>
        <rFont val="Calibri"/>
        <family val="2"/>
        <scheme val="minor"/>
      </rPr>
      <t xml:space="preserve"> values with a blank text string (</t>
    </r>
    <r>
      <rPr>
        <sz val="10"/>
        <color rgb="FF002138"/>
        <rFont val="Consolas"/>
        <family val="3"/>
      </rPr>
      <t>""</t>
    </r>
    <r>
      <rPr>
        <sz val="10"/>
        <color rgb="FF002138"/>
        <rFont val="Calibri"/>
        <family val="2"/>
        <scheme val="minor"/>
      </rPr>
      <t>)</t>
    </r>
  </si>
  <si>
    <r>
      <t xml:space="preserve">= replacing </t>
    </r>
    <r>
      <rPr>
        <sz val="10"/>
        <color rgb="FFC00000"/>
        <rFont val="Consolas"/>
        <family val="3"/>
      </rPr>
      <t>#N/A</t>
    </r>
    <r>
      <rPr>
        <sz val="10"/>
        <color rgb="FF002138"/>
        <rFont val="Calibri"/>
        <family val="2"/>
        <scheme val="minor"/>
      </rPr>
      <t xml:space="preserve"> values with the value provided</t>
    </r>
  </si>
  <si>
    <r>
      <t>Required input parameters (</t>
    </r>
    <r>
      <rPr>
        <sz val="10"/>
        <color rgb="FF0065A8"/>
        <rFont val="Consolas"/>
        <family val="3"/>
      </rPr>
      <t>first_array</t>
    </r>
    <r>
      <rPr>
        <sz val="10"/>
        <color rgb="FF002138"/>
        <rFont val="Calibri"/>
        <family val="2"/>
        <scheme val="minor"/>
      </rPr>
      <t xml:space="preserve">, </t>
    </r>
    <r>
      <rPr>
        <sz val="10"/>
        <color rgb="FF0065A8"/>
        <rFont val="Consolas"/>
        <family val="3"/>
      </rPr>
      <t>second_array</t>
    </r>
    <r>
      <rPr>
        <sz val="10"/>
        <color rgb="FF002138"/>
        <rFont val="Calibri"/>
        <family val="2"/>
        <scheme val="minor"/>
      </rPr>
      <t xml:space="preserve">, </t>
    </r>
    <r>
      <rPr>
        <sz val="10"/>
        <color rgb="FF0065A8"/>
        <rFont val="Consolas"/>
        <family val="3"/>
      </rPr>
      <t>first_match_index</t>
    </r>
    <r>
      <rPr>
        <sz val="10"/>
        <color rgb="FF002138"/>
        <rFont val="Calibri"/>
        <family val="2"/>
        <scheme val="minor"/>
      </rPr>
      <t xml:space="preserve">, </t>
    </r>
    <r>
      <rPr>
        <sz val="10"/>
        <color rgb="FF0065A8"/>
        <rFont val="Consolas"/>
        <family val="3"/>
      </rPr>
      <t>second_match_index</t>
    </r>
    <r>
      <rPr>
        <sz val="10"/>
        <color rgb="FF002138"/>
        <rFont val="Calibri"/>
        <family val="2"/>
        <scheme val="minor"/>
      </rPr>
      <t>) have not been provided</t>
    </r>
  </si>
  <si>
    <r>
      <t xml:space="preserve">e.g. a number less than 1 or a number greater than the number of columns in the </t>
    </r>
    <r>
      <rPr>
        <sz val="10"/>
        <color rgb="FF0065A8"/>
        <rFont val="Consolas"/>
        <family val="3"/>
      </rPr>
      <t>first_array</t>
    </r>
    <r>
      <rPr>
        <sz val="10"/>
        <color rgb="FF002138"/>
        <rFont val="Calibri"/>
        <family val="2"/>
        <scheme val="minor"/>
      </rPr>
      <t xml:space="preserve"> or </t>
    </r>
    <r>
      <rPr>
        <sz val="10"/>
        <color rgb="FF0065A8"/>
        <rFont val="Consolas"/>
        <family val="3"/>
      </rPr>
      <t>second_array</t>
    </r>
  </si>
  <si>
    <r>
      <t xml:space="preserve">Optional input parameters </t>
    </r>
    <r>
      <rPr>
        <sz val="10"/>
        <color rgb="FF0065A8"/>
        <rFont val="Consolas"/>
        <family val="3"/>
      </rPr>
      <t>join_type</t>
    </r>
    <r>
      <rPr>
        <sz val="10"/>
        <color rgb="FF002138"/>
        <rFont val="Calibri"/>
        <family val="2"/>
        <scheme val="minor"/>
      </rPr>
      <t xml:space="preserve"> and </t>
    </r>
    <r>
      <rPr>
        <sz val="10"/>
        <color rgb="FF0065A8"/>
        <rFont val="Consolas"/>
        <family val="3"/>
      </rPr>
      <t>sort</t>
    </r>
    <r>
      <rPr>
        <sz val="10"/>
        <color rgb="FF002138"/>
        <rFont val="Calibri"/>
        <family val="2"/>
        <scheme val="minor"/>
      </rPr>
      <t xml:space="preserve"> have invalid input values provided</t>
    </r>
  </si>
  <si>
    <r>
      <t xml:space="preserve">e.g. for </t>
    </r>
    <r>
      <rPr>
        <sz val="10"/>
        <color rgb="FF0065A8"/>
        <rFont val="Consolas"/>
        <family val="3"/>
      </rPr>
      <t>join_type</t>
    </r>
    <r>
      <rPr>
        <sz val="10"/>
        <color rgb="FF002138"/>
        <rFont val="Calibri"/>
        <family val="2"/>
        <scheme val="minor"/>
      </rPr>
      <t xml:space="preserve"> a number outside of the range </t>
    </r>
    <r>
      <rPr>
        <sz val="10"/>
        <color rgb="FF0000FF"/>
        <rFont val="Consolas"/>
        <family val="3"/>
      </rPr>
      <t>0</t>
    </r>
    <r>
      <rPr>
        <sz val="10"/>
        <color rgb="FF002138"/>
        <rFont val="Calibri"/>
        <family val="2"/>
        <scheme val="minor"/>
      </rPr>
      <t>-to-</t>
    </r>
    <r>
      <rPr>
        <sz val="10"/>
        <color rgb="FF0000FF"/>
        <rFont val="Consolas"/>
        <family val="3"/>
      </rPr>
      <t>3</t>
    </r>
    <r>
      <rPr>
        <sz val="10"/>
        <color rgb="FF002138"/>
        <rFont val="Calibri"/>
        <family val="2"/>
        <scheme val="minor"/>
      </rPr>
      <t xml:space="preserve"> or a text string not from expected options; for </t>
    </r>
    <r>
      <rPr>
        <sz val="10"/>
        <color rgb="FF0065A8"/>
        <rFont val="Consolas"/>
        <family val="3"/>
      </rPr>
      <t>sort</t>
    </r>
    <r>
      <rPr>
        <sz val="10"/>
        <color rgb="FF002138"/>
        <rFont val="Calibri"/>
        <family val="2"/>
        <scheme val="minor"/>
      </rPr>
      <t xml:space="preserve"> a number outside of the range </t>
    </r>
    <r>
      <rPr>
        <sz val="10"/>
        <color rgb="FF0000FF"/>
        <rFont val="Consolas"/>
        <family val="3"/>
      </rPr>
      <t>-1</t>
    </r>
    <r>
      <rPr>
        <sz val="10"/>
        <color rgb="FF002138"/>
        <rFont val="Calibri"/>
        <family val="2"/>
        <scheme val="minor"/>
      </rPr>
      <t>-to-</t>
    </r>
    <r>
      <rPr>
        <sz val="10"/>
        <color rgb="FF0000FF"/>
        <rFont val="Consolas"/>
        <family val="3"/>
      </rPr>
      <t>1</t>
    </r>
    <r>
      <rPr>
        <sz val="10"/>
        <color rgb="FF002138"/>
        <rFont val="Calibri"/>
        <family val="2"/>
        <scheme val="minor"/>
      </rPr>
      <t xml:space="preserve"> or a value other than </t>
    </r>
    <r>
      <rPr>
        <sz val="10"/>
        <color rgb="FF0000FF"/>
        <rFont val="Consolas"/>
        <family val="3"/>
      </rPr>
      <t>TRUE</t>
    </r>
    <r>
      <rPr>
        <sz val="10"/>
        <color rgb="FF002138"/>
        <rFont val="Calibri"/>
        <family val="2"/>
        <scheme val="minor"/>
      </rPr>
      <t>/</t>
    </r>
    <r>
      <rPr>
        <sz val="10"/>
        <color rgb="FF0000FF"/>
        <rFont val="Consolas"/>
        <family val="3"/>
      </rPr>
      <t>FALSE</t>
    </r>
  </si>
  <si>
    <r>
      <t xml:space="preserve"> - The array output column index values (</t>
    </r>
    <r>
      <rPr>
        <sz val="10"/>
        <color rgb="FF0065A8"/>
        <rFont val="Consolas"/>
        <family val="3"/>
      </rPr>
      <t>first_array_cols</t>
    </r>
    <r>
      <rPr>
        <sz val="10"/>
        <color rgb="FF002138"/>
        <rFont val="Calibri"/>
        <family val="2"/>
        <scheme val="minor"/>
      </rPr>
      <t xml:space="preserve">, </t>
    </r>
    <r>
      <rPr>
        <sz val="10"/>
        <color rgb="FF0065A8"/>
        <rFont val="Consolas"/>
        <family val="3"/>
      </rPr>
      <t>second_array_cols</t>
    </r>
    <r>
      <rPr>
        <sz val="10"/>
        <color rgb="FF002138"/>
        <rFont val="Calibri"/>
        <family val="2"/>
        <scheme val="minor"/>
      </rPr>
      <t>) can be entered in any order to re-arrange the order that they are output by the function. However, the chosen columns</t>
    </r>
  </si>
  <si>
    <r>
      <t xml:space="preserve">   the </t>
    </r>
    <r>
      <rPr>
        <sz val="10"/>
        <color rgb="FF0065A8"/>
        <rFont val="Consolas"/>
        <family val="3"/>
      </rPr>
      <t>first_array</t>
    </r>
    <r>
      <rPr>
        <sz val="10"/>
        <color rgb="FF002138"/>
        <rFont val="Calibri"/>
        <family val="2"/>
        <scheme val="minor"/>
      </rPr>
      <t xml:space="preserve"> and </t>
    </r>
    <r>
      <rPr>
        <sz val="10"/>
        <color rgb="FF0065A8"/>
        <rFont val="Consolas"/>
        <family val="3"/>
      </rPr>
      <t>second_array</t>
    </r>
    <r>
      <rPr>
        <sz val="10"/>
        <color rgb="FF002138"/>
        <rFont val="Calibri"/>
        <family val="2"/>
        <scheme val="minor"/>
      </rPr>
      <t>.</t>
    </r>
  </si>
  <si>
    <t>LET(</t>
  </si>
  <si>
    <t>_arr1, first_array,</t>
  </si>
  <si>
    <t>_arr2, second_array,</t>
  </si>
  <si>
    <t>_idx1, IF( ISOMITTED(first_array_cols), SEQUENCE(1, COLUMNS(_arr1)),</t>
  </si>
  <si>
    <t>IF( SUM(--ISERROR(first_array_cols)) &gt; 0, 0, first_array_cols)),</t>
  </si>
  <si>
    <t>_idx2, IF( ISOMITTED(second_array_cols), SEQUENCE(1, COLUMNS(_arr2)),</t>
  </si>
  <si>
    <t>IF( SUM(--ISERROR(second_array_cols)) &gt; 0, 0, second_array_cols)),</t>
  </si>
  <si>
    <t>_inpT, IF( ISOMITTED(join_type), 0, INT(join_type)),</t>
  </si>
  <si>
    <t>_typ, IF( ISNUMBER(_inpT), _inpT + 1,</t>
  </si>
  <si>
    <t>IFNA( MATCH( LOWER(join_type), {"left","right","inner","full"}, 0), -1)</t>
  </si>
  <si>
    <t>),</t>
  </si>
  <si>
    <t>_srt, IF( ISOMITTED(sort), 0,</t>
  </si>
  <si>
    <t>IF( ISERROR(sort), "", INT(sort))),</t>
  </si>
  <si>
    <t>_inpR, IF( ISOMITTED(replace_na), FALSE, INDEX(replace_na, 1, 1)),</t>
  </si>
  <si>
    <t>_rep, IF( ISLOGICAL(_inpR),</t>
  </si>
  <si>
    <t>IF(_inpR, "", NA()),</t>
  </si>
  <si>
    <t>_inpR</t>
  </si>
  <si>
    <t>_inpChk, IF(</t>
  </si>
  <si>
    <t>OR(</t>
  </si>
  <si>
    <t>MIN(_idx1) &lt; 1, MAX(_idx1) &gt; COLUMNS(_arr1),</t>
  </si>
  <si>
    <t>MIN(_idx2) &lt; 1, MAX(_idx2) &gt; COLUMNS(_arr2)</t>
  </si>
  <si>
    <t>), 2,</t>
  </si>
  <si>
    <t>IF( OR(</t>
  </si>
  <si>
    <t>NOT(ISNUMBER(_col1)), NOT(ISNUMBER(_col2)),</t>
  </si>
  <si>
    <t>_typ &lt; 1, _typ &gt; 4,</t>
  </si>
  <si>
    <t>ISERROR(_srt), _srt &lt; -1, _srt &gt; 1</t>
  </si>
  <si>
    <t>), 3,</t>
  </si>
  <si>
    <t>1)</t>
  </si>
  <si>
    <t>_out1, CHOOSECOLS(_arr1, _idx1),</t>
  </si>
  <si>
    <t>_out2, CHOOSECOLS(_arr2, _idx2),</t>
  </si>
  <si>
    <t>_cc1, COLUMNS(_out1),</t>
  </si>
  <si>
    <t>_cc2, COLUMNS(_out2),</t>
  </si>
  <si>
    <t>_ccS, _cc1 + IF(_srt &lt;&gt; 0, 1, 0),</t>
  </si>
  <si>
    <t>_mtch, DROP(REDUCE(0, _uId1, LAMBDA(_acc,_val, VSTACK(_acc, IFNA(MATCH(_val, _uId2, 0), 0)))), 1),</t>
  </si>
  <si>
    <t>_blnk, MAKEARRAY(1, _cc2, LAMBDA(_r,_c, NA())),</t>
  </si>
  <si>
    <t>_arrN, DROP(REDUCE(0, _mtch, LAMBDA(_acc,_val, VSTACK(_acc, IF(_val = 0, _blnk, INDEX(_out2, _val, SEQUENCE(1, _cc2)))))), 1),</t>
  </si>
  <si>
    <t>_arrR, LET(</t>
  </si>
  <si>
    <t>_fltr, SCAN(0, SEQUENCE( ROWS(_out2), 1), LAMBDA(_acc,_val, IF( ISNA(MATCH(_val, _mtch, 0)), 1, 0))),</t>
  </si>
  <si>
    <t>_arr, FILTER(_out2, _fltr = 1, "#[Empty]"),</t>
  </si>
  <si>
    <t>_mCl, FILTER(_uId2, _fltr = 1, NA()),</t>
  </si>
  <si>
    <t>_blnk, MAKEARRAY( ROWS(_arr), _cc1, LAMBDA(_r,_c, NA())),</t>
  </si>
  <si>
    <t>IF(_srt &lt;&gt; 0,</t>
  </si>
  <si>
    <t>HSTACK(_mCl, _blnk, _arr),</t>
  </si>
  <si>
    <t>HSTACK(_blnk, _arr)</t>
  </si>
  <si>
    <t>_arrC, IF(_srt &lt;&gt; 0,</t>
  </si>
  <si>
    <t>HSTACK(_uId1, _out1, _arrN),</t>
  </si>
  <si>
    <t>HSTACK(_out1, _arrN)</t>
  </si>
  <si>
    <t>_arrL, IF( OR(_typ = 2, _typ = 3),</t>
  </si>
  <si>
    <t>FILTER(_arrC, _mtch &lt;&gt; 0, "#[Empty]"),</t>
  </si>
  <si>
    <t>_arrC</t>
  </si>
  <si>
    <t>_calc, CHOOSE(_typ,</t>
  </si>
  <si>
    <t>_arrL,</t>
  </si>
  <si>
    <t>IF( INDEX(_arrL, 1, 1) = "#[Empty]",</t>
  </si>
  <si>
    <t>_arrR,</t>
  </si>
  <si>
    <t>IF( INDEX(_arrR, 1, _ccS + 1) = "#[Empty]",</t>
  </si>
  <si>
    <t>VSTACK(_arrL, _arrR)</t>
  </si>
  <si>
    <t>MAKEARRAY(1, _ccS + _cc2, LAMBDA(_r,_c, NA())),</t>
  </si>
  <si>
    <t>_arrL</t>
  </si>
  <si>
    <t>_rtn, LET(</t>
  </si>
  <si>
    <t>_arrS, IF(_srt &lt;&gt; 0,</t>
  </si>
  <si>
    <t>DROP( SORTBY(_calc, CHOOSECOLS(_calc, 1), _srt), 0, 1),</t>
  </si>
  <si>
    <t>_calc</t>
  </si>
  <si>
    <t>_arrS,</t>
  </si>
  <si>
    <t>IF( ISNA(_arrS), _rep, _arrS)</t>
  </si>
  <si>
    <t>[replace_na],</t>
  </si>
  <si>
    <t>[sort],</t>
  </si>
  <si>
    <t>[second_array_cols],</t>
  </si>
  <si>
    <t>[first_array_cols],</t>
  </si>
  <si>
    <t>[join_type],</t>
  </si>
  <si>
    <t>second_array,</t>
  </si>
  <si>
    <t>first_array,</t>
  </si>
  <si>
    <t>// Parameter definitions</t>
  </si>
  <si>
    <t>// Main function body/calculations</t>
  </si>
  <si>
    <t>// Dealing with optional parameters</t>
  </si>
  <si>
    <t>// Input checks for the optional parameters and required parameters, returning the _inpChk value as 1-to-3</t>
  </si>
  <si>
    <t>CHOOSE(_inpChk, _rtn, LAMBDA(0), #VALUE!)</t>
  </si>
  <si>
    <t>_aRep, IF( ISNA(_rep),</t>
  </si>
  <si>
    <t>_aRep</t>
  </si>
  <si>
    <t>=LAMBDA(first_array,second_array,first_array_index,second_array_index,[join_type],[first_array_cols],[second_array_cols],[sort],[replace_na],LET(_arr1,first_array,_arr2,second_array,_col1,INDEX(first_array_index,1,1),_col2,INDEX(second_array_index,1,1),_idx1,IF(ISOMITTED(first_array_cols),SEQUENCE(1,COLUMNS(_arr1)),IF(SUM(--ISERROR(first_array_cols))&gt;0,0,first_array_cols)),_idx2,IF(ISOMITTED(second_array_cols),SEQUENCE(1,COLUMNS(_arr2)),IF(SUM(--ISERROR(second_array_cols))&gt;0,0,second_array_cols)),_inpT,IF(ISOMITTED(join_type),0,INT(join_type)),_typ,IF(ISNUMBER(_inpT),_inpT+1,IFNA(MATCH(LOWER(join_type),{"left","right","inner","full"},0),-1)),_srt,IF(ISOMITTED(sort),0,IF(ISERROR(sort),"",INT(sort))),_inpR,IF(ISOMITTED(replace_na),FALSE,INDEX(replace_na,1,1)),_rep,IF(ISLOGICAL(_inpR),IF(_inpR,"",NA()),_inpR),_inpChk,IF(OR(_col1&lt;1,_col1&gt;COLUMNS(_arr1),_col2&lt;1,_col2&gt;COLUMNS(_arr2),MIN(_idx1)&lt;1,MAX(_idx1)&gt;COLUMNS(_arr1),MIN(_idx2)&lt;1,MAX(_idx2)&gt;COLUMNS(_arr2)),2,IF(OR(NOT(ISNUMBER(_col1)),NOT(ISNUMBER(_col2)),_typ&lt;1,_typ&gt;4,ISERROR(_srt),_srt&lt;-1,_srt&gt;1),3,1)),_uId1,CHOOSECOLS(_arr1,_col1),_uId2,CHOOSECOLS(_arr2,_col2),_out1,CHOOSECOLS(_arr1,_idx1),_out2,CHOOSECOLS(_arr2,_idx2),_cc1,COLUMNS(_out1),_cc2,COLUMNS(_out2),_ccS,_cc1+IF(_srt&lt;&gt;0,1,0),_mtch,DROP(REDUCE(0,_uId1,LAMBDA(_acc,_val,VSTACK(_acc,IFNA(MATCH(_val,_uId2,0),0)))),1),_blnk,MAKEARRAY(1,_cc2,LAMBDA(_r,_c,NA())),_arrN,DROP(REDUCE(0,_mtch,LAMBDA(_acc,_val,VSTACK(_acc,IF(_val=0,_blnk,INDEX(_out2,_val,SEQUENCE(1,_cc2)))))),1),_arrR,LET(_fltr,SCAN(0,SEQUENCE(ROWS(_out2),1),LAMBDA(_acc,_val,IF(ISNA(MATCH(_val,_mtch,0)),1,0))),_arr,FILTER(_out2,_fltr=1,"#[Empty]"),_mCl,FILTER(_uId2,_fltr=1,NA()),_blnk,MAKEARRAY(ROWS(_arr),_cc1,LAMBDA(_r,_c,NA())),IF(_srt&lt;&gt;0,HSTACK(_mCl,_blnk,_arr),HSTACK(_blnk,_arr))),_arrC,IF(_srt&lt;&gt;0,HSTACK(_uId1,_out1,_arrN),HSTACK(_out1,_arrN)),_arrL,IF(OR(_typ=2,_typ=3),FILTER(_arrC,_mtch&lt;&gt;0,"#[Empty]"),_arrC),_calc,CHOOSE(_typ,_arrL,IF(INDEX(_arrL,1,1)="#[Empty]",_arrR,IF(INDEX(_arrR,1,_ccS+1)="#[Empty]",_arrL,VSTACK(_arrL,_arrR))),IF(INDEX(_arrL,1,1)="#[Empty]",MAKEARRAY(1,_ccS+_cc2,LAMBDA(_r,_c,NA())),_arrL),IF(INDEX(_arrR,1,_ccS+1)="#[Empty]",_arrL,VSTACK(_arrL,_arrR))),_rtn,LET(_arrS,IF(_srt&lt;&gt;0,DROP(SORTBY(_calc,CHOOSECOLS(_calc,1),_srt),0,1),_calc),_aRep,IF(ISNA(_rep),_arrS,IF(ISNA(_arrS),_rep,_arrS)),_aRep),CHOOSE(_inpChk,_rtn,LAMBDA(0),#VALUE!)))</t>
  </si>
  <si>
    <r>
      <t xml:space="preserve">Have ability to replace </t>
    </r>
    <r>
      <rPr>
        <sz val="10"/>
        <color rgb="FFC00000"/>
        <rFont val="Consolas"/>
        <family val="3"/>
      </rPr>
      <t>#N/A</t>
    </r>
    <r>
      <rPr>
        <sz val="10"/>
        <color rgb="FF002138"/>
        <rFont val="Calibri"/>
        <family val="2"/>
        <scheme val="minor"/>
      </rPr>
      <t xml:space="preserve"> values which will be produced for blank spaces in the combined output</t>
    </r>
  </si>
  <si>
    <t>// Creating the matching columns (_uId) and setting the columns for each output array (_out) prior to the JOIN</t>
  </si>
  <si>
    <t>// Calculating the number of columns in each of the output arrays (_cc)</t>
  </si>
  <si>
    <t>// Comparing each row of the first_array match column (_uId1) against the second_array match column (_uId2)</t>
  </si>
  <si>
    <t>// and creating an index of matching second_array rows for the first_array row order (_mtch)</t>
  </si>
  <si>
    <t>// with unmatched rows being filled by a row of blank values</t>
  </si>
  <si>
    <t>// An array of matched second_array rows is created (_arrN) in the correct order to match the first_array,</t>
  </si>
  <si>
    <t>// The second_array is filtered to leave any unmatched rows (_arrR) to be added to the end of the main</t>
  </si>
  <si>
    <t>// function output</t>
  </si>
  <si>
    <t xml:space="preserve">// The main joined output is created (_arrC) using the first_array output columns (_out1) and the </t>
  </si>
  <si>
    <t>// matched second_array output columns (_arrR)</t>
  </si>
  <si>
    <t>// The full first_array output columns (_out1) to remove any unmatched rows based on the join-type chosen</t>
  </si>
  <si>
    <t>// The function output array is created (_calc) based on the join type chosen (_typ)</t>
  </si>
  <si>
    <t>// Where one of the constructed and filtered arrays is empty it is either replaced with blanks or</t>
  </si>
  <si>
    <t>// not included depending the chosen function output type</t>
  </si>
  <si>
    <t>// If required, any #N/A values in the function output array are replaced with the chosen value/text (_rep)</t>
  </si>
  <si>
    <t>// If chosen the created and filtered, matched output array is sorted (_srt) based on the combined match columns (_uId)</t>
  </si>
  <si>
    <t>// If the input checks (_inpChk) have flagged then the required Excel error code is returned, otherwise the calculated result (_rtn) is returned</t>
  </si>
  <si>
    <r>
      <t xml:space="preserve">If no input is provided, will </t>
    </r>
    <r>
      <rPr>
        <b/>
        <sz val="10"/>
        <color rgb="FF002138"/>
        <rFont val="Calibri"/>
        <family val="2"/>
        <scheme val="minor"/>
      </rPr>
      <t>default</t>
    </r>
    <r>
      <rPr>
        <sz val="10"/>
        <color rgb="FF002138"/>
        <rFont val="Calibri"/>
        <family val="2"/>
        <scheme val="minor"/>
      </rPr>
      <t xml:space="preserve"> to no replacement (</t>
    </r>
    <r>
      <rPr>
        <sz val="10"/>
        <color rgb="FF0000FF"/>
        <rFont val="Consolas"/>
        <family val="3"/>
      </rPr>
      <t>FALSE</t>
    </r>
    <r>
      <rPr>
        <sz val="10"/>
        <color rgb="FF002138"/>
        <rFont val="Calibri"/>
        <family val="2"/>
        <scheme val="minor"/>
      </rPr>
      <t>)</t>
    </r>
  </si>
  <si>
    <t xml:space="preserve"> - The main/primary (left) array is given preference over the secondary (right) array with the row order of primary (left) being used for the main function output. For example, with the FULL / OUTER JOIN style</t>
  </si>
  <si>
    <t xml:space="preserve">   output, the primary (left) rows are returned in their original row order, followed by any unmatched rows from the secondary (right) array maintaining the original row order of the secondary (right) array.</t>
  </si>
  <si>
    <t xml:space="preserve"> -- Joins two input arrays together, matching rows which share a unique id field/column</t>
  </si>
  <si>
    <t xml:space="preserve">  -- use HSTACK() to join the first array and the newly created matching array as the output</t>
  </si>
  <si>
    <t xml:space="preserve">  -- create a new array which has the same number of rows as the full first array but uses rows from the second array where the unique id matches</t>
  </si>
  <si>
    <t>Filtering unmatched rows from first_array and second_array to help with forming different Join outputs</t>
  </si>
  <si>
    <t>One column from each input data table can be chosen using a relative column number to perform the matching and Join operation - values in the chosen columns are compared.</t>
  </si>
  <si>
    <t>LEFT join</t>
  </si>
  <si>
    <t>RIGHT join</t>
  </si>
  <si>
    <t>INNER join</t>
  </si>
  <si>
    <t>FULL / OUTER join</t>
  </si>
  <si>
    <t>outputs all rows from the primary (left) input including any unmatched rows</t>
  </si>
  <si>
    <t>output the matched and joined rows from the primary (left) input followed by an unmatched rows from the secondary (right) input</t>
  </si>
  <si>
    <t>outputs only the rows from the primary (left) input which are matched and joined to the secondary (right) input</t>
  </si>
  <si>
    <t>output all rows from primary (left) array followed by any unmatched rows from the secondary (right) input</t>
  </si>
  <si>
    <t>https://gist.github.com/r-silk/a84eaeb12f21fa2487d416f2fd3f99a0</t>
  </si>
  <si>
    <t>The function allows the user to select the preferred JOIN type and therefore output:</t>
  </si>
  <si>
    <t>Demonstrating join types:</t>
  </si>
  <si>
    <t>Demonstrating sorting output:</t>
  </si>
  <si>
    <t>Demonstrating output columns parameters:</t>
  </si>
  <si>
    <t>Joins two data tables together matching rows based on chosen columns from each input array; similar to the SQL JOIN operation.</t>
  </si>
  <si>
    <t>Lambda function which provides the ability to replicate a SQL JOIN operation on the worksheet</t>
  </si>
  <si>
    <t>The Join functionality will join/add two data tables together matching rows where possible based on a chosen column in each input array</t>
  </si>
  <si>
    <t>Updated Functionality for Row Matching</t>
  </si>
  <si>
    <t>Allowing for multiple columns provided for the matching columns</t>
  </si>
  <si>
    <t>@</t>
  </si>
  <si>
    <t>MIN(_col1) &lt; 1, MAX(_col1) &gt; COLUMNS(_arr1),</t>
  </si>
  <si>
    <t>MIN(_col2) &lt; 1, MAX(_col2) &gt; COLUMNS(_arr2),</t>
  </si>
  <si>
    <r>
      <t xml:space="preserve">The value(s) provided for the </t>
    </r>
    <r>
      <rPr>
        <sz val="10"/>
        <color rgb="FF0065A8"/>
        <rFont val="Consolas"/>
        <family val="3"/>
      </rPr>
      <t>first_match_index</t>
    </r>
    <r>
      <rPr>
        <sz val="10"/>
        <color rgb="FF002138"/>
        <rFont val="Calibri"/>
        <family val="2"/>
        <scheme val="minor"/>
      </rPr>
      <t xml:space="preserve"> and/or </t>
    </r>
    <r>
      <rPr>
        <sz val="10"/>
        <color rgb="FF0065A8"/>
        <rFont val="Consolas"/>
        <family val="3"/>
      </rPr>
      <t>second_match_index</t>
    </r>
    <r>
      <rPr>
        <sz val="10"/>
        <color rgb="FF002138"/>
        <rFont val="Calibri"/>
        <family val="2"/>
        <scheme val="minor"/>
      </rPr>
      <t xml:space="preserve"> are invalid (e.g. text or error values) or exceed the corresponding column index ranges</t>
    </r>
  </si>
  <si>
    <r>
      <t xml:space="preserve">The value(s) provided in the </t>
    </r>
    <r>
      <rPr>
        <sz val="10"/>
        <color rgb="FF0065A8"/>
        <rFont val="Consolas"/>
        <family val="3"/>
      </rPr>
      <t>first_array_cols</t>
    </r>
    <r>
      <rPr>
        <sz val="10"/>
        <color rgb="FF002138"/>
        <rFont val="Calibri"/>
        <family val="2"/>
        <scheme val="minor"/>
      </rPr>
      <t xml:space="preserve"> and/or </t>
    </r>
    <r>
      <rPr>
        <sz val="10"/>
        <color rgb="FF0065A8"/>
        <rFont val="Consolas"/>
        <family val="3"/>
      </rPr>
      <t>second_array_cols</t>
    </r>
    <r>
      <rPr>
        <sz val="10"/>
        <color rgb="FF002138"/>
        <rFont val="Calibri"/>
        <family val="2"/>
        <scheme val="minor"/>
      </rPr>
      <t xml:space="preserve"> are invalid (e.g. text or error values) or exceed the corresponding column index ranges</t>
    </r>
  </si>
  <si>
    <r>
      <t xml:space="preserve">The column number(s) of the column(s) to use for matching in the </t>
    </r>
    <r>
      <rPr>
        <sz val="10"/>
        <color rgb="FF0065A8"/>
        <rFont val="Consolas"/>
        <family val="3"/>
      </rPr>
      <t>first_array</t>
    </r>
    <r>
      <rPr>
        <sz val="10"/>
        <color rgb="FF002138"/>
        <rFont val="Calibri"/>
        <family val="2"/>
        <scheme val="minor"/>
      </rPr>
      <t xml:space="preserve"> (e.g. </t>
    </r>
    <r>
      <rPr>
        <sz val="10"/>
        <color rgb="FF0000FF"/>
        <rFont val="Consolas"/>
        <family val="3"/>
      </rPr>
      <t>1</t>
    </r>
    <r>
      <rPr>
        <sz val="10"/>
        <color rgb="FF002138"/>
        <rFont val="Calibri"/>
        <family val="2"/>
        <scheme val="minor"/>
      </rPr>
      <t xml:space="preserve"> for the 1st column of the array, </t>
    </r>
    <r>
      <rPr>
        <sz val="10"/>
        <color rgb="FF0000FF"/>
        <rFont val="Consolas"/>
        <family val="3"/>
      </rPr>
      <t>2</t>
    </r>
    <r>
      <rPr>
        <sz val="10"/>
        <color rgb="FF002138"/>
        <rFont val="Calibri"/>
        <family val="2"/>
        <scheme val="minor"/>
      </rPr>
      <t xml:space="preserve"> for the 2nd column, etc.)</t>
    </r>
  </si>
  <si>
    <r>
      <t xml:space="preserve">The column number(s) of the column(s) to use for matching in the </t>
    </r>
    <r>
      <rPr>
        <sz val="10"/>
        <color rgb="FF0065A8"/>
        <rFont val="Consolas"/>
        <family val="3"/>
      </rPr>
      <t>second_array</t>
    </r>
    <r>
      <rPr>
        <sz val="10"/>
        <color rgb="FF002138"/>
        <rFont val="Calibri"/>
        <family val="2"/>
        <scheme val="minor"/>
      </rPr>
      <t xml:space="preserve"> (e.g. </t>
    </r>
    <r>
      <rPr>
        <sz val="10"/>
        <color rgb="FF0000FF"/>
        <rFont val="Consolas"/>
        <family val="3"/>
      </rPr>
      <t>1</t>
    </r>
    <r>
      <rPr>
        <sz val="10"/>
        <color rgb="FF002138"/>
        <rFont val="Calibri"/>
        <family val="2"/>
        <scheme val="minor"/>
      </rPr>
      <t xml:space="preserve"> for the 1st column of the array, </t>
    </r>
    <r>
      <rPr>
        <sz val="10"/>
        <color rgb="FF0000FF"/>
        <rFont val="Consolas"/>
        <family val="3"/>
      </rPr>
      <t>2</t>
    </r>
    <r>
      <rPr>
        <sz val="10"/>
        <color rgb="FF002138"/>
        <rFont val="Calibri"/>
        <family val="2"/>
        <scheme val="minor"/>
      </rPr>
      <t xml:space="preserve"> for the 2nd column, etc.)</t>
    </r>
  </si>
  <si>
    <t xml:space="preserve">second_match_index: </t>
  </si>
  <si>
    <t xml:space="preserve">first_match_index: </t>
  </si>
  <si>
    <t>first_match_index,</t>
  </si>
  <si>
    <t>second_match_index,</t>
  </si>
  <si>
    <t>_col1, first_match_index,</t>
  </si>
  <si>
    <t>_col2, second_match_index,</t>
  </si>
  <si>
    <t>NOT(ISNUMBER(_idx1)), NOT(ISNUMBER(_idx2)),</t>
  </si>
  <si>
    <t>_uId1, SCAN(0, SEQUENCE(ROWS(_arr1)), LAMBDA(_acc,_val, CONCAT(INDEX(_arr1, _val, _col1)))),</t>
  </si>
  <si>
    <t>_uId2, SCAN(0, SEQUENCE(ROWS(_arr2)), LAMBDA(_acc,_val, CONCAT(INDEX(_arr2, _val, _col2)))),</t>
  </si>
  <si>
    <t xml:space="preserve">   from the primary (left) array will be output first followed by the chosen columns from the secondary (right) array. The array column(s) used for row matching do not have to be included in the output but can be.</t>
  </si>
  <si>
    <r>
      <t xml:space="preserve"> - If the </t>
    </r>
    <r>
      <rPr>
        <sz val="10"/>
        <color rgb="FF0065A8"/>
        <rFont val="Consolas"/>
        <family val="3"/>
      </rPr>
      <t>sort</t>
    </r>
    <r>
      <rPr>
        <sz val="10"/>
        <color rgb="FF002138"/>
        <rFont val="Calibri"/>
        <family val="2"/>
        <scheme val="minor"/>
      </rPr>
      <t xml:space="preserve"> option is used, sorting is applied after the output has been constructed and filtered as appropriate, so the row order is purely based on sorting of the combined match column(s) values from both</t>
    </r>
  </si>
  <si>
    <t xml:space="preserve"> - The matching column indices (first_match_index, second_match_index) can be supplied as either a single number or an array of numbers. Where an array of indices is used the row matching will be based on</t>
  </si>
  <si>
    <t xml:space="preserve">   the combination of values from each of the selected input array columns. The chosen columns can gbe from any position in the correspnding input array and do not have to be adjacent (e.g. selecting the 1st </t>
  </si>
  <si>
    <t xml:space="preserve">   and 3rd columns using {1,3}).</t>
  </si>
  <si>
    <t>Joining two tables with the first column of each table ("ID") used to match rows</t>
  </si>
  <si>
    <t>Joining two tables using different relative column numbers to match rows (columns containing special characters)</t>
  </si>
  <si>
    <r>
      <rPr>
        <b/>
        <i/>
        <sz val="10"/>
        <color rgb="FFFF8225"/>
        <rFont val="Calibri"/>
        <family val="2"/>
        <scheme val="minor"/>
      </rPr>
      <t>Note</t>
    </r>
    <r>
      <rPr>
        <i/>
        <sz val="10"/>
        <color rgb="FFFF8225"/>
        <rFont val="Calibri"/>
        <family val="2"/>
        <scheme val="minor"/>
      </rPr>
      <t>:  applies a LEFT join by default</t>
    </r>
  </si>
  <si>
    <r>
      <rPr>
        <b/>
        <i/>
        <sz val="10"/>
        <color rgb="FFFF8225"/>
        <rFont val="Calibri"/>
        <family val="2"/>
        <scheme val="minor"/>
      </rPr>
      <t>Note</t>
    </r>
    <r>
      <rPr>
        <i/>
        <sz val="10"/>
        <color rgb="FFFF8225"/>
        <rFont val="Calibri"/>
        <family val="2"/>
        <scheme val="minor"/>
      </rPr>
      <t xml:space="preserve">:  the </t>
    </r>
    <r>
      <rPr>
        <i/>
        <sz val="10"/>
        <color rgb="FFFF8225"/>
        <rFont val="Consolas"/>
        <family val="3"/>
      </rPr>
      <t>join_type</t>
    </r>
    <r>
      <rPr>
        <i/>
        <sz val="10"/>
        <color rgb="FFFF8225"/>
        <rFont val="Calibri"/>
        <family val="2"/>
        <scheme val="minor"/>
      </rPr>
      <t xml:space="preserve"> parameter will accept </t>
    </r>
    <r>
      <rPr>
        <i/>
        <sz val="10"/>
        <color rgb="FFFF8225"/>
        <rFont val="Consolas"/>
        <family val="3"/>
      </rPr>
      <t>"left"</t>
    </r>
    <r>
      <rPr>
        <i/>
        <sz val="10"/>
        <color rgb="FFFF8225"/>
        <rFont val="Calibri"/>
        <family val="2"/>
        <scheme val="minor"/>
      </rPr>
      <t xml:space="preserve">, </t>
    </r>
    <r>
      <rPr>
        <i/>
        <sz val="10"/>
        <color rgb="FFFF8225"/>
        <rFont val="Consolas"/>
        <family val="3"/>
      </rPr>
      <t>"LEFT"</t>
    </r>
    <r>
      <rPr>
        <i/>
        <sz val="10"/>
        <color rgb="FFFF8225"/>
        <rFont val="Calibri"/>
        <family val="2"/>
        <scheme val="minor"/>
      </rPr>
      <t xml:space="preserve"> or </t>
    </r>
    <r>
      <rPr>
        <i/>
        <sz val="10"/>
        <color rgb="FFFF8225"/>
        <rFont val="Consolas"/>
        <family val="3"/>
      </rPr>
      <t>0</t>
    </r>
    <r>
      <rPr>
        <i/>
        <sz val="10"/>
        <color rgb="FFFF8225"/>
        <rFont val="Calibri"/>
        <family val="2"/>
        <scheme val="minor"/>
      </rPr>
      <t xml:space="preserve"> for a LEFT join</t>
    </r>
  </si>
  <si>
    <r>
      <rPr>
        <b/>
        <i/>
        <sz val="10"/>
        <color rgb="FFFF8225"/>
        <rFont val="Calibri"/>
        <family val="2"/>
        <scheme val="minor"/>
      </rPr>
      <t>Note</t>
    </r>
    <r>
      <rPr>
        <i/>
        <sz val="10"/>
        <color rgb="FFFF8225"/>
        <rFont val="Calibri"/>
        <family val="2"/>
        <scheme val="minor"/>
      </rPr>
      <t xml:space="preserve">:  the </t>
    </r>
    <r>
      <rPr>
        <i/>
        <sz val="10"/>
        <color rgb="FFFF8225"/>
        <rFont val="Consolas"/>
        <family val="3"/>
      </rPr>
      <t>join_type</t>
    </r>
    <r>
      <rPr>
        <i/>
        <sz val="10"/>
        <color rgb="FFFF8225"/>
        <rFont val="Calibri"/>
        <family val="2"/>
        <scheme val="minor"/>
      </rPr>
      <t xml:space="preserve"> parameter will accept </t>
    </r>
    <r>
      <rPr>
        <i/>
        <sz val="10"/>
        <color rgb="FFFF8225"/>
        <rFont val="Consolas"/>
        <family val="3"/>
      </rPr>
      <t>"inner"</t>
    </r>
    <r>
      <rPr>
        <i/>
        <sz val="10"/>
        <color rgb="FFFF8225"/>
        <rFont val="Calibri"/>
        <family val="2"/>
        <scheme val="minor"/>
      </rPr>
      <t xml:space="preserve">, </t>
    </r>
    <r>
      <rPr>
        <i/>
        <sz val="10"/>
        <color rgb="FFFF8225"/>
        <rFont val="Consolas"/>
        <family val="3"/>
      </rPr>
      <t>"INNER"</t>
    </r>
    <r>
      <rPr>
        <i/>
        <sz val="10"/>
        <color rgb="FFFF8225"/>
        <rFont val="Calibri"/>
        <family val="2"/>
        <scheme val="minor"/>
      </rPr>
      <t xml:space="preserve"> or </t>
    </r>
    <r>
      <rPr>
        <i/>
        <sz val="10"/>
        <color rgb="FFFF8225"/>
        <rFont val="Consolas"/>
        <family val="3"/>
      </rPr>
      <t>2</t>
    </r>
    <r>
      <rPr>
        <i/>
        <sz val="10"/>
        <color rgb="FFFF8225"/>
        <rFont val="Calibri"/>
        <family val="2"/>
        <scheme val="minor"/>
      </rPr>
      <t xml:space="preserve"> for an INNER join</t>
    </r>
  </si>
  <si>
    <r>
      <rPr>
        <b/>
        <i/>
        <sz val="10"/>
        <color rgb="FFFF8225"/>
        <rFont val="Calibri"/>
        <family val="2"/>
        <scheme val="minor"/>
      </rPr>
      <t>Note</t>
    </r>
    <r>
      <rPr>
        <i/>
        <sz val="10"/>
        <color rgb="FFFF8225"/>
        <rFont val="Calibri"/>
        <family val="2"/>
        <scheme val="minor"/>
      </rPr>
      <t xml:space="preserve">:  the </t>
    </r>
    <r>
      <rPr>
        <i/>
        <sz val="10"/>
        <color rgb="FFFF8225"/>
        <rFont val="Consolas"/>
        <family val="3"/>
      </rPr>
      <t>join_type</t>
    </r>
    <r>
      <rPr>
        <i/>
        <sz val="10"/>
        <color rgb="FFFF8225"/>
        <rFont val="Calibri"/>
        <family val="2"/>
        <scheme val="minor"/>
      </rPr>
      <t xml:space="preserve"> parameter will accept </t>
    </r>
    <r>
      <rPr>
        <i/>
        <sz val="10"/>
        <color rgb="FFFF8225"/>
        <rFont val="Consolas"/>
        <family val="3"/>
      </rPr>
      <t>"right"</t>
    </r>
    <r>
      <rPr>
        <i/>
        <sz val="10"/>
        <color rgb="FFFF8225"/>
        <rFont val="Calibri"/>
        <family val="2"/>
        <scheme val="minor"/>
      </rPr>
      <t xml:space="preserve">, </t>
    </r>
    <r>
      <rPr>
        <i/>
        <sz val="10"/>
        <color rgb="FFFF8225"/>
        <rFont val="Consolas"/>
        <family val="3"/>
      </rPr>
      <t>"RIGHT"</t>
    </r>
    <r>
      <rPr>
        <i/>
        <sz val="10"/>
        <color rgb="FFFF8225"/>
        <rFont val="Calibri"/>
        <family val="2"/>
        <scheme val="minor"/>
      </rPr>
      <t xml:space="preserve"> or </t>
    </r>
    <r>
      <rPr>
        <i/>
        <sz val="10"/>
        <color rgb="FFFF8225"/>
        <rFont val="Consolas"/>
        <family val="3"/>
      </rPr>
      <t>1</t>
    </r>
    <r>
      <rPr>
        <i/>
        <sz val="10"/>
        <color rgb="FFFF8225"/>
        <rFont val="Calibri"/>
        <family val="2"/>
        <scheme val="minor"/>
      </rPr>
      <t xml:space="preserve"> for a RIGHT join</t>
    </r>
  </si>
  <si>
    <t>Joining two tables with the first column of each table ("ID") used to match rows --&gt; applying a FULL Join</t>
  </si>
  <si>
    <t>Joining two tables with the first column of each table ("ID") used to match rows --&gt; applying a LEFT Join</t>
  </si>
  <si>
    <t>Joining two tables with the first column of each table ("ID") used to match rows --&gt; applying a RIGHT Join</t>
  </si>
  <si>
    <t>Joining two tables with the first column of each table ("ID") used to match rows --&gt; applying an INNER Join</t>
  </si>
  <si>
    <t xml:space="preserve"> --&gt; outputting all columns from both input tables</t>
  </si>
  <si>
    <t xml:space="preserve"> --&gt; outputting only specified columns from both each input table</t>
  </si>
  <si>
    <r>
      <rPr>
        <b/>
        <i/>
        <sz val="10"/>
        <color rgb="FFFF8225"/>
        <rFont val="Calibri"/>
        <family val="2"/>
        <scheme val="minor"/>
      </rPr>
      <t>Note</t>
    </r>
    <r>
      <rPr>
        <i/>
        <sz val="10"/>
        <color rgb="FFFF8225"/>
        <rFont val="Calibri"/>
        <family val="2"/>
        <scheme val="minor"/>
      </rPr>
      <t xml:space="preserve">:  the </t>
    </r>
    <r>
      <rPr>
        <i/>
        <sz val="10"/>
        <color rgb="FFFF8225"/>
        <rFont val="Consolas"/>
        <family val="3"/>
      </rPr>
      <t>join_type</t>
    </r>
    <r>
      <rPr>
        <i/>
        <sz val="10"/>
        <color rgb="FFFF8225"/>
        <rFont val="Calibri"/>
        <family val="2"/>
        <scheme val="minor"/>
      </rPr>
      <t xml:space="preserve"> parameter will accept </t>
    </r>
    <r>
      <rPr>
        <i/>
        <sz val="10"/>
        <color rgb="FFFF8225"/>
        <rFont val="Consolas"/>
        <family val="3"/>
      </rPr>
      <t>"full"</t>
    </r>
    <r>
      <rPr>
        <i/>
        <sz val="10"/>
        <color rgb="FFFF8225"/>
        <rFont val="Calibri"/>
        <family val="2"/>
        <scheme val="minor"/>
      </rPr>
      <t xml:space="preserve">, </t>
    </r>
    <r>
      <rPr>
        <i/>
        <sz val="10"/>
        <color rgb="FFFF8225"/>
        <rFont val="Consolas"/>
        <family val="3"/>
      </rPr>
      <t>"FULL"</t>
    </r>
    <r>
      <rPr>
        <i/>
        <sz val="10"/>
        <color rgb="FFFF8225"/>
        <rFont val="Calibri"/>
        <family val="2"/>
        <scheme val="minor"/>
      </rPr>
      <t xml:space="preserve"> or </t>
    </r>
    <r>
      <rPr>
        <i/>
        <sz val="10"/>
        <color rgb="FFFF8225"/>
        <rFont val="Consolas"/>
        <family val="3"/>
      </rPr>
      <t>3</t>
    </r>
    <r>
      <rPr>
        <i/>
        <sz val="10"/>
        <color rgb="FFFF8225"/>
        <rFont val="Calibri"/>
        <family val="2"/>
        <scheme val="minor"/>
      </rPr>
      <t xml:space="preserve"> for a FULL join</t>
    </r>
  </si>
  <si>
    <t xml:space="preserve"> --&gt; using the output column arrays to re-arrange input tables in the output table</t>
  </si>
  <si>
    <t>--&gt; in this case the input tables are reversed so the second input table with an unsorted ID column is used as the Left table</t>
  </si>
  <si>
    <t>--&gt; no output sorting is used</t>
  </si>
  <si>
    <r>
      <rPr>
        <b/>
        <i/>
        <sz val="10"/>
        <color rgb="FFFF8225"/>
        <rFont val="Calibri"/>
        <family val="2"/>
        <scheme val="minor"/>
      </rPr>
      <t>Note</t>
    </r>
    <r>
      <rPr>
        <i/>
        <sz val="10"/>
        <color rgb="FFFF8225"/>
        <rFont val="Calibri"/>
        <family val="2"/>
        <scheme val="minor"/>
      </rPr>
      <t xml:space="preserve">:  the </t>
    </r>
    <r>
      <rPr>
        <i/>
        <sz val="10"/>
        <color rgb="FFFF8225"/>
        <rFont val="Consolas"/>
        <family val="3"/>
      </rPr>
      <t>sort</t>
    </r>
    <r>
      <rPr>
        <i/>
        <sz val="10"/>
        <color rgb="FFFF8225"/>
        <rFont val="Calibri"/>
        <family val="2"/>
        <scheme val="minor"/>
      </rPr>
      <t xml:space="preserve"> parameter will accept </t>
    </r>
    <r>
      <rPr>
        <i/>
        <sz val="10"/>
        <color rgb="FFFF8225"/>
        <rFont val="Consolas"/>
        <family val="3"/>
      </rPr>
      <t>FALSE</t>
    </r>
    <r>
      <rPr>
        <i/>
        <sz val="10"/>
        <color rgb="FFFF8225"/>
        <rFont val="Calibri"/>
        <family val="2"/>
        <scheme val="minor"/>
      </rPr>
      <t xml:space="preserve"> or </t>
    </r>
    <r>
      <rPr>
        <i/>
        <sz val="10"/>
        <color rgb="FFFF8225"/>
        <rFont val="Consolas"/>
        <family val="3"/>
      </rPr>
      <t>0</t>
    </r>
    <r>
      <rPr>
        <i/>
        <sz val="10"/>
        <color rgb="FFFF8225"/>
        <rFont val="Calibri"/>
        <family val="2"/>
        <scheme val="minor"/>
      </rPr>
      <t xml:space="preserve"> for no sorting</t>
    </r>
  </si>
  <si>
    <r>
      <rPr>
        <b/>
        <i/>
        <sz val="10"/>
        <color rgb="FFFF8225"/>
        <rFont val="Calibri"/>
        <family val="2"/>
        <scheme val="minor"/>
      </rPr>
      <t>Note</t>
    </r>
    <r>
      <rPr>
        <i/>
        <sz val="10"/>
        <color rgb="FFFF8225"/>
        <rFont val="Calibri"/>
        <family val="2"/>
        <scheme val="minor"/>
      </rPr>
      <t xml:space="preserve">:  the </t>
    </r>
    <r>
      <rPr>
        <i/>
        <sz val="10"/>
        <color rgb="FFFF8225"/>
        <rFont val="Consolas"/>
        <family val="3"/>
      </rPr>
      <t>sort</t>
    </r>
    <r>
      <rPr>
        <i/>
        <sz val="10"/>
        <color rgb="FFFF8225"/>
        <rFont val="Calibri"/>
        <family val="2"/>
        <scheme val="minor"/>
      </rPr>
      <t xml:space="preserve"> parameter will accept </t>
    </r>
    <r>
      <rPr>
        <i/>
        <sz val="10"/>
        <color rgb="FFFF8225"/>
        <rFont val="Consolas"/>
        <family val="3"/>
      </rPr>
      <t>TRUE</t>
    </r>
    <r>
      <rPr>
        <i/>
        <sz val="10"/>
        <color rgb="FFFF8225"/>
        <rFont val="Calibri"/>
        <family val="2"/>
        <scheme val="minor"/>
      </rPr>
      <t xml:space="preserve"> or </t>
    </r>
    <r>
      <rPr>
        <i/>
        <sz val="10"/>
        <color rgb="FFFF8225"/>
        <rFont val="Consolas"/>
        <family val="3"/>
      </rPr>
      <t>1</t>
    </r>
    <r>
      <rPr>
        <i/>
        <sz val="10"/>
        <color rgb="FFFF8225"/>
        <rFont val="Calibri"/>
        <family val="2"/>
        <scheme val="minor"/>
      </rPr>
      <t xml:space="preserve"> for ascending-order sorting</t>
    </r>
  </si>
  <si>
    <t>--&gt; standard ascending-order sorting is applied to the output</t>
  </si>
  <si>
    <t>--&gt; descending-order sorting is applied to the output</t>
  </si>
  <si>
    <r>
      <rPr>
        <b/>
        <i/>
        <sz val="10"/>
        <color rgb="FFFF8225"/>
        <rFont val="Calibri"/>
        <family val="2"/>
        <scheme val="minor"/>
      </rPr>
      <t>Note</t>
    </r>
    <r>
      <rPr>
        <i/>
        <sz val="10"/>
        <color rgb="FFFF8225"/>
        <rFont val="Calibri"/>
        <family val="2"/>
        <scheme val="minor"/>
      </rPr>
      <t xml:space="preserve">:  the </t>
    </r>
    <r>
      <rPr>
        <i/>
        <sz val="10"/>
        <color rgb="FFFF8225"/>
        <rFont val="Consolas"/>
        <family val="3"/>
      </rPr>
      <t>sort</t>
    </r>
    <r>
      <rPr>
        <i/>
        <sz val="10"/>
        <color rgb="FFFF8225"/>
        <rFont val="Calibri"/>
        <family val="2"/>
        <scheme val="minor"/>
      </rPr>
      <t xml:space="preserve"> parameter will only accept </t>
    </r>
    <r>
      <rPr>
        <i/>
        <sz val="10"/>
        <color rgb="FFFF8225"/>
        <rFont val="Consolas"/>
        <family val="3"/>
      </rPr>
      <t>-1</t>
    </r>
    <r>
      <rPr>
        <i/>
        <sz val="10"/>
        <color rgb="FFFF8225"/>
        <rFont val="Calibri"/>
        <family val="2"/>
        <scheme val="minor"/>
      </rPr>
      <t xml:space="preserve"> for descending-order sorting</t>
    </r>
  </si>
  <si>
    <t>~</t>
  </si>
  <si>
    <t>--&gt; replacing any #N/A values with blank strings ("")</t>
  </si>
  <si>
    <t>--&gt; replacing any #N/A values with a custom string</t>
  </si>
  <si>
    <t>--&gt; replacing any #N/A values with zero (0) values</t>
  </si>
  <si>
    <t>--&gt; not replacing any #N/A values (default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</si>
</sst>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_);\(#,##0\);\-_)"/>
    <numFmt numFmtId="165" formatCode="0.00%;\(0.00\)%;&quot;--&quot;_)"/>
    <numFmt numFmtId="166" formatCode="d\-mmm\-yyyy"/>
    <numFmt numFmtId="167" formatCode="_(* #,##0.00_);_(* \(#,##0.00\);_(* &quot;-&quot;??_);_(@_)"/>
    <numFmt numFmtId="168" formatCode="#,##0_);\(#,##0\);\ \-_)"/>
    <numFmt numFmtId="169" formatCode="0_);\(0\);\-_)"/>
    <numFmt numFmtId="170" formatCode="_(&quot;£&quot;* #,##0.00_);_(&quot;£&quot;* \(#,##0.00\);_(&quot;£&quot;* &quot;-&quot;??_);_(@_)"/>
    <numFmt numFmtId="171" formatCode="&quot;£&quot;#,##0.0,\ \K_);&quot;£&quot;\(#,##0.0,\ \K\);&quot;£&quot;0_)"/>
    <numFmt numFmtId="172" formatCode="[Red]&quot;CHECK&quot;;[Red]&quot;ERROR&quot;;&quot;OK&quot;"/>
    <numFmt numFmtId="173" formatCode="#,##0_);[Red]\(#,##0\);\ \-_)"/>
    <numFmt numFmtId="174" formatCode="0.00%;[Red]\(0.00\)%;&quot;--&quot;_)"/>
    <numFmt numFmtId="175" formatCode="mmm\-yyyy_)"/>
    <numFmt numFmtId="176" formatCode="0_);[Red]\(0\);\-_)"/>
    <numFmt numFmtId="177" formatCode="00\."/>
    <numFmt numFmtId="178" formatCode="&quot;Yes (1)&quot;;[Red]&quot;Err&quot;;&quot;No (0)&quot;"/>
    <numFmt numFmtId="179" formatCode="&quot;On (1)&quot;;[Red]&quot;Err&quot;;&quot;Off (0)&quot;"/>
  </numFmts>
  <fonts count="49" x14ac:knownFonts="1">
    <font>
      <sz val="10"/>
      <color rgb="FF002138"/>
      <name val="Calibri"/>
      <family val="2"/>
      <scheme val="minor"/>
    </font>
    <font>
      <sz val="10"/>
      <color theme="1"/>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b/>
      <sz val="10"/>
      <color theme="1"/>
      <name val="Calibri"/>
      <family val="2"/>
    </font>
    <font>
      <sz val="10"/>
      <color rgb="FF9C0006"/>
      <name val="Calibri"/>
      <family val="2"/>
      <scheme val="minor"/>
    </font>
    <font>
      <sz val="10"/>
      <color theme="1"/>
      <name val="Calibri"/>
      <family val="2"/>
      <scheme val="minor"/>
    </font>
    <font>
      <b/>
      <sz val="10"/>
      <color theme="1"/>
      <name val="Calibri"/>
      <family val="2"/>
      <scheme val="minor"/>
    </font>
    <font>
      <sz val="10"/>
      <color rgb="FF3F9C35"/>
      <name val="Consolas"/>
      <family val="3"/>
    </font>
    <font>
      <sz val="10"/>
      <color rgb="FF002138"/>
      <name val="Calibri"/>
      <family val="2"/>
      <scheme val="minor"/>
    </font>
    <font>
      <sz val="10"/>
      <color rgb="FF0000FF"/>
      <name val="Calibri"/>
      <family val="2"/>
      <scheme val="minor"/>
    </font>
    <font>
      <i/>
      <sz val="10"/>
      <color rgb="FF808080"/>
      <name val="Calibri"/>
      <family val="2"/>
      <scheme val="minor"/>
    </font>
    <font>
      <b/>
      <i/>
      <sz val="10"/>
      <color rgb="FF195C89"/>
      <name val="Calibri"/>
      <family val="2"/>
      <scheme val="minor"/>
    </font>
    <font>
      <sz val="10"/>
      <color rgb="FF006100"/>
      <name val="Calibri"/>
      <family val="2"/>
      <scheme val="minor"/>
    </font>
    <font>
      <b/>
      <sz val="12"/>
      <color rgb="FFFFFFFF"/>
      <name val="Arial"/>
      <family val="2"/>
      <scheme val="major"/>
    </font>
    <font>
      <b/>
      <sz val="11"/>
      <color rgb="FFFFFFFF"/>
      <name val="Arial"/>
      <family val="2"/>
      <scheme val="major"/>
    </font>
    <font>
      <b/>
      <sz val="10"/>
      <color rgb="FF595959"/>
      <name val="Arial"/>
      <family val="2"/>
      <scheme val="major"/>
    </font>
    <font>
      <sz val="10"/>
      <color theme="0" tint="-0.249977111117893"/>
      <name val="Calibri"/>
      <family val="2"/>
      <scheme val="minor"/>
    </font>
    <font>
      <sz val="10"/>
      <color rgb="FF195C89"/>
      <name val="Calibri"/>
      <family val="2"/>
      <scheme val="minor"/>
    </font>
    <font>
      <sz val="12"/>
      <color rgb="FF195C89"/>
      <name val="Arial"/>
      <family val="2"/>
      <scheme val="major"/>
    </font>
    <font>
      <sz val="10"/>
      <color theme="0"/>
      <name val="Calibri"/>
      <family val="2"/>
      <scheme val="minor"/>
    </font>
    <font>
      <sz val="10"/>
      <color theme="0" tint="-0.34998626667073579"/>
      <name val="Calibri"/>
      <family val="2"/>
      <scheme val="minor"/>
    </font>
    <font>
      <i/>
      <sz val="10"/>
      <color rgb="FF33B9F2"/>
      <name val="Calibri"/>
      <family val="2"/>
      <scheme val="minor"/>
    </font>
    <font>
      <sz val="10"/>
      <color rgb="FF9C5700"/>
      <name val="Calibri"/>
      <family val="2"/>
      <scheme val="minor"/>
    </font>
    <font>
      <i/>
      <sz val="10"/>
      <color rgb="FFFF8225"/>
      <name val="Calibri"/>
      <family val="2"/>
      <scheme val="minor"/>
    </font>
    <font>
      <sz val="10"/>
      <color rgb="FFB400B4"/>
      <name val="Calibri"/>
      <family val="2"/>
      <scheme val="minor"/>
    </font>
    <font>
      <sz val="10"/>
      <color rgb="FF8C0000"/>
      <name val="Calibri"/>
      <family val="2"/>
      <scheme val="minor"/>
    </font>
    <font>
      <b/>
      <sz val="12"/>
      <color rgb="FF195C89"/>
      <name val="Arial"/>
      <family val="2"/>
      <scheme val="major"/>
    </font>
    <font>
      <b/>
      <sz val="16"/>
      <color rgb="FF0E2550"/>
      <name val="Arial"/>
      <family val="2"/>
      <scheme val="major"/>
    </font>
    <font>
      <sz val="10"/>
      <color rgb="FFB4B4B4"/>
      <name val="Calibri"/>
      <family val="2"/>
      <scheme val="minor"/>
    </font>
    <font>
      <sz val="10"/>
      <color rgb="FFFF0000"/>
      <name val="Calibri"/>
      <family val="2"/>
      <scheme val="minor"/>
    </font>
    <font>
      <b/>
      <sz val="10"/>
      <color rgb="FF002138"/>
      <name val="Calibri"/>
      <family val="2"/>
      <scheme val="minor"/>
    </font>
    <font>
      <b/>
      <i/>
      <sz val="10"/>
      <color rgb="FF002138"/>
      <name val="Calibri"/>
      <family val="2"/>
      <scheme val="minor"/>
    </font>
    <font>
      <b/>
      <sz val="14"/>
      <color rgb="FFFFFFFF"/>
      <name val="Arial"/>
      <family val="2"/>
      <scheme val="major"/>
    </font>
    <font>
      <u/>
      <sz val="10"/>
      <color rgb="FF002138"/>
      <name val="Calibri"/>
      <family val="2"/>
      <scheme val="minor"/>
    </font>
    <font>
      <sz val="10"/>
      <color rgb="FF002138"/>
      <name val="Consolas"/>
      <family val="3"/>
    </font>
    <font>
      <sz val="10"/>
      <color rgb="FF0065A8"/>
      <name val="Consolas"/>
      <family val="3"/>
    </font>
    <font>
      <b/>
      <sz val="10"/>
      <color rgb="FFB75EE1"/>
      <name val="Calibri"/>
      <family val="2"/>
      <scheme val="minor"/>
    </font>
    <font>
      <sz val="10"/>
      <color rgb="FFC00000"/>
      <name val="Consolas"/>
      <family val="3"/>
    </font>
    <font>
      <sz val="10"/>
      <color rgb="FF1E4FA8"/>
      <name val="Consolas"/>
      <family val="3"/>
    </font>
    <font>
      <sz val="10"/>
      <color theme="0"/>
      <name val="Calibri"/>
      <family val="2"/>
    </font>
    <font>
      <b/>
      <sz val="10"/>
      <color rgb="FFFC6017"/>
      <name val="Calibri"/>
      <family val="2"/>
      <scheme val="minor"/>
    </font>
    <font>
      <sz val="10"/>
      <color rgb="FF0000FF"/>
      <name val="Consolas"/>
      <family val="3"/>
    </font>
    <font>
      <u/>
      <sz val="10"/>
      <color theme="10"/>
      <name val="Calibri"/>
      <family val="2"/>
      <scheme val="minor"/>
    </font>
    <font>
      <i/>
      <sz val="10"/>
      <color rgb="FFFF8225"/>
      <name val="Consolas"/>
      <family val="3"/>
    </font>
    <font>
      <b/>
      <i/>
      <sz val="10"/>
      <color rgb="FFFF8225"/>
      <name val="Calibri"/>
      <family val="2"/>
      <scheme val="minor"/>
    </font>
  </fonts>
  <fills count="2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FEE6CE"/>
        <bgColor indexed="64"/>
      </patternFill>
    </fill>
    <fill>
      <patternFill patternType="solid">
        <fgColor rgb="FF198B83"/>
        <bgColor indexed="64"/>
      </patternFill>
    </fill>
    <fill>
      <patternFill patternType="solid">
        <fgColor rgb="FF56BAB8"/>
        <bgColor indexed="64"/>
      </patternFill>
    </fill>
    <fill>
      <patternFill patternType="solid">
        <fgColor rgb="FFE6D3B8"/>
        <bgColor indexed="64"/>
      </patternFill>
    </fill>
    <fill>
      <patternFill patternType="solid">
        <fgColor rgb="FFF7ECDD"/>
        <bgColor indexed="64"/>
      </patternFill>
    </fill>
    <fill>
      <patternFill patternType="solid">
        <fgColor rgb="FFFFFFD2"/>
        <bgColor indexed="64"/>
      </patternFill>
    </fill>
    <fill>
      <patternFill patternType="solid">
        <fgColor rgb="FFF9E7FF"/>
        <bgColor indexed="64"/>
      </patternFill>
    </fill>
    <fill>
      <patternFill patternType="solid">
        <fgColor rgb="FFEBFAFA"/>
        <bgColor indexed="64"/>
      </patternFill>
    </fill>
    <fill>
      <patternFill patternType="solid">
        <fgColor rgb="FFFF4F4F"/>
        <bgColor indexed="64"/>
      </patternFill>
    </fill>
    <fill>
      <patternFill patternType="solid">
        <fgColor rgb="FFFFC000"/>
        <bgColor indexed="64"/>
      </patternFill>
    </fill>
    <fill>
      <patternFill patternType="solid">
        <fgColor rgb="FFF8F200"/>
        <bgColor indexed="64"/>
      </patternFill>
    </fill>
    <fill>
      <patternFill patternType="solid">
        <fgColor rgb="FFBEE4E3"/>
        <bgColor indexed="64"/>
      </patternFill>
    </fill>
    <fill>
      <patternFill patternType="lightUp">
        <fgColor theme="0" tint="-0.34998626667073579"/>
        <bgColor auto="1"/>
      </patternFill>
    </fill>
    <fill>
      <patternFill patternType="solid">
        <fgColor rgb="FFE4E6E8"/>
        <bgColor indexed="64"/>
      </patternFill>
    </fill>
    <fill>
      <patternFill patternType="solid">
        <fgColor theme="4"/>
      </patternFill>
    </fill>
    <fill>
      <patternFill patternType="solid">
        <fgColor theme="7"/>
      </patternFill>
    </fill>
  </fills>
  <borders count="2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1" tint="0.24994659260841701"/>
      </left>
      <right style="hair">
        <color theme="1" tint="0.24994659260841701"/>
      </right>
      <top style="hair">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double">
        <color theme="1" tint="0.24994659260841701"/>
      </bottom>
      <diagonal/>
    </border>
    <border>
      <left/>
      <right/>
      <top style="medium">
        <color theme="5"/>
      </top>
      <bottom/>
      <diagonal/>
    </border>
    <border>
      <left style="thin">
        <color rgb="FF198B83"/>
      </left>
      <right style="thin">
        <color rgb="FF198B83"/>
      </right>
      <top style="thin">
        <color rgb="FF198B83"/>
      </top>
      <bottom style="thin">
        <color rgb="FF198B83"/>
      </bottom>
      <diagonal/>
    </border>
    <border>
      <left style="thin">
        <color rgb="FF56BAB8"/>
      </left>
      <right style="thin">
        <color rgb="FF56BAB8"/>
      </right>
      <top style="thin">
        <color rgb="FF56BAB8"/>
      </top>
      <bottom style="thin">
        <color rgb="FF56BAB8"/>
      </bottom>
      <diagonal/>
    </border>
    <border>
      <left style="thin">
        <color rgb="FFE6D3B8"/>
      </left>
      <right style="thin">
        <color rgb="FFE6D3B8"/>
      </right>
      <top style="thin">
        <color rgb="FFE6D3B8"/>
      </top>
      <bottom style="thin">
        <color rgb="FFE6D3B8"/>
      </bottom>
      <diagonal/>
    </border>
    <border>
      <left style="thin">
        <color rgb="FFF7ECDD"/>
      </left>
      <right style="thin">
        <color rgb="FFF7ECDD"/>
      </right>
      <top style="thin">
        <color rgb="FFF7ECDD"/>
      </top>
      <bottom style="thin">
        <color rgb="FFF7ECDD"/>
      </bottom>
      <diagonal/>
    </border>
    <border>
      <left/>
      <right/>
      <top style="thin">
        <color theme="4"/>
      </top>
      <bottom/>
      <diagonal/>
    </border>
    <border>
      <left/>
      <right/>
      <top/>
      <bottom style="medium">
        <color theme="5"/>
      </bottom>
      <diagonal/>
    </border>
    <border>
      <left style="hair">
        <color rgb="FF0082B3"/>
      </left>
      <right style="hair">
        <color rgb="FF0082B3"/>
      </right>
      <top style="hair">
        <color rgb="FF0082B3"/>
      </top>
      <bottom style="hair">
        <color rgb="FF0082B3"/>
      </bottom>
      <diagonal/>
    </border>
    <border>
      <left/>
      <right/>
      <top/>
      <bottom style="medium">
        <color theme="4" tint="-0.24994659260841701"/>
      </bottom>
      <diagonal/>
    </border>
    <border>
      <left style="hair">
        <color theme="1" tint="0.24994659260841701"/>
      </left>
      <right style="hair">
        <color theme="1" tint="0.24994659260841701"/>
      </right>
      <top/>
      <bottom style="hair">
        <color theme="1" tint="0.24994659260841701"/>
      </bottom>
      <diagonal/>
    </border>
    <border>
      <left/>
      <right/>
      <top/>
      <bottom style="medium">
        <color theme="7" tint="-0.24994659260841701"/>
      </bottom>
      <diagonal/>
    </border>
    <border>
      <left style="hair">
        <color theme="1" tint="0.24994659260841701"/>
      </left>
      <right/>
      <top style="hair">
        <color theme="1" tint="0.24994659260841701"/>
      </top>
      <bottom style="hair">
        <color theme="1" tint="0.24994659260841701"/>
      </bottom>
      <diagonal/>
    </border>
    <border>
      <left/>
      <right style="hair">
        <color theme="1" tint="0.24994659260841701"/>
      </right>
      <top style="hair">
        <color theme="1" tint="0.24994659260841701"/>
      </top>
      <bottom style="hair">
        <color theme="1" tint="0.24994659260841701"/>
      </bottom>
      <diagonal/>
    </border>
  </borders>
  <cellStyleXfs count="74">
    <xf numFmtId="0" fontId="0" fillId="0" borderId="0"/>
    <xf numFmtId="167" fontId="12" fillId="0" borderId="0" applyNumberFormat="0" applyAlignment="0" applyProtection="0"/>
    <xf numFmtId="170" fontId="12" fillId="0" borderId="0" applyNumberFormat="0" applyAlignment="0" applyProtection="0"/>
    <xf numFmtId="171" fontId="1" fillId="0" borderId="0" applyFont="0" applyFill="0" applyBorder="0" applyAlignment="0" applyProtection="0"/>
    <xf numFmtId="9" fontId="12" fillId="0" borderId="0" applyNumberFormat="0" applyAlignment="0" applyProtection="0"/>
    <xf numFmtId="0" fontId="31" fillId="0" borderId="0" applyAlignment="0" applyProtection="0"/>
    <xf numFmtId="0" fontId="17" fillId="10" borderId="11" applyNumberFormat="0" applyAlignment="0" applyProtection="0"/>
    <xf numFmtId="0" fontId="18" fillId="11" borderId="12" applyNumberFormat="0" applyAlignment="0" applyProtection="0"/>
    <xf numFmtId="0" fontId="19" fillId="12" borderId="13" applyNumberFormat="0" applyAlignment="0" applyProtection="0"/>
    <xf numFmtId="0" fontId="19" fillId="13" borderId="14" applyNumberFormat="0" applyAlignment="0" applyProtection="0"/>
    <xf numFmtId="0" fontId="16" fillId="2" borderId="0" applyNumberFormat="0" applyBorder="0" applyAlignment="0" applyProtection="0"/>
    <xf numFmtId="0" fontId="8" fillId="3" borderId="0" applyNumberFormat="0" applyBorder="0" applyAlignment="0" applyProtection="0"/>
    <xf numFmtId="0" fontId="26" fillId="4" borderId="0" applyNumberFormat="0" applyBorder="0" applyAlignment="0" applyProtection="0"/>
    <xf numFmtId="0" fontId="2" fillId="5" borderId="1" applyNumberFormat="0" applyAlignment="0" applyProtection="0"/>
    <xf numFmtId="0" fontId="3" fillId="6" borderId="2" applyNumberFormat="0" applyAlignment="0" applyProtection="0"/>
    <xf numFmtId="0" fontId="4" fillId="6" borderId="1" applyNumberFormat="0" applyAlignment="0" applyProtection="0"/>
    <xf numFmtId="0" fontId="5" fillId="0" borderId="3" applyNumberFormat="0" applyFill="0" applyAlignment="0" applyProtection="0"/>
    <xf numFmtId="0" fontId="6" fillId="7" borderId="4" applyNumberFormat="0" applyAlignment="0" applyProtection="0"/>
    <xf numFmtId="164" fontId="33" fillId="0" borderId="0" applyNumberFormat="0" applyFill="0" applyBorder="0" applyAlignment="0" applyProtection="0"/>
    <xf numFmtId="0" fontId="1" fillId="8" borderId="5" applyNumberFormat="0" applyFont="0" applyAlignment="0" applyProtection="0"/>
    <xf numFmtId="164" fontId="14" fillId="0" borderId="0" applyNumberFormat="0" applyFill="0" applyBorder="0" applyAlignment="0" applyProtection="0"/>
    <xf numFmtId="0" fontId="7" fillId="0" borderId="6" applyNumberFormat="0" applyFill="0" applyAlignment="0" applyProtection="0"/>
    <xf numFmtId="164" fontId="9" fillId="0" borderId="7" applyAlignment="0"/>
    <xf numFmtId="165" fontId="9" fillId="0" borderId="7" applyAlignment="0"/>
    <xf numFmtId="166" fontId="9" fillId="0" borderId="7" applyAlignment="0"/>
    <xf numFmtId="164" fontId="9" fillId="0" borderId="8" applyNumberFormat="0" applyAlignment="0"/>
    <xf numFmtId="164" fontId="10" fillId="0" borderId="9" applyNumberFormat="0" applyAlignment="0"/>
    <xf numFmtId="0" fontId="11" fillId="0" borderId="0" applyFill="0" applyBorder="0" applyAlignment="0"/>
    <xf numFmtId="168" fontId="13" fillId="9" borderId="7" applyAlignment="0">
      <protection locked="0"/>
    </xf>
    <xf numFmtId="165" fontId="13" fillId="9" borderId="7" applyAlignment="0">
      <protection locked="0"/>
    </xf>
    <xf numFmtId="166" fontId="13" fillId="9" borderId="7" applyAlignment="0">
      <protection locked="0"/>
    </xf>
    <xf numFmtId="169" fontId="13" fillId="9" borderId="7" applyAlignment="0">
      <protection locked="0"/>
    </xf>
    <xf numFmtId="0" fontId="15" fillId="0" borderId="10" applyFill="0">
      <alignment vertical="center"/>
    </xf>
    <xf numFmtId="172" fontId="20" fillId="0" borderId="0" applyFill="0">
      <alignment horizontal="center"/>
    </xf>
    <xf numFmtId="168" fontId="13" fillId="14" borderId="7" applyAlignment="0">
      <protection locked="0"/>
    </xf>
    <xf numFmtId="165" fontId="13" fillId="14" borderId="7" applyAlignment="0">
      <protection locked="0"/>
    </xf>
    <xf numFmtId="166" fontId="13" fillId="14" borderId="7" applyAlignment="0">
      <protection locked="0"/>
    </xf>
    <xf numFmtId="169" fontId="13" fillId="14" borderId="7" applyAlignment="0">
      <protection locked="0"/>
    </xf>
    <xf numFmtId="164" fontId="21" fillId="15" borderId="7" applyAlignment="0">
      <protection locked="0"/>
    </xf>
    <xf numFmtId="0" fontId="22" fillId="0" borderId="0">
      <alignment vertical="center"/>
    </xf>
    <xf numFmtId="168" fontId="13" fillId="16" borderId="7" applyAlignment="0"/>
    <xf numFmtId="164" fontId="23" fillId="17" borderId="0">
      <alignment horizontal="center"/>
    </xf>
    <xf numFmtId="164" fontId="23" fillId="18" borderId="0">
      <alignment horizontal="center"/>
    </xf>
    <xf numFmtId="164" fontId="24" fillId="19" borderId="0">
      <alignment horizontal="center"/>
    </xf>
    <xf numFmtId="0" fontId="25" fillId="0" borderId="0"/>
    <xf numFmtId="0" fontId="27" fillId="0" borderId="0" applyNumberFormat="0" applyFill="0" applyBorder="0" applyAlignment="0"/>
    <xf numFmtId="0" fontId="21" fillId="0" borderId="0" applyNumberFormat="0" applyFill="0" applyBorder="0" applyAlignment="0"/>
    <xf numFmtId="173" fontId="9" fillId="0" borderId="0" applyFill="0" applyAlignment="0"/>
    <xf numFmtId="174" fontId="9" fillId="0" borderId="0" applyFill="0" applyAlignment="0"/>
    <xf numFmtId="175" fontId="9" fillId="0" borderId="0" applyFill="0" applyAlignment="0"/>
    <xf numFmtId="164" fontId="10" fillId="0" borderId="15" applyNumberFormat="0" applyFill="0" applyAlignment="0"/>
    <xf numFmtId="176" fontId="9" fillId="0" borderId="0" applyFill="0" applyAlignment="0"/>
    <xf numFmtId="164" fontId="10" fillId="0" borderId="6" applyNumberFormat="0" applyFill="0" applyAlignment="0"/>
    <xf numFmtId="168" fontId="28" fillId="0" borderId="7" applyAlignment="0"/>
    <xf numFmtId="165" fontId="28" fillId="0" borderId="7" applyAlignment="0"/>
    <xf numFmtId="166" fontId="28" fillId="0" borderId="7" applyAlignment="0"/>
    <xf numFmtId="168" fontId="28" fillId="0" borderId="8" applyNumberFormat="0" applyAlignment="0"/>
    <xf numFmtId="169" fontId="28" fillId="0" borderId="7" applyAlignment="0"/>
    <xf numFmtId="168" fontId="29" fillId="0" borderId="7" applyAlignment="0"/>
    <xf numFmtId="165" fontId="29" fillId="0" borderId="7" applyAlignment="0"/>
    <xf numFmtId="166" fontId="29" fillId="0" borderId="7" applyAlignment="0"/>
    <xf numFmtId="168" fontId="29" fillId="0" borderId="8" applyNumberFormat="0" applyAlignment="0"/>
    <xf numFmtId="169" fontId="29" fillId="0" borderId="7" applyAlignment="0"/>
    <xf numFmtId="0" fontId="30" fillId="0" borderId="16"/>
    <xf numFmtId="169" fontId="9" fillId="20" borderId="0" applyAlignment="0" applyProtection="0"/>
    <xf numFmtId="0" fontId="32" fillId="0" borderId="0" applyNumberFormat="0" applyFill="0" applyBorder="0">
      <alignment horizontal="center"/>
    </xf>
    <xf numFmtId="0" fontId="24" fillId="21" borderId="17" applyNumberFormat="0" applyBorder="0" applyAlignment="0" applyProtection="0"/>
    <xf numFmtId="164" fontId="9" fillId="22" borderId="7"/>
    <xf numFmtId="165" fontId="9" fillId="22" borderId="7"/>
    <xf numFmtId="164" fontId="9" fillId="22" borderId="8" applyNumberFormat="0"/>
    <xf numFmtId="164" fontId="9" fillId="22" borderId="9" applyNumberFormat="0"/>
    <xf numFmtId="0" fontId="43" fillId="23" borderId="0" applyNumberFormat="0" applyBorder="0" applyAlignment="0" applyProtection="0"/>
    <xf numFmtId="0" fontId="43" fillId="24" borderId="0" applyNumberFormat="0" applyBorder="0" applyAlignment="0" applyProtection="0"/>
    <xf numFmtId="0" fontId="46" fillId="0" borderId="0" applyNumberFormat="0" applyFill="0" applyBorder="0" applyAlignment="0" applyProtection="0"/>
  </cellStyleXfs>
  <cellXfs count="71">
    <xf numFmtId="0" fontId="0" fillId="0" borderId="0" xfId="0"/>
    <xf numFmtId="0" fontId="17" fillId="10" borderId="11" xfId="6"/>
    <xf numFmtId="0" fontId="34" fillId="0" borderId="0" xfId="0" applyFont="1"/>
    <xf numFmtId="0" fontId="35" fillId="0" borderId="0" xfId="0" applyFont="1"/>
    <xf numFmtId="0" fontId="30" fillId="0" borderId="16" xfId="63"/>
    <xf numFmtId="177" fontId="30" fillId="0" borderId="16" xfId="63" applyNumberFormat="1"/>
    <xf numFmtId="0" fontId="19" fillId="13" borderId="14" xfId="9"/>
    <xf numFmtId="0" fontId="19" fillId="13" borderId="14" xfId="9" applyAlignment="1">
      <alignment horizontal="left" indent="1"/>
    </xf>
    <xf numFmtId="0" fontId="36" fillId="10" borderId="11" xfId="6" applyFont="1" applyAlignment="1">
      <alignment horizontal="left" vertical="center" indent="1"/>
    </xf>
    <xf numFmtId="0" fontId="0" fillId="0" borderId="0" xfId="0" applyAlignment="1">
      <alignment horizontal="right"/>
    </xf>
    <xf numFmtId="0" fontId="32" fillId="0" borderId="0" xfId="0" applyFont="1"/>
    <xf numFmtId="178" fontId="13" fillId="16" borderId="7" xfId="40" applyNumberFormat="1"/>
    <xf numFmtId="179" fontId="13" fillId="16" borderId="7" xfId="40" applyNumberFormat="1"/>
    <xf numFmtId="0" fontId="25" fillId="0" borderId="0" xfId="44"/>
    <xf numFmtId="0" fontId="15" fillId="0" borderId="10" xfId="32">
      <alignment vertical="center"/>
    </xf>
    <xf numFmtId="0" fontId="37" fillId="0" borderId="0" xfId="0" applyFont="1"/>
    <xf numFmtId="0" fontId="34" fillId="0" borderId="0" xfId="0" applyFont="1" applyAlignment="1">
      <alignment horizontal="center"/>
    </xf>
    <xf numFmtId="0" fontId="39" fillId="0" borderId="0" xfId="0" applyFont="1"/>
    <xf numFmtId="0" fontId="40" fillId="0" borderId="0" xfId="0" applyFont="1"/>
    <xf numFmtId="0" fontId="41" fillId="0" borderId="0" xfId="0" applyFont="1"/>
    <xf numFmtId="0" fontId="39" fillId="0" borderId="0" xfId="27" quotePrefix="1" applyFont="1"/>
    <xf numFmtId="0" fontId="39" fillId="0" borderId="0" xfId="27" applyFont="1"/>
    <xf numFmtId="0" fontId="39" fillId="0" borderId="0" xfId="27" applyFont="1" applyAlignment="1">
      <alignment horizontal="left" indent="2"/>
    </xf>
    <xf numFmtId="0" fontId="34" fillId="0" borderId="0" xfId="0" applyFont="1" applyAlignment="1">
      <alignment horizontal="right"/>
    </xf>
    <xf numFmtId="0" fontId="38" fillId="0" borderId="0" xfId="0" applyFont="1"/>
    <xf numFmtId="0" fontId="11" fillId="0" borderId="0" xfId="0" applyFont="1"/>
    <xf numFmtId="0" fontId="42" fillId="0" borderId="0" xfId="0" applyFont="1"/>
    <xf numFmtId="9" fontId="0" fillId="0" borderId="0" xfId="0" applyNumberFormat="1"/>
    <xf numFmtId="169" fontId="13" fillId="14" borderId="7" xfId="37" applyAlignment="1">
      <alignment horizontal="center"/>
      <protection locked="0"/>
    </xf>
    <xf numFmtId="168" fontId="13" fillId="14" borderId="7" xfId="34" applyAlignment="1">
      <alignment horizontal="center"/>
      <protection locked="0"/>
    </xf>
    <xf numFmtId="169" fontId="13" fillId="14" borderId="19" xfId="37" applyBorder="1" applyAlignment="1">
      <alignment horizontal="center"/>
      <protection locked="0"/>
    </xf>
    <xf numFmtId="168" fontId="13" fillId="14" borderId="19" xfId="34" applyBorder="1" applyAlignment="1">
      <alignment horizontal="center"/>
      <protection locked="0"/>
    </xf>
    <xf numFmtId="0" fontId="6" fillId="23" borderId="18" xfId="71" applyFont="1" applyBorder="1" applyAlignment="1">
      <alignment horizontal="center"/>
    </xf>
    <xf numFmtId="169" fontId="13" fillId="14" borderId="7" xfId="37" quotePrefix="1" applyAlignment="1">
      <alignment horizontal="center"/>
      <protection locked="0"/>
    </xf>
    <xf numFmtId="164" fontId="9" fillId="0" borderId="7" xfId="22"/>
    <xf numFmtId="164" fontId="9" fillId="0" borderId="7" xfId="22" applyAlignment="1">
      <alignment horizontal="center"/>
    </xf>
    <xf numFmtId="168" fontId="28" fillId="0" borderId="7" xfId="53" applyAlignment="1">
      <alignment horizontal="center"/>
    </xf>
    <xf numFmtId="0" fontId="20" fillId="0" borderId="0" xfId="0" applyFont="1"/>
    <xf numFmtId="168" fontId="24" fillId="21" borderId="7" xfId="66" applyNumberFormat="1" applyBorder="1" applyAlignment="1">
      <alignment horizontal="center"/>
    </xf>
    <xf numFmtId="0" fontId="11" fillId="0" borderId="0" xfId="27"/>
    <xf numFmtId="169" fontId="28" fillId="0" borderId="7" xfId="57" applyAlignment="1">
      <alignment horizontal="center"/>
    </xf>
    <xf numFmtId="0" fontId="13" fillId="16" borderId="7" xfId="40" applyNumberFormat="1" applyAlignment="1">
      <alignment horizontal="center"/>
    </xf>
    <xf numFmtId="0" fontId="13" fillId="16" borderId="19" xfId="40" applyNumberFormat="1" applyBorder="1" applyAlignment="1">
      <alignment horizontal="center"/>
    </xf>
    <xf numFmtId="0" fontId="6" fillId="24" borderId="20" xfId="72" applyFont="1" applyBorder="1" applyAlignment="1">
      <alignment horizontal="center"/>
    </xf>
    <xf numFmtId="169" fontId="13" fillId="14" borderId="7" xfId="37">
      <protection locked="0"/>
    </xf>
    <xf numFmtId="164" fontId="9" fillId="0" borderId="21" xfId="22" applyBorder="1"/>
    <xf numFmtId="164" fontId="9" fillId="0" borderId="22" xfId="22" applyBorder="1"/>
    <xf numFmtId="169" fontId="13" fillId="14" borderId="7" xfId="37" quotePrefix="1">
      <protection locked="0"/>
    </xf>
    <xf numFmtId="0" fontId="25" fillId="0" borderId="0" xfId="44" applyAlignment="1">
      <alignment horizontal="right"/>
    </xf>
    <xf numFmtId="169" fontId="24" fillId="21" borderId="7" xfId="66" applyNumberFormat="1" applyBorder="1" applyAlignment="1">
      <alignment horizontal="center"/>
    </xf>
    <xf numFmtId="168" fontId="13" fillId="14" borderId="7" xfId="34">
      <protection locked="0"/>
    </xf>
    <xf numFmtId="0" fontId="25" fillId="0" borderId="0" xfId="44" applyAlignment="1">
      <alignment horizontal="center"/>
    </xf>
    <xf numFmtId="168" fontId="28" fillId="0" borderId="21" xfId="53" applyBorder="1"/>
    <xf numFmtId="168" fontId="28" fillId="0" borderId="22" xfId="53" applyBorder="1"/>
    <xf numFmtId="168" fontId="0" fillId="0" borderId="0" xfId="0" applyNumberFormat="1"/>
    <xf numFmtId="0" fontId="44" fillId="0" borderId="0" xfId="0" applyFont="1"/>
    <xf numFmtId="0" fontId="0" fillId="0" borderId="0" xfId="0" quotePrefix="1"/>
    <xf numFmtId="0" fontId="45" fillId="0" borderId="0" xfId="0" applyFont="1" applyAlignment="1">
      <alignment horizontal="center"/>
    </xf>
    <xf numFmtId="0" fontId="45" fillId="0" borderId="0" xfId="0" applyFont="1"/>
    <xf numFmtId="0" fontId="11" fillId="0" borderId="0" xfId="27" quotePrefix="1" applyAlignment="1">
      <alignment horizontal="left" indent="2"/>
    </xf>
    <xf numFmtId="0" fontId="39" fillId="0" borderId="0" xfId="27" quotePrefix="1" applyFont="1" applyAlignment="1">
      <alignment horizontal="left" indent="2"/>
    </xf>
    <xf numFmtId="0" fontId="39" fillId="0" borderId="0" xfId="27" applyFont="1" applyAlignment="1">
      <alignment horizontal="left" indent="4"/>
    </xf>
    <xf numFmtId="0" fontId="39" fillId="0" borderId="0" xfId="27" applyFont="1" applyAlignment="1">
      <alignment horizontal="left" indent="6"/>
    </xf>
    <xf numFmtId="0" fontId="39" fillId="0" borderId="0" xfId="27" applyFont="1" applyAlignment="1">
      <alignment horizontal="left" indent="8"/>
    </xf>
    <xf numFmtId="0" fontId="11" fillId="0" borderId="0" xfId="27" quotePrefix="1" applyAlignment="1">
      <alignment horizontal="left" indent="4"/>
    </xf>
    <xf numFmtId="0" fontId="39" fillId="0" borderId="0" xfId="27" applyFont="1" applyAlignment="1">
      <alignment horizontal="left" indent="10"/>
    </xf>
    <xf numFmtId="0" fontId="11" fillId="0" borderId="0" xfId="27" quotePrefix="1" applyAlignment="1">
      <alignment horizontal="left" indent="6"/>
    </xf>
    <xf numFmtId="0" fontId="0" fillId="0" borderId="0" xfId="0" applyAlignment="1">
      <alignment horizontal="left" indent="2"/>
    </xf>
    <xf numFmtId="0" fontId="46" fillId="0" borderId="0" xfId="73"/>
    <xf numFmtId="0" fontId="27" fillId="0" borderId="0" xfId="45" quotePrefix="1" applyAlignment="1">
      <alignment horizontal="left" indent="2"/>
    </xf>
    <xf numFmtId="0" fontId="27" fillId="0" borderId="0" xfId="45" quotePrefix="1" applyAlignment="1">
      <alignment horizontal="left" indent="3"/>
    </xf>
  </cellXfs>
  <cellStyles count="74">
    <cellStyle name="Accent1" xfId="71" builtinId="29"/>
    <cellStyle name="Accent4" xfId="72" builtinId="41"/>
    <cellStyle name="Bad" xfId="11" builtinId="27" customBuiltin="1"/>
    <cellStyle name="Calc - #" xfId="22" xr:uid="{C64B7BDF-5D83-4338-AB85-FF50779978DE}"/>
    <cellStyle name="Calc - %" xfId="23" xr:uid="{CEBBB8C7-E8BD-453C-9FBD-95F7F4A34F2A}"/>
    <cellStyle name="Calc - Date" xfId="24" xr:uid="{E5C878AC-26E6-4F27-B5A2-D7608E6EE57C}"/>
    <cellStyle name="Calc - SubTotal" xfId="25" xr:uid="{0307958F-3813-4468-8A6A-BBCECBEB416E}"/>
    <cellStyle name="Calc - Total" xfId="26" xr:uid="{2531FD9D-2362-4656-B39D-E8E6A4BB65A8}"/>
    <cellStyle name="Calculation" xfId="15" builtinId="22" hidden="1"/>
    <cellStyle name="Check Cell" xfId="17" builtinId="23" hidden="1"/>
    <cellStyle name="Code" xfId="27" xr:uid="{C53D16A6-1849-4794-A018-886DB66044AC}"/>
    <cellStyle name="Comma" xfId="1" builtinId="3" customBuiltin="1"/>
    <cellStyle name="Const - #" xfId="28" xr:uid="{66369D36-1B03-4E5A-BCEA-255DCF745237}"/>
    <cellStyle name="Const - %" xfId="29" xr:uid="{E89C7867-18C6-4DFF-BAA8-91770CACD14E}"/>
    <cellStyle name="Const - Date" xfId="30" xr:uid="{D79A7157-CEF3-4F16-97CE-ED5855D4EEA9}"/>
    <cellStyle name="Const - Text" xfId="31" xr:uid="{9638DEC5-B2F5-4133-AEA1-779B85CD8273}"/>
    <cellStyle name="Currency" xfId="2" builtinId="4" customBuiltin="1"/>
    <cellStyle name="Currency [0]" xfId="3" builtinId="7" customBuiltin="1"/>
    <cellStyle name="Explanatory Text" xfId="20" builtinId="53" customBuiltin="1"/>
    <cellStyle name="Footer" xfId="32" xr:uid="{98F0DB80-BF77-4FA1-BE7D-E725ACCA6FE3}"/>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73" builtinId="8"/>
    <cellStyle name="Inline Check" xfId="33" xr:uid="{FFE3C08E-1BC3-43FE-A35C-72C3FFB1EBC6}"/>
    <cellStyle name="Input" xfId="13" builtinId="20" hidden="1"/>
    <cellStyle name="Input - #" xfId="34" xr:uid="{A0EB8A38-BB83-469A-93B6-37B62BFC2896}"/>
    <cellStyle name="Input - %" xfId="35" xr:uid="{E9DF95F6-8467-4B41-B4A2-083EED4D8EA2}"/>
    <cellStyle name="Input - Date" xfId="36" xr:uid="{BDF80D03-A2A6-4B7E-B5DF-B3FBF4C7E606}"/>
    <cellStyle name="Input - Text" xfId="37" xr:uid="{FC9D695D-9007-4AEB-A8CC-6E6E22BA5C31}"/>
    <cellStyle name="Linked Cell" xfId="16" builtinId="24" hidden="1"/>
    <cellStyle name="Macro Paste" xfId="38" xr:uid="{021C5F8A-3CF5-4FA9-9719-6388EB898C6F}"/>
    <cellStyle name="Message Bar" xfId="39" xr:uid="{5C8AC46F-17BF-4CA4-9C5E-F52CCFD5B848}"/>
    <cellStyle name="Model Author Input" xfId="40" xr:uid="{A9B0413B-20B0-4A66-9C8F-46CAFEF1D27C}"/>
    <cellStyle name="Model Error" xfId="41" xr:uid="{360E570A-AC0A-4542-8078-1EF618AB0C87}"/>
    <cellStyle name="Model Input Error" xfId="42" xr:uid="{DF3FDE51-EE4A-4C4C-AB3C-9646C6FD0188}"/>
    <cellStyle name="Model Warning" xfId="43" xr:uid="{CD88E354-3D10-40A3-BD2A-5EA5A99C6C41}"/>
    <cellStyle name="Named Range" xfId="44" xr:uid="{43C03179-5530-4889-88BE-13CA93672B71}"/>
    <cellStyle name="Neutral" xfId="12" builtinId="28" customBuiltin="1"/>
    <cellStyle name="Normal" xfId="0" builtinId="0" customBuiltin="1"/>
    <cellStyle name="Note" xfId="19" builtinId="10" hidden="1"/>
    <cellStyle name="Notes" xfId="45" xr:uid="{39F238B6-DA74-41B9-9636-E81367756D63}"/>
    <cellStyle name="Notes - Alt Text" xfId="46" xr:uid="{8AAC5AD5-CE26-4FBA-8A05-5D0D56FAE054}"/>
    <cellStyle name="Output" xfId="14" builtinId="21" hidden="1"/>
    <cellStyle name="Output - #" xfId="47" xr:uid="{52B6790A-F647-4528-B255-48B47778BAD2}"/>
    <cellStyle name="Output - %" xfId="48" xr:uid="{E35D6EDA-C472-4A46-A134-5026780DE931}"/>
    <cellStyle name="Output - Date" xfId="49" xr:uid="{CA4D001B-8107-4091-B7A2-EDFFDC01C31F}"/>
    <cellStyle name="Output - SubTotal" xfId="50" xr:uid="{DBC755AB-EEA0-4421-A2BB-EB546CCE318F}"/>
    <cellStyle name="Output - Text" xfId="51" xr:uid="{D41A2C7E-577B-4A7E-90A2-EAB03CA9230A}"/>
    <cellStyle name="Output - Total" xfId="52" xr:uid="{E6B7BAD2-C028-4E83-8032-408328B52841}"/>
    <cellStyle name="Per cent" xfId="4" builtinId="5" customBuiltin="1"/>
    <cellStyle name="Ref.In - #" xfId="53" xr:uid="{AA7F7533-0733-4E43-88BA-E12173273051}"/>
    <cellStyle name="Ref.In - %" xfId="54" xr:uid="{BCA48B6F-BDC9-49A8-8A88-B36FA604D358}"/>
    <cellStyle name="Ref.In - Date" xfId="55" xr:uid="{B7854A4A-EC97-45D2-AA75-231ACE60C914}"/>
    <cellStyle name="Ref.In - SubTotal" xfId="56" xr:uid="{6A97F38D-10B9-4AC2-86B8-143929CFAEF2}"/>
    <cellStyle name="Ref.In - Text" xfId="57" xr:uid="{3B3A3309-296B-4205-8F83-A38EC0AFF3AD}"/>
    <cellStyle name="Ref.Out - #" xfId="58" xr:uid="{A0FBA094-CDCE-44C5-8DAA-1B647FFD053B}"/>
    <cellStyle name="Ref.Out - %" xfId="59" xr:uid="{23AD8D33-99B0-4B2C-AE8D-6107DF6BDCBF}"/>
    <cellStyle name="Ref.Out - Date" xfId="60" xr:uid="{1774B24F-676F-4C17-8EED-F1831B3C7664}"/>
    <cellStyle name="Ref.Out - SubTotal" xfId="61" xr:uid="{C181456D-0CB5-495E-BB0D-DAA9722894F4}"/>
    <cellStyle name="Ref.Out - Text" xfId="62" xr:uid="{1C4555C1-651E-42B5-ACB6-C888073F4139}"/>
    <cellStyle name="SubTitle" xfId="63" xr:uid="{35FFDB55-07DE-4864-8271-B790FDFEC93E}"/>
    <cellStyle name="Time Line" xfId="64" xr:uid="{67B99F2A-035D-4C47-898F-6380601A6AD4}"/>
    <cellStyle name="Title" xfId="5" builtinId="15" customBuiltin="1"/>
    <cellStyle name="Total" xfId="21" builtinId="25" hidden="1"/>
    <cellStyle name="Units Label" xfId="65" xr:uid="{D76A2C49-8FF6-41BB-A487-F23972D9181B}"/>
    <cellStyle name="Unused" xfId="66" xr:uid="{EBD4A30E-7FF3-49BE-BE22-13145A32047E}"/>
    <cellStyle name="Variance - #" xfId="67" xr:uid="{640276A0-950C-467D-83C9-EA3ACF170A00}"/>
    <cellStyle name="Variance - %" xfId="68" xr:uid="{A9566DF1-C296-4354-9FD0-F48968C59792}"/>
    <cellStyle name="Variance - SubTotal" xfId="69" xr:uid="{F5B74BBE-4067-45E9-A93F-76D842BB6997}"/>
    <cellStyle name="Variance - Total" xfId="70" xr:uid="{4B9FE50B-4295-404C-80F9-4F1C59D6B3D3}"/>
    <cellStyle name="Warning Text" xfId="18" builtinId="11" customBuiltin="1"/>
  </cellStyles>
  <dxfs count="21">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0065A8"/>
      <color rgb="FFFC6017"/>
      <color rgb="FF1E4FA8"/>
      <color rgb="FF3F9C35"/>
      <color rgb="FFB75EE1"/>
      <color rgb="FFB4B4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2</xdr:col>
      <xdr:colOff>43815</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7F3CDE7A-D47F-434F-A7D9-7B2BCBD795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8100"/>
          <a:ext cx="586740" cy="317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2</xdr:col>
      <xdr:colOff>43815</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E787022D-CC6B-40F8-8523-F94A860164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8100"/>
          <a:ext cx="609600" cy="3174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0</xdr:row>
      <xdr:rowOff>38100</xdr:rowOff>
    </xdr:from>
    <xdr:to>
      <xdr:col>2</xdr:col>
      <xdr:colOff>45720</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A977BBAA-3617-4AE2-B3E9-AE9CBF049B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38100"/>
          <a:ext cx="609600" cy="317442"/>
        </a:xfrm>
        <a:prstGeom prst="rect">
          <a:avLst/>
        </a:prstGeom>
      </xdr:spPr>
    </xdr:pic>
    <xdr:clientData/>
  </xdr:twoCellAnchor>
  <xdr:twoCellAnchor editAs="oneCell">
    <xdr:from>
      <xdr:col>2</xdr:col>
      <xdr:colOff>0</xdr:colOff>
      <xdr:row>7</xdr:row>
      <xdr:rowOff>61433</xdr:rowOff>
    </xdr:from>
    <xdr:to>
      <xdr:col>10</xdr:col>
      <xdr:colOff>470615</xdr:colOff>
      <xdr:row>15</xdr:row>
      <xdr:rowOff>45720</xdr:rowOff>
    </xdr:to>
    <xdr:pic>
      <xdr:nvPicPr>
        <xdr:cNvPr id="3" name="Picture 2">
          <a:extLst>
            <a:ext uri="{FF2B5EF4-FFF2-40B4-BE49-F238E27FC236}">
              <a16:creationId xmlns:a16="http://schemas.microsoft.com/office/drawing/2014/main" id="{7E244487-8C28-1D72-D728-68F2B19D2801}"/>
            </a:ext>
          </a:extLst>
        </xdr:cNvPr>
        <xdr:cNvPicPr>
          <a:picLocks noChangeAspect="1"/>
        </xdr:cNvPicPr>
      </xdr:nvPicPr>
      <xdr:blipFill>
        <a:blip xmlns:r="http://schemas.openxmlformats.org/officeDocument/2006/relationships" r:embed="rId2"/>
        <a:stretch>
          <a:fillRect/>
        </a:stretch>
      </xdr:blipFill>
      <xdr:spPr>
        <a:xfrm>
          <a:off x="594360" y="1524473"/>
          <a:ext cx="5347415" cy="1386367"/>
        </a:xfrm>
        <a:prstGeom prst="rect">
          <a:avLst/>
        </a:prstGeom>
      </xdr:spPr>
    </xdr:pic>
    <xdr:clientData/>
  </xdr:twoCellAnchor>
  <xdr:twoCellAnchor editAs="oneCell">
    <xdr:from>
      <xdr:col>2</xdr:col>
      <xdr:colOff>0</xdr:colOff>
      <xdr:row>64</xdr:row>
      <xdr:rowOff>53340</xdr:rowOff>
    </xdr:from>
    <xdr:to>
      <xdr:col>8</xdr:col>
      <xdr:colOff>99584</xdr:colOff>
      <xdr:row>68</xdr:row>
      <xdr:rowOff>114406</xdr:rowOff>
    </xdr:to>
    <xdr:pic>
      <xdr:nvPicPr>
        <xdr:cNvPr id="11" name="Picture 10">
          <a:extLst>
            <a:ext uri="{FF2B5EF4-FFF2-40B4-BE49-F238E27FC236}">
              <a16:creationId xmlns:a16="http://schemas.microsoft.com/office/drawing/2014/main" id="{43E4D976-5F92-AFA1-1F39-29BB3E07F101}"/>
            </a:ext>
          </a:extLst>
        </xdr:cNvPr>
        <xdr:cNvPicPr>
          <a:picLocks noChangeAspect="1"/>
        </xdr:cNvPicPr>
      </xdr:nvPicPr>
      <xdr:blipFill>
        <a:blip xmlns:r="http://schemas.openxmlformats.org/officeDocument/2006/relationships" r:embed="rId3"/>
        <a:stretch>
          <a:fillRect/>
        </a:stretch>
      </xdr:blipFill>
      <xdr:spPr>
        <a:xfrm>
          <a:off x="594360" y="11506200"/>
          <a:ext cx="3757184" cy="762106"/>
        </a:xfrm>
        <a:prstGeom prst="rect">
          <a:avLst/>
        </a:prstGeom>
      </xdr:spPr>
    </xdr:pic>
    <xdr:clientData/>
  </xdr:twoCellAnchor>
  <xdr:twoCellAnchor editAs="oneCell">
    <xdr:from>
      <xdr:col>2</xdr:col>
      <xdr:colOff>0</xdr:colOff>
      <xdr:row>40</xdr:row>
      <xdr:rowOff>38100</xdr:rowOff>
    </xdr:from>
    <xdr:to>
      <xdr:col>17</xdr:col>
      <xdr:colOff>458540</xdr:colOff>
      <xdr:row>62</xdr:row>
      <xdr:rowOff>23396</xdr:rowOff>
    </xdr:to>
    <xdr:pic>
      <xdr:nvPicPr>
        <xdr:cNvPr id="16" name="Picture 15">
          <a:extLst>
            <a:ext uri="{FF2B5EF4-FFF2-40B4-BE49-F238E27FC236}">
              <a16:creationId xmlns:a16="http://schemas.microsoft.com/office/drawing/2014/main" id="{9CBF6746-4C3C-023E-ACF7-4C3131D00B13}"/>
            </a:ext>
          </a:extLst>
        </xdr:cNvPr>
        <xdr:cNvPicPr>
          <a:picLocks noChangeAspect="1"/>
        </xdr:cNvPicPr>
      </xdr:nvPicPr>
      <xdr:blipFill>
        <a:blip xmlns:r="http://schemas.openxmlformats.org/officeDocument/2006/relationships" r:embed="rId4"/>
        <a:stretch>
          <a:fillRect/>
        </a:stretch>
      </xdr:blipFill>
      <xdr:spPr>
        <a:xfrm>
          <a:off x="594360" y="7284720"/>
          <a:ext cx="9602540" cy="3841016"/>
        </a:xfrm>
        <a:prstGeom prst="rect">
          <a:avLst/>
        </a:prstGeom>
      </xdr:spPr>
    </xdr:pic>
    <xdr:clientData/>
  </xdr:twoCellAnchor>
  <xdr:twoCellAnchor editAs="oneCell">
    <xdr:from>
      <xdr:col>2</xdr:col>
      <xdr:colOff>0</xdr:colOff>
      <xdr:row>17</xdr:row>
      <xdr:rowOff>45720</xdr:rowOff>
    </xdr:from>
    <xdr:to>
      <xdr:col>8</xdr:col>
      <xdr:colOff>518743</xdr:colOff>
      <xdr:row>36</xdr:row>
      <xdr:rowOff>23322</xdr:rowOff>
    </xdr:to>
    <xdr:pic>
      <xdr:nvPicPr>
        <xdr:cNvPr id="17" name="Picture 16">
          <a:extLst>
            <a:ext uri="{FF2B5EF4-FFF2-40B4-BE49-F238E27FC236}">
              <a16:creationId xmlns:a16="http://schemas.microsoft.com/office/drawing/2014/main" id="{39BECE4F-E567-82CB-FAC5-A0B27A5C1836}"/>
            </a:ext>
          </a:extLst>
        </xdr:cNvPr>
        <xdr:cNvPicPr>
          <a:picLocks noChangeAspect="1"/>
        </xdr:cNvPicPr>
      </xdr:nvPicPr>
      <xdr:blipFill>
        <a:blip xmlns:r="http://schemas.openxmlformats.org/officeDocument/2006/relationships" r:embed="rId5"/>
        <a:stretch>
          <a:fillRect/>
        </a:stretch>
      </xdr:blipFill>
      <xdr:spPr>
        <a:xfrm>
          <a:off x="594360" y="3261360"/>
          <a:ext cx="4176343" cy="33075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2</xdr:col>
      <xdr:colOff>43815</xdr:colOff>
      <xdr:row>0</xdr:row>
      <xdr:rowOff>355542</xdr:rowOff>
    </xdr:to>
    <xdr:pic>
      <xdr:nvPicPr>
        <xdr:cNvPr id="2" name="Picture 1" descr="A black and white logo&#10;&#10;AI-generated content may be incorrect.">
          <a:extLst>
            <a:ext uri="{FF2B5EF4-FFF2-40B4-BE49-F238E27FC236}">
              <a16:creationId xmlns:a16="http://schemas.microsoft.com/office/drawing/2014/main" id="{A0428F03-0FBE-44E1-B338-6AF52DAFCE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8100"/>
          <a:ext cx="586740" cy="317442"/>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0</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RXL Custom Theme">
  <a:themeElements>
    <a:clrScheme name="RXL Custom Theme">
      <a:dk1>
        <a:srgbClr val="002138"/>
      </a:dk1>
      <a:lt1>
        <a:sysClr val="window" lastClr="FFFFFF"/>
      </a:lt1>
      <a:dk2>
        <a:srgbClr val="002138"/>
      </a:dk2>
      <a:lt2>
        <a:srgbClr val="F8F8F8"/>
      </a:lt2>
      <a:accent1>
        <a:srgbClr val="198B83"/>
      </a:accent1>
      <a:accent2>
        <a:srgbClr val="56BAB8"/>
      </a:accent2>
      <a:accent3>
        <a:srgbClr val="FC6017"/>
      </a:accent3>
      <a:accent4>
        <a:srgbClr val="F88D24"/>
      </a:accent4>
      <a:accent5>
        <a:srgbClr val="E6D3B8"/>
      </a:accent5>
      <a:accent6>
        <a:srgbClr val="FF4F4F"/>
      </a:accent6>
      <a:hlink>
        <a:srgbClr val="467886"/>
      </a:hlink>
      <a:folHlink>
        <a:srgbClr val="96607D"/>
      </a:folHlink>
    </a:clrScheme>
    <a:fontScheme name="RXL Custom Them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3"/>
        </a:solidFill>
        <a:ln w="28575">
          <a:solidFill>
            <a:schemeClr val="accent3">
              <a:lumMod val="75000"/>
            </a:schemeClr>
          </a:solidFill>
        </a:ln>
        <a:effectLst>
          <a:outerShdw blurRad="50800" dist="38100" dir="5400000" algn="t" rotWithShape="0">
            <a:prstClr val="black">
              <a:alpha val="40000"/>
            </a:prstClr>
          </a:outerShdw>
        </a:effectLst>
      </a:spPr>
      <a:bodyPr vertOverflow="clip" horzOverflow="clip" rtlCol="0" anchor="ctr"/>
      <a:lstStyle>
        <a:defPPr algn="ctr">
          <a:defRPr sz="1200" kern="1200">
            <a:solidFill>
              <a:schemeClr val="bg1"/>
            </a:solidFill>
            <a:latin typeface="+mj-lt"/>
            <a:cs typeface="Arial" panose="020B0604020202020204" pitchFamily="34" charset="0"/>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9429836-5A60-4192-BADA-6EE2D7C68DD4}">
  <we:reference id="wa200003696" version="1.3.0.0" store="en-GB" storeType="OMEX"/>
  <we:alternateReferences>
    <we:reference id="WA200003696" version="1.3.0.0" store="" storeType="OMEX"/>
  </we:alternateReferences>
  <we:properties>
    <we:property name="projectV0_1-56c6e055-265e-4713-816e-a646dbb708de" value="{&quot;kind&quot;:&quot;AFEJSONBlobNode&quot;,&quot;id&quot;:&quot;{EB9E9688-738C-4B11-983D-49107423D7A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gist.github.com/r-silk/a84eaeb12f21fa2487d416f2fd3f99a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881E1-CEBE-4C36-A0CC-2661DF707597}">
  <sheetPr codeName="Sheet1"/>
  <dimension ref="B1:T1050"/>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19" s="1" customFormat="1" ht="30" customHeight="1" x14ac:dyDescent="0.3">
      <c r="C1" s="8" t="s">
        <v>109</v>
      </c>
    </row>
    <row r="3" spans="2:19" x14ac:dyDescent="0.3">
      <c r="B3" s="3" t="s">
        <v>1</v>
      </c>
    </row>
    <row r="4" spans="2:19" x14ac:dyDescent="0.3">
      <c r="C4" t="s">
        <v>71</v>
      </c>
    </row>
    <row r="5" spans="2:19" x14ac:dyDescent="0.3">
      <c r="C5" t="s">
        <v>330</v>
      </c>
    </row>
    <row r="6" spans="2:19" x14ac:dyDescent="0.3">
      <c r="C6" t="s">
        <v>72</v>
      </c>
    </row>
    <row r="7" spans="2:19" x14ac:dyDescent="0.3">
      <c r="C7" t="s">
        <v>73</v>
      </c>
    </row>
    <row r="8" spans="2:19" x14ac:dyDescent="0.3">
      <c r="C8" t="s">
        <v>309</v>
      </c>
    </row>
    <row r="10" spans="2:19" x14ac:dyDescent="0.3">
      <c r="B10" s="3" t="s">
        <v>0</v>
      </c>
    </row>
    <row r="11" spans="2:19" ht="14.4" thickBot="1" x14ac:dyDescent="0.35">
      <c r="C11" s="32" t="s">
        <v>76</v>
      </c>
      <c r="D11" s="32" t="s">
        <v>9</v>
      </c>
      <c r="E11" s="32" t="s">
        <v>10</v>
      </c>
      <c r="G11" s="32" t="s">
        <v>76</v>
      </c>
      <c r="H11" s="32" t="s">
        <v>106</v>
      </c>
      <c r="I11" s="32" t="s">
        <v>116</v>
      </c>
      <c r="K11" s="32" t="s">
        <v>76</v>
      </c>
      <c r="L11" s="32" t="s">
        <v>9</v>
      </c>
      <c r="M11" s="32" t="s">
        <v>10</v>
      </c>
      <c r="N11" s="32" t="s">
        <v>11</v>
      </c>
      <c r="P11" s="32" t="s">
        <v>76</v>
      </c>
      <c r="Q11" s="32" t="s">
        <v>106</v>
      </c>
      <c r="R11" s="32" t="s">
        <v>116</v>
      </c>
      <c r="S11" s="32" t="s">
        <v>117</v>
      </c>
    </row>
    <row r="12" spans="2:19" x14ac:dyDescent="0.3">
      <c r="C12" s="30" t="s">
        <v>86</v>
      </c>
      <c r="D12" s="30" t="s">
        <v>77</v>
      </c>
      <c r="E12" s="31">
        <v>1</v>
      </c>
      <c r="G12" s="30" t="s">
        <v>88</v>
      </c>
      <c r="H12" s="29">
        <v>33</v>
      </c>
      <c r="I12" s="30" t="s">
        <v>120</v>
      </c>
      <c r="K12" s="30" t="s">
        <v>86</v>
      </c>
      <c r="L12" s="30" t="s">
        <v>77</v>
      </c>
      <c r="M12" s="31">
        <v>1</v>
      </c>
      <c r="N12" s="28" t="s">
        <v>97</v>
      </c>
      <c r="P12" s="30" t="s">
        <v>94</v>
      </c>
      <c r="Q12" s="29">
        <v>9</v>
      </c>
      <c r="R12" s="28" t="s">
        <v>105</v>
      </c>
      <c r="S12" s="28" t="s">
        <v>127</v>
      </c>
    </row>
    <row r="13" spans="2:19" x14ac:dyDescent="0.3">
      <c r="C13" s="28" t="s">
        <v>87</v>
      </c>
      <c r="D13" s="28" t="s">
        <v>78</v>
      </c>
      <c r="E13" s="29">
        <v>2</v>
      </c>
      <c r="G13" s="28" t="s">
        <v>91</v>
      </c>
      <c r="H13" s="29">
        <v>66</v>
      </c>
      <c r="I13" s="28" t="s">
        <v>123</v>
      </c>
      <c r="K13" s="28" t="s">
        <v>87</v>
      </c>
      <c r="L13" s="28" t="s">
        <v>78</v>
      </c>
      <c r="M13" s="29">
        <v>2</v>
      </c>
      <c r="N13" s="28" t="s">
        <v>98</v>
      </c>
      <c r="P13" s="30" t="s">
        <v>92</v>
      </c>
      <c r="Q13" s="29">
        <v>7</v>
      </c>
      <c r="R13" s="28" t="s">
        <v>103</v>
      </c>
      <c r="S13" s="28" t="s">
        <v>128</v>
      </c>
    </row>
    <row r="14" spans="2:19" x14ac:dyDescent="0.3">
      <c r="C14" s="28" t="s">
        <v>88</v>
      </c>
      <c r="D14" s="28" t="s">
        <v>79</v>
      </c>
      <c r="E14" s="29">
        <v>3</v>
      </c>
      <c r="G14" s="28" t="s">
        <v>89</v>
      </c>
      <c r="H14" s="29">
        <v>44</v>
      </c>
      <c r="I14" s="28" t="s">
        <v>121</v>
      </c>
      <c r="K14" s="28" t="s">
        <v>88</v>
      </c>
      <c r="L14" s="28" t="s">
        <v>79</v>
      </c>
      <c r="M14" s="29">
        <v>3</v>
      </c>
      <c r="N14" s="28" t="s">
        <v>99</v>
      </c>
      <c r="P14" s="30" t="s">
        <v>95</v>
      </c>
      <c r="Q14" s="29">
        <v>10</v>
      </c>
      <c r="R14" s="28" t="s">
        <v>20</v>
      </c>
      <c r="S14" s="28" t="s">
        <v>129</v>
      </c>
    </row>
    <row r="15" spans="2:19" x14ac:dyDescent="0.3">
      <c r="C15" s="28" t="s">
        <v>89</v>
      </c>
      <c r="D15" s="28" t="s">
        <v>80</v>
      </c>
      <c r="E15" s="29">
        <v>4</v>
      </c>
      <c r="G15" s="28" t="s">
        <v>92</v>
      </c>
      <c r="H15" s="29">
        <v>77</v>
      </c>
      <c r="I15" s="28" t="s">
        <v>124</v>
      </c>
      <c r="K15" s="28" t="s">
        <v>89</v>
      </c>
      <c r="L15" s="28" t="s">
        <v>80</v>
      </c>
      <c r="M15" s="29">
        <v>4</v>
      </c>
      <c r="N15" s="28" t="s">
        <v>100</v>
      </c>
      <c r="P15" s="30" t="s">
        <v>87</v>
      </c>
      <c r="Q15" s="29">
        <v>2</v>
      </c>
      <c r="R15" s="28" t="s">
        <v>98</v>
      </c>
      <c r="S15" s="28" t="s">
        <v>130</v>
      </c>
    </row>
    <row r="16" spans="2:19" x14ac:dyDescent="0.3">
      <c r="C16" s="28" t="s">
        <v>90</v>
      </c>
      <c r="D16" s="28" t="s">
        <v>81</v>
      </c>
      <c r="E16" s="29">
        <v>5</v>
      </c>
      <c r="G16" s="28" t="s">
        <v>86</v>
      </c>
      <c r="H16" s="29">
        <v>11</v>
      </c>
      <c r="I16" s="28" t="s">
        <v>118</v>
      </c>
      <c r="K16" s="28" t="s">
        <v>90</v>
      </c>
      <c r="L16" s="28" t="s">
        <v>81</v>
      </c>
      <c r="M16" s="29">
        <v>5</v>
      </c>
      <c r="N16" s="28" t="s">
        <v>101</v>
      </c>
      <c r="P16" s="30" t="s">
        <v>89</v>
      </c>
      <c r="Q16" s="29">
        <v>4</v>
      </c>
      <c r="R16" s="28" t="s">
        <v>100</v>
      </c>
      <c r="S16" s="28" t="s">
        <v>131</v>
      </c>
    </row>
    <row r="17" spans="2:20" x14ac:dyDescent="0.3">
      <c r="C17" s="28" t="s">
        <v>91</v>
      </c>
      <c r="D17" s="28" t="s">
        <v>82</v>
      </c>
      <c r="E17" s="29">
        <v>6</v>
      </c>
      <c r="G17" s="28" t="s">
        <v>87</v>
      </c>
      <c r="H17" s="29">
        <v>22</v>
      </c>
      <c r="I17" s="28" t="s">
        <v>119</v>
      </c>
      <c r="K17" s="28" t="s">
        <v>91</v>
      </c>
      <c r="L17" s="28" t="s">
        <v>82</v>
      </c>
      <c r="M17" s="29">
        <v>6</v>
      </c>
      <c r="N17" s="28" t="s">
        <v>102</v>
      </c>
      <c r="P17" s="30" t="s">
        <v>93</v>
      </c>
      <c r="Q17" s="29">
        <v>8</v>
      </c>
      <c r="R17" s="28" t="s">
        <v>104</v>
      </c>
      <c r="S17" s="28" t="s">
        <v>132</v>
      </c>
    </row>
    <row r="18" spans="2:20" x14ac:dyDescent="0.3">
      <c r="C18" s="28" t="s">
        <v>92</v>
      </c>
      <c r="D18" s="28" t="s">
        <v>83</v>
      </c>
      <c r="E18" s="29">
        <v>7</v>
      </c>
      <c r="G18" s="28" t="s">
        <v>93</v>
      </c>
      <c r="H18" s="29">
        <v>88</v>
      </c>
      <c r="I18" s="28" t="s">
        <v>125</v>
      </c>
      <c r="K18" s="28" t="s">
        <v>92</v>
      </c>
      <c r="L18" s="28" t="s">
        <v>83</v>
      </c>
      <c r="M18" s="29">
        <v>7</v>
      </c>
      <c r="N18" s="28" t="s">
        <v>103</v>
      </c>
      <c r="P18" s="30" t="s">
        <v>115</v>
      </c>
      <c r="Q18" s="29">
        <v>12</v>
      </c>
      <c r="R18" s="28" t="s">
        <v>353</v>
      </c>
      <c r="S18" s="33" t="s">
        <v>133</v>
      </c>
    </row>
    <row r="19" spans="2:20" x14ac:dyDescent="0.3">
      <c r="C19" s="28" t="s">
        <v>93</v>
      </c>
      <c r="D19" s="28" t="s">
        <v>84</v>
      </c>
      <c r="E19" s="29">
        <v>8</v>
      </c>
      <c r="G19" s="28" t="s">
        <v>90</v>
      </c>
      <c r="H19" s="29">
        <v>55</v>
      </c>
      <c r="I19" s="28" t="s">
        <v>122</v>
      </c>
      <c r="K19" s="28" t="s">
        <v>93</v>
      </c>
      <c r="L19" s="28" t="s">
        <v>84</v>
      </c>
      <c r="M19" s="29">
        <v>8</v>
      </c>
      <c r="N19" s="28" t="s">
        <v>104</v>
      </c>
      <c r="P19" s="30" t="s">
        <v>86</v>
      </c>
      <c r="Q19" s="29">
        <v>1</v>
      </c>
      <c r="R19" s="28" t="s">
        <v>97</v>
      </c>
      <c r="S19" s="28" t="s">
        <v>126</v>
      </c>
    </row>
    <row r="20" spans="2:20" x14ac:dyDescent="0.3">
      <c r="K20" s="28" t="s">
        <v>94</v>
      </c>
      <c r="L20" s="28" t="s">
        <v>85</v>
      </c>
      <c r="M20" s="29">
        <v>9</v>
      </c>
      <c r="N20" s="28" t="s">
        <v>105</v>
      </c>
      <c r="P20" s="30" t="s">
        <v>91</v>
      </c>
      <c r="Q20" s="29">
        <v>6</v>
      </c>
      <c r="R20" s="28" t="s">
        <v>102</v>
      </c>
      <c r="S20" s="28" t="s">
        <v>134</v>
      </c>
    </row>
    <row r="21" spans="2:20" x14ac:dyDescent="0.3">
      <c r="K21" s="28" t="s">
        <v>95</v>
      </c>
      <c r="L21" s="28" t="s">
        <v>96</v>
      </c>
      <c r="M21" s="29">
        <v>10</v>
      </c>
      <c r="N21" s="28" t="s">
        <v>20</v>
      </c>
      <c r="P21" s="30" t="s">
        <v>114</v>
      </c>
      <c r="Q21" s="29">
        <v>11</v>
      </c>
      <c r="R21" s="28" t="s">
        <v>395</v>
      </c>
      <c r="S21" s="33" t="s">
        <v>135</v>
      </c>
    </row>
    <row r="23" spans="2:20" s="4" customFormat="1" ht="16.2" thickBot="1" x14ac:dyDescent="0.35">
      <c r="B23" s="5">
        <f xml:space="preserve"> MAX(B$1:B22) + 1</f>
        <v>1</v>
      </c>
      <c r="C23" s="4" t="s">
        <v>2</v>
      </c>
    </row>
    <row r="25" spans="2:20" x14ac:dyDescent="0.3">
      <c r="B25" s="7" t="s">
        <v>140</v>
      </c>
      <c r="C25" s="6"/>
      <c r="D25" s="6"/>
      <c r="E25" s="6"/>
      <c r="F25" s="6"/>
      <c r="G25" s="6"/>
      <c r="H25" s="6"/>
      <c r="I25" s="6"/>
      <c r="J25" s="6"/>
      <c r="K25" s="6"/>
      <c r="L25" s="6"/>
      <c r="M25" s="6"/>
      <c r="N25" s="6"/>
      <c r="O25" s="6"/>
      <c r="P25" s="6"/>
      <c r="Q25" s="6"/>
      <c r="R25" s="6"/>
      <c r="S25" s="6"/>
      <c r="T25" s="6"/>
    </row>
    <row r="27" spans="2:20" x14ac:dyDescent="0.3">
      <c r="C27" s="15" t="s">
        <v>7</v>
      </c>
    </row>
    <row r="28" spans="2:20" x14ac:dyDescent="0.3">
      <c r="C28" t="s">
        <v>74</v>
      </c>
    </row>
    <row r="29" spans="2:20" x14ac:dyDescent="0.3">
      <c r="C29" t="s">
        <v>75</v>
      </c>
    </row>
    <row r="30" spans="2:20" x14ac:dyDescent="0.3">
      <c r="C30" t="s">
        <v>332</v>
      </c>
    </row>
    <row r="31" spans="2:20" x14ac:dyDescent="0.3">
      <c r="C31" t="s">
        <v>331</v>
      </c>
    </row>
    <row r="34" spans="2:12" x14ac:dyDescent="0.3">
      <c r="B34" s="16" t="str" cm="1">
        <f t="array" ref="B34" xml:space="preserve"> "(" &amp; _xlfn.UNICHAR( 65 + SUMPRODUCT(--(_xlfn.REGEXTEST(B$1:B33, "^\([A-Z]\)$")))) &amp; ")"</f>
        <v>(A)</v>
      </c>
      <c r="C34" s="2" t="s">
        <v>136</v>
      </c>
    </row>
    <row r="35" spans="2:12" x14ac:dyDescent="0.3">
      <c r="C35" s="2" t="s">
        <v>162</v>
      </c>
    </row>
    <row r="36" spans="2:12" x14ac:dyDescent="0.3">
      <c r="C36" s="51" t="s">
        <v>17</v>
      </c>
      <c r="E36" s="51" t="s">
        <v>16</v>
      </c>
      <c r="G36" t="s">
        <v>138</v>
      </c>
      <c r="I36" t="s">
        <v>139</v>
      </c>
    </row>
    <row r="37" spans="2:12" ht="14.4" thickBot="1" x14ac:dyDescent="0.35">
      <c r="C37" s="32" t="s">
        <v>76</v>
      </c>
      <c r="E37" s="32" t="s">
        <v>76</v>
      </c>
      <c r="G37" s="32" t="s">
        <v>137</v>
      </c>
      <c r="I37" s="32" t="s">
        <v>76</v>
      </c>
      <c r="J37" s="32" t="s">
        <v>106</v>
      </c>
      <c r="K37" s="32" t="s">
        <v>116</v>
      </c>
    </row>
    <row r="38" spans="2:12" x14ac:dyDescent="0.3">
      <c r="C38" s="36" t="str" cm="1">
        <f t="array" ref="C38:C45" xml:space="preserve"> $C$12:$C$19</f>
        <v>X-001</v>
      </c>
      <c r="D38" s="37">
        <v>1</v>
      </c>
      <c r="E38" s="36" t="str" cm="1">
        <f t="array" ref="E38:E45" xml:space="preserve"> $G$12:$G$19</f>
        <v>X-003</v>
      </c>
      <c r="G38" s="34" cm="1">
        <f t="array" ref="G38:G45" xml:space="preserve"> _xlfn.LET(
  _xlpm._arr1, $C$12:$E$19,
  _xlpm._arr2, $G$12:$I$19,
  _xlpm._idx1, 1,
  _xlpm._idx2, 1,
  _xlpm._uId1, _xlfn.CHOOSECOLS(_xlpm._arr1, _xlpm._idx1),
  _xlpm._uId2, _xlfn.CHOOSECOLS(_xlpm._arr2, _xlpm._idx2),
  _xlpm._mtch, _xlfn.DROP(_xlfn.REDUCE(0, _xlpm._uId1, _xlfn.LAMBDA(_xlpm._acc,_xlpm._val, _xlfn.VSTACK(_xlpm._acc, _xlfn.IFNA(MATCH(_xlpm._val, _xlpm._uId2, 0), 0)))), 1),
  _xlpm._mtch
)</f>
        <v>5</v>
      </c>
      <c r="I38" s="35" t="str" cm="1">
        <f t="array" ref="I38:K45" xml:space="preserve"> IF(_xlfn.ANCHORARRAY(G38) &gt; 0, INDEX($G$12:$I$19,_xlfn.ANCHORARRAY( G38), _xlfn.SEQUENCE(1, COLUMNS($G$12:$I$19))), NA())</f>
        <v>X-001</v>
      </c>
      <c r="J38" s="35">
        <v>11</v>
      </c>
      <c r="K38" s="35" t="str">
        <v>!!!</v>
      </c>
      <c r="L38" s="39" t="str">
        <f ca="1" xml:space="preserve"> _xlfn.FORMULATEXT(I38)</f>
        <v>= IF(G38# &gt; 0, INDEX($G$12:$I$19, G38#, SEQUENCE(1, COLUMNS($G$12:$I$19))), NA())</v>
      </c>
    </row>
    <row r="39" spans="2:12" x14ac:dyDescent="0.3">
      <c r="C39" s="36" t="str">
        <v>X-002</v>
      </c>
      <c r="D39" s="37">
        <v>2</v>
      </c>
      <c r="E39" s="36" t="str">
        <v>X-006</v>
      </c>
      <c r="G39" s="34">
        <v>6</v>
      </c>
      <c r="I39" s="35" t="str">
        <v>X-002</v>
      </c>
      <c r="J39" s="35">
        <v>22</v>
      </c>
      <c r="K39" s="35" t="str">
        <v>"""</v>
      </c>
    </row>
    <row r="40" spans="2:12" x14ac:dyDescent="0.3">
      <c r="C40" s="36" t="str">
        <v>X-003</v>
      </c>
      <c r="D40" s="37">
        <v>3</v>
      </c>
      <c r="E40" s="36" t="str">
        <v>X-004</v>
      </c>
      <c r="G40" s="34">
        <v>1</v>
      </c>
      <c r="I40" s="35" t="str">
        <v>X-003</v>
      </c>
      <c r="J40" s="35">
        <v>33</v>
      </c>
      <c r="K40" s="35" t="str">
        <v>£££</v>
      </c>
    </row>
    <row r="41" spans="2:12" x14ac:dyDescent="0.3">
      <c r="C41" s="36" t="str">
        <v>X-004</v>
      </c>
      <c r="D41" s="37">
        <v>4</v>
      </c>
      <c r="E41" s="36" t="str">
        <v>X-007</v>
      </c>
      <c r="G41" s="34">
        <v>3</v>
      </c>
      <c r="I41" s="35" t="str">
        <v>X-004</v>
      </c>
      <c r="J41" s="35">
        <v>44</v>
      </c>
      <c r="K41" s="35" t="str">
        <v>$$$</v>
      </c>
    </row>
    <row r="42" spans="2:12" x14ac:dyDescent="0.3">
      <c r="C42" s="36" t="str">
        <v>X-005</v>
      </c>
      <c r="D42" s="37">
        <v>5</v>
      </c>
      <c r="E42" s="36" t="str">
        <v>X-001</v>
      </c>
      <c r="G42" s="34">
        <v>8</v>
      </c>
      <c r="I42" s="35" t="str">
        <v>X-005</v>
      </c>
      <c r="J42" s="35">
        <v>55</v>
      </c>
      <c r="K42" s="35" t="str">
        <v>%%%</v>
      </c>
    </row>
    <row r="43" spans="2:12" x14ac:dyDescent="0.3">
      <c r="C43" s="36" t="str">
        <v>X-006</v>
      </c>
      <c r="D43" s="37">
        <v>6</v>
      </c>
      <c r="E43" s="36" t="str">
        <v>X-002</v>
      </c>
      <c r="G43" s="34">
        <v>2</v>
      </c>
      <c r="I43" s="35" t="str">
        <v>X-006</v>
      </c>
      <c r="J43" s="35">
        <v>66</v>
      </c>
      <c r="K43" s="35" t="str">
        <v>^^^</v>
      </c>
    </row>
    <row r="44" spans="2:12" x14ac:dyDescent="0.3">
      <c r="C44" s="36" t="str">
        <v>X-007</v>
      </c>
      <c r="D44" s="37">
        <v>7</v>
      </c>
      <c r="E44" s="36" t="str">
        <v>X-008</v>
      </c>
      <c r="G44" s="34">
        <v>4</v>
      </c>
      <c r="I44" s="35" t="str">
        <v>X-007</v>
      </c>
      <c r="J44" s="35">
        <v>77</v>
      </c>
      <c r="K44" s="35" t="str">
        <v>&amp;&amp;&amp;</v>
      </c>
    </row>
    <row r="45" spans="2:12" x14ac:dyDescent="0.3">
      <c r="C45" s="36" t="str">
        <v>X-008</v>
      </c>
      <c r="D45" s="37">
        <v>8</v>
      </c>
      <c r="E45" s="36" t="str">
        <v>X-005</v>
      </c>
      <c r="G45" s="34">
        <v>7</v>
      </c>
      <c r="I45" s="35" t="str">
        <v>X-008</v>
      </c>
      <c r="J45" s="35">
        <v>88</v>
      </c>
      <c r="K45" s="35" t="str">
        <v>***</v>
      </c>
    </row>
    <row r="46" spans="2:12" x14ac:dyDescent="0.3">
      <c r="G46" s="39" t="str" cm="1">
        <f t="array" aca="1" ref="G46:G55" ca="1" xml:space="preserve"> _xlfn.TEXTSPLIT( _xlfn.FORMULATEXT(G38), , CHAR(10))</f>
        <v>= LET(</v>
      </c>
    </row>
    <row r="47" spans="2:12" x14ac:dyDescent="0.3">
      <c r="G47" s="39" t="str">
        <f ca="1"/>
        <v xml:space="preserve">  _arr1, $C$12:$E$19,</v>
      </c>
    </row>
    <row r="48" spans="2:12" x14ac:dyDescent="0.3">
      <c r="G48" s="39" t="str">
        <f ca="1"/>
        <v xml:space="preserve">  _arr2, $G$12:$I$19,</v>
      </c>
    </row>
    <row r="49" spans="2:12" x14ac:dyDescent="0.3">
      <c r="G49" s="39" t="str">
        <f ca="1"/>
        <v xml:space="preserve">  _idx1, 1,</v>
      </c>
    </row>
    <row r="50" spans="2:12" x14ac:dyDescent="0.3">
      <c r="G50" s="39" t="str">
        <f ca="1"/>
        <v xml:space="preserve">  _idx2, 1,</v>
      </c>
    </row>
    <row r="51" spans="2:12" x14ac:dyDescent="0.3">
      <c r="G51" s="39" t="str">
        <f ca="1"/>
        <v xml:space="preserve">  _uId1, CHOOSECOLS(_arr1, _idx1),</v>
      </c>
    </row>
    <row r="52" spans="2:12" x14ac:dyDescent="0.3">
      <c r="G52" s="39" t="str">
        <f ca="1"/>
        <v xml:space="preserve">  _uId2, CHOOSECOLS(_arr2, _idx2),</v>
      </c>
    </row>
    <row r="53" spans="2:12" x14ac:dyDescent="0.3">
      <c r="G53" s="39" t="str">
        <f ca="1"/>
        <v xml:space="preserve">  _mtch, DROP(REDUCE(0, _uId1, LAMBDA(_acc,_val, VSTACK(_acc, IFNA(MATCH(_val, _uId2, 0), 0)))), 1),</v>
      </c>
    </row>
    <row r="54" spans="2:12" x14ac:dyDescent="0.3">
      <c r="G54" s="39" t="str">
        <f ca="1"/>
        <v xml:space="preserve">  _mtch</v>
      </c>
    </row>
    <row r="55" spans="2:12" x14ac:dyDescent="0.3">
      <c r="G55" s="39" t="str">
        <f ca="1"/>
        <v>)</v>
      </c>
    </row>
    <row r="57" spans="2:12" x14ac:dyDescent="0.3">
      <c r="B57" s="16" t="str" cm="1">
        <f t="array" ref="B57" xml:space="preserve"> "(" &amp; _xlfn.UNICHAR( 65 + SUMPRODUCT(--(_xlfn.REGEXTEST(B$1:B56, "^\([A-Z]\)$")))) &amp; ")"</f>
        <v>(B)</v>
      </c>
      <c r="C57" s="2" t="s">
        <v>136</v>
      </c>
    </row>
    <row r="58" spans="2:12" x14ac:dyDescent="0.3">
      <c r="C58" s="2" t="s">
        <v>161</v>
      </c>
    </row>
    <row r="59" spans="2:12" x14ac:dyDescent="0.3">
      <c r="C59" s="51" t="s">
        <v>17</v>
      </c>
      <c r="E59" s="51" t="s">
        <v>16</v>
      </c>
      <c r="G59" t="s">
        <v>138</v>
      </c>
      <c r="I59" t="s">
        <v>139</v>
      </c>
    </row>
    <row r="60" spans="2:12" ht="14.4" thickBot="1" x14ac:dyDescent="0.35">
      <c r="C60" s="32" t="s">
        <v>76</v>
      </c>
      <c r="E60" s="32" t="s">
        <v>76</v>
      </c>
      <c r="G60" s="32" t="s">
        <v>137</v>
      </c>
      <c r="I60" s="32" t="s">
        <v>76</v>
      </c>
      <c r="J60" s="32" t="s">
        <v>106</v>
      </c>
      <c r="K60" s="32" t="s">
        <v>116</v>
      </c>
    </row>
    <row r="61" spans="2:12" x14ac:dyDescent="0.3">
      <c r="C61" s="36" t="str" cm="1">
        <f t="array" ref="C61:C68" xml:space="preserve"> $C$12:$C$19</f>
        <v>X-001</v>
      </c>
      <c r="D61" s="37">
        <v>1</v>
      </c>
      <c r="E61" s="36" t="str" cm="1">
        <f t="array" ref="E61:E66" xml:space="preserve"> $G$12:$G$17</f>
        <v>X-003</v>
      </c>
      <c r="G61" s="34" cm="1">
        <f t="array" ref="G61:G68" xml:space="preserve"> _xlfn.LET(
  _xlpm._arr1, $C$12:$E$19,
  _xlpm._arr2, $G$12:$I$17,
  _xlpm._idx1, 1,
  _xlpm._idx2, 1,
  _xlpm._uId1, _xlfn.CHOOSECOLS(_xlpm._arr1, _xlpm._idx1),
  _xlpm._uId2, _xlfn.CHOOSECOLS(_xlpm._arr2, _xlpm._idx2),
  _xlpm._mtch, _xlfn.DROP(_xlfn.REDUCE(0, _xlpm._uId1, _xlfn.LAMBDA(_xlpm._acc,_xlpm._val, _xlfn.VSTACK(_xlpm._acc, _xlfn.IFNA(MATCH(_xlpm._val, _xlpm._uId2, 0), 0)))), 1),
  _xlpm._mtch
)</f>
        <v>5</v>
      </c>
      <c r="I61" s="35" t="str" cm="1">
        <f t="array" ref="I61:K68" xml:space="preserve"> IF(_xlfn.ANCHORARRAY(G61) &gt; 0, INDEX($G$12:$I$19,_xlfn.ANCHORARRAY( G61), _xlfn.SEQUENCE(1, COLUMNS($G$12:$I$19))), NA())</f>
        <v>X-001</v>
      </c>
      <c r="J61" s="35">
        <v>11</v>
      </c>
      <c r="K61" s="35" t="str">
        <v>!!!</v>
      </c>
      <c r="L61" s="39" t="str">
        <f ca="1" xml:space="preserve"> _xlfn.FORMULATEXT(I61)</f>
        <v>= IF(G61# &gt; 0, INDEX($G$12:$I$19, G61#, SEQUENCE(1, COLUMNS($G$12:$I$19))), NA())</v>
      </c>
    </row>
    <row r="62" spans="2:12" x14ac:dyDescent="0.3">
      <c r="C62" s="36" t="str">
        <v>X-002</v>
      </c>
      <c r="D62" s="37">
        <v>2</v>
      </c>
      <c r="E62" s="36" t="str">
        <v>X-006</v>
      </c>
      <c r="G62" s="34">
        <v>6</v>
      </c>
      <c r="I62" s="35" t="str">
        <v>X-002</v>
      </c>
      <c r="J62" s="35">
        <v>22</v>
      </c>
      <c r="K62" s="35" t="str">
        <v>"""</v>
      </c>
    </row>
    <row r="63" spans="2:12" x14ac:dyDescent="0.3">
      <c r="C63" s="36" t="str">
        <v>X-003</v>
      </c>
      <c r="D63" s="37">
        <v>3</v>
      </c>
      <c r="E63" s="36" t="str">
        <v>X-004</v>
      </c>
      <c r="G63" s="34">
        <v>1</v>
      </c>
      <c r="I63" s="35" t="str">
        <v>X-003</v>
      </c>
      <c r="J63" s="35">
        <v>33</v>
      </c>
      <c r="K63" s="35" t="str">
        <v>£££</v>
      </c>
    </row>
    <row r="64" spans="2:12" x14ac:dyDescent="0.3">
      <c r="C64" s="36" t="str">
        <v>X-004</v>
      </c>
      <c r="D64" s="37">
        <v>4</v>
      </c>
      <c r="E64" s="36" t="str">
        <v>X-007</v>
      </c>
      <c r="G64" s="34">
        <v>3</v>
      </c>
      <c r="I64" s="35" t="str">
        <v>X-004</v>
      </c>
      <c r="J64" s="35">
        <v>44</v>
      </c>
      <c r="K64" s="35" t="str">
        <v>$$$</v>
      </c>
    </row>
    <row r="65" spans="2:11" x14ac:dyDescent="0.3">
      <c r="C65" s="36" t="str">
        <v>X-005</v>
      </c>
      <c r="D65" s="37">
        <v>5</v>
      </c>
      <c r="E65" s="36" t="str">
        <v>X-001</v>
      </c>
      <c r="G65" s="34">
        <v>0</v>
      </c>
      <c r="I65" s="35" t="e">
        <v>#N/A</v>
      </c>
      <c r="J65" s="35" t="e">
        <v>#N/A</v>
      </c>
      <c r="K65" s="35" t="e">
        <v>#N/A</v>
      </c>
    </row>
    <row r="66" spans="2:11" x14ac:dyDescent="0.3">
      <c r="C66" s="36" t="str">
        <v>X-006</v>
      </c>
      <c r="D66" s="37">
        <v>6</v>
      </c>
      <c r="E66" s="36" t="str">
        <v>X-002</v>
      </c>
      <c r="G66" s="34">
        <v>2</v>
      </c>
      <c r="I66" s="35" t="str">
        <v>X-006</v>
      </c>
      <c r="J66" s="35">
        <v>66</v>
      </c>
      <c r="K66" s="35" t="str">
        <v>^^^</v>
      </c>
    </row>
    <row r="67" spans="2:11" x14ac:dyDescent="0.3">
      <c r="C67" s="36" t="str">
        <v>X-007</v>
      </c>
      <c r="E67" s="38"/>
      <c r="G67" s="34">
        <v>4</v>
      </c>
      <c r="I67" s="35" t="str">
        <v>X-007</v>
      </c>
      <c r="J67" s="35">
        <v>77</v>
      </c>
      <c r="K67" s="35" t="str">
        <v>&amp;&amp;&amp;</v>
      </c>
    </row>
    <row r="68" spans="2:11" x14ac:dyDescent="0.3">
      <c r="C68" s="36" t="str">
        <v>X-008</v>
      </c>
      <c r="E68" s="38"/>
      <c r="G68" s="34">
        <v>0</v>
      </c>
      <c r="I68" s="35" t="e">
        <v>#N/A</v>
      </c>
      <c r="J68" s="35" t="e">
        <v>#N/A</v>
      </c>
      <c r="K68" s="35" t="e">
        <v>#N/A</v>
      </c>
    </row>
    <row r="69" spans="2:11" x14ac:dyDescent="0.3">
      <c r="G69" s="39" t="str" cm="1">
        <f t="array" aca="1" ref="G69:G78" ca="1" xml:space="preserve"> _xlfn.TEXTSPLIT( _xlfn.FORMULATEXT(G61), , CHAR(10))</f>
        <v>= LET(</v>
      </c>
    </row>
    <row r="70" spans="2:11" x14ac:dyDescent="0.3">
      <c r="G70" s="39" t="str">
        <f ca="1"/>
        <v xml:space="preserve">  _arr1, $C$12:$E$19,</v>
      </c>
    </row>
    <row r="71" spans="2:11" x14ac:dyDescent="0.3">
      <c r="G71" s="39" t="str">
        <f ca="1"/>
        <v xml:space="preserve">  _arr2, $G$12:$I$17,</v>
      </c>
    </row>
    <row r="72" spans="2:11" x14ac:dyDescent="0.3">
      <c r="G72" s="39" t="str">
        <f ca="1"/>
        <v xml:space="preserve">  _idx1, 1,</v>
      </c>
    </row>
    <row r="73" spans="2:11" x14ac:dyDescent="0.3">
      <c r="G73" s="39" t="str">
        <f ca="1"/>
        <v xml:space="preserve">  _idx2, 1,</v>
      </c>
    </row>
    <row r="74" spans="2:11" x14ac:dyDescent="0.3">
      <c r="G74" s="39" t="str">
        <f ca="1"/>
        <v xml:space="preserve">  _uId1, CHOOSECOLS(_arr1, _idx1),</v>
      </c>
    </row>
    <row r="75" spans="2:11" x14ac:dyDescent="0.3">
      <c r="G75" s="39" t="str">
        <f ca="1"/>
        <v xml:space="preserve">  _uId2, CHOOSECOLS(_arr2, _idx2),</v>
      </c>
    </row>
    <row r="76" spans="2:11" x14ac:dyDescent="0.3">
      <c r="G76" s="39" t="str">
        <f ca="1"/>
        <v xml:space="preserve">  _mtch, DROP(REDUCE(0, _uId1, LAMBDA(_acc,_val, VSTACK(_acc, IFNA(MATCH(_val, _uId2, 0), 0)))), 1),</v>
      </c>
    </row>
    <row r="77" spans="2:11" x14ac:dyDescent="0.3">
      <c r="G77" s="39" t="str">
        <f ca="1"/>
        <v xml:space="preserve">  _mtch</v>
      </c>
    </row>
    <row r="78" spans="2:11" x14ac:dyDescent="0.3">
      <c r="G78" s="39" t="str">
        <f ca="1"/>
        <v>)</v>
      </c>
    </row>
    <row r="80" spans="2:11" x14ac:dyDescent="0.3">
      <c r="B80" s="16" t="str" cm="1">
        <f t="array" ref="B80" xml:space="preserve"> "(" &amp; _xlfn.UNICHAR( 65 + SUMPRODUCT(--(_xlfn.REGEXTEST(B$1:B79, "^\([A-Z]\)$")))) &amp; ")"</f>
        <v>(C)</v>
      </c>
      <c r="C80" s="2" t="s">
        <v>141</v>
      </c>
    </row>
    <row r="81" spans="3:12" x14ac:dyDescent="0.3">
      <c r="C81" s="2" t="s">
        <v>161</v>
      </c>
    </row>
    <row r="82" spans="3:12" x14ac:dyDescent="0.3">
      <c r="C82" s="51" t="s">
        <v>17</v>
      </c>
      <c r="E82" s="51" t="s">
        <v>16</v>
      </c>
      <c r="G82" t="s">
        <v>138</v>
      </c>
    </row>
    <row r="83" spans="3:12" ht="14.4" thickBot="1" x14ac:dyDescent="0.35">
      <c r="C83" s="32" t="s">
        <v>76</v>
      </c>
      <c r="E83" s="32" t="s">
        <v>76</v>
      </c>
      <c r="G83" s="32" t="s">
        <v>76</v>
      </c>
      <c r="H83" s="32" t="s">
        <v>9</v>
      </c>
      <c r="I83" s="32" t="s">
        <v>10</v>
      </c>
      <c r="J83" s="32" t="s">
        <v>76</v>
      </c>
      <c r="K83" s="32" t="s">
        <v>106</v>
      </c>
      <c r="L83" s="32" t="s">
        <v>116</v>
      </c>
    </row>
    <row r="84" spans="3:12" x14ac:dyDescent="0.3">
      <c r="C84" s="36" t="str" cm="1">
        <f t="array" ref="C84:C91" xml:space="preserve"> $C$12:$C$19</f>
        <v>X-001</v>
      </c>
      <c r="D84" s="37">
        <v>1</v>
      </c>
      <c r="E84" s="36" t="str" cm="1">
        <f t="array" ref="E84:E89" xml:space="preserve"> $G$12:$G$17</f>
        <v>X-003</v>
      </c>
      <c r="G84" s="35" t="str" cm="1">
        <f t="array" ref="G84:L91" xml:space="preserve"> _xlfn.LET(
  _xlpm._arr1, $C$12:$E$19,
  _xlpm._arr2, $G$12:$I$17,
  _xlpm._idx1, 1,
  _xlpm._idx2, 1,
  _xlpm._uId1, _xlfn.CHOOSECOLS(_xlpm._arr1, _xlpm._idx1),
  _xlpm._uId2, _xlfn.CHOOSECOLS(_xlpm._arr2, _xlpm._idx2),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_xlpm._arrC, _xlfn.HSTACK(_xlpm._arr1, _xlpm._arrN),
  _xlpm._arrC
)</f>
        <v>X-001</v>
      </c>
      <c r="H84" s="35" t="str">
        <v>AAA</v>
      </c>
      <c r="I84" s="35">
        <v>1</v>
      </c>
      <c r="J84" s="35" t="str">
        <v>X-001</v>
      </c>
      <c r="K84" s="35">
        <v>11</v>
      </c>
      <c r="L84" s="35" t="str">
        <v>!!!</v>
      </c>
    </row>
    <row r="85" spans="3:12" x14ac:dyDescent="0.3">
      <c r="C85" s="36" t="str">
        <v>X-002</v>
      </c>
      <c r="D85" s="37">
        <v>2</v>
      </c>
      <c r="E85" s="36" t="str">
        <v>X-006</v>
      </c>
      <c r="G85" s="35" t="str">
        <v>X-002</v>
      </c>
      <c r="H85" s="35" t="str">
        <v>BBB</v>
      </c>
      <c r="I85" s="35">
        <v>2</v>
      </c>
      <c r="J85" s="35" t="str">
        <v>X-002</v>
      </c>
      <c r="K85" s="35">
        <v>22</v>
      </c>
      <c r="L85" s="35" t="str">
        <v>"""</v>
      </c>
    </row>
    <row r="86" spans="3:12" x14ac:dyDescent="0.3">
      <c r="C86" s="36" t="str">
        <v>X-003</v>
      </c>
      <c r="D86" s="37">
        <v>3</v>
      </c>
      <c r="E86" s="36" t="str">
        <v>X-004</v>
      </c>
      <c r="G86" s="35" t="str">
        <v>X-003</v>
      </c>
      <c r="H86" s="35" t="str">
        <v>CCC</v>
      </c>
      <c r="I86" s="35">
        <v>3</v>
      </c>
      <c r="J86" s="35" t="str">
        <v>X-003</v>
      </c>
      <c r="K86" s="35">
        <v>33</v>
      </c>
      <c r="L86" s="35" t="str">
        <v>£££</v>
      </c>
    </row>
    <row r="87" spans="3:12" x14ac:dyDescent="0.3">
      <c r="C87" s="36" t="str">
        <v>X-004</v>
      </c>
      <c r="D87" s="37">
        <v>4</v>
      </c>
      <c r="E87" s="36" t="str">
        <v>X-007</v>
      </c>
      <c r="G87" s="35" t="str">
        <v>X-004</v>
      </c>
      <c r="H87" s="35" t="str">
        <v>DDD</v>
      </c>
      <c r="I87" s="35">
        <v>4</v>
      </c>
      <c r="J87" s="35" t="str">
        <v>X-004</v>
      </c>
      <c r="K87" s="35">
        <v>44</v>
      </c>
      <c r="L87" s="35" t="str">
        <v>$$$</v>
      </c>
    </row>
    <row r="88" spans="3:12" x14ac:dyDescent="0.3">
      <c r="C88" s="36" t="str">
        <v>X-005</v>
      </c>
      <c r="D88" s="37">
        <v>5</v>
      </c>
      <c r="E88" s="36" t="str">
        <v>X-001</v>
      </c>
      <c r="G88" s="35" t="str">
        <v>X-005</v>
      </c>
      <c r="H88" s="35" t="str">
        <v>EEE</v>
      </c>
      <c r="I88" s="35">
        <v>5</v>
      </c>
      <c r="J88" s="35" t="e">
        <v>#N/A</v>
      </c>
      <c r="K88" s="35" t="e">
        <v>#N/A</v>
      </c>
      <c r="L88" s="35" t="e">
        <v>#N/A</v>
      </c>
    </row>
    <row r="89" spans="3:12" x14ac:dyDescent="0.3">
      <c r="C89" s="36" t="str">
        <v>X-006</v>
      </c>
      <c r="D89" s="37">
        <v>6</v>
      </c>
      <c r="E89" s="36" t="str">
        <v>X-002</v>
      </c>
      <c r="G89" s="35" t="str">
        <v>X-006</v>
      </c>
      <c r="H89" s="35" t="str">
        <v>FFF</v>
      </c>
      <c r="I89" s="35">
        <v>6</v>
      </c>
      <c r="J89" s="35" t="str">
        <v>X-006</v>
      </c>
      <c r="K89" s="35">
        <v>66</v>
      </c>
      <c r="L89" s="35" t="str">
        <v>^^^</v>
      </c>
    </row>
    <row r="90" spans="3:12" x14ac:dyDescent="0.3">
      <c r="C90" s="36" t="str">
        <v>X-007</v>
      </c>
      <c r="E90" s="38"/>
      <c r="G90" s="35" t="str">
        <v>X-007</v>
      </c>
      <c r="H90" s="35" t="str">
        <v>GGG</v>
      </c>
      <c r="I90" s="35">
        <v>7</v>
      </c>
      <c r="J90" s="35" t="str">
        <v>X-007</v>
      </c>
      <c r="K90" s="35">
        <v>77</v>
      </c>
      <c r="L90" s="35" t="str">
        <v>&amp;&amp;&amp;</v>
      </c>
    </row>
    <row r="91" spans="3:12" x14ac:dyDescent="0.3">
      <c r="C91" s="36" t="str">
        <v>X-008</v>
      </c>
      <c r="E91" s="38"/>
      <c r="G91" s="35" t="str">
        <v>X-008</v>
      </c>
      <c r="H91" s="35" t="str">
        <v>HHH</v>
      </c>
      <c r="I91" s="35">
        <v>8</v>
      </c>
      <c r="J91" s="35" t="e">
        <v>#N/A</v>
      </c>
      <c r="K91" s="35" t="e">
        <v>#N/A</v>
      </c>
      <c r="L91" s="35" t="e">
        <v>#N/A</v>
      </c>
    </row>
    <row r="92" spans="3:12" x14ac:dyDescent="0.3">
      <c r="G92" s="39" t="str" cm="1">
        <f t="array" aca="1" ref="G92:G105" ca="1" xml:space="preserve"> _xlfn.TEXTSPLIT( _xlfn.FORMULATEXT(G84), , CHAR(10))</f>
        <v>= LET(</v>
      </c>
    </row>
    <row r="93" spans="3:12" x14ac:dyDescent="0.3">
      <c r="G93" s="39" t="str">
        <f ca="1"/>
        <v xml:space="preserve">  _arr1, $C$12:$E$19,</v>
      </c>
    </row>
    <row r="94" spans="3:12" x14ac:dyDescent="0.3">
      <c r="G94" s="39" t="str">
        <f ca="1"/>
        <v xml:space="preserve">  _arr2, $G$12:$I$17,</v>
      </c>
    </row>
    <row r="95" spans="3:12" x14ac:dyDescent="0.3">
      <c r="G95" s="39" t="str">
        <f ca="1"/>
        <v xml:space="preserve">  _idx1, 1,</v>
      </c>
    </row>
    <row r="96" spans="3:12" x14ac:dyDescent="0.3">
      <c r="G96" s="39" t="str">
        <f ca="1"/>
        <v xml:space="preserve">  _idx2, 1,</v>
      </c>
    </row>
    <row r="97" spans="2:13" x14ac:dyDescent="0.3">
      <c r="G97" s="39" t="str">
        <f ca="1"/>
        <v xml:space="preserve">  _uId1, CHOOSECOLS(_arr1, _idx1),</v>
      </c>
    </row>
    <row r="98" spans="2:13" x14ac:dyDescent="0.3">
      <c r="G98" s="39" t="str">
        <f ca="1"/>
        <v xml:space="preserve">  _uId2, CHOOSECOLS(_arr2, _idx2),</v>
      </c>
    </row>
    <row r="99" spans="2:13" x14ac:dyDescent="0.3">
      <c r="G99" s="39" t="str">
        <f ca="1"/>
        <v xml:space="preserve">  _cc2, COLUMNS(_arr2),</v>
      </c>
    </row>
    <row r="100" spans="2:13" x14ac:dyDescent="0.3">
      <c r="G100" s="39" t="str">
        <f ca="1"/>
        <v xml:space="preserve">  _mtch, DROP(REDUCE(0, _uId1, LAMBDA(_acc,_val, VSTACK(_acc, IFNA(MATCH(_val, _uId2, 0), 0)))), 1),</v>
      </c>
    </row>
    <row r="101" spans="2:13" x14ac:dyDescent="0.3">
      <c r="G101" s="39" t="str">
        <f ca="1"/>
        <v xml:space="preserve">  _blnk, MAKEARRAY(1, _cc2, LAMBDA(_r,_c, NA())),</v>
      </c>
    </row>
    <row r="102" spans="2:13" x14ac:dyDescent="0.3">
      <c r="G102" s="39" t="str">
        <f ca="1"/>
        <v xml:space="preserve">  _arrN, DROP(REDUCE(0, _mtch, LAMBDA(_acc,_val, VSTACK(_acc, IF(_val = 0, _blnk, INDEX(_arr2, _val, SEQUENCE(1, _cc2)))))), 1),</v>
      </c>
    </row>
    <row r="103" spans="2:13" x14ac:dyDescent="0.3">
      <c r="G103" s="39" t="str">
        <f ca="1"/>
        <v xml:space="preserve">  _arrC, HSTACK(_arr1, _arrN),</v>
      </c>
    </row>
    <row r="104" spans="2:13" x14ac:dyDescent="0.3">
      <c r="G104" s="39" t="str">
        <f ca="1"/>
        <v xml:space="preserve">  _arrC</v>
      </c>
    </row>
    <row r="105" spans="2:13" x14ac:dyDescent="0.3">
      <c r="G105" s="39" t="str">
        <f ca="1"/>
        <v>)</v>
      </c>
    </row>
    <row r="107" spans="2:13" x14ac:dyDescent="0.3">
      <c r="B107" s="16" t="str" cm="1">
        <f t="array" ref="B107" xml:space="preserve"> "(" &amp; _xlfn.UNICHAR( 65 + SUMPRODUCT(--(_xlfn.REGEXTEST(B$1:B106, "^\([A-Z]\)$")))) &amp; ")"</f>
        <v>(D)</v>
      </c>
      <c r="C107" s="2" t="s">
        <v>333</v>
      </c>
    </row>
    <row r="108" spans="2:13" x14ac:dyDescent="0.3">
      <c r="C108" s="2" t="s">
        <v>163</v>
      </c>
    </row>
    <row r="109" spans="2:13" x14ac:dyDescent="0.3">
      <c r="C109" s="51" t="s">
        <v>17</v>
      </c>
      <c r="E109" s="51" t="s">
        <v>16</v>
      </c>
      <c r="G109" t="s">
        <v>138</v>
      </c>
    </row>
    <row r="110" spans="2:13" ht="14.4" thickBot="1" x14ac:dyDescent="0.35">
      <c r="C110" s="32" t="s">
        <v>76</v>
      </c>
      <c r="E110" s="32" t="s">
        <v>76</v>
      </c>
      <c r="G110" s="32" t="s">
        <v>137</v>
      </c>
      <c r="H110" s="32" t="s">
        <v>142</v>
      </c>
      <c r="J110" s="32" t="s">
        <v>137</v>
      </c>
      <c r="K110" s="32" t="s">
        <v>144</v>
      </c>
      <c r="L110" s="32" t="s">
        <v>143</v>
      </c>
    </row>
    <row r="111" spans="2:13" x14ac:dyDescent="0.3">
      <c r="C111" s="40" t="str" cm="1">
        <f t="array" ref="C111:C120" xml:space="preserve"> $K$12:$K$21</f>
        <v>X-001</v>
      </c>
      <c r="D111" s="37">
        <v>1</v>
      </c>
      <c r="E111" s="40" t="str" cm="1">
        <f t="array" ref="E111:E120" xml:space="preserve"> $P$12:$P$21</f>
        <v>X-009</v>
      </c>
      <c r="G111" s="34" cm="1">
        <f t="array" ref="G111:H120" xml:space="preserve"> _xlfn.LET(
  _xlpm._arr1, $K$12:$N$21,
  _xlpm._arr2, $P$12:$S$21,
  _xlpm._idx1, 1,
  _xlpm._idx2, 1,
  _xlpm._uId1, _xlfn.CHOOSECOLS(_xlpm._arr1, _xlpm._idx1),
  _xlpm._uId2, _xlfn.CHOOSECOLS(_xlpm._arr2, _xlpm._idx2),
  _xlpm._mtch, _xlfn.DROP(_xlfn.REDUCE(0, _xlpm._uId1, _xlfn.LAMBDA(_xlpm._acc,_xlpm._val, _xlfn.VSTACK(_xlpm._acc, _xlfn.IFNA(MATCH(_xlpm._val, _xlpm._uId2, 0), 0)))), 1),
  _xlpm._ltFr, IF(_xlpm._mtch = 0, 1, 0),
  _xlfn.HSTACK(_xlpm._mtch, _xlpm._ltFr)
)</f>
        <v>8</v>
      </c>
      <c r="H111" s="34">
        <v>0</v>
      </c>
      <c r="J111" s="34" cm="1">
        <f t="array" ref="J111:L120" xml:space="preserve"> _xlfn.LET(
  _xlpm._arr1, $K$12:$N$21,
  _xlpm._arr2, $P$12:$S$21,
  _xlpm._idx1, 1,
  _xlpm._idx2, 1,
  _xlpm._uId1, _xlfn.CHOOSECOLS(_xlpm._arr1, _xlpm._idx1),
  _xlpm._uId2, _xlfn.CHOOSECOLS(_xlpm._arr2, _xlpm._idx2),
  _xlpm._mtch, _xlfn.DROP(_xlfn.REDUCE(0, _xlpm._uId1, _xlfn.LAMBDA(_xlpm._acc,_xlpm._val, _xlfn.VSTACK(_xlpm._acc, _xlfn.IFNA(MATCH(_xlpm._val, _xlpm._uId2, 0), 0)))), 1),
  _xlpm._arrS, _xlfn.SEQUENCE( ROWS(_xlpm._arr2), 1),
  _xlpm._rtFr, _xlfn.SCAN(0, _xlpm._arrS, _xlfn.LAMBDA(_xlpm._acc,_xlpm._val, IF( ISNA(MATCH(_xlpm._val, _xlpm._mtch, 0)), 1, 0))),
  _xlfn.HSTACK(_xlpm._mtch, _xlpm._arrS, _xlpm._rtFr)
)</f>
        <v>8</v>
      </c>
      <c r="K111" s="34">
        <v>1</v>
      </c>
      <c r="L111" s="34">
        <v>0</v>
      </c>
      <c r="M111" s="39" t="str" cm="1">
        <f t="array" aca="1" ref="M111:M122" ca="1" xml:space="preserve"> _xlfn.TEXTSPLIT( _xlfn.FORMULATEXT(J111), , CHAR(10))</f>
        <v>= LET(</v>
      </c>
    </row>
    <row r="112" spans="2:13" x14ac:dyDescent="0.3">
      <c r="C112" s="40" t="str">
        <v>X-002</v>
      </c>
      <c r="D112" s="37">
        <v>2</v>
      </c>
      <c r="E112" s="40" t="str">
        <v>X-007</v>
      </c>
      <c r="G112" s="34">
        <v>4</v>
      </c>
      <c r="H112" s="34">
        <v>0</v>
      </c>
      <c r="J112" s="34">
        <v>4</v>
      </c>
      <c r="K112" s="34">
        <v>2</v>
      </c>
      <c r="L112" s="34">
        <v>0</v>
      </c>
      <c r="M112" s="39" t="str">
        <f ca="1"/>
        <v xml:space="preserve">  _arr1, $K$12:$N$21,</v>
      </c>
    </row>
    <row r="113" spans="3:13" x14ac:dyDescent="0.3">
      <c r="C113" s="40" t="str">
        <v>X-003</v>
      </c>
      <c r="D113" s="37">
        <v>3</v>
      </c>
      <c r="E113" s="40" t="str">
        <v>X-010</v>
      </c>
      <c r="G113" s="34">
        <v>0</v>
      </c>
      <c r="H113" s="34">
        <v>1</v>
      </c>
      <c r="J113" s="34">
        <v>0</v>
      </c>
      <c r="K113" s="34">
        <v>3</v>
      </c>
      <c r="L113" s="34">
        <v>0</v>
      </c>
      <c r="M113" s="39" t="str">
        <f ca="1"/>
        <v xml:space="preserve">  _arr2, $P$12:$S$21,</v>
      </c>
    </row>
    <row r="114" spans="3:13" x14ac:dyDescent="0.3">
      <c r="C114" s="40" t="str">
        <v>X-004</v>
      </c>
      <c r="D114" s="37">
        <v>4</v>
      </c>
      <c r="E114" s="40" t="str">
        <v>X-002</v>
      </c>
      <c r="G114" s="34">
        <v>5</v>
      </c>
      <c r="H114" s="34">
        <v>0</v>
      </c>
      <c r="J114" s="34">
        <v>5</v>
      </c>
      <c r="K114" s="34">
        <v>4</v>
      </c>
      <c r="L114" s="34">
        <v>0</v>
      </c>
      <c r="M114" s="39" t="str">
        <f ca="1"/>
        <v xml:space="preserve">  _idx1, 1,</v>
      </c>
    </row>
    <row r="115" spans="3:13" x14ac:dyDescent="0.3">
      <c r="C115" s="40" t="str">
        <v>X-005</v>
      </c>
      <c r="D115" s="37">
        <v>5</v>
      </c>
      <c r="E115" s="40" t="str">
        <v>X-004</v>
      </c>
      <c r="G115" s="34">
        <v>0</v>
      </c>
      <c r="H115" s="34">
        <v>1</v>
      </c>
      <c r="J115" s="34">
        <v>0</v>
      </c>
      <c r="K115" s="34">
        <v>5</v>
      </c>
      <c r="L115" s="34">
        <v>0</v>
      </c>
      <c r="M115" s="39" t="str">
        <f ca="1"/>
        <v xml:space="preserve">  _idx2, 1,</v>
      </c>
    </row>
    <row r="116" spans="3:13" x14ac:dyDescent="0.3">
      <c r="C116" s="40" t="str">
        <v>X-006</v>
      </c>
      <c r="D116" s="37">
        <v>6</v>
      </c>
      <c r="E116" s="40" t="str">
        <v>X-008</v>
      </c>
      <c r="G116" s="34">
        <v>9</v>
      </c>
      <c r="H116" s="34">
        <v>0</v>
      </c>
      <c r="J116" s="34">
        <v>9</v>
      </c>
      <c r="K116" s="34">
        <v>6</v>
      </c>
      <c r="L116" s="34">
        <v>0</v>
      </c>
      <c r="M116" s="39" t="str">
        <f ca="1"/>
        <v xml:space="preserve">  _uId1, CHOOSECOLS(_arr1, _idx1),</v>
      </c>
    </row>
    <row r="117" spans="3:13" x14ac:dyDescent="0.3">
      <c r="C117" s="40" t="str">
        <v>X-007</v>
      </c>
      <c r="D117" s="37">
        <v>7</v>
      </c>
      <c r="E117" s="40" t="str">
        <v>X-012</v>
      </c>
      <c r="G117" s="34">
        <v>2</v>
      </c>
      <c r="H117" s="34">
        <v>0</v>
      </c>
      <c r="J117" s="34">
        <v>2</v>
      </c>
      <c r="K117" s="34">
        <v>7</v>
      </c>
      <c r="L117" s="34">
        <v>1</v>
      </c>
      <c r="M117" s="39" t="str">
        <f ca="1"/>
        <v xml:space="preserve">  _uId2, CHOOSECOLS(_arr2, _idx2),</v>
      </c>
    </row>
    <row r="118" spans="3:13" x14ac:dyDescent="0.3">
      <c r="C118" s="40" t="str">
        <v>X-008</v>
      </c>
      <c r="D118" s="37">
        <v>8</v>
      </c>
      <c r="E118" s="40" t="str">
        <v>X-001</v>
      </c>
      <c r="G118" s="34">
        <v>6</v>
      </c>
      <c r="H118" s="34">
        <v>0</v>
      </c>
      <c r="J118" s="34">
        <v>6</v>
      </c>
      <c r="K118" s="34">
        <v>8</v>
      </c>
      <c r="L118" s="34">
        <v>0</v>
      </c>
      <c r="M118" s="39" t="str">
        <f ca="1"/>
        <v xml:space="preserve">  _mtch, DROP(REDUCE(0, _uId1, LAMBDA(_acc,_val, VSTACK(_acc, IFNA(MATCH(_val, _uId2, 0), 0)))), 1),</v>
      </c>
    </row>
    <row r="119" spans="3:13" x14ac:dyDescent="0.3">
      <c r="C119" s="40" t="str">
        <v>X-009</v>
      </c>
      <c r="D119" s="37">
        <v>9</v>
      </c>
      <c r="E119" s="40" t="str">
        <v>X-006</v>
      </c>
      <c r="G119" s="34">
        <v>1</v>
      </c>
      <c r="H119" s="34">
        <v>0</v>
      </c>
      <c r="J119" s="34">
        <v>1</v>
      </c>
      <c r="K119" s="34">
        <v>9</v>
      </c>
      <c r="L119" s="34">
        <v>0</v>
      </c>
      <c r="M119" s="39" t="str">
        <f ca="1"/>
        <v xml:space="preserve">  _arrS, SEQUENCE( ROWS(_arr2), 1),</v>
      </c>
    </row>
    <row r="120" spans="3:13" x14ac:dyDescent="0.3">
      <c r="C120" s="40" t="str">
        <v>X-010</v>
      </c>
      <c r="D120" s="37">
        <v>10</v>
      </c>
      <c r="E120" s="40" t="str">
        <v>X-011</v>
      </c>
      <c r="G120" s="34">
        <v>3</v>
      </c>
      <c r="H120" s="34">
        <v>0</v>
      </c>
      <c r="J120" s="34">
        <v>3</v>
      </c>
      <c r="K120" s="34">
        <v>10</v>
      </c>
      <c r="L120" s="34">
        <v>1</v>
      </c>
      <c r="M120" s="39" t="str">
        <f ca="1"/>
        <v xml:space="preserve">  _rtFr, SCAN(0, _arrS, LAMBDA(_acc,_val, IF( ISNA(MATCH(_val, _mtch, 0)), 1, 0))),</v>
      </c>
    </row>
    <row r="121" spans="3:13" x14ac:dyDescent="0.3">
      <c r="G121" s="39" t="str" cm="1">
        <f t="array" aca="1" ref="G121:G131" ca="1" xml:space="preserve"> _xlfn.TEXTSPLIT( _xlfn.FORMULATEXT(G111), , CHAR(10))</f>
        <v>= LET(</v>
      </c>
      <c r="M121" s="39" t="str">
        <f ca="1"/>
        <v xml:space="preserve">  HSTACK(_mtch, _arrS, _rtFr)</v>
      </c>
    </row>
    <row r="122" spans="3:13" x14ac:dyDescent="0.3">
      <c r="G122" s="39" t="str">
        <f ca="1"/>
        <v xml:space="preserve">  _arr1, $K$12:$N$21,</v>
      </c>
      <c r="M122" s="39" t="str">
        <f ca="1"/>
        <v>)</v>
      </c>
    </row>
    <row r="123" spans="3:13" x14ac:dyDescent="0.3">
      <c r="G123" s="39" t="str">
        <f ca="1"/>
        <v xml:space="preserve">  _arr2, $P$12:$S$21,</v>
      </c>
    </row>
    <row r="124" spans="3:13" x14ac:dyDescent="0.3">
      <c r="G124" s="39" t="str">
        <f ca="1"/>
        <v xml:space="preserve">  _idx1, 1,</v>
      </c>
    </row>
    <row r="125" spans="3:13" x14ac:dyDescent="0.3">
      <c r="G125" s="39" t="str">
        <f ca="1"/>
        <v xml:space="preserve">  _idx2, 1,</v>
      </c>
    </row>
    <row r="126" spans="3:13" x14ac:dyDescent="0.3">
      <c r="G126" s="39" t="str">
        <f ca="1"/>
        <v xml:space="preserve">  _uId1, CHOOSECOLS(_arr1, _idx1),</v>
      </c>
    </row>
    <row r="127" spans="3:13" x14ac:dyDescent="0.3">
      <c r="G127" s="39" t="str">
        <f ca="1"/>
        <v xml:space="preserve">  _uId2, CHOOSECOLS(_arr2, _idx2),</v>
      </c>
    </row>
    <row r="128" spans="3:13" x14ac:dyDescent="0.3">
      <c r="G128" s="39" t="str">
        <f ca="1"/>
        <v xml:space="preserve">  _mtch, DROP(REDUCE(0, _uId1, LAMBDA(_acc,_val, VSTACK(_acc, IFNA(MATCH(_val, _uId2, 0), 0)))), 1),</v>
      </c>
    </row>
    <row r="129" spans="2:14" x14ac:dyDescent="0.3">
      <c r="G129" s="39" t="str">
        <f ca="1"/>
        <v xml:space="preserve">  _ltFr, IF(_mtch = 0, 1, 0),</v>
      </c>
    </row>
    <row r="130" spans="2:14" x14ac:dyDescent="0.3">
      <c r="G130" s="39" t="str">
        <f ca="1"/>
        <v xml:space="preserve">  HSTACK(_mtch, _ltFr)</v>
      </c>
    </row>
    <row r="131" spans="2:14" x14ac:dyDescent="0.3">
      <c r="G131" s="39" t="str">
        <f ca="1"/>
        <v>)</v>
      </c>
    </row>
    <row r="133" spans="2:14" x14ac:dyDescent="0.3">
      <c r="B133" s="16" t="str" cm="1">
        <f t="array" ref="B133" xml:space="preserve"> "(" &amp; _xlfn.UNICHAR( 65 + SUMPRODUCT(--(_xlfn.REGEXTEST(B$1:B132, "^\([A-Z]\)$")))) &amp; ")"</f>
        <v>(E)</v>
      </c>
      <c r="C133" s="2" t="s">
        <v>146</v>
      </c>
    </row>
    <row r="134" spans="2:14" x14ac:dyDescent="0.3">
      <c r="C134" s="2" t="s">
        <v>163</v>
      </c>
    </row>
    <row r="135" spans="2:14" x14ac:dyDescent="0.3">
      <c r="C135" s="51" t="s">
        <v>17</v>
      </c>
      <c r="E135" s="51" t="s">
        <v>16</v>
      </c>
      <c r="G135" t="s">
        <v>138</v>
      </c>
    </row>
    <row r="136" spans="2:14" ht="14.4" thickBot="1" x14ac:dyDescent="0.35">
      <c r="C136" s="32" t="s">
        <v>76</v>
      </c>
      <c r="E136" s="32" t="s">
        <v>76</v>
      </c>
      <c r="G136" s="32" t="s">
        <v>76</v>
      </c>
      <c r="H136" s="32" t="s">
        <v>9</v>
      </c>
      <c r="I136" s="32" t="s">
        <v>10</v>
      </c>
      <c r="J136" s="32" t="s">
        <v>11</v>
      </c>
      <c r="K136" s="32" t="s">
        <v>76</v>
      </c>
      <c r="L136" s="32" t="s">
        <v>106</v>
      </c>
      <c r="M136" s="32" t="s">
        <v>116</v>
      </c>
      <c r="N136" s="32" t="s">
        <v>117</v>
      </c>
    </row>
    <row r="137" spans="2:14" x14ac:dyDescent="0.3">
      <c r="C137" s="40" t="str" cm="1">
        <f t="array" ref="C137:C146" xml:space="preserve"> $K$12:$K$21</f>
        <v>X-001</v>
      </c>
      <c r="D137" s="37">
        <v>1</v>
      </c>
      <c r="E137" s="40" t="str" cm="1">
        <f t="array" ref="E137:E146" xml:space="preserve"> $P$12:$P$21</f>
        <v>X-009</v>
      </c>
      <c r="G137" s="35" t="str" cm="1">
        <f t="array" ref="G137:N148" xml:space="preserve"> _xlfn.LET(
  _xlpm._arr1, $K$12:$N$21,
  _xlpm._arr2, $P$12:$S$21,
  _xlpm._idx1, 1,
  _xlpm._idx2,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_xlpm._arrR, _xlfn.LET(
    _xlpm._fltr, _xlfn.SCAN(0, _xlfn.SEQUENCE( ROWS(_xlpm._arr2), 1), _xlfn.LAMBDA(_xlpm._acc,_xlpm._val, IF( ISNA(MATCH(_xlpm._val, _xlpm._mtch, 0)), 1, 0))),
    _xlpm._arr, _xlfn._xlws.FILTER(_xlpm._arr2, _xlpm._fltr = 1, NA()),
    _xlpm._blnk, _xlfn.MAKEARRAY( ROWS(_xlpm._arr), _xlpm._cc1, _xlfn.LAMBDA(_xlpm._r,_xlpm._c, NA())),
    _xlfn.HSTACK(_xlpm._blnk, _xlpm._arr)
  ),
  _xlpm._arrC, _xlfn.HSTACK(_xlpm._arr1, _xlpm._arrN),
  _xlpm._arrJ, _xlfn.VSTACK(_xlpm._arrC, _xlpm._arrR),
  _xlpm._arrJ
)</f>
        <v>X-001</v>
      </c>
      <c r="H137" s="35" t="str">
        <v>AAA</v>
      </c>
      <c r="I137" s="35">
        <v>1</v>
      </c>
      <c r="J137" s="35" t="str">
        <v>!</v>
      </c>
      <c r="K137" s="35" t="str">
        <v>X-001</v>
      </c>
      <c r="L137" s="35">
        <v>1</v>
      </c>
      <c r="M137" s="35" t="str">
        <v>!</v>
      </c>
      <c r="N137" s="35" t="str">
        <v>one</v>
      </c>
    </row>
    <row r="138" spans="2:14" x14ac:dyDescent="0.3">
      <c r="C138" s="40" t="str">
        <v>X-002</v>
      </c>
      <c r="D138" s="37">
        <v>2</v>
      </c>
      <c r="E138" s="40" t="str">
        <v>X-007</v>
      </c>
      <c r="G138" s="35" t="str">
        <v>X-002</v>
      </c>
      <c r="H138" s="35" t="str">
        <v>BBB</v>
      </c>
      <c r="I138" s="35">
        <v>2</v>
      </c>
      <c r="J138" s="35" t="str">
        <v>"</v>
      </c>
      <c r="K138" s="35" t="str">
        <v>X-002</v>
      </c>
      <c r="L138" s="35">
        <v>2</v>
      </c>
      <c r="M138" s="35" t="str">
        <v>"</v>
      </c>
      <c r="N138" s="35" t="str">
        <v>two</v>
      </c>
    </row>
    <row r="139" spans="2:14" x14ac:dyDescent="0.3">
      <c r="C139" s="40" t="str">
        <v>X-003</v>
      </c>
      <c r="D139" s="37">
        <v>3</v>
      </c>
      <c r="E139" s="40" t="str">
        <v>X-010</v>
      </c>
      <c r="G139" s="35" t="str">
        <v>X-003</v>
      </c>
      <c r="H139" s="35" t="str">
        <v>CCC</v>
      </c>
      <c r="I139" s="35">
        <v>3</v>
      </c>
      <c r="J139" s="35" t="str">
        <v>£</v>
      </c>
      <c r="K139" s="35" t="e">
        <v>#N/A</v>
      </c>
      <c r="L139" s="35" t="e">
        <v>#N/A</v>
      </c>
      <c r="M139" s="35" t="e">
        <v>#N/A</v>
      </c>
      <c r="N139" s="35" t="e">
        <v>#N/A</v>
      </c>
    </row>
    <row r="140" spans="2:14" x14ac:dyDescent="0.3">
      <c r="C140" s="40" t="str">
        <v>X-004</v>
      </c>
      <c r="D140" s="37">
        <v>4</v>
      </c>
      <c r="E140" s="40" t="str">
        <v>X-002</v>
      </c>
      <c r="G140" s="35" t="str">
        <v>X-004</v>
      </c>
      <c r="H140" s="35" t="str">
        <v>DDD</v>
      </c>
      <c r="I140" s="35">
        <v>4</v>
      </c>
      <c r="J140" s="35" t="str">
        <v>$</v>
      </c>
      <c r="K140" s="35" t="str">
        <v>X-004</v>
      </c>
      <c r="L140" s="35">
        <v>4</v>
      </c>
      <c r="M140" s="35" t="str">
        <v>$</v>
      </c>
      <c r="N140" s="35" t="str">
        <v>four</v>
      </c>
    </row>
    <row r="141" spans="2:14" x14ac:dyDescent="0.3">
      <c r="C141" s="40" t="str">
        <v>X-005</v>
      </c>
      <c r="D141" s="37">
        <v>5</v>
      </c>
      <c r="E141" s="40" t="str">
        <v>X-004</v>
      </c>
      <c r="G141" s="35" t="str">
        <v>X-005</v>
      </c>
      <c r="H141" s="35" t="str">
        <v>EEE</v>
      </c>
      <c r="I141" s="35">
        <v>5</v>
      </c>
      <c r="J141" s="35" t="str">
        <v>%</v>
      </c>
      <c r="K141" s="35" t="e">
        <v>#N/A</v>
      </c>
      <c r="L141" s="35" t="e">
        <v>#N/A</v>
      </c>
      <c r="M141" s="35" t="e">
        <v>#N/A</v>
      </c>
      <c r="N141" s="35" t="e">
        <v>#N/A</v>
      </c>
    </row>
    <row r="142" spans="2:14" x14ac:dyDescent="0.3">
      <c r="C142" s="40" t="str">
        <v>X-006</v>
      </c>
      <c r="D142" s="37">
        <v>6</v>
      </c>
      <c r="E142" s="40" t="str">
        <v>X-008</v>
      </c>
      <c r="G142" s="35" t="str">
        <v>X-006</v>
      </c>
      <c r="H142" s="35" t="str">
        <v>FFF</v>
      </c>
      <c r="I142" s="35">
        <v>6</v>
      </c>
      <c r="J142" s="35" t="str">
        <v>^</v>
      </c>
      <c r="K142" s="35" t="str">
        <v>X-006</v>
      </c>
      <c r="L142" s="35">
        <v>6</v>
      </c>
      <c r="M142" s="35" t="str">
        <v>^</v>
      </c>
      <c r="N142" s="35" t="str">
        <v>six</v>
      </c>
    </row>
    <row r="143" spans="2:14" x14ac:dyDescent="0.3">
      <c r="C143" s="40" t="str">
        <v>X-007</v>
      </c>
      <c r="D143" s="37">
        <v>7</v>
      </c>
      <c r="E143" s="40" t="str">
        <v>X-012</v>
      </c>
      <c r="G143" s="35" t="str">
        <v>X-007</v>
      </c>
      <c r="H143" s="35" t="str">
        <v>GGG</v>
      </c>
      <c r="I143" s="35">
        <v>7</v>
      </c>
      <c r="J143" s="35" t="str">
        <v>&amp;</v>
      </c>
      <c r="K143" s="35" t="str">
        <v>X-007</v>
      </c>
      <c r="L143" s="35">
        <v>7</v>
      </c>
      <c r="M143" s="35" t="str">
        <v>&amp;</v>
      </c>
      <c r="N143" s="35" t="str">
        <v>seven</v>
      </c>
    </row>
    <row r="144" spans="2:14" x14ac:dyDescent="0.3">
      <c r="C144" s="40" t="str">
        <v>X-008</v>
      </c>
      <c r="D144" s="37">
        <v>8</v>
      </c>
      <c r="E144" s="40" t="str">
        <v>X-001</v>
      </c>
      <c r="G144" s="35" t="str">
        <v>X-008</v>
      </c>
      <c r="H144" s="35" t="str">
        <v>HHH</v>
      </c>
      <c r="I144" s="35">
        <v>8</v>
      </c>
      <c r="J144" s="35" t="str">
        <v>*</v>
      </c>
      <c r="K144" s="35" t="str">
        <v>X-008</v>
      </c>
      <c r="L144" s="35">
        <v>8</v>
      </c>
      <c r="M144" s="35" t="str">
        <v>*</v>
      </c>
      <c r="N144" s="35" t="str">
        <v>eight</v>
      </c>
    </row>
    <row r="145" spans="3:14" x14ac:dyDescent="0.3">
      <c r="C145" s="40" t="str">
        <v>X-009</v>
      </c>
      <c r="D145" s="37">
        <v>9</v>
      </c>
      <c r="E145" s="40" t="str">
        <v>X-006</v>
      </c>
      <c r="G145" s="35" t="str">
        <v>X-009</v>
      </c>
      <c r="H145" s="35" t="str">
        <v>III</v>
      </c>
      <c r="I145" s="35">
        <v>9</v>
      </c>
      <c r="J145" s="35" t="str">
        <v>(</v>
      </c>
      <c r="K145" s="35" t="str">
        <v>X-009</v>
      </c>
      <c r="L145" s="35">
        <v>9</v>
      </c>
      <c r="M145" s="35" t="str">
        <v>(</v>
      </c>
      <c r="N145" s="35" t="str">
        <v>nine</v>
      </c>
    </row>
    <row r="146" spans="3:14" x14ac:dyDescent="0.3">
      <c r="C146" s="40" t="str">
        <v>X-010</v>
      </c>
      <c r="D146" s="37">
        <v>10</v>
      </c>
      <c r="E146" s="40" t="str">
        <v>X-011</v>
      </c>
      <c r="G146" s="35" t="str">
        <v>X-010</v>
      </c>
      <c r="H146" s="35" t="str">
        <v>JJJ</v>
      </c>
      <c r="I146" s="35">
        <v>10</v>
      </c>
      <c r="J146" s="35" t="str">
        <v>)</v>
      </c>
      <c r="K146" s="35" t="str">
        <v>X-010</v>
      </c>
      <c r="L146" s="35">
        <v>10</v>
      </c>
      <c r="M146" s="35" t="str">
        <v>)</v>
      </c>
      <c r="N146" s="35" t="str">
        <v>ten</v>
      </c>
    </row>
    <row r="147" spans="3:14" x14ac:dyDescent="0.3">
      <c r="G147" s="35" t="e">
        <v>#N/A</v>
      </c>
      <c r="H147" s="35" t="e">
        <v>#N/A</v>
      </c>
      <c r="I147" s="35" t="e">
        <v>#N/A</v>
      </c>
      <c r="J147" s="35" t="e">
        <v>#N/A</v>
      </c>
      <c r="K147" s="35" t="str">
        <v>X-012</v>
      </c>
      <c r="L147" s="35">
        <v>12</v>
      </c>
      <c r="M147" s="35" t="str">
        <v>@</v>
      </c>
      <c r="N147" s="35" t="str">
        <v>twelve</v>
      </c>
    </row>
    <row r="148" spans="3:14" x14ac:dyDescent="0.3">
      <c r="G148" s="35" t="e">
        <v>#N/A</v>
      </c>
      <c r="H148" s="35" t="e">
        <v>#N/A</v>
      </c>
      <c r="I148" s="35" t="e">
        <v>#N/A</v>
      </c>
      <c r="J148" s="35" t="e">
        <v>#N/A</v>
      </c>
      <c r="K148" s="35" t="str">
        <v>X-011</v>
      </c>
      <c r="L148" s="35">
        <v>11</v>
      </c>
      <c r="M148" s="35" t="str">
        <v>~</v>
      </c>
      <c r="N148" s="35" t="str">
        <v>eleven</v>
      </c>
    </row>
    <row r="149" spans="3:14" x14ac:dyDescent="0.3">
      <c r="G149" s="39" t="str" cm="1">
        <f t="array" aca="1" ref="G149:G170" ca="1" xml:space="preserve"> _xlfn.TEXTSPLIT( _xlfn.FORMULATEXT(G137), , CHAR(10))</f>
        <v>= LET(</v>
      </c>
    </row>
    <row r="150" spans="3:14" x14ac:dyDescent="0.3">
      <c r="G150" s="39" t="str">
        <f ca="1"/>
        <v xml:space="preserve">  _arr1, $K$12:$N$21,</v>
      </c>
    </row>
    <row r="151" spans="3:14" x14ac:dyDescent="0.3">
      <c r="G151" s="39" t="str">
        <f ca="1"/>
        <v xml:space="preserve">  _arr2, $P$12:$S$21,</v>
      </c>
    </row>
    <row r="152" spans="3:14" x14ac:dyDescent="0.3">
      <c r="G152" s="39" t="str">
        <f ca="1"/>
        <v xml:space="preserve">  _idx1, 1,</v>
      </c>
    </row>
    <row r="153" spans="3:14" x14ac:dyDescent="0.3">
      <c r="G153" s="39" t="str">
        <f ca="1"/>
        <v xml:space="preserve">  _idx2, 1,</v>
      </c>
    </row>
    <row r="154" spans="3:14" x14ac:dyDescent="0.3">
      <c r="G154" s="39" t="str">
        <f ca="1"/>
        <v xml:space="preserve">  _uId1, CHOOSECOLS(_arr1, _idx1),</v>
      </c>
    </row>
    <row r="155" spans="3:14" x14ac:dyDescent="0.3">
      <c r="G155" s="39" t="str">
        <f ca="1"/>
        <v xml:space="preserve">  _uId2, CHOOSECOLS(_arr2, _idx2),</v>
      </c>
    </row>
    <row r="156" spans="3:14" x14ac:dyDescent="0.3">
      <c r="G156" s="39" t="str">
        <f ca="1"/>
        <v xml:space="preserve">  _cc1, COLUMNS(_arr1),</v>
      </c>
    </row>
    <row r="157" spans="3:14" x14ac:dyDescent="0.3">
      <c r="G157" s="39" t="str">
        <f ca="1"/>
        <v xml:space="preserve">  _cc2, COLUMNS(_arr2),</v>
      </c>
    </row>
    <row r="158" spans="3:14" x14ac:dyDescent="0.3">
      <c r="G158" s="39" t="str">
        <f ca="1"/>
        <v xml:space="preserve">  _mtch, DROP(REDUCE(0, _uId1, LAMBDA(_acc,_val, VSTACK(_acc, IFNA(MATCH(_val, _uId2, 0), 0)))), 1),</v>
      </c>
    </row>
    <row r="159" spans="3:14" x14ac:dyDescent="0.3">
      <c r="G159" s="39" t="str">
        <f ca="1"/>
        <v xml:space="preserve">  _blnk, MAKEARRAY(1, _cc2, LAMBDA(_r,_c, NA())),</v>
      </c>
    </row>
    <row r="160" spans="3:14" x14ac:dyDescent="0.3">
      <c r="G160" s="39" t="str">
        <f ca="1"/>
        <v xml:space="preserve">  _arrN, DROP(REDUCE(0, _mtch, LAMBDA(_acc,_val, VSTACK(_acc, IF(_val = 0, _blnk, INDEX(_arr2, _val, SEQUENCE(1, _cc2)))))), 1),</v>
      </c>
    </row>
    <row r="161" spans="2:14" x14ac:dyDescent="0.3">
      <c r="G161" s="39" t="str">
        <f ca="1"/>
        <v xml:space="preserve">  _arrR, LET(</v>
      </c>
    </row>
    <row r="162" spans="2:14" x14ac:dyDescent="0.3">
      <c r="G162" s="39" t="str">
        <f ca="1"/>
        <v xml:space="preserve">    _fltr, SCAN(0, SEQUENCE( ROWS(_arr2), 1), LAMBDA(_acc,_val, IF( ISNA(MATCH(_val, _mtch, 0)), 1, 0))),</v>
      </c>
    </row>
    <row r="163" spans="2:14" x14ac:dyDescent="0.3">
      <c r="G163" s="39" t="str">
        <f ca="1"/>
        <v xml:space="preserve">    _arr, FILTER(_arr2, _fltr = 1, NA()),</v>
      </c>
    </row>
    <row r="164" spans="2:14" x14ac:dyDescent="0.3">
      <c r="G164" s="39" t="str">
        <f ca="1"/>
        <v xml:space="preserve">    _blnk, MAKEARRAY( ROWS(_arr), _cc1, LAMBDA(_r,_c, NA())),</v>
      </c>
    </row>
    <row r="165" spans="2:14" x14ac:dyDescent="0.3">
      <c r="G165" s="39" t="str">
        <f ca="1"/>
        <v xml:space="preserve">    HSTACK(_blnk, _arr)</v>
      </c>
    </row>
    <row r="166" spans="2:14" x14ac:dyDescent="0.3">
      <c r="G166" s="39" t="str">
        <f ca="1"/>
        <v xml:space="preserve">  ),</v>
      </c>
    </row>
    <row r="167" spans="2:14" x14ac:dyDescent="0.3">
      <c r="G167" s="39" t="str">
        <f ca="1"/>
        <v xml:space="preserve">  _arrC, HSTACK(_arr1, _arrN),</v>
      </c>
    </row>
    <row r="168" spans="2:14" x14ac:dyDescent="0.3">
      <c r="G168" s="39" t="str">
        <f ca="1"/>
        <v xml:space="preserve">  _arrJ, VSTACK(_arrC, _arrR),</v>
      </c>
    </row>
    <row r="169" spans="2:14" x14ac:dyDescent="0.3">
      <c r="G169" s="39" t="str">
        <f ca="1"/>
        <v xml:space="preserve">  _arrJ</v>
      </c>
    </row>
    <row r="170" spans="2:14" x14ac:dyDescent="0.3">
      <c r="G170" s="39" t="str">
        <f ca="1"/>
        <v>)</v>
      </c>
    </row>
    <row r="172" spans="2:14" x14ac:dyDescent="0.3">
      <c r="B172" s="16" t="str" cm="1">
        <f t="array" ref="B172" xml:space="preserve"> "(" &amp; _xlfn.UNICHAR( 65 + SUMPRODUCT(--(_xlfn.REGEXTEST(B$1:B171, "^\([A-Z]\)$")))) &amp; ")"</f>
        <v>(F)</v>
      </c>
      <c r="C172" s="2" t="s">
        <v>145</v>
      </c>
    </row>
    <row r="173" spans="2:14" x14ac:dyDescent="0.3">
      <c r="C173" s="2" t="s">
        <v>163</v>
      </c>
    </row>
    <row r="174" spans="2:14" x14ac:dyDescent="0.3">
      <c r="C174" s="51" t="s">
        <v>17</v>
      </c>
      <c r="E174" s="51" t="s">
        <v>16</v>
      </c>
      <c r="G174" t="s">
        <v>138</v>
      </c>
    </row>
    <row r="175" spans="2:14" ht="14.4" thickBot="1" x14ac:dyDescent="0.35">
      <c r="C175" s="32" t="s">
        <v>76</v>
      </c>
      <c r="E175" s="32" t="s">
        <v>76</v>
      </c>
      <c r="G175" s="32" t="s">
        <v>76</v>
      </c>
      <c r="H175" s="32" t="s">
        <v>9</v>
      </c>
      <c r="I175" s="32" t="s">
        <v>10</v>
      </c>
      <c r="J175" s="32" t="s">
        <v>11</v>
      </c>
      <c r="K175" s="32" t="s">
        <v>76</v>
      </c>
      <c r="L175" s="32" t="s">
        <v>106</v>
      </c>
      <c r="M175" s="32" t="s">
        <v>116</v>
      </c>
      <c r="N175" s="32" t="s">
        <v>117</v>
      </c>
    </row>
    <row r="176" spans="2:14" x14ac:dyDescent="0.3">
      <c r="C176" s="40" t="str" cm="1">
        <f t="array" ref="C176:C185" xml:space="preserve"> $K$12:$K$21</f>
        <v>X-001</v>
      </c>
      <c r="D176" s="37">
        <v>1</v>
      </c>
      <c r="E176" s="40" t="str" cm="1">
        <f t="array" ref="E176:E185" xml:space="preserve"> $P$12:$P$21</f>
        <v>X-009</v>
      </c>
      <c r="G176" s="35" t="str" cm="1">
        <f t="array" ref="G176:N183" xml:space="preserve"> _xlfn.LET(
  _xlpm._arr1, $K$12:$N$21,
  _xlpm._arr2, $P$12:$S$21,
  _xlpm._idx1, 1,
  _xlpm._idx2,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_xlpm._arrC, _xlfn.HSTACK(_xlpm._arr1, _xlpm._arrN),
  _xlpm._arrL, _xlfn._xlws.FILTER(_xlpm._arrC, _xlpm._mtch &lt;&gt; 0, NA()),
  _xlpm._arrL
)</f>
        <v>X-001</v>
      </c>
      <c r="H176" s="35" t="str">
        <v>AAA</v>
      </c>
      <c r="I176" s="35">
        <v>1</v>
      </c>
      <c r="J176" s="35" t="str">
        <v>!</v>
      </c>
      <c r="K176" s="35" t="str">
        <v>X-001</v>
      </c>
      <c r="L176" s="35">
        <v>1</v>
      </c>
      <c r="M176" s="35" t="str">
        <v>!</v>
      </c>
      <c r="N176" s="35" t="str">
        <v>one</v>
      </c>
    </row>
    <row r="177" spans="3:14" x14ac:dyDescent="0.3">
      <c r="C177" s="40" t="str">
        <v>X-002</v>
      </c>
      <c r="D177" s="37">
        <v>2</v>
      </c>
      <c r="E177" s="40" t="str">
        <v>X-007</v>
      </c>
      <c r="G177" s="35" t="str">
        <v>X-002</v>
      </c>
      <c r="H177" s="35" t="str">
        <v>BBB</v>
      </c>
      <c r="I177" s="35">
        <v>2</v>
      </c>
      <c r="J177" s="35" t="str">
        <v>"</v>
      </c>
      <c r="K177" s="35" t="str">
        <v>X-002</v>
      </c>
      <c r="L177" s="35">
        <v>2</v>
      </c>
      <c r="M177" s="35" t="str">
        <v>"</v>
      </c>
      <c r="N177" s="35" t="str">
        <v>two</v>
      </c>
    </row>
    <row r="178" spans="3:14" x14ac:dyDescent="0.3">
      <c r="C178" s="40" t="str">
        <v>X-003</v>
      </c>
      <c r="D178" s="37">
        <v>3</v>
      </c>
      <c r="E178" s="40" t="str">
        <v>X-010</v>
      </c>
      <c r="G178" s="35" t="str">
        <v>X-004</v>
      </c>
      <c r="H178" s="35" t="str">
        <v>DDD</v>
      </c>
      <c r="I178" s="35">
        <v>4</v>
      </c>
      <c r="J178" s="35" t="str">
        <v>$</v>
      </c>
      <c r="K178" s="35" t="str">
        <v>X-004</v>
      </c>
      <c r="L178" s="35">
        <v>4</v>
      </c>
      <c r="M178" s="35" t="str">
        <v>$</v>
      </c>
      <c r="N178" s="35" t="str">
        <v>four</v>
      </c>
    </row>
    <row r="179" spans="3:14" x14ac:dyDescent="0.3">
      <c r="C179" s="40" t="str">
        <v>X-004</v>
      </c>
      <c r="D179" s="37">
        <v>4</v>
      </c>
      <c r="E179" s="40" t="str">
        <v>X-002</v>
      </c>
      <c r="G179" s="35" t="str">
        <v>X-006</v>
      </c>
      <c r="H179" s="35" t="str">
        <v>FFF</v>
      </c>
      <c r="I179" s="35">
        <v>6</v>
      </c>
      <c r="J179" s="35" t="str">
        <v>^</v>
      </c>
      <c r="K179" s="35" t="str">
        <v>X-006</v>
      </c>
      <c r="L179" s="35">
        <v>6</v>
      </c>
      <c r="M179" s="35" t="str">
        <v>^</v>
      </c>
      <c r="N179" s="35" t="str">
        <v>six</v>
      </c>
    </row>
    <row r="180" spans="3:14" x14ac:dyDescent="0.3">
      <c r="C180" s="40" t="str">
        <v>X-005</v>
      </c>
      <c r="D180" s="37">
        <v>5</v>
      </c>
      <c r="E180" s="40" t="str">
        <v>X-004</v>
      </c>
      <c r="G180" s="35" t="str">
        <v>X-007</v>
      </c>
      <c r="H180" s="35" t="str">
        <v>GGG</v>
      </c>
      <c r="I180" s="35">
        <v>7</v>
      </c>
      <c r="J180" s="35" t="str">
        <v>&amp;</v>
      </c>
      <c r="K180" s="35" t="str">
        <v>X-007</v>
      </c>
      <c r="L180" s="35">
        <v>7</v>
      </c>
      <c r="M180" s="35" t="str">
        <v>&amp;</v>
      </c>
      <c r="N180" s="35" t="str">
        <v>seven</v>
      </c>
    </row>
    <row r="181" spans="3:14" x14ac:dyDescent="0.3">
      <c r="C181" s="40" t="str">
        <v>X-006</v>
      </c>
      <c r="D181" s="37">
        <v>6</v>
      </c>
      <c r="E181" s="40" t="str">
        <v>X-008</v>
      </c>
      <c r="G181" s="35" t="str">
        <v>X-008</v>
      </c>
      <c r="H181" s="35" t="str">
        <v>HHH</v>
      </c>
      <c r="I181" s="35">
        <v>8</v>
      </c>
      <c r="J181" s="35" t="str">
        <v>*</v>
      </c>
      <c r="K181" s="35" t="str">
        <v>X-008</v>
      </c>
      <c r="L181" s="35">
        <v>8</v>
      </c>
      <c r="M181" s="35" t="str">
        <v>*</v>
      </c>
      <c r="N181" s="35" t="str">
        <v>eight</v>
      </c>
    </row>
    <row r="182" spans="3:14" x14ac:dyDescent="0.3">
      <c r="C182" s="40" t="str">
        <v>X-007</v>
      </c>
      <c r="D182" s="37">
        <v>7</v>
      </c>
      <c r="E182" s="40" t="str">
        <v>X-012</v>
      </c>
      <c r="G182" s="35" t="str">
        <v>X-009</v>
      </c>
      <c r="H182" s="35" t="str">
        <v>III</v>
      </c>
      <c r="I182" s="35">
        <v>9</v>
      </c>
      <c r="J182" s="35" t="str">
        <v>(</v>
      </c>
      <c r="K182" s="35" t="str">
        <v>X-009</v>
      </c>
      <c r="L182" s="35">
        <v>9</v>
      </c>
      <c r="M182" s="35" t="str">
        <v>(</v>
      </c>
      <c r="N182" s="35" t="str">
        <v>nine</v>
      </c>
    </row>
    <row r="183" spans="3:14" x14ac:dyDescent="0.3">
      <c r="C183" s="40" t="str">
        <v>X-008</v>
      </c>
      <c r="D183" s="37">
        <v>8</v>
      </c>
      <c r="E183" s="40" t="str">
        <v>X-001</v>
      </c>
      <c r="G183" s="35" t="str">
        <v>X-010</v>
      </c>
      <c r="H183" s="35" t="str">
        <v>JJJ</v>
      </c>
      <c r="I183" s="35">
        <v>10</v>
      </c>
      <c r="J183" s="35" t="str">
        <v>)</v>
      </c>
      <c r="K183" s="35" t="str">
        <v>X-010</v>
      </c>
      <c r="L183" s="35">
        <v>10</v>
      </c>
      <c r="M183" s="35" t="str">
        <v>)</v>
      </c>
      <c r="N183" s="35" t="str">
        <v>ten</v>
      </c>
    </row>
    <row r="184" spans="3:14" x14ac:dyDescent="0.3">
      <c r="C184" s="40" t="str">
        <v>X-009</v>
      </c>
      <c r="D184" s="37">
        <v>9</v>
      </c>
      <c r="E184" s="40" t="str">
        <v>X-006</v>
      </c>
      <c r="G184" s="39" t="str" cm="1">
        <f t="array" aca="1" ref="G184:G199" ca="1" xml:space="preserve"> _xlfn.TEXTSPLIT( _xlfn.FORMULATEXT(G176), , CHAR(10))</f>
        <v>= LET(</v>
      </c>
    </row>
    <row r="185" spans="3:14" x14ac:dyDescent="0.3">
      <c r="C185" s="40" t="str">
        <v>X-010</v>
      </c>
      <c r="D185" s="37">
        <v>10</v>
      </c>
      <c r="E185" s="40" t="str">
        <v>X-011</v>
      </c>
      <c r="G185" s="39" t="str">
        <f ca="1"/>
        <v xml:space="preserve">  _arr1, $K$12:$N$21,</v>
      </c>
    </row>
    <row r="186" spans="3:14" x14ac:dyDescent="0.3">
      <c r="G186" s="39" t="str">
        <f ca="1"/>
        <v xml:space="preserve">  _arr2, $P$12:$S$21,</v>
      </c>
    </row>
    <row r="187" spans="3:14" x14ac:dyDescent="0.3">
      <c r="G187" s="39" t="str">
        <f ca="1"/>
        <v xml:space="preserve">  _idx1, 1,</v>
      </c>
    </row>
    <row r="188" spans="3:14" x14ac:dyDescent="0.3">
      <c r="G188" s="39" t="str">
        <f ca="1"/>
        <v xml:space="preserve">  _idx2, 1,</v>
      </c>
    </row>
    <row r="189" spans="3:14" x14ac:dyDescent="0.3">
      <c r="G189" s="39" t="str">
        <f ca="1"/>
        <v xml:space="preserve">  _uId1, CHOOSECOLS(_arr1, _idx1),</v>
      </c>
    </row>
    <row r="190" spans="3:14" x14ac:dyDescent="0.3">
      <c r="G190" s="39" t="str">
        <f ca="1"/>
        <v xml:space="preserve">  _uId2, CHOOSECOLS(_arr2, _idx2),</v>
      </c>
    </row>
    <row r="191" spans="3:14" x14ac:dyDescent="0.3">
      <c r="G191" s="39" t="str">
        <f ca="1"/>
        <v xml:space="preserve">  _cc1, COLUMNS(_arr1),</v>
      </c>
    </row>
    <row r="192" spans="3:14" x14ac:dyDescent="0.3">
      <c r="G192" s="39" t="str">
        <f ca="1"/>
        <v xml:space="preserve">  _cc2, COLUMNS(_arr2),</v>
      </c>
    </row>
    <row r="193" spans="2:8" x14ac:dyDescent="0.3">
      <c r="G193" s="39" t="str">
        <f ca="1"/>
        <v xml:space="preserve">  _mtch, DROP(REDUCE(0, _uId1, LAMBDA(_acc,_val, VSTACK(_acc, IFNA(MATCH(_val, _uId2, 0), 0)))), 1),</v>
      </c>
    </row>
    <row r="194" spans="2:8" x14ac:dyDescent="0.3">
      <c r="G194" s="39" t="str">
        <f ca="1"/>
        <v xml:space="preserve">  _blnk, MAKEARRAY(1, _cc2, LAMBDA(_r,_c, NA())),</v>
      </c>
    </row>
    <row r="195" spans="2:8" x14ac:dyDescent="0.3">
      <c r="G195" s="39" t="str">
        <f ca="1"/>
        <v xml:space="preserve">  _arrN, DROP(REDUCE(0, _mtch, LAMBDA(_acc,_val, VSTACK(_acc, IF(_val = 0, _blnk, INDEX(_arr2, _val, SEQUENCE(1, _cc2)))))), 1),</v>
      </c>
    </row>
    <row r="196" spans="2:8" x14ac:dyDescent="0.3">
      <c r="G196" s="39" t="str">
        <f ca="1"/>
        <v xml:space="preserve">  _arrC, HSTACK(_arr1, _arrN),</v>
      </c>
    </row>
    <row r="197" spans="2:8" x14ac:dyDescent="0.3">
      <c r="G197" s="39" t="str">
        <f ca="1"/>
        <v xml:space="preserve">  _arrL, FILTER(_arrC, _mtch &lt;&gt; 0, NA()),</v>
      </c>
    </row>
    <row r="198" spans="2:8" x14ac:dyDescent="0.3">
      <c r="G198" s="39" t="str">
        <f ca="1"/>
        <v xml:space="preserve">  _arrL</v>
      </c>
    </row>
    <row r="199" spans="2:8" x14ac:dyDescent="0.3">
      <c r="G199" s="39" t="str">
        <f ca="1"/>
        <v>)</v>
      </c>
    </row>
    <row r="201" spans="2:8" x14ac:dyDescent="0.3">
      <c r="B201" s="16" t="str" cm="1">
        <f t="array" ref="B201" xml:space="preserve"> "(" &amp; _xlfn.UNICHAR( 65 + SUMPRODUCT(--(_xlfn.REGEXTEST(B$1:B200, "^\([A-Z]\)$")))) &amp; ")"</f>
        <v>(G)</v>
      </c>
      <c r="C201" s="2" t="s">
        <v>147</v>
      </c>
    </row>
    <row r="203" spans="2:8" x14ac:dyDescent="0.3">
      <c r="C203" t="s">
        <v>148</v>
      </c>
      <c r="F203" s="51" t="s">
        <v>158</v>
      </c>
      <c r="G203" t="s">
        <v>138</v>
      </c>
    </row>
    <row r="204" spans="2:8" ht="14.4" thickBot="1" x14ac:dyDescent="0.35">
      <c r="C204" s="43" t="s">
        <v>149</v>
      </c>
      <c r="D204" s="43" t="s">
        <v>150</v>
      </c>
      <c r="F204" s="47">
        <v>0</v>
      </c>
      <c r="G204" s="45" t="str">
        <f xml:space="preserve"> _xlfn.LET(
  _xlpm.join_type, $F$204,
  _xlpm._inpT, IF( ISBLANK(_xlpm.join_type), 0, INT(_xlpm.join_type)),
  _xlpm._typ, IF( ISNUMBER(_xlpm._inpT), _xlpm._inpT + 1,
    _xlfn.IFNA( MATCH( LOWER(_xlpm.join_type), {"left","right","inner","full"}, 0), -1)
  ),
  _xlpm._inpChk, IF( OR(_xlpm._typ &lt; 1, _xlpm._typ &gt; 4), 2, 1),
  _xlpm._rtn, CHOOSE(_xlpm._typ,
    "LEFT JOIN",
    "RIGHT JOIN",
    "INNER JOIN",
    "FULL OUTER JOIN"
  ),
  CHOOSE(_xlpm._inpChk, _xlpm._rtn, #VALUE!)
)</f>
        <v>LEFT JOIN</v>
      </c>
      <c r="H204" s="46"/>
    </row>
    <row r="205" spans="2:8" x14ac:dyDescent="0.3">
      <c r="C205" s="42">
        <v>0</v>
      </c>
      <c r="D205" s="42" t="s">
        <v>151</v>
      </c>
      <c r="G205" s="39" t="str" cm="1">
        <f t="array" aca="1" ref="G205:G219" ca="1" xml:space="preserve"> _xlfn.TEXTSPLIT( _xlfn.FORMULATEXT(G204), , CHAR(10))</f>
        <v>= LET(</v>
      </c>
    </row>
    <row r="206" spans="2:8" x14ac:dyDescent="0.3">
      <c r="C206" s="41">
        <v>1</v>
      </c>
      <c r="D206" s="41" t="s">
        <v>152</v>
      </c>
      <c r="G206" s="39" t="str">
        <f ca="1"/>
        <v xml:space="preserve">  join_type, $F$204,</v>
      </c>
    </row>
    <row r="207" spans="2:8" x14ac:dyDescent="0.3">
      <c r="C207" s="41">
        <v>2</v>
      </c>
      <c r="D207" s="41" t="s">
        <v>153</v>
      </c>
      <c r="G207" s="39" t="str">
        <f ca="1"/>
        <v xml:space="preserve">  _inpT, IF( ISBLANK(join_type), 0, INT(join_type)),</v>
      </c>
    </row>
    <row r="208" spans="2:8" x14ac:dyDescent="0.3">
      <c r="C208" s="41">
        <v>3</v>
      </c>
      <c r="D208" s="41" t="s">
        <v>154</v>
      </c>
      <c r="G208" s="39" t="str">
        <f ca="1"/>
        <v xml:space="preserve">  _typ, IF( ISNUMBER(_inpT), _inpT + 1,</v>
      </c>
    </row>
    <row r="209" spans="2:8" x14ac:dyDescent="0.3">
      <c r="G209" s="39" t="str">
        <f ca="1"/>
        <v xml:space="preserve">    IFNA( MATCH( LOWER(join_type), {"left","right","inner","full"}, 0), -1)</v>
      </c>
    </row>
    <row r="210" spans="2:8" x14ac:dyDescent="0.3">
      <c r="G210" s="39" t="str">
        <f ca="1"/>
        <v xml:space="preserve">  ),</v>
      </c>
    </row>
    <row r="211" spans="2:8" x14ac:dyDescent="0.3">
      <c r="G211" s="39" t="str">
        <f ca="1"/>
        <v xml:space="preserve">  _inpChk, IF( OR(_typ &lt; 1, _typ &gt; 4), 2, 1),</v>
      </c>
    </row>
    <row r="212" spans="2:8" x14ac:dyDescent="0.3">
      <c r="G212" s="39" t="str">
        <f ca="1"/>
        <v xml:space="preserve">  _rtn, CHOOSE(_typ,</v>
      </c>
    </row>
    <row r="213" spans="2:8" x14ac:dyDescent="0.3">
      <c r="G213" s="39" t="str">
        <f ca="1"/>
        <v xml:space="preserve">    "LEFT JOIN",</v>
      </c>
    </row>
    <row r="214" spans="2:8" x14ac:dyDescent="0.3">
      <c r="G214" s="39" t="str">
        <f ca="1"/>
        <v xml:space="preserve">    "RIGHT JOIN",</v>
      </c>
    </row>
    <row r="215" spans="2:8" x14ac:dyDescent="0.3">
      <c r="G215" s="39" t="str">
        <f ca="1"/>
        <v xml:space="preserve">    "INNER JOIN",</v>
      </c>
    </row>
    <row r="216" spans="2:8" x14ac:dyDescent="0.3">
      <c r="G216" s="39" t="str">
        <f ca="1"/>
        <v xml:space="preserve">    "FULL OUTER JOIN"</v>
      </c>
    </row>
    <row r="217" spans="2:8" x14ac:dyDescent="0.3">
      <c r="G217" s="39" t="str">
        <f ca="1"/>
        <v xml:space="preserve">  ),</v>
      </c>
    </row>
    <row r="218" spans="2:8" x14ac:dyDescent="0.3">
      <c r="G218" s="39" t="str">
        <f ca="1"/>
        <v xml:space="preserve">  CHOOSE(_inpChk, _rtn, #VALUE!)</v>
      </c>
    </row>
    <row r="219" spans="2:8" x14ac:dyDescent="0.3">
      <c r="G219" s="39" t="str">
        <f ca="1"/>
        <v>)</v>
      </c>
    </row>
    <row r="221" spans="2:8" x14ac:dyDescent="0.3">
      <c r="B221" s="16" t="str" cm="1">
        <f t="array" ref="B221" xml:space="preserve"> "(" &amp; _xlfn.UNICHAR( 65 + SUMPRODUCT(--(_xlfn.REGEXTEST(B$1:B220, "^\([A-Z]\)$")))) &amp; ")"</f>
        <v>(H)</v>
      </c>
      <c r="C221" s="2" t="s">
        <v>155</v>
      </c>
    </row>
    <row r="222" spans="2:8" x14ac:dyDescent="0.3">
      <c r="C222" s="2" t="s">
        <v>163</v>
      </c>
    </row>
    <row r="224" spans="2:8" x14ac:dyDescent="0.3">
      <c r="G224" s="48" t="s">
        <v>157</v>
      </c>
      <c r="H224" s="44" t="s">
        <v>154</v>
      </c>
    </row>
    <row r="225" spans="3:14" x14ac:dyDescent="0.3">
      <c r="C225" s="51" t="s">
        <v>17</v>
      </c>
      <c r="E225" s="51" t="s">
        <v>16</v>
      </c>
      <c r="G225" t="s">
        <v>138</v>
      </c>
    </row>
    <row r="226" spans="3:14" ht="14.4" thickBot="1" x14ac:dyDescent="0.35">
      <c r="C226" s="32" t="s">
        <v>76</v>
      </c>
      <c r="E226" s="32" t="s">
        <v>76</v>
      </c>
      <c r="G226" s="32" t="s">
        <v>76</v>
      </c>
      <c r="H226" s="32" t="s">
        <v>9</v>
      </c>
      <c r="I226" s="32" t="s">
        <v>10</v>
      </c>
      <c r="J226" s="32" t="s">
        <v>11</v>
      </c>
      <c r="K226" s="32" t="s">
        <v>76</v>
      </c>
      <c r="L226" s="32" t="s">
        <v>106</v>
      </c>
      <c r="M226" s="32" t="s">
        <v>116</v>
      </c>
      <c r="N226" s="32" t="s">
        <v>117</v>
      </c>
    </row>
    <row r="227" spans="3:14" x14ac:dyDescent="0.3">
      <c r="C227" s="40" t="str" cm="1">
        <f t="array" ref="C227:C236" xml:space="preserve"> $K$12:$K$21</f>
        <v>X-001</v>
      </c>
      <c r="D227" s="37">
        <v>1</v>
      </c>
      <c r="E227" s="40" t="str" cm="1">
        <f t="array" ref="E227:E236" xml:space="preserve"> $P$12:$P$21</f>
        <v>X-009</v>
      </c>
      <c r="G227" s="35" t="str" cm="1">
        <f t="array" ref="G227:N238" xml:space="preserve"> _xlfn.LET(
  _xlpm._arr1, $K$12:$N$21,
  _xlpm._arr2, $P$12:$S$21,
  _xlpm._idx1, 1,
  _xlpm._idx2, 1,
  _xlpm.join_type, $H$224,
  _xlpm._inpT, IF( ISBLANK(_xlpm.join_type), 0, INT(_xlpm.join_type)),
  _xlpm._typ, IF( ISNUMBER(_xlpm._inpT), _xlpm._inpT + 1,
    _xlfn.IFNA( MATCH( LOWER(_xlpm.join_type), {"left","right","inner","full"}, 0), -1)
  ),
  _xlpm._inpChk, IF( OR(_xlpm._typ &lt; 1, _xlpm._typ &gt; 4), 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_xlpm._arrR, _xlfn.LET(
    _xlpm._fltr, _xlfn.SCAN(0, _xlfn.SEQUENCE( ROWS(_xlpm._arr2), 1), _xlfn.LAMBDA(_xlpm._acc,_xlpm._val, IF( ISNA(MATCH(_xlpm._val, _xlpm._mtch, 0)), 1, 0))),
    _xlpm._arr, _xlfn._xlws.FILTER(_xlpm._arr2, _xlpm._fltr = 1, NA()),
    _xlpm._blnk, _xlfn.MAKEARRAY( ROWS(_xlpm._arr), _xlpm._cc1, _xlfn.LAMBDA(_xlpm._r,_xlpm._c, NA())),
    _xlfn.HSTACK(_xlpm._blnk, _xlpm._arr)
  ),
  _xlpm._arrC, _xlfn.HSTACK(_xlpm._arr1, _xlpm._arrN),
  _xlpm._arrL, IF( OR(_xlpm._typ = 2, _xlpm._typ = 3),
    _xlfn._xlws.FILTER(_xlpm._arrC, _xlpm._mtch &lt;&gt; 0, NA()),
    _xlpm._arrC
  ),
  _xlpm._rtn, IF( MOD(_xlpm._typ, 2) = 0,
    _xlfn.VSTACK(_xlpm._arrL, _xlpm._arrR),
    _xlpm._arrL
  ),
  CHOOSE(_xlpm._inpChk, _xlpm._rtn, #VALUE!)
)</f>
        <v>X-001</v>
      </c>
      <c r="H227" s="35" t="str">
        <v>AAA</v>
      </c>
      <c r="I227" s="35">
        <v>1</v>
      </c>
      <c r="J227" s="35" t="str">
        <v>!</v>
      </c>
      <c r="K227" s="35" t="str">
        <v>X-001</v>
      </c>
      <c r="L227" s="35">
        <v>1</v>
      </c>
      <c r="M227" s="35" t="str">
        <v>!</v>
      </c>
      <c r="N227" s="35" t="str">
        <v>one</v>
      </c>
    </row>
    <row r="228" spans="3:14" x14ac:dyDescent="0.3">
      <c r="C228" s="40" t="str">
        <v>X-002</v>
      </c>
      <c r="D228" s="37">
        <v>2</v>
      </c>
      <c r="E228" s="40" t="str">
        <v>X-007</v>
      </c>
      <c r="G228" s="35" t="str">
        <v>X-002</v>
      </c>
      <c r="H228" s="35" t="str">
        <v>BBB</v>
      </c>
      <c r="I228" s="35">
        <v>2</v>
      </c>
      <c r="J228" s="35" t="str">
        <v>"</v>
      </c>
      <c r="K228" s="35" t="str">
        <v>X-002</v>
      </c>
      <c r="L228" s="35">
        <v>2</v>
      </c>
      <c r="M228" s="35" t="str">
        <v>"</v>
      </c>
      <c r="N228" s="35" t="str">
        <v>two</v>
      </c>
    </row>
    <row r="229" spans="3:14" x14ac:dyDescent="0.3">
      <c r="C229" s="40" t="str">
        <v>X-003</v>
      </c>
      <c r="D229" s="37">
        <v>3</v>
      </c>
      <c r="E229" s="40" t="str">
        <v>X-010</v>
      </c>
      <c r="G229" s="35" t="str">
        <v>X-003</v>
      </c>
      <c r="H229" s="35" t="str">
        <v>CCC</v>
      </c>
      <c r="I229" s="35">
        <v>3</v>
      </c>
      <c r="J229" s="35" t="str">
        <v>£</v>
      </c>
      <c r="K229" s="35" t="e">
        <v>#N/A</v>
      </c>
      <c r="L229" s="35" t="e">
        <v>#N/A</v>
      </c>
      <c r="M229" s="35" t="e">
        <v>#N/A</v>
      </c>
      <c r="N229" s="35" t="e">
        <v>#N/A</v>
      </c>
    </row>
    <row r="230" spans="3:14" x14ac:dyDescent="0.3">
      <c r="C230" s="40" t="str">
        <v>X-004</v>
      </c>
      <c r="D230" s="37">
        <v>4</v>
      </c>
      <c r="E230" s="40" t="str">
        <v>X-002</v>
      </c>
      <c r="G230" s="35" t="str">
        <v>X-004</v>
      </c>
      <c r="H230" s="35" t="str">
        <v>DDD</v>
      </c>
      <c r="I230" s="35">
        <v>4</v>
      </c>
      <c r="J230" s="35" t="str">
        <v>$</v>
      </c>
      <c r="K230" s="35" t="str">
        <v>X-004</v>
      </c>
      <c r="L230" s="35">
        <v>4</v>
      </c>
      <c r="M230" s="35" t="str">
        <v>$</v>
      </c>
      <c r="N230" s="35" t="str">
        <v>four</v>
      </c>
    </row>
    <row r="231" spans="3:14" x14ac:dyDescent="0.3">
      <c r="C231" s="40" t="str">
        <v>X-005</v>
      </c>
      <c r="D231" s="37">
        <v>5</v>
      </c>
      <c r="E231" s="40" t="str">
        <v>X-004</v>
      </c>
      <c r="G231" s="35" t="str">
        <v>X-005</v>
      </c>
      <c r="H231" s="35" t="str">
        <v>EEE</v>
      </c>
      <c r="I231" s="35">
        <v>5</v>
      </c>
      <c r="J231" s="35" t="str">
        <v>%</v>
      </c>
      <c r="K231" s="35" t="e">
        <v>#N/A</v>
      </c>
      <c r="L231" s="35" t="e">
        <v>#N/A</v>
      </c>
      <c r="M231" s="35" t="e">
        <v>#N/A</v>
      </c>
      <c r="N231" s="35" t="e">
        <v>#N/A</v>
      </c>
    </row>
    <row r="232" spans="3:14" x14ac:dyDescent="0.3">
      <c r="C232" s="40" t="str">
        <v>X-006</v>
      </c>
      <c r="D232" s="37">
        <v>6</v>
      </c>
      <c r="E232" s="40" t="str">
        <v>X-008</v>
      </c>
      <c r="G232" s="35" t="str">
        <v>X-006</v>
      </c>
      <c r="H232" s="35" t="str">
        <v>FFF</v>
      </c>
      <c r="I232" s="35">
        <v>6</v>
      </c>
      <c r="J232" s="35" t="str">
        <v>^</v>
      </c>
      <c r="K232" s="35" t="str">
        <v>X-006</v>
      </c>
      <c r="L232" s="35">
        <v>6</v>
      </c>
      <c r="M232" s="35" t="str">
        <v>^</v>
      </c>
      <c r="N232" s="35" t="str">
        <v>six</v>
      </c>
    </row>
    <row r="233" spans="3:14" x14ac:dyDescent="0.3">
      <c r="C233" s="40" t="str">
        <v>X-007</v>
      </c>
      <c r="D233" s="37">
        <v>7</v>
      </c>
      <c r="E233" s="40" t="str">
        <v>X-012</v>
      </c>
      <c r="G233" s="35" t="str">
        <v>X-007</v>
      </c>
      <c r="H233" s="35" t="str">
        <v>GGG</v>
      </c>
      <c r="I233" s="35">
        <v>7</v>
      </c>
      <c r="J233" s="35" t="str">
        <v>&amp;</v>
      </c>
      <c r="K233" s="35" t="str">
        <v>X-007</v>
      </c>
      <c r="L233" s="35">
        <v>7</v>
      </c>
      <c r="M233" s="35" t="str">
        <v>&amp;</v>
      </c>
      <c r="N233" s="35" t="str">
        <v>seven</v>
      </c>
    </row>
    <row r="234" spans="3:14" x14ac:dyDescent="0.3">
      <c r="C234" s="40" t="str">
        <v>X-008</v>
      </c>
      <c r="D234" s="37">
        <v>8</v>
      </c>
      <c r="E234" s="40" t="str">
        <v>X-001</v>
      </c>
      <c r="G234" s="35" t="str">
        <v>X-008</v>
      </c>
      <c r="H234" s="35" t="str">
        <v>HHH</v>
      </c>
      <c r="I234" s="35">
        <v>8</v>
      </c>
      <c r="J234" s="35" t="str">
        <v>*</v>
      </c>
      <c r="K234" s="35" t="str">
        <v>X-008</v>
      </c>
      <c r="L234" s="35">
        <v>8</v>
      </c>
      <c r="M234" s="35" t="str">
        <v>*</v>
      </c>
      <c r="N234" s="35" t="str">
        <v>eight</v>
      </c>
    </row>
    <row r="235" spans="3:14" x14ac:dyDescent="0.3">
      <c r="C235" s="40" t="str">
        <v>X-009</v>
      </c>
      <c r="D235" s="37">
        <v>9</v>
      </c>
      <c r="E235" s="40" t="str">
        <v>X-006</v>
      </c>
      <c r="G235" s="35" t="str">
        <v>X-009</v>
      </c>
      <c r="H235" s="35" t="str">
        <v>III</v>
      </c>
      <c r="I235" s="35">
        <v>9</v>
      </c>
      <c r="J235" s="35" t="str">
        <v>(</v>
      </c>
      <c r="K235" s="35" t="str">
        <v>X-009</v>
      </c>
      <c r="L235" s="35">
        <v>9</v>
      </c>
      <c r="M235" s="35" t="str">
        <v>(</v>
      </c>
      <c r="N235" s="35" t="str">
        <v>nine</v>
      </c>
    </row>
    <row r="236" spans="3:14" x14ac:dyDescent="0.3">
      <c r="C236" s="40" t="str">
        <v>X-010</v>
      </c>
      <c r="D236" s="37">
        <v>10</v>
      </c>
      <c r="E236" s="40" t="str">
        <v>X-011</v>
      </c>
      <c r="G236" s="35" t="str">
        <v>X-010</v>
      </c>
      <c r="H236" s="35" t="str">
        <v>JJJ</v>
      </c>
      <c r="I236" s="35">
        <v>10</v>
      </c>
      <c r="J236" s="35" t="str">
        <v>)</v>
      </c>
      <c r="K236" s="35" t="str">
        <v>X-010</v>
      </c>
      <c r="L236" s="35">
        <v>10</v>
      </c>
      <c r="M236" s="35" t="str">
        <v>)</v>
      </c>
      <c r="N236" s="35" t="str">
        <v>ten</v>
      </c>
    </row>
    <row r="237" spans="3:14" x14ac:dyDescent="0.3">
      <c r="G237" s="35" t="e">
        <v>#N/A</v>
      </c>
      <c r="H237" s="35" t="e">
        <v>#N/A</v>
      </c>
      <c r="I237" s="35" t="e">
        <v>#N/A</v>
      </c>
      <c r="J237" s="35" t="e">
        <v>#N/A</v>
      </c>
      <c r="K237" s="35" t="str">
        <v>X-012</v>
      </c>
      <c r="L237" s="35">
        <v>12</v>
      </c>
      <c r="M237" s="35" t="str">
        <v>@</v>
      </c>
      <c r="N237" s="35" t="str">
        <v>twelve</v>
      </c>
    </row>
    <row r="238" spans="3:14" x14ac:dyDescent="0.3">
      <c r="G238" s="35" t="e">
        <v>#N/A</v>
      </c>
      <c r="H238" s="35" t="e">
        <v>#N/A</v>
      </c>
      <c r="I238" s="35" t="e">
        <v>#N/A</v>
      </c>
      <c r="J238" s="35" t="e">
        <v>#N/A</v>
      </c>
      <c r="K238" s="35" t="str">
        <v>X-011</v>
      </c>
      <c r="L238" s="35">
        <v>11</v>
      </c>
      <c r="M238" s="35" t="str">
        <v>~</v>
      </c>
      <c r="N238" s="35" t="str">
        <v>eleven</v>
      </c>
    </row>
    <row r="239" spans="3:14" x14ac:dyDescent="0.3">
      <c r="G239" s="39" t="str" cm="1">
        <f t="array" aca="1" ref="G239:G273" ca="1" xml:space="preserve"> _xlfn.TEXTSPLIT( _xlfn.FORMULATEXT(G227), , CHAR(10))</f>
        <v>= LET(</v>
      </c>
    </row>
    <row r="240" spans="3:14" x14ac:dyDescent="0.3">
      <c r="G240" s="39" t="str">
        <f ca="1"/>
        <v xml:space="preserve">  _arr1, $K$12:$N$21,</v>
      </c>
    </row>
    <row r="241" spans="7:7" x14ac:dyDescent="0.3">
      <c r="G241" s="39" t="str">
        <f ca="1"/>
        <v xml:space="preserve">  _arr2, $P$12:$S$21,</v>
      </c>
    </row>
    <row r="242" spans="7:7" x14ac:dyDescent="0.3">
      <c r="G242" s="39" t="str">
        <f ca="1"/>
        <v xml:space="preserve">  _idx1, 1,</v>
      </c>
    </row>
    <row r="243" spans="7:7" x14ac:dyDescent="0.3">
      <c r="G243" s="39" t="str">
        <f ca="1"/>
        <v xml:space="preserve">  _idx2, 1,</v>
      </c>
    </row>
    <row r="244" spans="7:7" x14ac:dyDescent="0.3">
      <c r="G244" s="39" t="str">
        <f ca="1"/>
        <v xml:space="preserve">  join_type, $H$224,</v>
      </c>
    </row>
    <row r="245" spans="7:7" x14ac:dyDescent="0.3">
      <c r="G245" s="39" t="str">
        <f ca="1"/>
        <v xml:space="preserve">  _inpT, IF( ISBLANK(join_type), 0, INT(join_type)),</v>
      </c>
    </row>
    <row r="246" spans="7:7" x14ac:dyDescent="0.3">
      <c r="G246" s="39" t="str">
        <f ca="1"/>
        <v xml:space="preserve">  _typ, IF( ISNUMBER(_inpT), _inpT + 1,</v>
      </c>
    </row>
    <row r="247" spans="7:7" x14ac:dyDescent="0.3">
      <c r="G247" s="39" t="str">
        <f ca="1"/>
        <v xml:space="preserve">    IFNA( MATCH( LOWER(join_type), {"left","right","inner","full"}, 0), -1)</v>
      </c>
    </row>
    <row r="248" spans="7:7" x14ac:dyDescent="0.3">
      <c r="G248" s="39" t="str">
        <f ca="1"/>
        <v xml:space="preserve">  ),</v>
      </c>
    </row>
    <row r="249" spans="7:7" x14ac:dyDescent="0.3">
      <c r="G249" s="39" t="str">
        <f ca="1"/>
        <v xml:space="preserve">  _inpChk, IF( OR(_typ &lt; 1, _typ &gt; 4), 2, 1),</v>
      </c>
    </row>
    <row r="250" spans="7:7" x14ac:dyDescent="0.3">
      <c r="G250" s="39" t="str">
        <f ca="1"/>
        <v xml:space="preserve">  _uId1, CHOOSECOLS(_arr1, _idx1),</v>
      </c>
    </row>
    <row r="251" spans="7:7" x14ac:dyDescent="0.3">
      <c r="G251" s="39" t="str">
        <f ca="1"/>
        <v xml:space="preserve">  _uId2, CHOOSECOLS(_arr2, _idx2),</v>
      </c>
    </row>
    <row r="252" spans="7:7" x14ac:dyDescent="0.3">
      <c r="G252" s="39" t="str">
        <f ca="1"/>
        <v xml:space="preserve">  _cc1, COLUMNS(_arr1),</v>
      </c>
    </row>
    <row r="253" spans="7:7" x14ac:dyDescent="0.3">
      <c r="G253" s="39" t="str">
        <f ca="1"/>
        <v xml:space="preserve">  _cc2, COLUMNS(_arr2),</v>
      </c>
    </row>
    <row r="254" spans="7:7" x14ac:dyDescent="0.3">
      <c r="G254" s="39" t="str">
        <f ca="1"/>
        <v xml:space="preserve">  _mtch, DROP(REDUCE(0, _uId1, LAMBDA(_acc,_val, VSTACK(_acc, IFNA(MATCH(_val, _uId2, 0), 0)))), 1),</v>
      </c>
    </row>
    <row r="255" spans="7:7" x14ac:dyDescent="0.3">
      <c r="G255" s="39" t="str">
        <f ca="1"/>
        <v xml:space="preserve">  _blnk, MAKEARRAY(1, _cc2, LAMBDA(_r,_c, NA())),</v>
      </c>
    </row>
    <row r="256" spans="7:7" x14ac:dyDescent="0.3">
      <c r="G256" s="39" t="str">
        <f ca="1"/>
        <v xml:space="preserve">  _arrN, DROP(REDUCE(0, _mtch, LAMBDA(_acc,_val, VSTACK(_acc, IF(_val = 0, _blnk, INDEX(_arr2, _val, SEQUENCE(1, _cc2)))))), 1),</v>
      </c>
    </row>
    <row r="257" spans="7:7" x14ac:dyDescent="0.3">
      <c r="G257" s="39" t="str">
        <f ca="1"/>
        <v xml:space="preserve">  _arrR, LET(</v>
      </c>
    </row>
    <row r="258" spans="7:7" x14ac:dyDescent="0.3">
      <c r="G258" s="39" t="str">
        <f ca="1"/>
        <v xml:space="preserve">    _fltr, SCAN(0, SEQUENCE( ROWS(_arr2), 1), LAMBDA(_acc,_val, IF( ISNA(MATCH(_val, _mtch, 0)), 1, 0))),</v>
      </c>
    </row>
    <row r="259" spans="7:7" x14ac:dyDescent="0.3">
      <c r="G259" s="39" t="str">
        <f ca="1"/>
        <v xml:space="preserve">    _arr, FILTER(_arr2, _fltr = 1, NA()),</v>
      </c>
    </row>
    <row r="260" spans="7:7" x14ac:dyDescent="0.3">
      <c r="G260" s="39" t="str">
        <f ca="1"/>
        <v xml:space="preserve">    _blnk, MAKEARRAY( ROWS(_arr), _cc1, LAMBDA(_r,_c, NA())),</v>
      </c>
    </row>
    <row r="261" spans="7:7" x14ac:dyDescent="0.3">
      <c r="G261" s="39" t="str">
        <f ca="1"/>
        <v xml:space="preserve">    HSTACK(_blnk, _arr)</v>
      </c>
    </row>
    <row r="262" spans="7:7" x14ac:dyDescent="0.3">
      <c r="G262" s="39" t="str">
        <f ca="1"/>
        <v xml:space="preserve">  ),</v>
      </c>
    </row>
    <row r="263" spans="7:7" x14ac:dyDescent="0.3">
      <c r="G263" s="39" t="str">
        <f ca="1"/>
        <v xml:space="preserve">  _arrC, HSTACK(_arr1, _arrN),</v>
      </c>
    </row>
    <row r="264" spans="7:7" x14ac:dyDescent="0.3">
      <c r="G264" s="39" t="str">
        <f ca="1"/>
        <v xml:space="preserve">  _arrL, IF( OR(_typ = 2, _typ = 3),</v>
      </c>
    </row>
    <row r="265" spans="7:7" x14ac:dyDescent="0.3">
      <c r="G265" s="39" t="str">
        <f ca="1"/>
        <v xml:space="preserve">    FILTER(_arrC, _mtch &lt;&gt; 0, NA()),</v>
      </c>
    </row>
    <row r="266" spans="7:7" x14ac:dyDescent="0.3">
      <c r="G266" s="39" t="str">
        <f ca="1"/>
        <v xml:space="preserve">    _arrC</v>
      </c>
    </row>
    <row r="267" spans="7:7" x14ac:dyDescent="0.3">
      <c r="G267" s="39" t="str">
        <f ca="1"/>
        <v xml:space="preserve">  ),</v>
      </c>
    </row>
    <row r="268" spans="7:7" x14ac:dyDescent="0.3">
      <c r="G268" s="39" t="str">
        <f ca="1"/>
        <v xml:space="preserve">  _rtn, IF( MOD(_typ, 2) = 0,</v>
      </c>
    </row>
    <row r="269" spans="7:7" x14ac:dyDescent="0.3">
      <c r="G269" s="39" t="str">
        <f ca="1"/>
        <v xml:space="preserve">    VSTACK(_arrL, _arrR),</v>
      </c>
    </row>
    <row r="270" spans="7:7" x14ac:dyDescent="0.3">
      <c r="G270" s="39" t="str">
        <f ca="1"/>
        <v xml:space="preserve">    _arrL</v>
      </c>
    </row>
    <row r="271" spans="7:7" x14ac:dyDescent="0.3">
      <c r="G271" s="39" t="str">
        <f ca="1"/>
        <v xml:space="preserve">  ),</v>
      </c>
    </row>
    <row r="272" spans="7:7" x14ac:dyDescent="0.3">
      <c r="G272" s="39" t="str">
        <f ca="1"/>
        <v xml:space="preserve">  CHOOSE(_inpChk, _rtn, #VALUE!)</v>
      </c>
    </row>
    <row r="273" spans="2:15" x14ac:dyDescent="0.3">
      <c r="G273" s="39" t="str">
        <f ca="1"/>
        <v>)</v>
      </c>
    </row>
    <row r="275" spans="2:15" x14ac:dyDescent="0.3">
      <c r="B275" s="16" t="str" cm="1">
        <f t="array" ref="B275" xml:space="preserve"> "(" &amp; _xlfn.UNICHAR( 65 + SUMPRODUCT(--(_xlfn.REGEXTEST(B$1:B274, "^\([A-Z]\)$")))) &amp; ")"</f>
        <v>(I)</v>
      </c>
      <c r="C275" s="2" t="s">
        <v>156</v>
      </c>
    </row>
    <row r="276" spans="2:15" x14ac:dyDescent="0.3">
      <c r="C276" s="2" t="s">
        <v>163</v>
      </c>
    </row>
    <row r="278" spans="2:15" x14ac:dyDescent="0.3">
      <c r="C278" s="29">
        <v>1</v>
      </c>
      <c r="E278" s="29">
        <v>1</v>
      </c>
      <c r="G278" s="48" t="s">
        <v>157</v>
      </c>
      <c r="H278" s="44">
        <v>3</v>
      </c>
    </row>
    <row r="279" spans="2:15" x14ac:dyDescent="0.3">
      <c r="C279" s="51" t="s">
        <v>17</v>
      </c>
      <c r="E279" s="51" t="s">
        <v>16</v>
      </c>
      <c r="G279" t="s">
        <v>138</v>
      </c>
    </row>
    <row r="280" spans="2:15" ht="14.4" thickBot="1" x14ac:dyDescent="0.35">
      <c r="C280" s="32" t="s">
        <v>76</v>
      </c>
      <c r="E280" s="32" t="s">
        <v>76</v>
      </c>
      <c r="G280" s="32" t="s">
        <v>76</v>
      </c>
      <c r="H280" s="32" t="s">
        <v>9</v>
      </c>
      <c r="I280" s="32" t="s">
        <v>10</v>
      </c>
      <c r="J280" s="32" t="s">
        <v>11</v>
      </c>
      <c r="K280" s="32" t="s">
        <v>76</v>
      </c>
      <c r="L280" s="32" t="s">
        <v>106</v>
      </c>
      <c r="M280" s="32" t="s">
        <v>116</v>
      </c>
      <c r="N280" s="32" t="s">
        <v>117</v>
      </c>
    </row>
    <row r="281" spans="2:15" x14ac:dyDescent="0.3">
      <c r="C281" s="40" t="str" cm="1">
        <f t="array" ref="C281:C290" xml:space="preserve"> _xlfn.CHOOSECOLS($K$12:$N$21, $C$278)</f>
        <v>X-001</v>
      </c>
      <c r="D281" s="37">
        <v>1</v>
      </c>
      <c r="E281" s="40" t="str" cm="1">
        <f t="array" ref="E281:E290" xml:space="preserve"> _xlfn.CHOOSECOLS($P$12:$S$21, $E$278)</f>
        <v>X-009</v>
      </c>
      <c r="G281" s="35" t="str" cm="1">
        <f t="array" ref="G281:N292" xml:space="preserve"> _xlfn.LET(
  _xlpm._arr1, $K$12:$N$21,
  _xlpm._arr2, $P$12:$S$21,
  _xlpm._idx1, $C$278,
  _xlpm._idx2, $E$278,
  _xlpm.join_type, $H$278,
  _xlpm._inpT, IF( ISBLANK(_xlpm.join_type), 0, INT(_xlpm.join_type)),
  _xlpm._typ, IF( ISNUMBER(_xlpm._inpT), _xlpm._inpT + 1,
    _xlfn.IFNA( MATCH( LOWER(_xlpm.join_type), {"left","right","inner","full"}, 0), -1)
  ),
  _xlpm._inpChk, IF( OR(_xlpm._typ &lt; 1, _xlpm._typ &gt; 4), 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_xlpm._arrR, _xlfn.LET(
    _xlpm._fltr, _xlfn.SCAN(0, _xlfn.SEQUENCE( ROWS(_xlpm._arr2), 1), _xlfn.LAMBDA(_xlpm._acc,_xlpm._val, IF( ISNA(MATCH(_xlpm._val, _xlpm._mtch, 0)), 1, 0))),
    _xlpm._arr, _xlfn._xlws.FILTER(_xlpm._arr2, _xlpm._fltr = 1, "#[Empty]"),
    _xlpm._blnk, _xlfn.MAKEARRAY( ROWS(_xlpm._arr), _xlpm._cc1, _xlfn.LAMBDA(_xlpm._r,_xlpm._c, NA())),
    _xlfn.HSTACK(_xlpm._blnk, _xlpm._arr)
  ),
  _xlpm._arrC, _xlfn.HSTACK(_xlpm._arr1, _xlpm._arrN),
  _xlpm._arrL, IF( OR(_xlpm._typ = 2, _xlpm._typ = 3),
    _xlfn._xlws.FILTER(_xlpm._arrC, _xlpm._mtch &lt;&gt; 0, "#[Empty]"),
    _xlpm._arrC
  ),
  _xlpm._rtn, CHOOSE(_xlpm._typ,
    _xlpm._arrL,
    IF( INDEX(_xlpm._arrL, 1, 1) = "#[Empty]",
      _xlpm._arrR,
      IF( INDEX(_xlpm._arrR, 1, _xlpm._cc1 + 1) = "#[Empty]",
        _xlpm._arrL,
        _xlfn.VSTACK(_xlpm._arrL, _xlpm._arrR)
      )
    ),
    IF( INDEX(_xlpm._arrL, 1, 1) = "#[Empty]",
      _xlfn.MAKEARRAY(1, _xlpm._cc1 + _xlpm._cc2, _xlfn.LAMBDA(_xlpm._r,_xlpm._c, NA())),
      _xlpm._arrL
    ),
    IF( INDEX(_xlpm._arrR, 1, _xlpm._cc1 + 1) = "#[Empty]",
      _xlpm._arrL,
      _xlfn.VSTACK(_xlpm._arrL, _xlpm._arrR)
    )
  ),
  CHOOSE(_xlpm._inpChk, _xlpm._rtn, #VALUE!)
)</f>
        <v>X-001</v>
      </c>
      <c r="H281" s="35" t="str">
        <v>AAA</v>
      </c>
      <c r="I281" s="35">
        <v>1</v>
      </c>
      <c r="J281" s="35" t="str">
        <v>!</v>
      </c>
      <c r="K281" s="35" t="str">
        <v>X-001</v>
      </c>
      <c r="L281" s="35">
        <v>1</v>
      </c>
      <c r="M281" s="35" t="str">
        <v>!</v>
      </c>
      <c r="N281" s="35" t="str">
        <v>one</v>
      </c>
      <c r="O281" s="39" t="str" cm="1">
        <f t="array" aca="1" ref="O281:O329" ca="1" xml:space="preserve"> _xlfn.TEXTSPLIT( _xlfn.FORMULATEXT(G281), , CHAR(10))</f>
        <v>= LET(</v>
      </c>
    </row>
    <row r="282" spans="2:15" x14ac:dyDescent="0.3">
      <c r="C282" s="40" t="str">
        <v>X-002</v>
      </c>
      <c r="D282" s="37">
        <v>2</v>
      </c>
      <c r="E282" s="40" t="str">
        <v>X-007</v>
      </c>
      <c r="G282" s="35" t="str">
        <v>X-002</v>
      </c>
      <c r="H282" s="35" t="str">
        <v>BBB</v>
      </c>
      <c r="I282" s="35">
        <v>2</v>
      </c>
      <c r="J282" s="35" t="str">
        <v>"</v>
      </c>
      <c r="K282" s="35" t="str">
        <v>X-002</v>
      </c>
      <c r="L282" s="35">
        <v>2</v>
      </c>
      <c r="M282" s="35" t="str">
        <v>"</v>
      </c>
      <c r="N282" s="35" t="str">
        <v>two</v>
      </c>
      <c r="O282" s="39" t="str">
        <f ca="1"/>
        <v xml:space="preserve">  _arr1, $K$12:$N$21,</v>
      </c>
    </row>
    <row r="283" spans="2:15" x14ac:dyDescent="0.3">
      <c r="C283" s="40" t="str">
        <v>X-003</v>
      </c>
      <c r="D283" s="37">
        <v>3</v>
      </c>
      <c r="E283" s="40" t="str">
        <v>X-010</v>
      </c>
      <c r="G283" s="35" t="str">
        <v>X-003</v>
      </c>
      <c r="H283" s="35" t="str">
        <v>CCC</v>
      </c>
      <c r="I283" s="35">
        <v>3</v>
      </c>
      <c r="J283" s="35" t="str">
        <v>£</v>
      </c>
      <c r="K283" s="35" t="e">
        <v>#N/A</v>
      </c>
      <c r="L283" s="35" t="e">
        <v>#N/A</v>
      </c>
      <c r="M283" s="35" t="e">
        <v>#N/A</v>
      </c>
      <c r="N283" s="35" t="e">
        <v>#N/A</v>
      </c>
      <c r="O283" s="39" t="str">
        <f ca="1"/>
        <v xml:space="preserve">  _arr2, $P$12:$S$21,</v>
      </c>
    </row>
    <row r="284" spans="2:15" x14ac:dyDescent="0.3">
      <c r="C284" s="40" t="str">
        <v>X-004</v>
      </c>
      <c r="D284" s="37">
        <v>4</v>
      </c>
      <c r="E284" s="40" t="str">
        <v>X-002</v>
      </c>
      <c r="G284" s="35" t="str">
        <v>X-004</v>
      </c>
      <c r="H284" s="35" t="str">
        <v>DDD</v>
      </c>
      <c r="I284" s="35">
        <v>4</v>
      </c>
      <c r="J284" s="35" t="str">
        <v>$</v>
      </c>
      <c r="K284" s="35" t="str">
        <v>X-004</v>
      </c>
      <c r="L284" s="35">
        <v>4</v>
      </c>
      <c r="M284" s="35" t="str">
        <v>$</v>
      </c>
      <c r="N284" s="35" t="str">
        <v>four</v>
      </c>
      <c r="O284" s="39" t="str">
        <f ca="1"/>
        <v xml:space="preserve">  _idx1, $C$278,</v>
      </c>
    </row>
    <row r="285" spans="2:15" x14ac:dyDescent="0.3">
      <c r="C285" s="40" t="str">
        <v>X-005</v>
      </c>
      <c r="D285" s="37">
        <v>5</v>
      </c>
      <c r="E285" s="40" t="str">
        <v>X-004</v>
      </c>
      <c r="G285" s="35" t="str">
        <v>X-005</v>
      </c>
      <c r="H285" s="35" t="str">
        <v>EEE</v>
      </c>
      <c r="I285" s="35">
        <v>5</v>
      </c>
      <c r="J285" s="35" t="str">
        <v>%</v>
      </c>
      <c r="K285" s="35" t="e">
        <v>#N/A</v>
      </c>
      <c r="L285" s="35" t="e">
        <v>#N/A</v>
      </c>
      <c r="M285" s="35" t="e">
        <v>#N/A</v>
      </c>
      <c r="N285" s="35" t="e">
        <v>#N/A</v>
      </c>
      <c r="O285" s="39" t="str">
        <f ca="1"/>
        <v xml:space="preserve">  _idx2, $E$278,</v>
      </c>
    </row>
    <row r="286" spans="2:15" x14ac:dyDescent="0.3">
      <c r="C286" s="40" t="str">
        <v>X-006</v>
      </c>
      <c r="D286" s="37">
        <v>6</v>
      </c>
      <c r="E286" s="40" t="str">
        <v>X-008</v>
      </c>
      <c r="G286" s="35" t="str">
        <v>X-006</v>
      </c>
      <c r="H286" s="35" t="str">
        <v>FFF</v>
      </c>
      <c r="I286" s="35">
        <v>6</v>
      </c>
      <c r="J286" s="35" t="str">
        <v>^</v>
      </c>
      <c r="K286" s="35" t="str">
        <v>X-006</v>
      </c>
      <c r="L286" s="35">
        <v>6</v>
      </c>
      <c r="M286" s="35" t="str">
        <v>^</v>
      </c>
      <c r="N286" s="35" t="str">
        <v>six</v>
      </c>
      <c r="O286" s="39" t="str">
        <f ca="1"/>
        <v xml:space="preserve">  join_type, $H$278,</v>
      </c>
    </row>
    <row r="287" spans="2:15" x14ac:dyDescent="0.3">
      <c r="C287" s="40" t="str">
        <v>X-007</v>
      </c>
      <c r="D287" s="37">
        <v>7</v>
      </c>
      <c r="E287" s="40" t="str">
        <v>X-012</v>
      </c>
      <c r="G287" s="35" t="str">
        <v>X-007</v>
      </c>
      <c r="H287" s="35" t="str">
        <v>GGG</v>
      </c>
      <c r="I287" s="35">
        <v>7</v>
      </c>
      <c r="J287" s="35" t="str">
        <v>&amp;</v>
      </c>
      <c r="K287" s="35" t="str">
        <v>X-007</v>
      </c>
      <c r="L287" s="35">
        <v>7</v>
      </c>
      <c r="M287" s="35" t="str">
        <v>&amp;</v>
      </c>
      <c r="N287" s="35" t="str">
        <v>seven</v>
      </c>
      <c r="O287" s="39" t="str">
        <f ca="1"/>
        <v xml:space="preserve">  _inpT, IF( ISBLANK(join_type), 0, INT(join_type)),</v>
      </c>
    </row>
    <row r="288" spans="2:15" x14ac:dyDescent="0.3">
      <c r="C288" s="40" t="str">
        <v>X-008</v>
      </c>
      <c r="D288" s="37">
        <v>8</v>
      </c>
      <c r="E288" s="40" t="str">
        <v>X-001</v>
      </c>
      <c r="G288" s="35" t="str">
        <v>X-008</v>
      </c>
      <c r="H288" s="35" t="str">
        <v>HHH</v>
      </c>
      <c r="I288" s="35">
        <v>8</v>
      </c>
      <c r="J288" s="35" t="str">
        <v>*</v>
      </c>
      <c r="K288" s="35" t="str">
        <v>X-008</v>
      </c>
      <c r="L288" s="35">
        <v>8</v>
      </c>
      <c r="M288" s="35" t="str">
        <v>*</v>
      </c>
      <c r="N288" s="35" t="str">
        <v>eight</v>
      </c>
      <c r="O288" s="39" t="str">
        <f ca="1"/>
        <v xml:space="preserve">  _typ, IF( ISNUMBER(_inpT), _inpT + 1,</v>
      </c>
    </row>
    <row r="289" spans="3:15" x14ac:dyDescent="0.3">
      <c r="C289" s="40" t="str">
        <v>X-009</v>
      </c>
      <c r="D289" s="37">
        <v>9</v>
      </c>
      <c r="E289" s="40" t="str">
        <v>X-006</v>
      </c>
      <c r="G289" s="35" t="str">
        <v>X-009</v>
      </c>
      <c r="H289" s="35" t="str">
        <v>III</v>
      </c>
      <c r="I289" s="35">
        <v>9</v>
      </c>
      <c r="J289" s="35" t="str">
        <v>(</v>
      </c>
      <c r="K289" s="35" t="str">
        <v>X-009</v>
      </c>
      <c r="L289" s="35">
        <v>9</v>
      </c>
      <c r="M289" s="35" t="str">
        <v>(</v>
      </c>
      <c r="N289" s="35" t="str">
        <v>nine</v>
      </c>
      <c r="O289" s="39" t="str">
        <f ca="1"/>
        <v xml:space="preserve">    IFNA( MATCH( LOWER(join_type), {"left","right","inner","full"}, 0), -1)</v>
      </c>
    </row>
    <row r="290" spans="3:15" x14ac:dyDescent="0.3">
      <c r="C290" s="40" t="str">
        <v>X-010</v>
      </c>
      <c r="D290" s="37">
        <v>10</v>
      </c>
      <c r="E290" s="40" t="str">
        <v>X-011</v>
      </c>
      <c r="G290" s="35" t="str">
        <v>X-010</v>
      </c>
      <c r="H290" s="35" t="str">
        <v>JJJ</v>
      </c>
      <c r="I290" s="35">
        <v>10</v>
      </c>
      <c r="J290" s="35" t="str">
        <v>)</v>
      </c>
      <c r="K290" s="35" t="str">
        <v>X-010</v>
      </c>
      <c r="L290" s="35">
        <v>10</v>
      </c>
      <c r="M290" s="35" t="str">
        <v>)</v>
      </c>
      <c r="N290" s="35" t="str">
        <v>ten</v>
      </c>
      <c r="O290" s="39" t="str">
        <f ca="1"/>
        <v xml:space="preserve">  ),</v>
      </c>
    </row>
    <row r="291" spans="3:15" x14ac:dyDescent="0.3">
      <c r="G291" s="35" t="e">
        <v>#N/A</v>
      </c>
      <c r="H291" s="35" t="e">
        <v>#N/A</v>
      </c>
      <c r="I291" s="35" t="e">
        <v>#N/A</v>
      </c>
      <c r="J291" s="35" t="e">
        <v>#N/A</v>
      </c>
      <c r="K291" s="35" t="str">
        <v>X-012</v>
      </c>
      <c r="L291" s="35">
        <v>12</v>
      </c>
      <c r="M291" s="35" t="str">
        <v>@</v>
      </c>
      <c r="N291" s="35" t="str">
        <v>twelve</v>
      </c>
      <c r="O291" s="39" t="str">
        <f ca="1"/>
        <v xml:space="preserve">  _inpChk, IF( OR(_typ &lt; 1, _typ &gt; 4), 2, 1),</v>
      </c>
    </row>
    <row r="292" spans="3:15" x14ac:dyDescent="0.3">
      <c r="G292" s="35" t="e">
        <v>#N/A</v>
      </c>
      <c r="H292" s="35" t="e">
        <v>#N/A</v>
      </c>
      <c r="I292" s="35" t="e">
        <v>#N/A</v>
      </c>
      <c r="J292" s="35" t="e">
        <v>#N/A</v>
      </c>
      <c r="K292" s="35" t="str">
        <v>X-011</v>
      </c>
      <c r="L292" s="35">
        <v>11</v>
      </c>
      <c r="M292" s="35" t="str">
        <v>~</v>
      </c>
      <c r="N292" s="35" t="str">
        <v>eleven</v>
      </c>
      <c r="O292" s="39" t="str">
        <f ca="1"/>
        <v xml:space="preserve">  _uId1, CHOOSECOLS(_arr1, _idx1),</v>
      </c>
    </row>
    <row r="293" spans="3:15" x14ac:dyDescent="0.3">
      <c r="G293" s="35"/>
      <c r="H293" s="35"/>
      <c r="I293" s="35"/>
      <c r="J293" s="35"/>
      <c r="K293" s="35"/>
      <c r="L293" s="35"/>
      <c r="M293" s="35"/>
      <c r="N293" s="35"/>
      <c r="O293" s="39" t="str">
        <f ca="1"/>
        <v xml:space="preserve">  _uId2, CHOOSECOLS(_arr2, _idx2),</v>
      </c>
    </row>
    <row r="294" spans="3:15" x14ac:dyDescent="0.3">
      <c r="G294" s="35"/>
      <c r="H294" s="35"/>
      <c r="I294" s="35"/>
      <c r="J294" s="35"/>
      <c r="K294" s="35"/>
      <c r="L294" s="35"/>
      <c r="M294" s="35"/>
      <c r="N294" s="35"/>
      <c r="O294" s="39" t="str">
        <f ca="1"/>
        <v xml:space="preserve">  _cc1, COLUMNS(_arr1),</v>
      </c>
    </row>
    <row r="295" spans="3:15" x14ac:dyDescent="0.3">
      <c r="G295" s="35"/>
      <c r="H295" s="35"/>
      <c r="I295" s="35"/>
      <c r="J295" s="35"/>
      <c r="K295" s="35"/>
      <c r="L295" s="35"/>
      <c r="M295" s="35"/>
      <c r="N295" s="35"/>
      <c r="O295" s="39" t="str">
        <f ca="1"/>
        <v xml:space="preserve">  _cc2, COLUMNS(_arr2),</v>
      </c>
    </row>
    <row r="296" spans="3:15" x14ac:dyDescent="0.3">
      <c r="G296" s="35"/>
      <c r="H296" s="35"/>
      <c r="I296" s="35"/>
      <c r="J296" s="35"/>
      <c r="K296" s="35"/>
      <c r="L296" s="35"/>
      <c r="M296" s="35"/>
      <c r="N296" s="35"/>
      <c r="O296" s="39" t="str">
        <f ca="1"/>
        <v xml:space="preserve">  _mtch, DROP(REDUCE(0, _uId1, LAMBDA(_acc,_val, VSTACK(_acc, IFNA(MATCH(_val, _uId2, 0), 0)))), 1),</v>
      </c>
    </row>
    <row r="297" spans="3:15" x14ac:dyDescent="0.3">
      <c r="G297" s="35"/>
      <c r="H297" s="35"/>
      <c r="I297" s="35"/>
      <c r="J297" s="35"/>
      <c r="K297" s="35"/>
      <c r="L297" s="35"/>
      <c r="M297" s="35"/>
      <c r="N297" s="35"/>
      <c r="O297" s="39" t="str">
        <f ca="1"/>
        <v xml:space="preserve">  _blnk, MAKEARRAY(1, _cc2, LAMBDA(_r,_c, NA())),</v>
      </c>
    </row>
    <row r="298" spans="3:15" x14ac:dyDescent="0.3">
      <c r="G298" s="35"/>
      <c r="H298" s="35"/>
      <c r="I298" s="35"/>
      <c r="J298" s="35"/>
      <c r="K298" s="35"/>
      <c r="L298" s="35"/>
      <c r="M298" s="35"/>
      <c r="N298" s="35"/>
      <c r="O298" s="39" t="str">
        <f ca="1"/>
        <v xml:space="preserve">  _arrN, DROP(REDUCE(0, _mtch, LAMBDA(_acc,_val, VSTACK(_acc, IF(_val = 0, _blnk, INDEX(_arr2, _val, SEQUENCE(1, _cc2)))))), 1),</v>
      </c>
    </row>
    <row r="299" spans="3:15" x14ac:dyDescent="0.3">
      <c r="G299" s="35"/>
      <c r="H299" s="35"/>
      <c r="I299" s="35"/>
      <c r="J299" s="35"/>
      <c r="K299" s="35"/>
      <c r="L299" s="35"/>
      <c r="M299" s="35"/>
      <c r="N299" s="35"/>
      <c r="O299" s="39" t="str">
        <f ca="1"/>
        <v xml:space="preserve">  _arrR, LET(</v>
      </c>
    </row>
    <row r="300" spans="3:15" x14ac:dyDescent="0.3">
      <c r="G300" s="35"/>
      <c r="H300" s="35"/>
      <c r="I300" s="35"/>
      <c r="J300" s="35"/>
      <c r="K300" s="35"/>
      <c r="L300" s="35"/>
      <c r="M300" s="35"/>
      <c r="N300" s="35"/>
      <c r="O300" s="39" t="str">
        <f ca="1"/>
        <v xml:space="preserve">    _fltr, SCAN(0, SEQUENCE( ROWS(_arr2), 1), LAMBDA(_acc,_val, IF( ISNA(MATCH(_val, _mtch, 0)), 1, 0))),</v>
      </c>
    </row>
    <row r="301" spans="3:15" x14ac:dyDescent="0.3">
      <c r="O301" s="39" t="str">
        <f ca="1"/>
        <v xml:space="preserve">    _arr, FILTER(_arr2, _fltr = 1, "#[Empty]"),</v>
      </c>
    </row>
    <row r="302" spans="3:15" x14ac:dyDescent="0.3">
      <c r="O302" s="39" t="str">
        <f ca="1"/>
        <v xml:space="preserve">    _blnk, MAKEARRAY( ROWS(_arr), _cc1, LAMBDA(_r,_c, NA())),</v>
      </c>
    </row>
    <row r="303" spans="3:15" x14ac:dyDescent="0.3">
      <c r="C303" s="29">
        <v>1</v>
      </c>
      <c r="E303" s="29">
        <v>1</v>
      </c>
      <c r="G303" s="48" t="s">
        <v>157</v>
      </c>
      <c r="H303" s="44">
        <v>3</v>
      </c>
      <c r="O303" s="39" t="str">
        <f ca="1"/>
        <v xml:space="preserve">    HSTACK(_blnk, _arr)</v>
      </c>
    </row>
    <row r="304" spans="3:15" x14ac:dyDescent="0.3">
      <c r="C304" s="51" t="s">
        <v>17</v>
      </c>
      <c r="E304" s="51" t="s">
        <v>16</v>
      </c>
      <c r="G304" t="s">
        <v>138</v>
      </c>
      <c r="O304" s="39" t="str">
        <f ca="1"/>
        <v xml:space="preserve">  ),</v>
      </c>
    </row>
    <row r="305" spans="3:15" ht="14.4" thickBot="1" x14ac:dyDescent="0.35">
      <c r="C305" s="32" t="s">
        <v>76</v>
      </c>
      <c r="E305" s="32" t="s">
        <v>76</v>
      </c>
      <c r="G305" s="32" t="s">
        <v>76</v>
      </c>
      <c r="H305" s="32" t="s">
        <v>9</v>
      </c>
      <c r="I305" s="32" t="s">
        <v>10</v>
      </c>
      <c r="J305" s="32" t="s">
        <v>11</v>
      </c>
      <c r="K305" s="32" t="s">
        <v>76</v>
      </c>
      <c r="L305" s="32" t="s">
        <v>106</v>
      </c>
      <c r="M305" s="32" t="s">
        <v>116</v>
      </c>
      <c r="N305" s="32" t="s">
        <v>117</v>
      </c>
      <c r="O305" s="39" t="str">
        <f ca="1"/>
        <v xml:space="preserve">  _arrC, HSTACK(_arr1, _arrN),</v>
      </c>
    </row>
    <row r="306" spans="3:15" x14ac:dyDescent="0.3">
      <c r="C306" s="40" t="str" cm="1">
        <f t="array" ref="C306:C315" xml:space="preserve"> _xlfn.CHOOSECOLS($K$12:$N$21, $C$303)</f>
        <v>X-001</v>
      </c>
      <c r="D306" s="37">
        <v>1</v>
      </c>
      <c r="E306" s="40" t="str" cm="1">
        <f t="array" ref="E306:E311" xml:space="preserve"> _xlfn.CHOOSECOLS($P$12:$S$17, $E$303)</f>
        <v>X-009</v>
      </c>
      <c r="G306" s="35" t="str" cm="1">
        <f t="array" ref="G306:N315" xml:space="preserve"> _xlfn.LET(
  _xlpm._arr1, $K$12:$N$21,
  _xlpm._arr2, $P$12:$S$17,
  _xlpm._idx1, $C$303,
  _xlpm._idx2, $E$303,
  _xlpm.join_type, $H$303,
  _xlpm._inpT, IF( ISBLANK(_xlpm.join_type), 0, INT(_xlpm.join_type)),
  _xlpm._typ, IF( ISNUMBER(_xlpm._inpT), _xlpm._inpT + 1,
    _xlfn.IFNA( MATCH( LOWER(_xlpm.join_type), {"left","right","inner","full"}, 0), -1)
  ),
  _xlpm._inpChk, IF( OR(_xlpm._typ &lt; 1, _xlpm._typ &gt; 4), 2, 1),
  _xlpm._uId1, _xlfn.CHOOSECOLS(_xlpm._arr1, _xlpm._idx1),
  _xlpm._uId2, _xlfn.CHOOSECOLS(_xlpm._arr2, _xlpm._idx2),
  _xlpm._cc1, COLUMNS(_xlpm._arr1),
  _xlpm._cc2, COLUMNS(_xlpm._arr2),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INDEX(_xlpm._arr2, _xlpm._val, _xlfn.SEQUENCE(1, _xlpm._cc2)))))), 1),
  _xlpm._arrR, _xlfn.LET(
    _xlpm._fltr, _xlfn.SCAN(0, _xlfn.SEQUENCE( ROWS(_xlpm._arr2), 1), _xlfn.LAMBDA(_xlpm._acc,_xlpm._val, IF( ISNA(MATCH(_xlpm._val, _xlpm._mtch, 0)), 1, 0))),
    _xlpm._arr, _xlfn._xlws.FILTER(_xlpm._arr2, _xlpm._fltr = 1, "#[Empty]"),
    _xlpm._blnk, _xlfn.MAKEARRAY( ROWS(_xlpm._arr), _xlpm._cc1, _xlfn.LAMBDA(_xlpm._r,_xlpm._c, NA())),
    _xlfn.HSTACK(_xlpm._blnk, _xlpm._arr)
  ),
  _xlpm._arrC, _xlfn.HSTACK(_xlpm._arr1, _xlpm._arrN),
  _xlpm._arrL, IF( OR(_xlpm._typ = 2, _xlpm._typ = 3),
    _xlfn._xlws.FILTER(_xlpm._arrC, _xlpm._mtch &lt;&gt; 0, "#[Empty]"),
    _xlpm._arrC
  ),
  _xlpm._rtn, CHOOSE(_xlpm._typ,
    _xlpm._arrL,
    IF( INDEX(_xlpm._arrL, 1, 1) = "#[Empty]",
      _xlpm._arrR,
      IF( INDEX(_xlpm._arrR, 1, _xlpm._cc1 + 1) = "#[Empty]",
        _xlpm._arrL,
        _xlfn.VSTACK(_xlpm._arrL, _xlpm._arrR)
      )
    ),
    IF( INDEX(_xlpm._arrL, 1, 1) = "#[Empty]",
      _xlfn.MAKEARRAY(1, _xlpm._cc1 + _xlpm._cc2, _xlfn.LAMBDA(_xlpm._r,_xlpm._c, NA())),
      _xlpm._arrL
    ),
    IF( INDEX(_xlpm._arrR, 1, _xlpm._cc1 + 1) = "#[Empty]",
      _xlpm._arrL,
      _xlfn.VSTACK(_xlpm._arrL, _xlpm._arrR)
    )
  ),
  CHOOSE(_xlpm._inpChk, _xlpm._rtn, #VALUE!)
)</f>
        <v>X-001</v>
      </c>
      <c r="H306" s="35" t="str">
        <v>AAA</v>
      </c>
      <c r="I306" s="35">
        <v>1</v>
      </c>
      <c r="J306" s="35" t="str">
        <v>!</v>
      </c>
      <c r="K306" s="35" t="e">
        <v>#N/A</v>
      </c>
      <c r="L306" s="35" t="e">
        <v>#N/A</v>
      </c>
      <c r="M306" s="35" t="e">
        <v>#N/A</v>
      </c>
      <c r="N306" s="35" t="e">
        <v>#N/A</v>
      </c>
      <c r="O306" s="39" t="str">
        <f ca="1"/>
        <v xml:space="preserve">  _arrL, IF( OR(_typ = 2, _typ = 3),</v>
      </c>
    </row>
    <row r="307" spans="3:15" x14ac:dyDescent="0.3">
      <c r="C307" s="40" t="str">
        <v>X-002</v>
      </c>
      <c r="D307" s="37">
        <v>2</v>
      </c>
      <c r="E307" s="40" t="str">
        <v>X-007</v>
      </c>
      <c r="G307" s="35" t="str">
        <v>X-002</v>
      </c>
      <c r="H307" s="35" t="str">
        <v>BBB</v>
      </c>
      <c r="I307" s="35">
        <v>2</v>
      </c>
      <c r="J307" s="35" t="str">
        <v>"</v>
      </c>
      <c r="K307" s="35" t="str">
        <v>X-002</v>
      </c>
      <c r="L307" s="35">
        <v>2</v>
      </c>
      <c r="M307" s="35" t="str">
        <v>"</v>
      </c>
      <c r="N307" s="35" t="str">
        <v>two</v>
      </c>
      <c r="O307" s="39" t="str">
        <f ca="1"/>
        <v xml:space="preserve">    FILTER(_arrC, _mtch &lt;&gt; 0, "#[Empty]"),</v>
      </c>
    </row>
    <row r="308" spans="3:15" x14ac:dyDescent="0.3">
      <c r="C308" s="40" t="str">
        <v>X-003</v>
      </c>
      <c r="D308" s="37">
        <v>3</v>
      </c>
      <c r="E308" s="40" t="str">
        <v>X-010</v>
      </c>
      <c r="G308" s="35" t="str">
        <v>X-003</v>
      </c>
      <c r="H308" s="35" t="str">
        <v>CCC</v>
      </c>
      <c r="I308" s="35">
        <v>3</v>
      </c>
      <c r="J308" s="35" t="str">
        <v>£</v>
      </c>
      <c r="K308" s="35" t="e">
        <v>#N/A</v>
      </c>
      <c r="L308" s="35" t="e">
        <v>#N/A</v>
      </c>
      <c r="M308" s="35" t="e">
        <v>#N/A</v>
      </c>
      <c r="N308" s="35" t="e">
        <v>#N/A</v>
      </c>
      <c r="O308" s="39" t="str">
        <f ca="1"/>
        <v xml:space="preserve">    _arrC</v>
      </c>
    </row>
    <row r="309" spans="3:15" x14ac:dyDescent="0.3">
      <c r="C309" s="40" t="str">
        <v>X-004</v>
      </c>
      <c r="D309" s="37">
        <v>4</v>
      </c>
      <c r="E309" s="40" t="str">
        <v>X-002</v>
      </c>
      <c r="G309" s="35" t="str">
        <v>X-004</v>
      </c>
      <c r="H309" s="35" t="str">
        <v>DDD</v>
      </c>
      <c r="I309" s="35">
        <v>4</v>
      </c>
      <c r="J309" s="35" t="str">
        <v>$</v>
      </c>
      <c r="K309" s="35" t="str">
        <v>X-004</v>
      </c>
      <c r="L309" s="35">
        <v>4</v>
      </c>
      <c r="M309" s="35" t="str">
        <v>$</v>
      </c>
      <c r="N309" s="35" t="str">
        <v>four</v>
      </c>
      <c r="O309" s="39" t="str">
        <f ca="1"/>
        <v xml:space="preserve">  ),</v>
      </c>
    </row>
    <row r="310" spans="3:15" x14ac:dyDescent="0.3">
      <c r="C310" s="40" t="str">
        <v>X-005</v>
      </c>
      <c r="D310" s="37">
        <v>5</v>
      </c>
      <c r="E310" s="40" t="str">
        <v>X-004</v>
      </c>
      <c r="G310" s="35" t="str">
        <v>X-005</v>
      </c>
      <c r="H310" s="35" t="str">
        <v>EEE</v>
      </c>
      <c r="I310" s="35">
        <v>5</v>
      </c>
      <c r="J310" s="35" t="str">
        <v>%</v>
      </c>
      <c r="K310" s="35" t="e">
        <v>#N/A</v>
      </c>
      <c r="L310" s="35" t="e">
        <v>#N/A</v>
      </c>
      <c r="M310" s="35" t="e">
        <v>#N/A</v>
      </c>
      <c r="N310" s="35" t="e">
        <v>#N/A</v>
      </c>
      <c r="O310" s="39" t="str">
        <f ca="1"/>
        <v xml:space="preserve">  _rtn, CHOOSE(_typ,</v>
      </c>
    </row>
    <row r="311" spans="3:15" x14ac:dyDescent="0.3">
      <c r="C311" s="40" t="str">
        <v>X-006</v>
      </c>
      <c r="D311" s="37">
        <v>6</v>
      </c>
      <c r="E311" s="40" t="str">
        <v>X-008</v>
      </c>
      <c r="G311" s="35" t="str">
        <v>X-006</v>
      </c>
      <c r="H311" s="35" t="str">
        <v>FFF</v>
      </c>
      <c r="I311" s="35">
        <v>6</v>
      </c>
      <c r="J311" s="35" t="str">
        <v>^</v>
      </c>
      <c r="K311" s="35" t="e">
        <v>#N/A</v>
      </c>
      <c r="L311" s="35" t="e">
        <v>#N/A</v>
      </c>
      <c r="M311" s="35" t="e">
        <v>#N/A</v>
      </c>
      <c r="N311" s="35" t="e">
        <v>#N/A</v>
      </c>
      <c r="O311" s="39" t="str">
        <f ca="1"/>
        <v xml:space="preserve">    _arrL,</v>
      </c>
    </row>
    <row r="312" spans="3:15" x14ac:dyDescent="0.3">
      <c r="C312" s="40" t="str">
        <v>X-007</v>
      </c>
      <c r="D312" s="37"/>
      <c r="E312" s="49"/>
      <c r="G312" s="35" t="str">
        <v>X-007</v>
      </c>
      <c r="H312" s="35" t="str">
        <v>GGG</v>
      </c>
      <c r="I312" s="35">
        <v>7</v>
      </c>
      <c r="J312" s="35" t="str">
        <v>&amp;</v>
      </c>
      <c r="K312" s="35" t="str">
        <v>X-007</v>
      </c>
      <c r="L312" s="35">
        <v>7</v>
      </c>
      <c r="M312" s="35" t="str">
        <v>&amp;</v>
      </c>
      <c r="N312" s="35" t="str">
        <v>seven</v>
      </c>
      <c r="O312" s="39" t="str">
        <f ca="1"/>
        <v xml:space="preserve">    IF( INDEX(_arrL, 1, 1) = "#[Empty]",</v>
      </c>
    </row>
    <row r="313" spans="3:15" x14ac:dyDescent="0.3">
      <c r="C313" s="40" t="str">
        <v>X-008</v>
      </c>
      <c r="D313" s="37"/>
      <c r="E313" s="49"/>
      <c r="G313" s="35" t="str">
        <v>X-008</v>
      </c>
      <c r="H313" s="35" t="str">
        <v>HHH</v>
      </c>
      <c r="I313" s="35">
        <v>8</v>
      </c>
      <c r="J313" s="35" t="str">
        <v>*</v>
      </c>
      <c r="K313" s="35" t="str">
        <v>X-008</v>
      </c>
      <c r="L313" s="35">
        <v>8</v>
      </c>
      <c r="M313" s="35" t="str">
        <v>*</v>
      </c>
      <c r="N313" s="35" t="str">
        <v>eight</v>
      </c>
      <c r="O313" s="39" t="str">
        <f ca="1"/>
        <v xml:space="preserve">      _arrR,</v>
      </c>
    </row>
    <row r="314" spans="3:15" x14ac:dyDescent="0.3">
      <c r="C314" s="40" t="str">
        <v>X-009</v>
      </c>
      <c r="D314" s="37"/>
      <c r="E314" s="49"/>
      <c r="G314" s="35" t="str">
        <v>X-009</v>
      </c>
      <c r="H314" s="35" t="str">
        <v>III</v>
      </c>
      <c r="I314" s="35">
        <v>9</v>
      </c>
      <c r="J314" s="35" t="str">
        <v>(</v>
      </c>
      <c r="K314" s="35" t="str">
        <v>X-009</v>
      </c>
      <c r="L314" s="35">
        <v>9</v>
      </c>
      <c r="M314" s="35" t="str">
        <v>(</v>
      </c>
      <c r="N314" s="35" t="str">
        <v>nine</v>
      </c>
      <c r="O314" s="39" t="str">
        <f ca="1"/>
        <v xml:space="preserve">      IF( INDEX(_arrR, 1, _cc1 + 1) = "#[Empty]",</v>
      </c>
    </row>
    <row r="315" spans="3:15" x14ac:dyDescent="0.3">
      <c r="C315" s="40" t="str">
        <v>X-010</v>
      </c>
      <c r="D315" s="37"/>
      <c r="E315" s="49"/>
      <c r="G315" s="35" t="str">
        <v>X-010</v>
      </c>
      <c r="H315" s="35" t="str">
        <v>JJJ</v>
      </c>
      <c r="I315" s="35">
        <v>10</v>
      </c>
      <c r="J315" s="35" t="str">
        <v>)</v>
      </c>
      <c r="K315" s="35" t="str">
        <v>X-010</v>
      </c>
      <c r="L315" s="35">
        <v>10</v>
      </c>
      <c r="M315" s="35" t="str">
        <v>)</v>
      </c>
      <c r="N315" s="35" t="str">
        <v>ten</v>
      </c>
      <c r="O315" s="39" t="str">
        <f ca="1"/>
        <v xml:space="preserve">        _arrL,</v>
      </c>
    </row>
    <row r="316" spans="3:15" x14ac:dyDescent="0.3">
      <c r="G316" s="35"/>
      <c r="H316" s="35"/>
      <c r="I316" s="35"/>
      <c r="J316" s="35"/>
      <c r="K316" s="35"/>
      <c r="L316" s="35"/>
      <c r="M316" s="35"/>
      <c r="N316" s="35"/>
      <c r="O316" s="39" t="str">
        <f ca="1"/>
        <v xml:space="preserve">        VSTACK(_arrL, _arrR)</v>
      </c>
    </row>
    <row r="317" spans="3:15" x14ac:dyDescent="0.3">
      <c r="G317" s="35"/>
      <c r="H317" s="35"/>
      <c r="I317" s="35"/>
      <c r="J317" s="35"/>
      <c r="K317" s="35"/>
      <c r="L317" s="35"/>
      <c r="M317" s="35"/>
      <c r="N317" s="35"/>
      <c r="O317" s="39" t="str">
        <f ca="1"/>
        <v xml:space="preserve">      )</v>
      </c>
    </row>
    <row r="318" spans="3:15" x14ac:dyDescent="0.3">
      <c r="G318" s="35"/>
      <c r="H318" s="35"/>
      <c r="I318" s="35"/>
      <c r="J318" s="35"/>
      <c r="K318" s="35"/>
      <c r="L318" s="35"/>
      <c r="M318" s="35"/>
      <c r="N318" s="35"/>
      <c r="O318" s="39" t="str">
        <f ca="1"/>
        <v xml:space="preserve">    ),</v>
      </c>
    </row>
    <row r="319" spans="3:15" x14ac:dyDescent="0.3">
      <c r="G319" s="35"/>
      <c r="H319" s="35"/>
      <c r="I319" s="35"/>
      <c r="J319" s="35"/>
      <c r="K319" s="35"/>
      <c r="L319" s="35"/>
      <c r="M319" s="35"/>
      <c r="N319" s="35"/>
      <c r="O319" s="39" t="str">
        <f ca="1"/>
        <v xml:space="preserve">    IF( INDEX(_arrL, 1, 1) = "#[Empty]",</v>
      </c>
    </row>
    <row r="320" spans="3:15" x14ac:dyDescent="0.3">
      <c r="G320" s="35"/>
      <c r="H320" s="35"/>
      <c r="I320" s="35"/>
      <c r="J320" s="35"/>
      <c r="K320" s="35"/>
      <c r="L320" s="35"/>
      <c r="M320" s="35"/>
      <c r="N320" s="35"/>
      <c r="O320" s="39" t="str">
        <f ca="1"/>
        <v xml:space="preserve">      MAKEARRAY(1, _cc1 + _cc2, LAMBDA(_r,_c, NA())),</v>
      </c>
    </row>
    <row r="321" spans="2:20" x14ac:dyDescent="0.3">
      <c r="G321" s="35"/>
      <c r="H321" s="35"/>
      <c r="I321" s="35"/>
      <c r="J321" s="35"/>
      <c r="K321" s="35"/>
      <c r="L321" s="35"/>
      <c r="M321" s="35"/>
      <c r="N321" s="35"/>
      <c r="O321" s="39" t="str">
        <f ca="1"/>
        <v xml:space="preserve">      _arrL</v>
      </c>
    </row>
    <row r="322" spans="2:20" x14ac:dyDescent="0.3">
      <c r="G322" s="35"/>
      <c r="H322" s="35"/>
      <c r="I322" s="35"/>
      <c r="J322" s="35"/>
      <c r="K322" s="35"/>
      <c r="L322" s="35"/>
      <c r="M322" s="35"/>
      <c r="N322" s="35"/>
      <c r="O322" s="39" t="str">
        <f ca="1"/>
        <v xml:space="preserve">    ),</v>
      </c>
    </row>
    <row r="323" spans="2:20" x14ac:dyDescent="0.3">
      <c r="G323" s="35"/>
      <c r="H323" s="35"/>
      <c r="I323" s="35"/>
      <c r="J323" s="35"/>
      <c r="K323" s="35"/>
      <c r="L323" s="35"/>
      <c r="M323" s="35"/>
      <c r="N323" s="35"/>
      <c r="O323" s="39" t="str">
        <f ca="1"/>
        <v xml:space="preserve">    IF( INDEX(_arrR, 1, _cc1 + 1) = "#[Empty]",</v>
      </c>
    </row>
    <row r="324" spans="2:20" x14ac:dyDescent="0.3">
      <c r="G324" s="35"/>
      <c r="H324" s="35"/>
      <c r="I324" s="35"/>
      <c r="J324" s="35"/>
      <c r="K324" s="35"/>
      <c r="L324" s="35"/>
      <c r="M324" s="35"/>
      <c r="N324" s="35"/>
      <c r="O324" s="39" t="str">
        <f ca="1"/>
        <v xml:space="preserve">      _arrL,</v>
      </c>
    </row>
    <row r="325" spans="2:20" x14ac:dyDescent="0.3">
      <c r="G325" s="35"/>
      <c r="H325" s="35"/>
      <c r="I325" s="35"/>
      <c r="J325" s="35"/>
      <c r="K325" s="35"/>
      <c r="L325" s="35"/>
      <c r="M325" s="35"/>
      <c r="N325" s="35"/>
      <c r="O325" s="39" t="str">
        <f ca="1"/>
        <v xml:space="preserve">      VSTACK(_arrL, _arrR)</v>
      </c>
    </row>
    <row r="326" spans="2:20" x14ac:dyDescent="0.3">
      <c r="O326" s="39" t="str">
        <f ca="1"/>
        <v xml:space="preserve">    )</v>
      </c>
    </row>
    <row r="327" spans="2:20" x14ac:dyDescent="0.3">
      <c r="O327" s="39" t="str">
        <f ca="1"/>
        <v xml:space="preserve">  ),</v>
      </c>
    </row>
    <row r="328" spans="2:20" x14ac:dyDescent="0.3">
      <c r="O328" s="39" t="str">
        <f ca="1"/>
        <v xml:space="preserve">  CHOOSE(_inpChk, _rtn, #VALUE!)</v>
      </c>
    </row>
    <row r="329" spans="2:20" x14ac:dyDescent="0.3">
      <c r="C329" t="s">
        <v>159</v>
      </c>
      <c r="O329" s="39" t="str">
        <f ca="1"/>
        <v>)</v>
      </c>
    </row>
    <row r="331" spans="2:20" x14ac:dyDescent="0.3">
      <c r="B331" s="7" t="s">
        <v>170</v>
      </c>
      <c r="C331" s="6"/>
      <c r="D331" s="6"/>
      <c r="E331" s="6"/>
      <c r="F331" s="6"/>
      <c r="G331" s="6"/>
      <c r="H331" s="6"/>
      <c r="I331" s="6"/>
      <c r="J331" s="6"/>
      <c r="K331" s="6"/>
      <c r="L331" s="6"/>
      <c r="M331" s="6"/>
      <c r="N331" s="6"/>
      <c r="O331" s="6"/>
      <c r="P331" s="6"/>
      <c r="Q331" s="6"/>
      <c r="R331" s="6"/>
      <c r="S331" s="6"/>
      <c r="T331" s="6"/>
    </row>
    <row r="333" spans="2:20" x14ac:dyDescent="0.3">
      <c r="B333" s="16" t="str" cm="1">
        <f t="array" ref="B333" xml:space="preserve"> "(" &amp; _xlfn.UNICHAR( 65 + SUMPRODUCT(--(_xlfn.REGEXTEST(B$1:B332, "^\([A-Z]\)$")))) &amp; ")"</f>
        <v>(J)</v>
      </c>
      <c r="C333" s="2" t="s">
        <v>160</v>
      </c>
    </row>
    <row r="334" spans="2:20" x14ac:dyDescent="0.3">
      <c r="C334" s="2" t="s">
        <v>164</v>
      </c>
    </row>
    <row r="335" spans="2:20" x14ac:dyDescent="0.3">
      <c r="G335" s="50">
        <v>1</v>
      </c>
      <c r="I335" s="50" cm="1">
        <f t="array" ref="I335:J335" xml:space="preserve"> {3,2}</f>
        <v>3</v>
      </c>
      <c r="J335" s="50">
        <v>2</v>
      </c>
      <c r="K335" s="50"/>
      <c r="L335" s="39" t="str">
        <f ca="1" xml:space="preserve"> _xlfn.FORMULATEXT(I335)</f>
        <v>= {3,2}</v>
      </c>
    </row>
    <row r="336" spans="2:20" x14ac:dyDescent="0.3">
      <c r="C336" s="13" t="s">
        <v>17</v>
      </c>
      <c r="G336" s="51" t="s">
        <v>165</v>
      </c>
      <c r="I336" t="s">
        <v>138</v>
      </c>
    </row>
    <row r="337" spans="2:12" ht="14.4" thickBot="1" x14ac:dyDescent="0.35">
      <c r="C337" s="32" t="str" cm="1">
        <f t="array" ref="C337:E337" xml:space="preserve"> $C$11:$E$11</f>
        <v>ID</v>
      </c>
      <c r="D337" s="32" t="str">
        <v>Col.1</v>
      </c>
      <c r="E337" s="32" t="str">
        <v>Col.2</v>
      </c>
      <c r="G337" s="32" t="str" cm="1">
        <f t="array" ref="G337" xml:space="preserve"> _xlfn.CHOOSECOLS(_xlfn.ANCHORARRAY(C337), $G$335)</f>
        <v>ID</v>
      </c>
      <c r="I337" s="32" t="str" cm="1">
        <f t="array" ref="I337:J337" xml:space="preserve"> _xlfn.CHOOSECOLS(_xlfn.ANCHORARRAY(C337),_xlfn.ANCHORARRAY( I335))</f>
        <v>Col.2</v>
      </c>
      <c r="J337" s="32" t="str">
        <v>Col.1</v>
      </c>
      <c r="K337" s="32"/>
      <c r="L337" s="39" t="str">
        <f ca="1" xml:space="preserve"> _xlfn.FORMULATEXT(I337)</f>
        <v>= CHOOSECOLS(C337#, I335#)</v>
      </c>
    </row>
    <row r="338" spans="2:12" x14ac:dyDescent="0.3">
      <c r="C338" s="36" t="str" cm="1">
        <f t="array" ref="C338:E345" xml:space="preserve"> $C$12:$E$19</f>
        <v>X-001</v>
      </c>
      <c r="D338" s="36" t="str">
        <v>AAA</v>
      </c>
      <c r="E338" s="36">
        <v>1</v>
      </c>
      <c r="G338" s="35" t="str" cm="1">
        <f t="array" ref="G338:G345" xml:space="preserve"> _xlfn.CHOOSECOLS(_xlfn.ANCHORARRAY(C338), $G$335)</f>
        <v>X-001</v>
      </c>
      <c r="I338" s="35" cm="1">
        <f t="array" ref="I338:J345" xml:space="preserve"> _xlfn.LET(
  _xlpm._arr1, $C$12:$E$19,
  _xlpm._col1, $G$335,
  _xlpm._idx1,_xlfn.ANCHORARRAY( $I$335),
  _xlpm._uId1, _xlfn.CHOOSECOLS(_xlpm._arr1, _xlpm._col1),
  _xlpm._out1, _xlfn.CHOOSECOLS(_xlpm._arr1, _xlpm._idx1),
  _xlpm._out1
)</f>
        <v>1</v>
      </c>
      <c r="J338" s="35" t="str">
        <v>AAA</v>
      </c>
      <c r="K338" s="35"/>
      <c r="L338" s="39" t="str">
        <f ca="1" xml:space="preserve"> _xlfn.FORMULATEXT(I338)</f>
        <v>= LET(
  _arr1, $C$12:$E$19,
  _col1, $G$335,
  _idx1, $I$335#,
  _uId1, CHOOSECOLS(_arr1, _col1),
  _out1, CHOOSECOLS(_arr1, _idx1),
  _out1
)</v>
      </c>
    </row>
    <row r="339" spans="2:12" x14ac:dyDescent="0.3">
      <c r="C339" s="36" t="str">
        <v>X-002</v>
      </c>
      <c r="D339" s="36" t="str">
        <v>BBB</v>
      </c>
      <c r="E339" s="36">
        <v>2</v>
      </c>
      <c r="G339" s="35" t="str">
        <v>X-002</v>
      </c>
      <c r="I339" s="35">
        <v>2</v>
      </c>
      <c r="J339" s="35" t="str">
        <v>BBB</v>
      </c>
      <c r="K339" s="35"/>
    </row>
    <row r="340" spans="2:12" x14ac:dyDescent="0.3">
      <c r="C340" s="36" t="str">
        <v>X-003</v>
      </c>
      <c r="D340" s="36" t="str">
        <v>CCC</v>
      </c>
      <c r="E340" s="36">
        <v>3</v>
      </c>
      <c r="G340" s="35" t="str">
        <v>X-003</v>
      </c>
      <c r="I340" s="35">
        <v>3</v>
      </c>
      <c r="J340" s="35" t="str">
        <v>CCC</v>
      </c>
      <c r="K340" s="35"/>
    </row>
    <row r="341" spans="2:12" x14ac:dyDescent="0.3">
      <c r="C341" s="36" t="str">
        <v>X-004</v>
      </c>
      <c r="D341" s="36" t="str">
        <v>DDD</v>
      </c>
      <c r="E341" s="36">
        <v>4</v>
      </c>
      <c r="G341" s="35" t="str">
        <v>X-004</v>
      </c>
      <c r="I341" s="35">
        <v>4</v>
      </c>
      <c r="J341" s="35" t="str">
        <v>DDD</v>
      </c>
      <c r="K341" s="35"/>
    </row>
    <row r="342" spans="2:12" x14ac:dyDescent="0.3">
      <c r="C342" s="36" t="str">
        <v>X-005</v>
      </c>
      <c r="D342" s="36" t="str">
        <v>EEE</v>
      </c>
      <c r="E342" s="36">
        <v>5</v>
      </c>
      <c r="G342" s="35" t="str">
        <v>X-005</v>
      </c>
      <c r="I342" s="35">
        <v>5</v>
      </c>
      <c r="J342" s="35" t="str">
        <v>EEE</v>
      </c>
      <c r="K342" s="35"/>
    </row>
    <row r="343" spans="2:12" x14ac:dyDescent="0.3">
      <c r="C343" s="36" t="str">
        <v>X-006</v>
      </c>
      <c r="D343" s="36" t="str">
        <v>FFF</v>
      </c>
      <c r="E343" s="36">
        <v>6</v>
      </c>
      <c r="G343" s="35" t="str">
        <v>X-006</v>
      </c>
      <c r="I343" s="35">
        <v>6</v>
      </c>
      <c r="J343" s="35" t="str">
        <v>FFF</v>
      </c>
      <c r="K343" s="35"/>
    </row>
    <row r="344" spans="2:12" x14ac:dyDescent="0.3">
      <c r="C344" s="36" t="str">
        <v>X-007</v>
      </c>
      <c r="D344" s="36" t="str">
        <v>GGG</v>
      </c>
      <c r="E344" s="36">
        <v>7</v>
      </c>
      <c r="G344" s="35" t="str">
        <v>X-007</v>
      </c>
      <c r="I344" s="35">
        <v>7</v>
      </c>
      <c r="J344" s="35" t="str">
        <v>GGG</v>
      </c>
      <c r="K344" s="35"/>
    </row>
    <row r="345" spans="2:12" x14ac:dyDescent="0.3">
      <c r="C345" s="36" t="str">
        <v>X-008</v>
      </c>
      <c r="D345" s="36" t="str">
        <v>HHH</v>
      </c>
      <c r="E345" s="36">
        <v>8</v>
      </c>
      <c r="G345" s="35" t="str">
        <v>X-008</v>
      </c>
      <c r="I345" s="35">
        <v>8</v>
      </c>
      <c r="J345" s="35" t="str">
        <v>HHH</v>
      </c>
      <c r="K345" s="35"/>
    </row>
    <row r="348" spans="2:12" x14ac:dyDescent="0.3">
      <c r="B348" s="16" t="str" cm="1">
        <f t="array" ref="B348" xml:space="preserve"> "(" &amp; _xlfn.UNICHAR( 65 + SUMPRODUCT(--(_xlfn.REGEXTEST(B$1:B347, "^\([A-Z]\)$")))) &amp; ")"</f>
        <v>(K)</v>
      </c>
      <c r="C348" s="2" t="s">
        <v>166</v>
      </c>
    </row>
    <row r="349" spans="2:12" x14ac:dyDescent="0.3">
      <c r="C349" s="2" t="s">
        <v>163</v>
      </c>
    </row>
    <row r="350" spans="2:12" x14ac:dyDescent="0.3">
      <c r="G350" s="48" t="s">
        <v>168</v>
      </c>
      <c r="H350" s="50" cm="1">
        <f t="array" ref="H350:K350" xml:space="preserve"> {1,2,3,4}</f>
        <v>1</v>
      </c>
      <c r="I350" s="50">
        <v>2</v>
      </c>
      <c r="J350" s="50">
        <v>3</v>
      </c>
      <c r="K350" s="50">
        <v>4</v>
      </c>
      <c r="L350" s="39" t="str">
        <f ca="1" xml:space="preserve"> _xlfn.FORMULATEXT(H350)</f>
        <v>= {1,2,3,4}</v>
      </c>
    </row>
    <row r="351" spans="2:12" x14ac:dyDescent="0.3">
      <c r="G351" s="48" t="s">
        <v>169</v>
      </c>
      <c r="H351" s="50" cm="1">
        <f t="array" ref="H351:I351" xml:space="preserve"> {4,2}</f>
        <v>4</v>
      </c>
      <c r="I351" s="50">
        <v>2</v>
      </c>
      <c r="J351" s="50"/>
      <c r="K351" s="50"/>
      <c r="L351" s="39" t="str">
        <f ca="1" xml:space="preserve"> _xlfn.FORMULATEXT(H351)</f>
        <v>= {4,2}</v>
      </c>
    </row>
    <row r="352" spans="2:12" x14ac:dyDescent="0.3">
      <c r="C352" s="50">
        <v>1</v>
      </c>
      <c r="E352" s="50">
        <v>1</v>
      </c>
      <c r="G352" s="48" t="s">
        <v>157</v>
      </c>
      <c r="H352" s="44">
        <v>0</v>
      </c>
    </row>
    <row r="353" spans="3:15" x14ac:dyDescent="0.3">
      <c r="C353" s="51" t="s">
        <v>17</v>
      </c>
      <c r="E353" s="51" t="s">
        <v>16</v>
      </c>
      <c r="G353" t="s">
        <v>138</v>
      </c>
    </row>
    <row r="354" spans="3:15" ht="14.4" thickBot="1" x14ac:dyDescent="0.35">
      <c r="C354" s="32" t="str" cm="1">
        <f t="array" ref="C354" xml:space="preserve"> _xlfn.CHOOSECOLS($K$11:$N$11, $C$352)</f>
        <v>ID</v>
      </c>
      <c r="E354" s="32" t="str" cm="1">
        <f t="array" ref="E354" xml:space="preserve"> _xlfn.CHOOSECOLS($P$11:$S$11, $E$352)</f>
        <v>ID</v>
      </c>
      <c r="G354" s="32" t="str" cm="1">
        <f t="array" ref="G354:L354" xml:space="preserve"> _xlfn.HSTACK(
  _xlfn.CHOOSECOLS($K$11:$N$11,_xlfn.ANCHORARRAY( $H$350)),
  _xlfn.CHOOSECOLS($P$11:$S$11,_xlfn.ANCHORARRAY( $H$351))
)</f>
        <v>ID</v>
      </c>
      <c r="H354" s="32" t="str">
        <v>Col.1</v>
      </c>
      <c r="I354" s="32" t="str">
        <v>Col.2</v>
      </c>
      <c r="J354" s="32" t="str">
        <v>Col.3</v>
      </c>
      <c r="K354" s="32" t="str">
        <v>Col.30</v>
      </c>
      <c r="L354" s="32" t="str">
        <v>Col.10</v>
      </c>
      <c r="M354" s="32"/>
      <c r="N354" s="32"/>
    </row>
    <row r="355" spans="3:15" x14ac:dyDescent="0.3">
      <c r="C355" s="36" t="str" cm="1">
        <f t="array" ref="C355:C364" xml:space="preserve"> _xlfn.CHOOSECOLS($K$12:$N$21, $C$352)</f>
        <v>X-001</v>
      </c>
      <c r="D355" s="37">
        <v>1</v>
      </c>
      <c r="E355" s="36" t="str" cm="1">
        <f t="array" ref="E355:E364" xml:space="preserve"> _xlfn.CHOOSECOLS($P$12:$S$21, $E$352)</f>
        <v>X-009</v>
      </c>
      <c r="G355" s="35" t="str" cm="1">
        <f t="array" ref="G355:L364" xml:space="preserve"> _xlfn.LET(
  _xlpm._arr1, $K$12:$N$21,
  _xlpm._arr2, $P$12:$S$21,
  _xlpm._col1, $C$352,
  _xlpm._col2, $E$352,
  _xlpm._idx1,_xlfn.ANCHORARRAY( $H$350),
  _xlpm._idx2,_xlfn.ANCHORARRAY( $H$351),
  _xlpm.join_type, $H$352,
  _xlpm._inpT, IF( ISBLANK(_xlpm.join_type), 0, INT(_xlpm.join_type)),
  _xlpm._typ, IF( ISNUMBER(_xlpm._inpT), _xlpm._inpT + 1,
    _xlfn.IFNA( MATCH( LOWER(_xlpm.join_type), {"left","right","inner","full"}, 0), -1)
  ),
  _xlpm._inpChk, IF( OR(_xlpm._typ &lt; 1, _xlpm._typ &gt; 4), 2, 1),
  _xlpm._uId1, _xlfn.CHOOSECOLS(_xlpm._arr1, _xlpm._col1),
  _xlpm._uId2, _xlfn.CHOOSECOLS(_xlpm._arr2, _xlpm._col2),
  _xlpm._out1, _xlfn.CHOOSECOLS(_xlpm._arr1, _xlpm._idx1),
  _xlpm._out2, _xlfn.CHOOSECOLS(_xlpm._arr2, _xlpm._idx2),
  _xlpm._cc1, COLUMNS(_xlpm._out1),
  _xlpm._cc2, COLUMNS(_xlpm._out2),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_xlpm._blnk, _xlfn.MAKEARRAY( ROWS(_xlpm._arr), _xlpm._cc1, _xlfn.LAMBDA(_xlpm._r,_xlpm._c, NA())),
    _xlfn.HSTACK(_xlpm._blnk, _xlpm._arr)
  ),
  _xlpm._arrC, _xlfn.HSTACK(_xlpm._out1, _xlpm._arrN),
  _xlpm._arrL, IF( OR(_xlpm._typ = 2, _xlpm._typ = 3),
    _xlfn._xlws.FILTER(_xlpm._arrC, _xlpm._mtch &lt;&gt; 0, "#[Empty]"),
    _xlpm._arrC
  ),
  _xlpm._rtn, CHOOSE(_xlpm._typ,
    _xlpm._arrL,
    IF( INDEX(_xlpm._arrL, 1, 1) = "#[Empty]",
      _xlpm._arrR,
      IF( INDEX(_xlpm._arrR, 1, _xlpm._cc1 + 1) = "#[Empty]",
        _xlpm._arrL,
        _xlfn.VSTACK(_xlpm._arrL, _xlpm._arrR)
      )
    ),
    IF( INDEX(_xlpm._arrL, 1, 1) = "#[Empty]",
      _xlfn.MAKEARRAY(1, _xlpm._cc1 + _xlpm._cc2, _xlfn.LAMBDA(_xlpm._r,_xlpm._c, NA())),
      _xlpm._arrL
    ),
    IF( INDEX(_xlpm._arrR, 1, _xlpm._cc1 + 1) = "#[Empty]",
      _xlpm._arrL,
      _xlfn.VSTACK(_xlpm._arrL, _xlpm._arrR)
    )
  ),
  CHOOSE(_xlpm._inpChk, _xlpm._rtn, #VALUE!)
)</f>
        <v>X-001</v>
      </c>
      <c r="H355" s="35" t="str">
        <v>AAA</v>
      </c>
      <c r="I355" s="35">
        <v>1</v>
      </c>
      <c r="J355" s="35" t="str">
        <v>!</v>
      </c>
      <c r="K355" s="35" t="str">
        <v>one</v>
      </c>
      <c r="L355" s="35">
        <v>1</v>
      </c>
      <c r="M355" s="35"/>
      <c r="N355" s="35"/>
      <c r="O355" s="39" t="str" cm="1">
        <f t="array" aca="1" ref="O355:O407" ca="1" xml:space="preserve"> _xlfn.TEXTSPLIT( _xlfn.FORMULATEXT(G355), , CHAR(10))</f>
        <v>= LET(</v>
      </c>
    </row>
    <row r="356" spans="3:15" x14ac:dyDescent="0.3">
      <c r="C356" s="36" t="str">
        <v>X-002</v>
      </c>
      <c r="D356" s="37">
        <v>2</v>
      </c>
      <c r="E356" s="36" t="str">
        <v>X-007</v>
      </c>
      <c r="G356" s="35" t="str">
        <v>X-002</v>
      </c>
      <c r="H356" s="35" t="str">
        <v>BBB</v>
      </c>
      <c r="I356" s="35">
        <v>2</v>
      </c>
      <c r="J356" s="35" t="str">
        <v>"</v>
      </c>
      <c r="K356" s="35" t="str">
        <v>two</v>
      </c>
      <c r="L356" s="35">
        <v>2</v>
      </c>
      <c r="M356" s="35"/>
      <c r="N356" s="35"/>
      <c r="O356" s="39" t="str">
        <f ca="1"/>
        <v xml:space="preserve">  _arr1, $K$12:$N$21,</v>
      </c>
    </row>
    <row r="357" spans="3:15" x14ac:dyDescent="0.3">
      <c r="C357" s="36" t="str">
        <v>X-003</v>
      </c>
      <c r="D357" s="37">
        <v>3</v>
      </c>
      <c r="E357" s="36" t="str">
        <v>X-010</v>
      </c>
      <c r="G357" s="35" t="str">
        <v>X-003</v>
      </c>
      <c r="H357" s="35" t="str">
        <v>CCC</v>
      </c>
      <c r="I357" s="35">
        <v>3</v>
      </c>
      <c r="J357" s="35" t="str">
        <v>£</v>
      </c>
      <c r="K357" s="35" t="e">
        <v>#N/A</v>
      </c>
      <c r="L357" s="35" t="e">
        <v>#N/A</v>
      </c>
      <c r="M357" s="35"/>
      <c r="N357" s="35"/>
      <c r="O357" s="39" t="str">
        <f ca="1"/>
        <v xml:space="preserve">  _arr2, $P$12:$S$21,</v>
      </c>
    </row>
    <row r="358" spans="3:15" x14ac:dyDescent="0.3">
      <c r="C358" s="36" t="str">
        <v>X-004</v>
      </c>
      <c r="D358" s="37">
        <v>4</v>
      </c>
      <c r="E358" s="36" t="str">
        <v>X-002</v>
      </c>
      <c r="G358" s="35" t="str">
        <v>X-004</v>
      </c>
      <c r="H358" s="35" t="str">
        <v>DDD</v>
      </c>
      <c r="I358" s="35">
        <v>4</v>
      </c>
      <c r="J358" s="35" t="str">
        <v>$</v>
      </c>
      <c r="K358" s="35" t="str">
        <v>four</v>
      </c>
      <c r="L358" s="35">
        <v>4</v>
      </c>
      <c r="M358" s="35"/>
      <c r="N358" s="35"/>
      <c r="O358" s="39" t="str">
        <f ca="1"/>
        <v xml:space="preserve">  _col1, $C$352,</v>
      </c>
    </row>
    <row r="359" spans="3:15" x14ac:dyDescent="0.3">
      <c r="C359" s="36" t="str">
        <v>X-005</v>
      </c>
      <c r="D359" s="37">
        <v>5</v>
      </c>
      <c r="E359" s="36" t="str">
        <v>X-004</v>
      </c>
      <c r="G359" s="35" t="str">
        <v>X-005</v>
      </c>
      <c r="H359" s="35" t="str">
        <v>EEE</v>
      </c>
      <c r="I359" s="35">
        <v>5</v>
      </c>
      <c r="J359" s="35" t="str">
        <v>%</v>
      </c>
      <c r="K359" s="35" t="e">
        <v>#N/A</v>
      </c>
      <c r="L359" s="35" t="e">
        <v>#N/A</v>
      </c>
      <c r="M359" s="35"/>
      <c r="N359" s="35"/>
      <c r="O359" s="39" t="str">
        <f ca="1"/>
        <v xml:space="preserve">  _col2, $E$352,</v>
      </c>
    </row>
    <row r="360" spans="3:15" x14ac:dyDescent="0.3">
      <c r="C360" s="36" t="str">
        <v>X-006</v>
      </c>
      <c r="D360" s="37">
        <v>6</v>
      </c>
      <c r="E360" s="36" t="str">
        <v>X-008</v>
      </c>
      <c r="G360" s="35" t="str">
        <v>X-006</v>
      </c>
      <c r="H360" s="35" t="str">
        <v>FFF</v>
      </c>
      <c r="I360" s="35">
        <v>6</v>
      </c>
      <c r="J360" s="35" t="str">
        <v>^</v>
      </c>
      <c r="K360" s="35" t="str">
        <v>six</v>
      </c>
      <c r="L360" s="35">
        <v>6</v>
      </c>
      <c r="M360" s="35"/>
      <c r="N360" s="35"/>
      <c r="O360" s="39" t="str">
        <f ca="1"/>
        <v xml:space="preserve">  _idx1, $H$350#,</v>
      </c>
    </row>
    <row r="361" spans="3:15" x14ac:dyDescent="0.3">
      <c r="C361" s="36" t="str">
        <v>X-007</v>
      </c>
      <c r="D361" s="37">
        <v>7</v>
      </c>
      <c r="E361" s="36" t="str">
        <v>X-012</v>
      </c>
      <c r="G361" s="35" t="str">
        <v>X-007</v>
      </c>
      <c r="H361" s="35" t="str">
        <v>GGG</v>
      </c>
      <c r="I361" s="35">
        <v>7</v>
      </c>
      <c r="J361" s="35" t="str">
        <v>&amp;</v>
      </c>
      <c r="K361" s="35" t="str">
        <v>seven</v>
      </c>
      <c r="L361" s="35">
        <v>7</v>
      </c>
      <c r="M361" s="35"/>
      <c r="N361" s="35"/>
      <c r="O361" s="39" t="str">
        <f ca="1"/>
        <v xml:space="preserve">  _idx2, $H$351#,</v>
      </c>
    </row>
    <row r="362" spans="3:15" x14ac:dyDescent="0.3">
      <c r="C362" s="36" t="str">
        <v>X-008</v>
      </c>
      <c r="D362" s="37">
        <v>8</v>
      </c>
      <c r="E362" s="36" t="str">
        <v>X-001</v>
      </c>
      <c r="G362" s="35" t="str">
        <v>X-008</v>
      </c>
      <c r="H362" s="35" t="str">
        <v>HHH</v>
      </c>
      <c r="I362" s="35">
        <v>8</v>
      </c>
      <c r="J362" s="35" t="str">
        <v>*</v>
      </c>
      <c r="K362" s="35" t="str">
        <v>eight</v>
      </c>
      <c r="L362" s="35">
        <v>8</v>
      </c>
      <c r="M362" s="35"/>
      <c r="N362" s="35"/>
      <c r="O362" s="39" t="str">
        <f ca="1"/>
        <v xml:space="preserve">  join_type, $H$352,</v>
      </c>
    </row>
    <row r="363" spans="3:15" x14ac:dyDescent="0.3">
      <c r="C363" s="36" t="str">
        <v>X-009</v>
      </c>
      <c r="D363" s="37">
        <v>9</v>
      </c>
      <c r="E363" s="36" t="str">
        <v>X-006</v>
      </c>
      <c r="G363" s="35" t="str">
        <v>X-009</v>
      </c>
      <c r="H363" s="35" t="str">
        <v>III</v>
      </c>
      <c r="I363" s="35">
        <v>9</v>
      </c>
      <c r="J363" s="35" t="str">
        <v>(</v>
      </c>
      <c r="K363" s="35" t="str">
        <v>nine</v>
      </c>
      <c r="L363" s="35">
        <v>9</v>
      </c>
      <c r="M363" s="35"/>
      <c r="N363" s="35"/>
      <c r="O363" s="39" t="str">
        <f ca="1"/>
        <v xml:space="preserve">  _inpT, IF( ISBLANK(join_type), 0, INT(join_type)),</v>
      </c>
    </row>
    <row r="364" spans="3:15" x14ac:dyDescent="0.3">
      <c r="C364" s="36" t="str">
        <v>X-010</v>
      </c>
      <c r="D364" s="37">
        <v>10</v>
      </c>
      <c r="E364" s="36" t="str">
        <v>X-011</v>
      </c>
      <c r="G364" s="35" t="str">
        <v>X-010</v>
      </c>
      <c r="H364" s="35" t="str">
        <v>JJJ</v>
      </c>
      <c r="I364" s="35">
        <v>10</v>
      </c>
      <c r="J364" s="35" t="str">
        <v>)</v>
      </c>
      <c r="K364" s="35" t="str">
        <v>ten</v>
      </c>
      <c r="L364" s="35">
        <v>10</v>
      </c>
      <c r="M364" s="35"/>
      <c r="N364" s="35"/>
      <c r="O364" s="39" t="str">
        <f ca="1"/>
        <v xml:space="preserve">  _typ, IF( ISNUMBER(_inpT), _inpT + 1,</v>
      </c>
    </row>
    <row r="365" spans="3:15" x14ac:dyDescent="0.3">
      <c r="G365" s="35"/>
      <c r="H365" s="35"/>
      <c r="I365" s="35"/>
      <c r="J365" s="35"/>
      <c r="K365" s="35"/>
      <c r="L365" s="35"/>
      <c r="M365" s="35"/>
      <c r="N365" s="35"/>
      <c r="O365" s="39" t="str">
        <f ca="1"/>
        <v xml:space="preserve">    IFNA( MATCH( LOWER(join_type), {"left","right","inner","full"}, 0), -1)</v>
      </c>
    </row>
    <row r="366" spans="3:15" x14ac:dyDescent="0.3">
      <c r="G366" s="35"/>
      <c r="H366" s="35"/>
      <c r="I366" s="35"/>
      <c r="J366" s="35"/>
      <c r="K366" s="35"/>
      <c r="L366" s="35"/>
      <c r="M366" s="35"/>
      <c r="N366" s="35"/>
      <c r="O366" s="39" t="str">
        <f ca="1"/>
        <v xml:space="preserve">  ),</v>
      </c>
    </row>
    <row r="367" spans="3:15" x14ac:dyDescent="0.3">
      <c r="G367" s="35"/>
      <c r="H367" s="35"/>
      <c r="I367" s="35"/>
      <c r="J367" s="35"/>
      <c r="K367" s="35"/>
      <c r="L367" s="35"/>
      <c r="M367" s="35"/>
      <c r="N367" s="35"/>
      <c r="O367" s="39" t="str">
        <f ca="1"/>
        <v xml:space="preserve">  _inpChk, IF( OR(_typ &lt; 1, _typ &gt; 4), 2, 1),</v>
      </c>
    </row>
    <row r="368" spans="3:15" x14ac:dyDescent="0.3">
      <c r="G368" s="35"/>
      <c r="H368" s="35"/>
      <c r="I368" s="35"/>
      <c r="J368" s="35"/>
      <c r="K368" s="35"/>
      <c r="L368" s="35"/>
      <c r="M368" s="35"/>
      <c r="N368" s="35"/>
      <c r="O368" s="39" t="str">
        <f ca="1"/>
        <v xml:space="preserve">  _uId1, CHOOSECOLS(_arr1, _col1),</v>
      </c>
    </row>
    <row r="369" spans="7:15" x14ac:dyDescent="0.3">
      <c r="G369" s="35"/>
      <c r="H369" s="35"/>
      <c r="I369" s="35"/>
      <c r="J369" s="35"/>
      <c r="K369" s="35"/>
      <c r="L369" s="35"/>
      <c r="M369" s="35"/>
      <c r="N369" s="35"/>
      <c r="O369" s="39" t="str">
        <f ca="1"/>
        <v xml:space="preserve">  _uId2, CHOOSECOLS(_arr2, _col2),</v>
      </c>
    </row>
    <row r="370" spans="7:15" x14ac:dyDescent="0.3">
      <c r="G370" s="35"/>
      <c r="H370" s="35"/>
      <c r="I370" s="35"/>
      <c r="J370" s="35"/>
      <c r="K370" s="35"/>
      <c r="L370" s="35"/>
      <c r="M370" s="35"/>
      <c r="N370" s="35"/>
      <c r="O370" s="39" t="str">
        <f ca="1"/>
        <v xml:space="preserve">  _out1, CHOOSECOLS(_arr1, _idx1),</v>
      </c>
    </row>
    <row r="371" spans="7:15" x14ac:dyDescent="0.3">
      <c r="G371" s="35"/>
      <c r="H371" s="35"/>
      <c r="I371" s="35"/>
      <c r="J371" s="35"/>
      <c r="K371" s="35"/>
      <c r="L371" s="35"/>
      <c r="M371" s="35"/>
      <c r="N371" s="35"/>
      <c r="O371" s="39" t="str">
        <f ca="1"/>
        <v xml:space="preserve">  _out2, CHOOSECOLS(_arr2, _idx2),</v>
      </c>
    </row>
    <row r="372" spans="7:15" x14ac:dyDescent="0.3">
      <c r="G372" s="35"/>
      <c r="H372" s="35"/>
      <c r="I372" s="35"/>
      <c r="J372" s="35"/>
      <c r="K372" s="35"/>
      <c r="L372" s="35"/>
      <c r="M372" s="35"/>
      <c r="N372" s="35"/>
      <c r="O372" s="39" t="str">
        <f ca="1"/>
        <v xml:space="preserve">  _cc1, COLUMNS(_out1),</v>
      </c>
    </row>
    <row r="373" spans="7:15" x14ac:dyDescent="0.3">
      <c r="G373" s="35"/>
      <c r="H373" s="35"/>
      <c r="I373" s="35"/>
      <c r="J373" s="35"/>
      <c r="K373" s="35"/>
      <c r="L373" s="35"/>
      <c r="M373" s="35"/>
      <c r="N373" s="35"/>
      <c r="O373" s="39" t="str">
        <f ca="1"/>
        <v xml:space="preserve">  _cc2, COLUMNS(_out2),</v>
      </c>
    </row>
    <row r="374" spans="7:15" x14ac:dyDescent="0.3">
      <c r="G374" s="35"/>
      <c r="H374" s="35"/>
      <c r="I374" s="35"/>
      <c r="J374" s="35"/>
      <c r="K374" s="35"/>
      <c r="L374" s="35"/>
      <c r="M374" s="35"/>
      <c r="N374" s="35"/>
      <c r="O374" s="39" t="str">
        <f ca="1"/>
        <v xml:space="preserve">  _mtch, DROP(REDUCE(0, _uId1, LAMBDA(_acc,_val, VSTACK(_acc, IFNA(MATCH(_val, _uId2, 0), 0)))), 1),</v>
      </c>
    </row>
    <row r="375" spans="7:15" x14ac:dyDescent="0.3">
      <c r="O375" s="39" t="str">
        <f ca="1"/>
        <v xml:space="preserve">  _blnk, MAKEARRAY(1, _cc2, LAMBDA(_r,_c, NA())),</v>
      </c>
    </row>
    <row r="376" spans="7:15" x14ac:dyDescent="0.3">
      <c r="O376" s="39" t="str">
        <f ca="1"/>
        <v xml:space="preserve">  _arrN, DROP(REDUCE(0, _mtch, LAMBDA(_acc,_val, VSTACK(_acc, IF(_val = 0, _blnk, INDEX(_out2, _val, SEQUENCE(1, _cc2)))))), 1),</v>
      </c>
    </row>
    <row r="377" spans="7:15" x14ac:dyDescent="0.3">
      <c r="O377" s="39" t="str">
        <f ca="1"/>
        <v xml:space="preserve">  _arrR, LET(</v>
      </c>
    </row>
    <row r="378" spans="7:15" x14ac:dyDescent="0.3">
      <c r="O378" s="39" t="str">
        <f ca="1"/>
        <v xml:space="preserve">    _fltr, SCAN(0, SEQUENCE( ROWS(_out2), 1), LAMBDA(_acc,_val, IF( ISNA(MATCH(_val, _mtch, 0)), 1, 0))),</v>
      </c>
    </row>
    <row r="379" spans="7:15" x14ac:dyDescent="0.3">
      <c r="O379" s="39" t="str">
        <f ca="1"/>
        <v xml:space="preserve">    _arr, FILTER(_out2, _fltr = 1, "#[Empty]"),</v>
      </c>
    </row>
    <row r="380" spans="7:15" x14ac:dyDescent="0.3">
      <c r="O380" s="39" t="str">
        <f ca="1"/>
        <v xml:space="preserve">    _blnk, MAKEARRAY( ROWS(_arr), _cc1, LAMBDA(_r,_c, NA())),</v>
      </c>
    </row>
    <row r="381" spans="7:15" x14ac:dyDescent="0.3">
      <c r="O381" s="39" t="str">
        <f ca="1"/>
        <v xml:space="preserve">    HSTACK(_blnk, _arr)</v>
      </c>
    </row>
    <row r="382" spans="7:15" x14ac:dyDescent="0.3">
      <c r="O382" s="39" t="str">
        <f ca="1"/>
        <v xml:space="preserve">  ),</v>
      </c>
    </row>
    <row r="383" spans="7:15" x14ac:dyDescent="0.3">
      <c r="O383" s="39" t="str">
        <f ca="1"/>
        <v xml:space="preserve">  _arrC, HSTACK(_out1, _arrN),</v>
      </c>
    </row>
    <row r="384" spans="7:15" x14ac:dyDescent="0.3">
      <c r="O384" s="39" t="str">
        <f ca="1"/>
        <v xml:space="preserve">  _arrL, IF( OR(_typ = 2, _typ = 3),</v>
      </c>
    </row>
    <row r="385" spans="15:15" x14ac:dyDescent="0.3">
      <c r="O385" s="39" t="str">
        <f ca="1"/>
        <v xml:space="preserve">    FILTER(_arrC, _mtch &lt;&gt; 0, "#[Empty]"),</v>
      </c>
    </row>
    <row r="386" spans="15:15" x14ac:dyDescent="0.3">
      <c r="O386" s="39" t="str">
        <f ca="1"/>
        <v xml:space="preserve">    _arrC</v>
      </c>
    </row>
    <row r="387" spans="15:15" x14ac:dyDescent="0.3">
      <c r="O387" s="39" t="str">
        <f ca="1"/>
        <v xml:space="preserve">  ),</v>
      </c>
    </row>
    <row r="388" spans="15:15" x14ac:dyDescent="0.3">
      <c r="O388" s="39" t="str">
        <f ca="1"/>
        <v xml:space="preserve">  _rtn, CHOOSE(_typ,</v>
      </c>
    </row>
    <row r="389" spans="15:15" x14ac:dyDescent="0.3">
      <c r="O389" s="39" t="str">
        <f ca="1"/>
        <v xml:space="preserve">    _arrL,</v>
      </c>
    </row>
    <row r="390" spans="15:15" x14ac:dyDescent="0.3">
      <c r="O390" s="39" t="str">
        <f ca="1"/>
        <v xml:space="preserve">    IF( INDEX(_arrL, 1, 1) = "#[Empty]",</v>
      </c>
    </row>
    <row r="391" spans="15:15" x14ac:dyDescent="0.3">
      <c r="O391" s="39" t="str">
        <f ca="1"/>
        <v xml:space="preserve">      _arrR,</v>
      </c>
    </row>
    <row r="392" spans="15:15" x14ac:dyDescent="0.3">
      <c r="O392" s="39" t="str">
        <f ca="1"/>
        <v xml:space="preserve">      IF( INDEX(_arrR, 1, _cc1 + 1) = "#[Empty]",</v>
      </c>
    </row>
    <row r="393" spans="15:15" x14ac:dyDescent="0.3">
      <c r="O393" s="39" t="str">
        <f ca="1"/>
        <v xml:space="preserve">        _arrL,</v>
      </c>
    </row>
    <row r="394" spans="15:15" x14ac:dyDescent="0.3">
      <c r="O394" s="39" t="str">
        <f ca="1"/>
        <v xml:space="preserve">        VSTACK(_arrL, _arrR)</v>
      </c>
    </row>
    <row r="395" spans="15:15" x14ac:dyDescent="0.3">
      <c r="O395" s="39" t="str">
        <f ca="1"/>
        <v xml:space="preserve">      )</v>
      </c>
    </row>
    <row r="396" spans="15:15" x14ac:dyDescent="0.3">
      <c r="O396" s="39" t="str">
        <f ca="1"/>
        <v xml:space="preserve">    ),</v>
      </c>
    </row>
    <row r="397" spans="15:15" x14ac:dyDescent="0.3">
      <c r="O397" s="39" t="str">
        <f ca="1"/>
        <v xml:space="preserve">    IF( INDEX(_arrL, 1, 1) = "#[Empty]",</v>
      </c>
    </row>
    <row r="398" spans="15:15" x14ac:dyDescent="0.3">
      <c r="O398" s="39" t="str">
        <f ca="1"/>
        <v xml:space="preserve">      MAKEARRAY(1, _cc1 + _cc2, LAMBDA(_r,_c, NA())),</v>
      </c>
    </row>
    <row r="399" spans="15:15" x14ac:dyDescent="0.3">
      <c r="O399" s="39" t="str">
        <f ca="1"/>
        <v xml:space="preserve">      _arrL</v>
      </c>
    </row>
    <row r="400" spans="15:15" x14ac:dyDescent="0.3">
      <c r="O400" s="39" t="str">
        <f ca="1"/>
        <v xml:space="preserve">    ),</v>
      </c>
    </row>
    <row r="401" spans="2:15" x14ac:dyDescent="0.3">
      <c r="O401" s="39" t="str">
        <f ca="1"/>
        <v xml:space="preserve">    IF( INDEX(_arrR, 1, _cc1 + 1) = "#[Empty]",</v>
      </c>
    </row>
    <row r="402" spans="2:15" x14ac:dyDescent="0.3">
      <c r="O402" s="39" t="str">
        <f ca="1"/>
        <v xml:space="preserve">      _arrL,</v>
      </c>
    </row>
    <row r="403" spans="2:15" x14ac:dyDescent="0.3">
      <c r="O403" s="39" t="str">
        <f ca="1"/>
        <v xml:space="preserve">      VSTACK(_arrL, _arrR)</v>
      </c>
    </row>
    <row r="404" spans="2:15" x14ac:dyDescent="0.3">
      <c r="O404" s="39" t="str">
        <f ca="1"/>
        <v xml:space="preserve">    )</v>
      </c>
    </row>
    <row r="405" spans="2:15" x14ac:dyDescent="0.3">
      <c r="O405" s="39" t="str">
        <f ca="1"/>
        <v xml:space="preserve">  ),</v>
      </c>
    </row>
    <row r="406" spans="2:15" x14ac:dyDescent="0.3">
      <c r="O406" s="39" t="str">
        <f ca="1"/>
        <v xml:space="preserve">  CHOOSE(_inpChk, _rtn, #VALUE!)</v>
      </c>
    </row>
    <row r="407" spans="2:15" x14ac:dyDescent="0.3">
      <c r="O407" s="39" t="str">
        <f ca="1"/>
        <v>)</v>
      </c>
    </row>
    <row r="409" spans="2:15" x14ac:dyDescent="0.3">
      <c r="B409" s="16" t="str" cm="1">
        <f t="array" ref="B409" xml:space="preserve"> "(" &amp; _xlfn.UNICHAR( 65 + SUMPRODUCT(--(_xlfn.REGEXTEST(B$1:B408, "^\([A-Z]\)$")))) &amp; ")"</f>
        <v>(L)</v>
      </c>
      <c r="C409" s="2" t="s">
        <v>171</v>
      </c>
    </row>
    <row r="410" spans="2:15" x14ac:dyDescent="0.3">
      <c r="C410" s="2" t="s">
        <v>163</v>
      </c>
    </row>
    <row r="411" spans="2:15" x14ac:dyDescent="0.3">
      <c r="G411" s="48" t="s">
        <v>168</v>
      </c>
      <c r="H411" s="50" cm="1">
        <f t="array" ref="H411:K411" xml:space="preserve"> {1,2,3,4}</f>
        <v>1</v>
      </c>
      <c r="I411" s="50">
        <v>2</v>
      </c>
      <c r="J411" s="50">
        <v>3</v>
      </c>
      <c r="K411" s="50">
        <v>4</v>
      </c>
      <c r="L411" s="39" t="str">
        <f ca="1" xml:space="preserve"> _xlfn.FORMULATEXT(H411)</f>
        <v>= {1,2,3,4}</v>
      </c>
    </row>
    <row r="412" spans="2:15" x14ac:dyDescent="0.3">
      <c r="G412" s="48" t="s">
        <v>169</v>
      </c>
      <c r="H412" s="50" cm="1">
        <f t="array" ref="H412:I412" xml:space="preserve"> {4,2}</f>
        <v>4</v>
      </c>
      <c r="I412" s="50">
        <v>2</v>
      </c>
      <c r="J412" s="50"/>
      <c r="K412" s="50"/>
      <c r="L412" s="39" t="str">
        <f ca="1" xml:space="preserve"> _xlfn.FORMULATEXT(H412)</f>
        <v>= {4,2}</v>
      </c>
    </row>
    <row r="413" spans="2:15" x14ac:dyDescent="0.3">
      <c r="G413" s="48" t="s">
        <v>157</v>
      </c>
      <c r="H413" s="44" t="s">
        <v>154</v>
      </c>
    </row>
    <row r="414" spans="2:15" x14ac:dyDescent="0.3">
      <c r="C414" s="50">
        <v>1</v>
      </c>
      <c r="E414" s="50">
        <v>1</v>
      </c>
      <c r="G414" s="48" t="s">
        <v>172</v>
      </c>
      <c r="H414" s="50">
        <v>1</v>
      </c>
    </row>
    <row r="415" spans="2:15" x14ac:dyDescent="0.3">
      <c r="C415" s="51" t="s">
        <v>17</v>
      </c>
      <c r="E415" s="51" t="s">
        <v>16</v>
      </c>
      <c r="G415" t="s">
        <v>138</v>
      </c>
    </row>
    <row r="416" spans="2:15" ht="14.4" thickBot="1" x14ac:dyDescent="0.35">
      <c r="C416" s="32" t="str" cm="1">
        <f t="array" ref="C416" xml:space="preserve"> _xlfn.CHOOSECOLS($K$11:$N$11, $C$414)</f>
        <v>ID</v>
      </c>
      <c r="E416" s="32" t="str" cm="1">
        <f t="array" ref="E416" xml:space="preserve"> _xlfn.CHOOSECOLS($P$11:$S$11, $E$414)</f>
        <v>ID</v>
      </c>
      <c r="G416" s="32" t="str" cm="1">
        <f t="array" ref="G416:L416" xml:space="preserve"> _xlfn.HSTACK(
  _xlfn.CHOOSECOLS($K$11:$N$11,_xlfn.ANCHORARRAY( $H$411)),
  _xlfn.CHOOSECOLS($P$11:$S$11,_xlfn.ANCHORARRAY( $H$412))
)</f>
        <v>ID</v>
      </c>
      <c r="H416" s="32" t="str">
        <v>Col.1</v>
      </c>
      <c r="I416" s="32" t="str">
        <v>Col.2</v>
      </c>
      <c r="J416" s="32" t="str">
        <v>Col.3</v>
      </c>
      <c r="K416" s="32" t="str">
        <v>Col.30</v>
      </c>
      <c r="L416" s="32" t="str">
        <v>Col.10</v>
      </c>
      <c r="M416" s="32"/>
      <c r="N416" s="32"/>
    </row>
    <row r="417" spans="3:15" x14ac:dyDescent="0.3">
      <c r="C417" s="36" t="str" cm="1">
        <f t="array" ref="C417:C426" xml:space="preserve"> _xlfn.CHOOSECOLS($K$12:$N$21, $C$414)</f>
        <v>X-001</v>
      </c>
      <c r="D417" s="37">
        <v>1</v>
      </c>
      <c r="E417" s="36" t="str" cm="1">
        <f t="array" ref="E417:E426" xml:space="preserve"> _xlfn.CHOOSECOLS($P$12:$S$21, $E$414)</f>
        <v>X-009</v>
      </c>
      <c r="G417" s="35" t="str" cm="1">
        <f t="array" ref="G417:L428" xml:space="preserve"> _xlfn.LET(
  _xlpm._arr1, $K$12:$N$21,
  _xlpm._arr2, $P$12:$S$21,
  _xlpm._col1, $C$414,
  _xlpm._col2, $E$414,
  _xlpm._idx1,_xlfn.ANCHORARRAY( $H$411),
  _xlpm._idx2,_xlfn.ANCHORARRAY( $H$412),
  _xlpm.join_type, $H$413,
  _xlpm.sort, $H$414,
  _xlpm._inpT, IF( ISBLANK(_xlpm.join_type), 0, INT(_xlpm.join_type)),
  _xlpm._srt, IF( ISBLANK(_xlpm.sort), 0, INT(_xlpm.sort)),
  _xlpm._typ, IF( ISNUMBER(_xlpm._inpT), _xlpm._inpT + 1,
    _xlfn.IFNA( MATCH( LOWER(_xlpm.join_type), {"left","right","inner","full"}, 0), -1)
  ),
  _xlpm._inpChk, IF( OR(_xlpm._typ &lt; 1, _xlpm._typ &gt; 4), 2, 1),
  _xlpm._uId1, _xlfn.CHOOSECOLS(_xlpm._arr1, _xlpm._col1),
  _xlpm._uId2, _xlfn.CHOOSECOLS(_xlpm._arr2,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_xlpm._mCl, _xlfn._xlws.FILTER(_xlpm._uId2, _xlpm._fltr = 1, NA()),
    _xlpm._blnk, _xlfn.MAKEARRAY( ROWS(_xlpm._arr), _xlpm._cc1, _xlfn.LAMBDA(_xlpm._r,_xlpm._c, NA())),
    IF(_xlpm._srt &lt;&gt; 0,
      _xlfn.HSTACK(_xlpm._mCl, _xlpm._blnk, _xlpm._arr),
      _xlfn.HSTACK(_xlpm._blnk, _xlpm._arr)
    )
  ),
  _xlpm._arrC, IF(_xlpm._srt &lt;&gt; 0,
    _xlfn.HSTACK(_xlpm._uId1, _xlpm._out1, _xlpm._arrN),
    _xlfn.HSTACK(_xlpm._out1, _xlpm._arrN)
  ),
  _xlpm._arrL, IF( OR(_xlpm._typ = 2, _xlpm._typ = 3),
    _xlfn._xlws.FILTER(_xlpm._arrC, _xlpm._mtch &lt;&gt; 0, "#[Empty]"),
    _xlpm._arrC
  ),
  _xlpm._calc, CHOOSE(_xlpm._typ,
    _xlpm._arrL,
    IF( INDEX(_xlpm._arrL, 1, 1) = "#[Empty]",
      _xlpm._arrR,
      IF( INDEX(_xlpm._arrR, 1, _xlpm._ccS + 1) = "#[Empty]",
        _xlpm._arrL,
        _xlfn.VSTACK(_xlpm._arrL, _xlpm._arrR)
      )
    ),
    IF( INDEX(_xlpm._arrL, 1, 1) = "#[Empty]",
      _xlfn.MAKEARRAY(1, _xlpm._ccS + _xlpm._cc2, _xlfn.LAMBDA(_xlpm._r,_xlpm._c, NA())),
      _xlpm._arrL
    ),
    IF( INDEX(_xlpm._arrR, 1, _xlpm._ccS + 1) = "#[Empty]",
      _xlpm._arrL,
      _xlfn.VSTACK(_xlpm._arrL, _xlpm._arrR)
    )
  ),
  _xlpm._rtn, IF(_xlpm._srt &lt;&gt; 0,
    _xlfn.DROP( _xlfn.SORTBY(_xlpm._calc, _xlfn.CHOOSECOLS(_xlpm._calc, 1), _xlpm._srt), 0, 1),
    _xlpm._calc
  ),
  CHOOSE(_xlpm._inpChk, _xlpm._rtn, #VALUE!)
)</f>
        <v>X-001</v>
      </c>
      <c r="H417" s="35" t="str">
        <v>AAA</v>
      </c>
      <c r="I417" s="35">
        <v>1</v>
      </c>
      <c r="J417" s="35" t="str">
        <v>!</v>
      </c>
      <c r="K417" s="35" t="str">
        <v>one</v>
      </c>
      <c r="L417" s="35">
        <v>1</v>
      </c>
      <c r="M417" s="35"/>
      <c r="N417" s="35"/>
      <c r="O417" s="39" t="str" cm="1">
        <f t="array" aca="1" ref="O417:O483" ca="1" xml:space="preserve"> _xlfn.TEXTSPLIT( _xlfn.FORMULATEXT(G417), , CHAR(10))</f>
        <v>= LET(</v>
      </c>
    </row>
    <row r="418" spans="3:15" x14ac:dyDescent="0.3">
      <c r="C418" s="36" t="str">
        <v>X-002</v>
      </c>
      <c r="D418" s="37">
        <v>2</v>
      </c>
      <c r="E418" s="36" t="str">
        <v>X-007</v>
      </c>
      <c r="G418" s="35" t="str">
        <v>X-002</v>
      </c>
      <c r="H418" s="35" t="str">
        <v>BBB</v>
      </c>
      <c r="I418" s="35">
        <v>2</v>
      </c>
      <c r="J418" s="35" t="str">
        <v>"</v>
      </c>
      <c r="K418" s="35" t="str">
        <v>two</v>
      </c>
      <c r="L418" s="35">
        <v>2</v>
      </c>
      <c r="M418" s="35"/>
      <c r="N418" s="35"/>
      <c r="O418" s="39" t="str">
        <f ca="1"/>
        <v xml:space="preserve">  _arr1, $K$12:$N$21,</v>
      </c>
    </row>
    <row r="419" spans="3:15" x14ac:dyDescent="0.3">
      <c r="C419" s="36" t="str">
        <v>X-003</v>
      </c>
      <c r="D419" s="37">
        <v>3</v>
      </c>
      <c r="E419" s="36" t="str">
        <v>X-010</v>
      </c>
      <c r="G419" s="35" t="str">
        <v>X-003</v>
      </c>
      <c r="H419" s="35" t="str">
        <v>CCC</v>
      </c>
      <c r="I419" s="35">
        <v>3</v>
      </c>
      <c r="J419" s="35" t="str">
        <v>£</v>
      </c>
      <c r="K419" s="35" t="e">
        <v>#N/A</v>
      </c>
      <c r="L419" s="35" t="e">
        <v>#N/A</v>
      </c>
      <c r="M419" s="35"/>
      <c r="N419" s="35"/>
      <c r="O419" s="39" t="str">
        <f ca="1"/>
        <v xml:space="preserve">  _arr2, $P$12:$S$21,</v>
      </c>
    </row>
    <row r="420" spans="3:15" x14ac:dyDescent="0.3">
      <c r="C420" s="36" t="str">
        <v>X-004</v>
      </c>
      <c r="D420" s="37">
        <v>4</v>
      </c>
      <c r="E420" s="36" t="str">
        <v>X-002</v>
      </c>
      <c r="G420" s="35" t="str">
        <v>X-004</v>
      </c>
      <c r="H420" s="35" t="str">
        <v>DDD</v>
      </c>
      <c r="I420" s="35">
        <v>4</v>
      </c>
      <c r="J420" s="35" t="str">
        <v>$</v>
      </c>
      <c r="K420" s="35" t="str">
        <v>four</v>
      </c>
      <c r="L420" s="35">
        <v>4</v>
      </c>
      <c r="M420" s="35"/>
      <c r="N420" s="35"/>
      <c r="O420" s="39" t="str">
        <f ca="1"/>
        <v xml:space="preserve">  _col1, $C$414,</v>
      </c>
    </row>
    <row r="421" spans="3:15" x14ac:dyDescent="0.3">
      <c r="C421" s="36" t="str">
        <v>X-005</v>
      </c>
      <c r="D421" s="37">
        <v>5</v>
      </c>
      <c r="E421" s="36" t="str">
        <v>X-004</v>
      </c>
      <c r="G421" s="35" t="str">
        <v>X-005</v>
      </c>
      <c r="H421" s="35" t="str">
        <v>EEE</v>
      </c>
      <c r="I421" s="35">
        <v>5</v>
      </c>
      <c r="J421" s="35" t="str">
        <v>%</v>
      </c>
      <c r="K421" s="35" t="e">
        <v>#N/A</v>
      </c>
      <c r="L421" s="35" t="e">
        <v>#N/A</v>
      </c>
      <c r="M421" s="35"/>
      <c r="N421" s="35"/>
      <c r="O421" s="39" t="str">
        <f ca="1"/>
        <v xml:space="preserve">  _col2, $E$414,</v>
      </c>
    </row>
    <row r="422" spans="3:15" x14ac:dyDescent="0.3">
      <c r="C422" s="36" t="str">
        <v>X-006</v>
      </c>
      <c r="D422" s="37">
        <v>6</v>
      </c>
      <c r="E422" s="36" t="str">
        <v>X-008</v>
      </c>
      <c r="G422" s="35" t="str">
        <v>X-006</v>
      </c>
      <c r="H422" s="35" t="str">
        <v>FFF</v>
      </c>
      <c r="I422" s="35">
        <v>6</v>
      </c>
      <c r="J422" s="35" t="str">
        <v>^</v>
      </c>
      <c r="K422" s="35" t="str">
        <v>six</v>
      </c>
      <c r="L422" s="35">
        <v>6</v>
      </c>
      <c r="M422" s="35"/>
      <c r="N422" s="35"/>
      <c r="O422" s="39" t="str">
        <f ca="1"/>
        <v xml:space="preserve">  _idx1, $H$411#,</v>
      </c>
    </row>
    <row r="423" spans="3:15" x14ac:dyDescent="0.3">
      <c r="C423" s="36" t="str">
        <v>X-007</v>
      </c>
      <c r="D423" s="37">
        <v>7</v>
      </c>
      <c r="E423" s="36" t="str">
        <v>X-012</v>
      </c>
      <c r="G423" s="35" t="str">
        <v>X-007</v>
      </c>
      <c r="H423" s="35" t="str">
        <v>GGG</v>
      </c>
      <c r="I423" s="35">
        <v>7</v>
      </c>
      <c r="J423" s="35" t="str">
        <v>&amp;</v>
      </c>
      <c r="K423" s="35" t="str">
        <v>seven</v>
      </c>
      <c r="L423" s="35">
        <v>7</v>
      </c>
      <c r="M423" s="35"/>
      <c r="N423" s="35"/>
      <c r="O423" s="39" t="str">
        <f ca="1"/>
        <v xml:space="preserve">  _idx2, $H$412#,</v>
      </c>
    </row>
    <row r="424" spans="3:15" x14ac:dyDescent="0.3">
      <c r="C424" s="36" t="str">
        <v>X-008</v>
      </c>
      <c r="D424" s="37">
        <v>8</v>
      </c>
      <c r="E424" s="36" t="str">
        <v>X-001</v>
      </c>
      <c r="G424" s="35" t="str">
        <v>X-008</v>
      </c>
      <c r="H424" s="35" t="str">
        <v>HHH</v>
      </c>
      <c r="I424" s="35">
        <v>8</v>
      </c>
      <c r="J424" s="35" t="str">
        <v>*</v>
      </c>
      <c r="K424" s="35" t="str">
        <v>eight</v>
      </c>
      <c r="L424" s="35">
        <v>8</v>
      </c>
      <c r="M424" s="35"/>
      <c r="N424" s="35"/>
      <c r="O424" s="39" t="str">
        <f ca="1"/>
        <v xml:space="preserve">  join_type, $H$413,</v>
      </c>
    </row>
    <row r="425" spans="3:15" x14ac:dyDescent="0.3">
      <c r="C425" s="36" t="str">
        <v>X-009</v>
      </c>
      <c r="D425" s="37">
        <v>9</v>
      </c>
      <c r="E425" s="36" t="str">
        <v>X-006</v>
      </c>
      <c r="G425" s="35" t="str">
        <v>X-009</v>
      </c>
      <c r="H425" s="35" t="str">
        <v>III</v>
      </c>
      <c r="I425" s="35">
        <v>9</v>
      </c>
      <c r="J425" s="35" t="str">
        <v>(</v>
      </c>
      <c r="K425" s="35" t="str">
        <v>nine</v>
      </c>
      <c r="L425" s="35">
        <v>9</v>
      </c>
      <c r="M425" s="35"/>
      <c r="N425" s="35"/>
      <c r="O425" s="39" t="str">
        <f ca="1"/>
        <v xml:space="preserve">  sort, $H$414,</v>
      </c>
    </row>
    <row r="426" spans="3:15" x14ac:dyDescent="0.3">
      <c r="C426" s="36" t="str">
        <v>X-010</v>
      </c>
      <c r="D426" s="37">
        <v>10</v>
      </c>
      <c r="E426" s="36" t="str">
        <v>X-011</v>
      </c>
      <c r="G426" s="35" t="str">
        <v>X-010</v>
      </c>
      <c r="H426" s="35" t="str">
        <v>JJJ</v>
      </c>
      <c r="I426" s="35">
        <v>10</v>
      </c>
      <c r="J426" s="35" t="str">
        <v>)</v>
      </c>
      <c r="K426" s="35" t="str">
        <v>ten</v>
      </c>
      <c r="L426" s="35">
        <v>10</v>
      </c>
      <c r="M426" s="35"/>
      <c r="N426" s="35"/>
      <c r="O426" s="39" t="str">
        <f ca="1"/>
        <v xml:space="preserve">  _inpT, IF( ISBLANK(join_type), 0, INT(join_type)),</v>
      </c>
    </row>
    <row r="427" spans="3:15" x14ac:dyDescent="0.3">
      <c r="G427" s="35" t="e">
        <v>#N/A</v>
      </c>
      <c r="H427" s="35" t="e">
        <v>#N/A</v>
      </c>
      <c r="I427" s="35" t="e">
        <v>#N/A</v>
      </c>
      <c r="J427" s="35" t="e">
        <v>#N/A</v>
      </c>
      <c r="K427" s="35" t="str">
        <v>eleven</v>
      </c>
      <c r="L427" s="35">
        <v>11</v>
      </c>
      <c r="M427" s="35"/>
      <c r="N427" s="35"/>
      <c r="O427" s="39" t="str">
        <f ca="1"/>
        <v xml:space="preserve">  _srt, IF( ISBLANK(sort), 0, INT(sort)),</v>
      </c>
    </row>
    <row r="428" spans="3:15" x14ac:dyDescent="0.3">
      <c r="G428" s="35" t="e">
        <v>#N/A</v>
      </c>
      <c r="H428" s="35" t="e">
        <v>#N/A</v>
      </c>
      <c r="I428" s="35" t="e">
        <v>#N/A</v>
      </c>
      <c r="J428" s="35" t="e">
        <v>#N/A</v>
      </c>
      <c r="K428" s="35" t="str">
        <v>twelve</v>
      </c>
      <c r="L428" s="35">
        <v>12</v>
      </c>
      <c r="M428" s="35"/>
      <c r="N428" s="35"/>
      <c r="O428" s="39" t="str">
        <f ca="1"/>
        <v xml:space="preserve">  _typ, IF( ISNUMBER(_inpT), _inpT + 1,</v>
      </c>
    </row>
    <row r="429" spans="3:15" x14ac:dyDescent="0.3">
      <c r="G429" s="35"/>
      <c r="H429" s="35"/>
      <c r="I429" s="35"/>
      <c r="J429" s="35"/>
      <c r="K429" s="35"/>
      <c r="L429" s="35"/>
      <c r="M429" s="35"/>
      <c r="N429" s="35"/>
      <c r="O429" s="39" t="str">
        <f ca="1"/>
        <v xml:space="preserve">    IFNA( MATCH( LOWER(join_type), {"left","right","inner","full"}, 0), -1)</v>
      </c>
    </row>
    <row r="430" spans="3:15" x14ac:dyDescent="0.3">
      <c r="G430" s="35"/>
      <c r="H430" s="35"/>
      <c r="I430" s="35"/>
      <c r="J430" s="35"/>
      <c r="K430" s="35"/>
      <c r="L430" s="35"/>
      <c r="M430" s="35"/>
      <c r="N430" s="35"/>
      <c r="O430" s="39" t="str">
        <f ca="1"/>
        <v xml:space="preserve">  ),</v>
      </c>
    </row>
    <row r="431" spans="3:15" x14ac:dyDescent="0.3">
      <c r="G431" s="35"/>
      <c r="H431" s="35"/>
      <c r="I431" s="35"/>
      <c r="J431" s="35"/>
      <c r="K431" s="35"/>
      <c r="L431" s="35"/>
      <c r="M431" s="35"/>
      <c r="N431" s="35"/>
      <c r="O431" s="39" t="str">
        <f ca="1"/>
        <v xml:space="preserve">  _inpChk, IF( OR(_typ &lt; 1, _typ &gt; 4), 2, 1),</v>
      </c>
    </row>
    <row r="432" spans="3:15" x14ac:dyDescent="0.3">
      <c r="G432" s="35"/>
      <c r="H432" s="35"/>
      <c r="I432" s="35"/>
      <c r="J432" s="35"/>
      <c r="K432" s="35"/>
      <c r="L432" s="35"/>
      <c r="M432" s="35"/>
      <c r="N432" s="35"/>
      <c r="O432" s="39" t="str">
        <f ca="1"/>
        <v xml:space="preserve">  _uId1, CHOOSECOLS(_arr1, _col1),</v>
      </c>
    </row>
    <row r="433" spans="7:15" x14ac:dyDescent="0.3">
      <c r="G433" s="35"/>
      <c r="H433" s="35"/>
      <c r="I433" s="35"/>
      <c r="J433" s="35"/>
      <c r="K433" s="35"/>
      <c r="L433" s="35"/>
      <c r="M433" s="35"/>
      <c r="N433" s="35"/>
      <c r="O433" s="39" t="str">
        <f ca="1"/>
        <v xml:space="preserve">  _uId2, CHOOSECOLS(_arr2, _col2),</v>
      </c>
    </row>
    <row r="434" spans="7:15" x14ac:dyDescent="0.3">
      <c r="G434" s="35"/>
      <c r="H434" s="35"/>
      <c r="I434" s="35"/>
      <c r="J434" s="35"/>
      <c r="K434" s="35"/>
      <c r="L434" s="35"/>
      <c r="M434" s="35"/>
      <c r="N434" s="35"/>
      <c r="O434" s="39" t="str">
        <f ca="1"/>
        <v xml:space="preserve">  _out1, CHOOSECOLS(_arr1, _idx1),</v>
      </c>
    </row>
    <row r="435" spans="7:15" x14ac:dyDescent="0.3">
      <c r="G435" s="35"/>
      <c r="H435" s="35"/>
      <c r="I435" s="35"/>
      <c r="J435" s="35"/>
      <c r="K435" s="35"/>
      <c r="L435" s="35"/>
      <c r="M435" s="35"/>
      <c r="N435" s="35"/>
      <c r="O435" s="39" t="str">
        <f ca="1"/>
        <v xml:space="preserve">  _out2, CHOOSECOLS(_arr2, _idx2),</v>
      </c>
    </row>
    <row r="436" spans="7:15" x14ac:dyDescent="0.3">
      <c r="G436" s="35"/>
      <c r="H436" s="35"/>
      <c r="I436" s="35"/>
      <c r="J436" s="35"/>
      <c r="K436" s="35"/>
      <c r="L436" s="35"/>
      <c r="M436" s="35"/>
      <c r="N436" s="35"/>
      <c r="O436" s="39" t="str">
        <f ca="1"/>
        <v xml:space="preserve">  _cc1, COLUMNS(_out1),</v>
      </c>
    </row>
    <row r="437" spans="7:15" x14ac:dyDescent="0.3">
      <c r="O437" s="39" t="str">
        <f ca="1"/>
        <v xml:space="preserve">  _cc2, COLUMNS(_out2),</v>
      </c>
    </row>
    <row r="438" spans="7:15" x14ac:dyDescent="0.3">
      <c r="O438" s="39" t="str">
        <f ca="1"/>
        <v xml:space="preserve">  _ccS, _cc1 + IF(_srt &lt;&gt; 0, 1, 0),</v>
      </c>
    </row>
    <row r="439" spans="7:15" x14ac:dyDescent="0.3">
      <c r="O439" s="39" t="str">
        <f ca="1"/>
        <v xml:space="preserve">  _mtch, DROP(REDUCE(0, _uId1, LAMBDA(_acc,_val, VSTACK(_acc, IFNA(MATCH(_val, _uId2, 0), 0)))), 1),</v>
      </c>
    </row>
    <row r="440" spans="7:15" x14ac:dyDescent="0.3">
      <c r="O440" s="39" t="str">
        <f ca="1"/>
        <v xml:space="preserve">  _blnk, MAKEARRAY(1, _cc2, LAMBDA(_r,_c, NA())),</v>
      </c>
    </row>
    <row r="441" spans="7:15" x14ac:dyDescent="0.3">
      <c r="O441" s="39" t="str">
        <f ca="1"/>
        <v xml:space="preserve">  _arrN, DROP(REDUCE(0, _mtch, LAMBDA(_acc,_val, VSTACK(_acc, IF(_val = 0, _blnk, INDEX(_out2, _val, SEQUENCE(1, _cc2)))))), 1),</v>
      </c>
    </row>
    <row r="442" spans="7:15" x14ac:dyDescent="0.3">
      <c r="O442" s="39" t="str">
        <f ca="1"/>
        <v xml:space="preserve">  _arrR, LET(</v>
      </c>
    </row>
    <row r="443" spans="7:15" x14ac:dyDescent="0.3">
      <c r="O443" s="39" t="str">
        <f ca="1"/>
        <v xml:space="preserve">    _fltr, SCAN(0, SEQUENCE( ROWS(_out2), 1), LAMBDA(_acc,_val, IF( ISNA(MATCH(_val, _mtch, 0)), 1, 0))),</v>
      </c>
    </row>
    <row r="444" spans="7:15" x14ac:dyDescent="0.3">
      <c r="O444" s="39" t="str">
        <f ca="1"/>
        <v xml:space="preserve">    _arr, FILTER(_out2, _fltr = 1, "#[Empty]"),</v>
      </c>
    </row>
    <row r="445" spans="7:15" x14ac:dyDescent="0.3">
      <c r="O445" s="39" t="str">
        <f ca="1"/>
        <v xml:space="preserve">    _mCl, FILTER(_uId2, _fltr = 1, NA()),</v>
      </c>
    </row>
    <row r="446" spans="7:15" x14ac:dyDescent="0.3">
      <c r="O446" s="39" t="str">
        <f ca="1"/>
        <v xml:space="preserve">    _blnk, MAKEARRAY( ROWS(_arr), _cc1, LAMBDA(_r,_c, NA())),</v>
      </c>
    </row>
    <row r="447" spans="7:15" x14ac:dyDescent="0.3">
      <c r="O447" s="39" t="str">
        <f ca="1"/>
        <v xml:space="preserve">    IF(_srt &lt;&gt; 0,</v>
      </c>
    </row>
    <row r="448" spans="7:15" x14ac:dyDescent="0.3">
      <c r="O448" s="39" t="str">
        <f ca="1"/>
        <v xml:space="preserve">      HSTACK(_mCl, _blnk, _arr),</v>
      </c>
    </row>
    <row r="449" spans="15:15" x14ac:dyDescent="0.3">
      <c r="O449" s="39" t="str">
        <f ca="1"/>
        <v xml:space="preserve">      HSTACK(_blnk, _arr)</v>
      </c>
    </row>
    <row r="450" spans="15:15" x14ac:dyDescent="0.3">
      <c r="O450" s="39" t="str">
        <f ca="1"/>
        <v xml:space="preserve">    )</v>
      </c>
    </row>
    <row r="451" spans="15:15" x14ac:dyDescent="0.3">
      <c r="O451" s="39" t="str">
        <f ca="1"/>
        <v xml:space="preserve">  ),</v>
      </c>
    </row>
    <row r="452" spans="15:15" x14ac:dyDescent="0.3">
      <c r="O452" s="39" t="str">
        <f ca="1"/>
        <v xml:space="preserve">  _arrC, IF(_srt &lt;&gt; 0,</v>
      </c>
    </row>
    <row r="453" spans="15:15" x14ac:dyDescent="0.3">
      <c r="O453" s="39" t="str">
        <f ca="1"/>
        <v xml:space="preserve">    HSTACK(_uId1, _out1, _arrN),</v>
      </c>
    </row>
    <row r="454" spans="15:15" x14ac:dyDescent="0.3">
      <c r="O454" s="39" t="str">
        <f ca="1"/>
        <v xml:space="preserve">    HSTACK(_out1, _arrN)</v>
      </c>
    </row>
    <row r="455" spans="15:15" x14ac:dyDescent="0.3">
      <c r="O455" s="39" t="str">
        <f ca="1"/>
        <v xml:space="preserve">  ),</v>
      </c>
    </row>
    <row r="456" spans="15:15" x14ac:dyDescent="0.3">
      <c r="O456" s="39" t="str">
        <f ca="1"/>
        <v xml:space="preserve">  _arrL, IF( OR(_typ = 2, _typ = 3),</v>
      </c>
    </row>
    <row r="457" spans="15:15" x14ac:dyDescent="0.3">
      <c r="O457" s="39" t="str">
        <f ca="1"/>
        <v xml:space="preserve">    FILTER(_arrC, _mtch &lt;&gt; 0, "#[Empty]"),</v>
      </c>
    </row>
    <row r="458" spans="15:15" x14ac:dyDescent="0.3">
      <c r="O458" s="39" t="str">
        <f ca="1"/>
        <v xml:space="preserve">    _arrC</v>
      </c>
    </row>
    <row r="459" spans="15:15" x14ac:dyDescent="0.3">
      <c r="O459" s="39" t="str">
        <f ca="1"/>
        <v xml:space="preserve">  ),</v>
      </c>
    </row>
    <row r="460" spans="15:15" x14ac:dyDescent="0.3">
      <c r="O460" s="39" t="str">
        <f ca="1"/>
        <v xml:space="preserve">  _calc, CHOOSE(_typ,</v>
      </c>
    </row>
    <row r="461" spans="15:15" x14ac:dyDescent="0.3">
      <c r="O461" s="39" t="str">
        <f ca="1"/>
        <v xml:space="preserve">    _arrL,</v>
      </c>
    </row>
    <row r="462" spans="15:15" x14ac:dyDescent="0.3">
      <c r="O462" s="39" t="str">
        <f ca="1"/>
        <v xml:space="preserve">    IF( INDEX(_arrL, 1, 1) = "#[Empty]",</v>
      </c>
    </row>
    <row r="463" spans="15:15" x14ac:dyDescent="0.3">
      <c r="O463" s="39" t="str">
        <f ca="1"/>
        <v xml:space="preserve">      _arrR,</v>
      </c>
    </row>
    <row r="464" spans="15:15" x14ac:dyDescent="0.3">
      <c r="O464" s="39" t="str">
        <f ca="1"/>
        <v xml:space="preserve">      IF( INDEX(_arrR, 1, _ccS + 1) = "#[Empty]",</v>
      </c>
    </row>
    <row r="465" spans="15:15" x14ac:dyDescent="0.3">
      <c r="O465" s="39" t="str">
        <f ca="1"/>
        <v xml:space="preserve">        _arrL,</v>
      </c>
    </row>
    <row r="466" spans="15:15" x14ac:dyDescent="0.3">
      <c r="O466" s="39" t="str">
        <f ca="1"/>
        <v xml:space="preserve">        VSTACK(_arrL, _arrR)</v>
      </c>
    </row>
    <row r="467" spans="15:15" x14ac:dyDescent="0.3">
      <c r="O467" s="39" t="str">
        <f ca="1"/>
        <v xml:space="preserve">      )</v>
      </c>
    </row>
    <row r="468" spans="15:15" x14ac:dyDescent="0.3">
      <c r="O468" s="39" t="str">
        <f ca="1"/>
        <v xml:space="preserve">    ),</v>
      </c>
    </row>
    <row r="469" spans="15:15" x14ac:dyDescent="0.3">
      <c r="O469" s="39" t="str">
        <f ca="1"/>
        <v xml:space="preserve">    IF( INDEX(_arrL, 1, 1) = "#[Empty]",</v>
      </c>
    </row>
    <row r="470" spans="15:15" x14ac:dyDescent="0.3">
      <c r="O470" s="39" t="str">
        <f ca="1"/>
        <v xml:space="preserve">      MAKEARRAY(1, _ccS + _cc2, LAMBDA(_r,_c, NA())),</v>
      </c>
    </row>
    <row r="471" spans="15:15" x14ac:dyDescent="0.3">
      <c r="O471" s="39" t="str">
        <f ca="1"/>
        <v xml:space="preserve">      _arrL</v>
      </c>
    </row>
    <row r="472" spans="15:15" x14ac:dyDescent="0.3">
      <c r="O472" s="39" t="str">
        <f ca="1"/>
        <v xml:space="preserve">    ),</v>
      </c>
    </row>
    <row r="473" spans="15:15" x14ac:dyDescent="0.3">
      <c r="O473" s="39" t="str">
        <f ca="1"/>
        <v xml:space="preserve">    IF( INDEX(_arrR, 1, _ccS + 1) = "#[Empty]",</v>
      </c>
    </row>
    <row r="474" spans="15:15" x14ac:dyDescent="0.3">
      <c r="O474" s="39" t="str">
        <f ca="1"/>
        <v xml:space="preserve">      _arrL,</v>
      </c>
    </row>
    <row r="475" spans="15:15" x14ac:dyDescent="0.3">
      <c r="O475" s="39" t="str">
        <f ca="1"/>
        <v xml:space="preserve">      VSTACK(_arrL, _arrR)</v>
      </c>
    </row>
    <row r="476" spans="15:15" x14ac:dyDescent="0.3">
      <c r="O476" s="39" t="str">
        <f ca="1"/>
        <v xml:space="preserve">    )</v>
      </c>
    </row>
    <row r="477" spans="15:15" x14ac:dyDescent="0.3">
      <c r="O477" s="39" t="str">
        <f ca="1"/>
        <v xml:space="preserve">  ),</v>
      </c>
    </row>
    <row r="478" spans="15:15" x14ac:dyDescent="0.3">
      <c r="O478" s="39" t="str">
        <f ca="1"/>
        <v xml:space="preserve">  _rtn, IF(_srt &lt;&gt; 0,</v>
      </c>
    </row>
    <row r="479" spans="15:15" x14ac:dyDescent="0.3">
      <c r="O479" s="39" t="str">
        <f ca="1"/>
        <v xml:space="preserve">    DROP( SORTBY(_calc, CHOOSECOLS(_calc, 1), _srt), 0, 1),</v>
      </c>
    </row>
    <row r="480" spans="15:15" x14ac:dyDescent="0.3">
      <c r="O480" s="39" t="str">
        <f ca="1"/>
        <v xml:space="preserve">    _calc</v>
      </c>
    </row>
    <row r="481" spans="2:15" x14ac:dyDescent="0.3">
      <c r="O481" s="39" t="str">
        <f ca="1"/>
        <v xml:space="preserve">  ),</v>
      </c>
    </row>
    <row r="482" spans="2:15" x14ac:dyDescent="0.3">
      <c r="O482" s="39" t="str">
        <f ca="1"/>
        <v xml:space="preserve">  CHOOSE(_inpChk, _rtn, #VALUE!)</v>
      </c>
    </row>
    <row r="483" spans="2:15" x14ac:dyDescent="0.3">
      <c r="O483" s="39" t="str">
        <f ca="1"/>
        <v>)</v>
      </c>
    </row>
    <row r="485" spans="2:15" x14ac:dyDescent="0.3">
      <c r="B485" s="16" t="str" cm="1">
        <f t="array" ref="B485" xml:space="preserve"> "(" &amp; _xlfn.UNICHAR( 65 + SUMPRODUCT(--(_xlfn.REGEXTEST(B$1:B484, "^\([A-Z]\)$")))) &amp; ")"</f>
        <v>(M)</v>
      </c>
      <c r="C485" s="2" t="s">
        <v>173</v>
      </c>
    </row>
    <row r="486" spans="2:15" x14ac:dyDescent="0.3">
      <c r="C486" s="2" t="s">
        <v>163</v>
      </c>
    </row>
    <row r="488" spans="2:15" x14ac:dyDescent="0.3">
      <c r="C488" s="48" t="s">
        <v>174</v>
      </c>
      <c r="D488" s="44"/>
    </row>
    <row r="489" spans="2:15" x14ac:dyDescent="0.3">
      <c r="C489" s="9" t="s">
        <v>175</v>
      </c>
      <c r="D489" s="34" t="e">
        <f xml:space="preserve"> _xlfn.LET(
  _xlpm.replace_na, $D$488,
  _xlpm._inpR, IF( ISBLANK(_xlpm.replace_na), FALSE, _xlpm.replace_na),
  _xlpm._rep, IF( ISLOGICAL(_xlpm._inpR),
    IF(_xlpm._inpR, "", NA()),
    _xlpm._inpR
  ),
  _xlpm._rep
)</f>
        <v>#N/A</v>
      </c>
    </row>
    <row r="490" spans="2:15" x14ac:dyDescent="0.3">
      <c r="D490" s="39" t="str" cm="1">
        <f t="array" aca="1" ref="D490:D498" ca="1" xml:space="preserve"> _xlfn.TEXTSPLIT( _xlfn.FORMULATEXT(D489), , CHAR(10))</f>
        <v>= LET(</v>
      </c>
    </row>
    <row r="491" spans="2:15" x14ac:dyDescent="0.3">
      <c r="D491" s="39" t="str">
        <f ca="1"/>
        <v xml:space="preserve">  replace_na, $D$488,</v>
      </c>
    </row>
    <row r="492" spans="2:15" x14ac:dyDescent="0.3">
      <c r="D492" s="39" t="str">
        <f ca="1"/>
        <v xml:space="preserve">  _inpR, IF( ISBLANK(replace_na), FALSE, replace_na),</v>
      </c>
    </row>
    <row r="493" spans="2:15" x14ac:dyDescent="0.3">
      <c r="D493" s="39" t="str">
        <f ca="1"/>
        <v xml:space="preserve">  _rep, IF( ISLOGICAL(_inpR),</v>
      </c>
    </row>
    <row r="494" spans="2:15" x14ac:dyDescent="0.3">
      <c r="D494" s="39" t="str">
        <f ca="1"/>
        <v xml:space="preserve">    IF(_inpR, "", NA()),</v>
      </c>
    </row>
    <row r="495" spans="2:15" x14ac:dyDescent="0.3">
      <c r="D495" s="39" t="str">
        <f ca="1"/>
        <v xml:space="preserve">    _inpR</v>
      </c>
    </row>
    <row r="496" spans="2:15" x14ac:dyDescent="0.3">
      <c r="D496" s="39" t="str">
        <f ca="1"/>
        <v xml:space="preserve">  ),</v>
      </c>
    </row>
    <row r="497" spans="2:15" x14ac:dyDescent="0.3">
      <c r="D497" s="39" t="str">
        <f ca="1"/>
        <v xml:space="preserve">  _rep</v>
      </c>
    </row>
    <row r="498" spans="2:15" x14ac:dyDescent="0.3">
      <c r="D498" s="39" t="str">
        <f ca="1"/>
        <v>)</v>
      </c>
    </row>
    <row r="500" spans="2:15" x14ac:dyDescent="0.3">
      <c r="B500" s="16" t="str" cm="1">
        <f t="array" ref="B500" xml:space="preserve"> "(" &amp; _xlfn.UNICHAR( 65 + SUMPRODUCT(--(_xlfn.REGEXTEST(B$1:B499, "^\([A-Z]\)$")))) &amp; ")"</f>
        <v>(N)</v>
      </c>
      <c r="C500" s="2" t="s">
        <v>176</v>
      </c>
    </row>
    <row r="501" spans="2:15" x14ac:dyDescent="0.3">
      <c r="C501" s="2" t="s">
        <v>163</v>
      </c>
    </row>
    <row r="502" spans="2:15" x14ac:dyDescent="0.3">
      <c r="G502" s="48" t="s">
        <v>168</v>
      </c>
      <c r="H502" s="50" cm="1">
        <f t="array" ref="H502:K502" xml:space="preserve"> {1,2,3,4}</f>
        <v>1</v>
      </c>
      <c r="I502" s="50">
        <v>2</v>
      </c>
      <c r="J502" s="50">
        <v>3</v>
      </c>
      <c r="K502" s="50">
        <v>4</v>
      </c>
      <c r="L502" s="39" t="str">
        <f ca="1" xml:space="preserve"> _xlfn.FORMULATEXT(H502)</f>
        <v>= {1,2,3,4}</v>
      </c>
    </row>
    <row r="503" spans="2:15" x14ac:dyDescent="0.3">
      <c r="G503" s="48" t="s">
        <v>169</v>
      </c>
      <c r="H503" s="50" cm="1">
        <f t="array" ref="H503:I503" xml:space="preserve"> {4,2}</f>
        <v>4</v>
      </c>
      <c r="I503" s="50">
        <v>2</v>
      </c>
      <c r="J503" s="50"/>
      <c r="K503" s="50"/>
      <c r="L503" s="39" t="str">
        <f ca="1" xml:space="preserve"> _xlfn.FORMULATEXT(H503)</f>
        <v>= {4,2}</v>
      </c>
    </row>
    <row r="504" spans="2:15" x14ac:dyDescent="0.3">
      <c r="G504" s="48" t="s">
        <v>157</v>
      </c>
      <c r="H504" s="44" t="s">
        <v>154</v>
      </c>
    </row>
    <row r="505" spans="2:15" x14ac:dyDescent="0.3">
      <c r="G505" s="48" t="s">
        <v>172</v>
      </c>
      <c r="H505" s="50">
        <v>1</v>
      </c>
    </row>
    <row r="506" spans="2:15" x14ac:dyDescent="0.3">
      <c r="C506" s="50">
        <v>1</v>
      </c>
      <c r="E506" s="50">
        <v>1</v>
      </c>
      <c r="G506" s="48" t="s">
        <v>174</v>
      </c>
      <c r="H506" s="50"/>
    </row>
    <row r="507" spans="2:15" x14ac:dyDescent="0.3">
      <c r="C507" s="51" t="s">
        <v>17</v>
      </c>
      <c r="E507" s="51" t="s">
        <v>16</v>
      </c>
      <c r="G507" t="s">
        <v>138</v>
      </c>
    </row>
    <row r="508" spans="2:15" ht="14.4" thickBot="1" x14ac:dyDescent="0.35">
      <c r="C508" s="32" t="str" cm="1">
        <f t="array" ref="C508" xml:space="preserve"> _xlfn.CHOOSECOLS($K$11:$N$11, $C$506)</f>
        <v>ID</v>
      </c>
      <c r="E508" s="32" t="str" cm="1">
        <f t="array" ref="E508" xml:space="preserve"> _xlfn.CHOOSECOLS($P$11:$S$11, $E$506)</f>
        <v>ID</v>
      </c>
      <c r="G508" s="32" t="str" cm="1">
        <f t="array" ref="G508:L508" xml:space="preserve"> _xlfn.HSTACK(
  _xlfn.CHOOSECOLS($K$11:$N$11,_xlfn.ANCHORARRAY( $H$502)),
  _xlfn.CHOOSECOLS($P$11:$S$11,_xlfn.ANCHORARRAY( $H$503))
)</f>
        <v>ID</v>
      </c>
      <c r="H508" s="32" t="str">
        <v>Col.1</v>
      </c>
      <c r="I508" s="32" t="str">
        <v>Col.2</v>
      </c>
      <c r="J508" s="32" t="str">
        <v>Col.3</v>
      </c>
      <c r="K508" s="32" t="str">
        <v>Col.30</v>
      </c>
      <c r="L508" s="32" t="str">
        <v>Col.10</v>
      </c>
      <c r="M508" s="32"/>
      <c r="N508" s="32"/>
    </row>
    <row r="509" spans="2:15" x14ac:dyDescent="0.3">
      <c r="C509" s="36" t="str" cm="1">
        <f t="array" ref="C509:C518" xml:space="preserve"> _xlfn.CHOOSECOLS($K$12:$N$21, $C$506)</f>
        <v>X-001</v>
      </c>
      <c r="D509" s="37">
        <v>1</v>
      </c>
      <c r="E509" s="36" t="str" cm="1">
        <f t="array" ref="E509:E518" xml:space="preserve"> _xlfn.CHOOSECOLS($P$12:$S$21, $E$506)</f>
        <v>X-009</v>
      </c>
      <c r="G509" s="35" t="str" cm="1">
        <f t="array" ref="G509:L520" xml:space="preserve"> _xlfn.LET(
  _xlpm._arr1, $K$12:$N$21,
  _xlpm._arr2, $P$12:$S$21,
  _xlpm._col1, $C$506,
  _xlpm._col2, $E$506,
  _xlpm._idx1,_xlfn.ANCHORARRAY( $H$502),
  _xlpm._idx2,_xlfn.ANCHORARRAY( $H$503),
  _xlpm.join_type, $H$504,
  _xlpm.sort, $H$505,
  _xlpm.replace_na, $H$506,
  _xlpm._inpT, IF( ISBLANK(_xlpm.join_type), 0, INT(_xlpm.join_type)),
  _xlpm._typ, IF( ISNUMBER(_xlpm._inpT), _xlpm._inpT + 1,
    _xlfn.IFNA( MATCH( LOWER(_xlpm.join_type), {"left","right","inner","full"}, 0), -1)
  ),
  _xlpm._srt, IF( ISBLANK(_xlpm.sort), 0, INT(_xlpm.sort)),
  _xlpm._inpR, IF( ISBLANK(_xlpm.replace_na), FALSE, _xlpm.replace_na),
  _xlpm._rep, IF( ISLOGICAL(_xlpm._inpR),
    IF(_xlpm._inpR, "", NA()),
    _xlpm._inpR
  ),
  _xlpm._inpChk, IF( OR(_xlpm._typ &lt; 1, _xlpm._typ &gt; 4), 2, 1),
  _xlpm._uId1, _xlfn.CHOOSECOLS(_xlpm._arr1, _xlpm._col1),
  _xlpm._uId2, _xlfn.CHOOSECOLS(_xlpm._arr2,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_xlpm._mCl, _xlfn._xlws.FILTER(_xlpm._uId2, _xlpm._fltr = 1, NA()),
    _xlpm._blnk, _xlfn.MAKEARRAY( ROWS(_xlpm._arr), _xlpm._cc1, _xlfn.LAMBDA(_xlpm._r,_xlpm._c, NA())),
    IF(_xlpm._srt &lt;&gt; 0,
      _xlfn.HSTACK(_xlpm._mCl, _xlpm._blnk, _xlpm._arr),
      _xlfn.HSTACK(_xlpm._blnk, _xlpm._arr)
    )
  ),
  _xlpm._arrC, IF(_xlpm._srt &lt;&gt; 0,
    _xlfn.HSTACK(_xlpm._uId1, _xlpm._out1, _xlpm._arrN),
    _xlfn.HSTACK(_xlpm._out1, _xlpm._arrN)
  ),
  _xlpm._arrL, IF( OR(_xlpm._typ = 2, _xlpm._typ = 3),
    _xlfn._xlws.FILTER(_xlpm._arrC, _xlpm._mtch &lt;&gt; 0, "#[Empty]"),
    _xlpm._arrC
  ),
  _xlpm._calc, CHOOSE(_xlpm._typ,
    _xlpm._arrL,
    IF( INDEX(_xlpm._arrL, 1, 1) = "#[Empty]",
      _xlpm._arrR,
      IF( INDEX(_xlpm._arrR, 1, _xlpm._ccS + 1) = "#[Empty]",
        _xlpm._arrL,
        _xlfn.VSTACK(_xlpm._arrL, _xlpm._arrR)
      )
    ),
    IF( INDEX(_xlpm._arrL, 1, 1) = "#[Empty]",
      _xlfn.MAKEARRAY(1, _xlpm._ccS + _xlpm._cc2, _xlfn.LAMBDA(_xlpm._r,_xlpm._c, NA())),
      _xlpm._arrL
    ),
    IF( INDEX(_xlpm._arrR, 1, _xlpm._ccS + 1) = "#[Empty]",
      _xlpm._arrL,
      _xlfn.VSTACK(_xlpm._arrL, _xlpm._arrR)
    )
  ),
  _xlpm._rtn, _xlfn.LET(
    _xlpm._arrS, IF(_xlpm._srt &lt;&gt; 0,
      _xlfn.DROP( _xlfn.SORTBY(_xlpm._calc, _xlfn.CHOOSECOLS(_xlpm._calc, 1), _xlpm._srt), 0, 1),
      _xlpm._calc
    ),
    _xlpm._arrR, IF( ISNA(_xlpm._rep),
      _xlpm._arrS,
      IF( ISNA(_xlpm._arrS), _xlpm._rep, _xlpm._arrS)
    ),
    _xlpm._arrR
  ),
  CHOOSE(_xlpm._inpChk, _xlpm._rtn, #VALUE!)
)</f>
        <v>X-001</v>
      </c>
      <c r="H509" s="35" t="str">
        <v>AAA</v>
      </c>
      <c r="I509" s="35">
        <v>1</v>
      </c>
      <c r="J509" s="35" t="str">
        <v>!</v>
      </c>
      <c r="K509" s="35" t="str">
        <v>one</v>
      </c>
      <c r="L509" s="35">
        <v>1</v>
      </c>
      <c r="M509" s="35"/>
      <c r="N509" s="35"/>
      <c r="O509" s="39" t="str" cm="1">
        <f t="array" aca="1" ref="O509:O588" ca="1" xml:space="preserve"> _xlfn.TEXTSPLIT( _xlfn.FORMULATEXT(G509), , CHAR(10))</f>
        <v>= LET(</v>
      </c>
    </row>
    <row r="510" spans="2:15" x14ac:dyDescent="0.3">
      <c r="C510" s="36" t="str">
        <v>X-002</v>
      </c>
      <c r="D510" s="37">
        <v>2</v>
      </c>
      <c r="E510" s="36" t="str">
        <v>X-007</v>
      </c>
      <c r="G510" s="35" t="str">
        <v>X-002</v>
      </c>
      <c r="H510" s="35" t="str">
        <v>BBB</v>
      </c>
      <c r="I510" s="35">
        <v>2</v>
      </c>
      <c r="J510" s="35" t="str">
        <v>"</v>
      </c>
      <c r="K510" s="35" t="str">
        <v>two</v>
      </c>
      <c r="L510" s="35">
        <v>2</v>
      </c>
      <c r="M510" s="35"/>
      <c r="N510" s="35"/>
      <c r="O510" s="39" t="str">
        <f ca="1"/>
        <v xml:space="preserve">  _arr1, $K$12:$N$21,</v>
      </c>
    </row>
    <row r="511" spans="2:15" x14ac:dyDescent="0.3">
      <c r="C511" s="36" t="str">
        <v>X-003</v>
      </c>
      <c r="D511" s="37">
        <v>3</v>
      </c>
      <c r="E511" s="36" t="str">
        <v>X-010</v>
      </c>
      <c r="G511" s="35" t="str">
        <v>X-003</v>
      </c>
      <c r="H511" s="35" t="str">
        <v>CCC</v>
      </c>
      <c r="I511" s="35">
        <v>3</v>
      </c>
      <c r="J511" s="35" t="str">
        <v>£</v>
      </c>
      <c r="K511" s="35" t="e">
        <v>#N/A</v>
      </c>
      <c r="L511" s="35" t="e">
        <v>#N/A</v>
      </c>
      <c r="M511" s="35"/>
      <c r="N511" s="35"/>
      <c r="O511" s="39" t="str">
        <f ca="1"/>
        <v xml:space="preserve">  _arr2, $P$12:$S$21,</v>
      </c>
    </row>
    <row r="512" spans="2:15" x14ac:dyDescent="0.3">
      <c r="C512" s="36" t="str">
        <v>X-004</v>
      </c>
      <c r="D512" s="37">
        <v>4</v>
      </c>
      <c r="E512" s="36" t="str">
        <v>X-002</v>
      </c>
      <c r="G512" s="35" t="str">
        <v>X-004</v>
      </c>
      <c r="H512" s="35" t="str">
        <v>DDD</v>
      </c>
      <c r="I512" s="35">
        <v>4</v>
      </c>
      <c r="J512" s="35" t="str">
        <v>$</v>
      </c>
      <c r="K512" s="35" t="str">
        <v>four</v>
      </c>
      <c r="L512" s="35">
        <v>4</v>
      </c>
      <c r="M512" s="35"/>
      <c r="N512" s="35"/>
      <c r="O512" s="39" t="str">
        <f ca="1"/>
        <v xml:space="preserve">  _col1, $C$506,</v>
      </c>
    </row>
    <row r="513" spans="3:15" x14ac:dyDescent="0.3">
      <c r="C513" s="36" t="str">
        <v>X-005</v>
      </c>
      <c r="D513" s="37">
        <v>5</v>
      </c>
      <c r="E513" s="36" t="str">
        <v>X-004</v>
      </c>
      <c r="G513" s="35" t="str">
        <v>X-005</v>
      </c>
      <c r="H513" s="35" t="str">
        <v>EEE</v>
      </c>
      <c r="I513" s="35">
        <v>5</v>
      </c>
      <c r="J513" s="35" t="str">
        <v>%</v>
      </c>
      <c r="K513" s="35" t="e">
        <v>#N/A</v>
      </c>
      <c r="L513" s="35" t="e">
        <v>#N/A</v>
      </c>
      <c r="M513" s="35"/>
      <c r="N513" s="35"/>
      <c r="O513" s="39" t="str">
        <f ca="1"/>
        <v xml:space="preserve">  _col2, $E$506,</v>
      </c>
    </row>
    <row r="514" spans="3:15" x14ac:dyDescent="0.3">
      <c r="C514" s="36" t="str">
        <v>X-006</v>
      </c>
      <c r="D514" s="37">
        <v>6</v>
      </c>
      <c r="E514" s="36" t="str">
        <v>X-008</v>
      </c>
      <c r="G514" s="35" t="str">
        <v>X-006</v>
      </c>
      <c r="H514" s="35" t="str">
        <v>FFF</v>
      </c>
      <c r="I514" s="35">
        <v>6</v>
      </c>
      <c r="J514" s="35" t="str">
        <v>^</v>
      </c>
      <c r="K514" s="35" t="str">
        <v>six</v>
      </c>
      <c r="L514" s="35">
        <v>6</v>
      </c>
      <c r="M514" s="35"/>
      <c r="N514" s="35"/>
      <c r="O514" s="39" t="str">
        <f ca="1"/>
        <v xml:space="preserve">  _idx1, $H$502#,</v>
      </c>
    </row>
    <row r="515" spans="3:15" x14ac:dyDescent="0.3">
      <c r="C515" s="36" t="str">
        <v>X-007</v>
      </c>
      <c r="D515" s="37">
        <v>7</v>
      </c>
      <c r="E515" s="36" t="str">
        <v>X-012</v>
      </c>
      <c r="G515" s="35" t="str">
        <v>X-007</v>
      </c>
      <c r="H515" s="35" t="str">
        <v>GGG</v>
      </c>
      <c r="I515" s="35">
        <v>7</v>
      </c>
      <c r="J515" s="35" t="str">
        <v>&amp;</v>
      </c>
      <c r="K515" s="35" t="str">
        <v>seven</v>
      </c>
      <c r="L515" s="35">
        <v>7</v>
      </c>
      <c r="M515" s="35"/>
      <c r="N515" s="35"/>
      <c r="O515" s="39" t="str">
        <f ca="1"/>
        <v xml:space="preserve">  _idx2, $H$503#,</v>
      </c>
    </row>
    <row r="516" spans="3:15" x14ac:dyDescent="0.3">
      <c r="C516" s="36" t="str">
        <v>X-008</v>
      </c>
      <c r="D516" s="37">
        <v>8</v>
      </c>
      <c r="E516" s="36" t="str">
        <v>X-001</v>
      </c>
      <c r="G516" s="35" t="str">
        <v>X-008</v>
      </c>
      <c r="H516" s="35" t="str">
        <v>HHH</v>
      </c>
      <c r="I516" s="35">
        <v>8</v>
      </c>
      <c r="J516" s="35" t="str">
        <v>*</v>
      </c>
      <c r="K516" s="35" t="str">
        <v>eight</v>
      </c>
      <c r="L516" s="35">
        <v>8</v>
      </c>
      <c r="M516" s="35"/>
      <c r="N516" s="35"/>
      <c r="O516" s="39" t="str">
        <f ca="1"/>
        <v xml:space="preserve">  join_type, $H$504,</v>
      </c>
    </row>
    <row r="517" spans="3:15" x14ac:dyDescent="0.3">
      <c r="C517" s="36" t="str">
        <v>X-009</v>
      </c>
      <c r="D517" s="37">
        <v>9</v>
      </c>
      <c r="E517" s="36" t="str">
        <v>X-006</v>
      </c>
      <c r="G517" s="35" t="str">
        <v>X-009</v>
      </c>
      <c r="H517" s="35" t="str">
        <v>III</v>
      </c>
      <c r="I517" s="35">
        <v>9</v>
      </c>
      <c r="J517" s="35" t="str">
        <v>(</v>
      </c>
      <c r="K517" s="35" t="str">
        <v>nine</v>
      </c>
      <c r="L517" s="35">
        <v>9</v>
      </c>
      <c r="M517" s="35"/>
      <c r="N517" s="35"/>
      <c r="O517" s="39" t="str">
        <f ca="1"/>
        <v xml:space="preserve">  sort, $H$505,</v>
      </c>
    </row>
    <row r="518" spans="3:15" x14ac:dyDescent="0.3">
      <c r="C518" s="36" t="str">
        <v>X-010</v>
      </c>
      <c r="D518" s="37">
        <v>10</v>
      </c>
      <c r="E518" s="36" t="str">
        <v>X-011</v>
      </c>
      <c r="G518" s="35" t="str">
        <v>X-010</v>
      </c>
      <c r="H518" s="35" t="str">
        <v>JJJ</v>
      </c>
      <c r="I518" s="35">
        <v>10</v>
      </c>
      <c r="J518" s="35" t="str">
        <v>)</v>
      </c>
      <c r="K518" s="35" t="str">
        <v>ten</v>
      </c>
      <c r="L518" s="35">
        <v>10</v>
      </c>
      <c r="M518" s="35"/>
      <c r="N518" s="35"/>
      <c r="O518" s="39" t="str">
        <f ca="1"/>
        <v xml:space="preserve">  replace_na, $H$506,</v>
      </c>
    </row>
    <row r="519" spans="3:15" x14ac:dyDescent="0.3">
      <c r="G519" s="35" t="e">
        <v>#N/A</v>
      </c>
      <c r="H519" s="35" t="e">
        <v>#N/A</v>
      </c>
      <c r="I519" s="35" t="e">
        <v>#N/A</v>
      </c>
      <c r="J519" s="35" t="e">
        <v>#N/A</v>
      </c>
      <c r="K519" s="35" t="str">
        <v>eleven</v>
      </c>
      <c r="L519" s="35">
        <v>11</v>
      </c>
      <c r="M519" s="35"/>
      <c r="N519" s="35"/>
      <c r="O519" s="39" t="str">
        <f ca="1"/>
        <v xml:space="preserve">  _inpT, IF( ISBLANK(join_type), 0, INT(join_type)),</v>
      </c>
    </row>
    <row r="520" spans="3:15" x14ac:dyDescent="0.3">
      <c r="G520" s="35" t="e">
        <v>#N/A</v>
      </c>
      <c r="H520" s="35" t="e">
        <v>#N/A</v>
      </c>
      <c r="I520" s="35" t="e">
        <v>#N/A</v>
      </c>
      <c r="J520" s="35" t="e">
        <v>#N/A</v>
      </c>
      <c r="K520" s="35" t="str">
        <v>twelve</v>
      </c>
      <c r="L520" s="35">
        <v>12</v>
      </c>
      <c r="M520" s="35"/>
      <c r="N520" s="35"/>
      <c r="O520" s="39" t="str">
        <f ca="1"/>
        <v xml:space="preserve">  _typ, IF( ISNUMBER(_inpT), _inpT + 1,</v>
      </c>
    </row>
    <row r="521" spans="3:15" x14ac:dyDescent="0.3">
      <c r="G521" s="35"/>
      <c r="H521" s="35"/>
      <c r="I521" s="35"/>
      <c r="J521" s="35"/>
      <c r="K521" s="35"/>
      <c r="L521" s="35"/>
      <c r="M521" s="35"/>
      <c r="N521" s="35"/>
      <c r="O521" s="39" t="str">
        <f ca="1"/>
        <v xml:space="preserve">    IFNA( MATCH( LOWER(join_type), {"left","right","inner","full"}, 0), -1)</v>
      </c>
    </row>
    <row r="522" spans="3:15" x14ac:dyDescent="0.3">
      <c r="G522" s="35"/>
      <c r="H522" s="35"/>
      <c r="I522" s="35"/>
      <c r="J522" s="35"/>
      <c r="K522" s="35"/>
      <c r="L522" s="35"/>
      <c r="M522" s="35"/>
      <c r="N522" s="35"/>
      <c r="O522" s="39" t="str">
        <f ca="1"/>
        <v xml:space="preserve">  ),</v>
      </c>
    </row>
    <row r="523" spans="3:15" x14ac:dyDescent="0.3">
      <c r="G523" s="35"/>
      <c r="H523" s="35"/>
      <c r="I523" s="35"/>
      <c r="J523" s="35"/>
      <c r="K523" s="35"/>
      <c r="L523" s="35"/>
      <c r="M523" s="35"/>
      <c r="N523" s="35"/>
      <c r="O523" s="39" t="str">
        <f ca="1"/>
        <v xml:space="preserve">  _srt, IF( ISBLANK(sort), 0, INT(sort)),</v>
      </c>
    </row>
    <row r="524" spans="3:15" x14ac:dyDescent="0.3">
      <c r="G524" s="35"/>
      <c r="H524" s="35"/>
      <c r="I524" s="35"/>
      <c r="J524" s="35"/>
      <c r="K524" s="35"/>
      <c r="L524" s="35"/>
      <c r="M524" s="35"/>
      <c r="N524" s="35"/>
      <c r="O524" s="39" t="str">
        <f ca="1"/>
        <v xml:space="preserve">  _inpR, IF( ISBLANK(replace_na), FALSE, replace_na),</v>
      </c>
    </row>
    <row r="525" spans="3:15" x14ac:dyDescent="0.3">
      <c r="G525" s="35"/>
      <c r="H525" s="35"/>
      <c r="I525" s="35"/>
      <c r="J525" s="35"/>
      <c r="K525" s="35"/>
      <c r="L525" s="35"/>
      <c r="M525" s="35"/>
      <c r="N525" s="35"/>
      <c r="O525" s="39" t="str">
        <f ca="1"/>
        <v xml:space="preserve">  _rep, IF( ISLOGICAL(_inpR),</v>
      </c>
    </row>
    <row r="526" spans="3:15" x14ac:dyDescent="0.3">
      <c r="G526" s="35"/>
      <c r="H526" s="35"/>
      <c r="I526" s="35"/>
      <c r="J526" s="35"/>
      <c r="K526" s="35"/>
      <c r="L526" s="35"/>
      <c r="M526" s="35"/>
      <c r="N526" s="35"/>
      <c r="O526" s="39" t="str">
        <f ca="1"/>
        <v xml:space="preserve">    IF(_inpR, "", NA()),</v>
      </c>
    </row>
    <row r="527" spans="3:15" x14ac:dyDescent="0.3">
      <c r="G527" s="35"/>
      <c r="H527" s="35"/>
      <c r="I527" s="35"/>
      <c r="J527" s="35"/>
      <c r="K527" s="35"/>
      <c r="L527" s="35"/>
      <c r="M527" s="35"/>
      <c r="N527" s="35"/>
      <c r="O527" s="39" t="str">
        <f ca="1"/>
        <v xml:space="preserve">    _inpR</v>
      </c>
    </row>
    <row r="528" spans="3:15" x14ac:dyDescent="0.3">
      <c r="G528" s="35"/>
      <c r="H528" s="35"/>
      <c r="I528" s="35"/>
      <c r="J528" s="35"/>
      <c r="K528" s="35"/>
      <c r="L528" s="35"/>
      <c r="M528" s="35"/>
      <c r="N528" s="35"/>
      <c r="O528" s="39" t="str">
        <f ca="1"/>
        <v xml:space="preserve">  ),</v>
      </c>
    </row>
    <row r="529" spans="15:15" x14ac:dyDescent="0.3">
      <c r="O529" s="39" t="str">
        <f ca="1"/>
        <v xml:space="preserve">  _inpChk, IF( OR(_typ &lt; 1, _typ &gt; 4), 2, 1),</v>
      </c>
    </row>
    <row r="530" spans="15:15" x14ac:dyDescent="0.3">
      <c r="O530" s="39" t="str">
        <f ca="1"/>
        <v xml:space="preserve">  _uId1, CHOOSECOLS(_arr1, _col1),</v>
      </c>
    </row>
    <row r="531" spans="15:15" x14ac:dyDescent="0.3">
      <c r="O531" s="39" t="str">
        <f ca="1"/>
        <v xml:space="preserve">  _uId2, CHOOSECOLS(_arr2, _col2),</v>
      </c>
    </row>
    <row r="532" spans="15:15" x14ac:dyDescent="0.3">
      <c r="O532" s="39" t="str">
        <f ca="1"/>
        <v xml:space="preserve">  _out1, CHOOSECOLS(_arr1, _idx1),</v>
      </c>
    </row>
    <row r="533" spans="15:15" x14ac:dyDescent="0.3">
      <c r="O533" s="39" t="str">
        <f ca="1"/>
        <v xml:space="preserve">  _out2, CHOOSECOLS(_arr2, _idx2),</v>
      </c>
    </row>
    <row r="534" spans="15:15" x14ac:dyDescent="0.3">
      <c r="O534" s="39" t="str">
        <f ca="1"/>
        <v xml:space="preserve">  _cc1, COLUMNS(_out1),</v>
      </c>
    </row>
    <row r="535" spans="15:15" x14ac:dyDescent="0.3">
      <c r="O535" s="39" t="str">
        <f ca="1"/>
        <v xml:space="preserve">  _cc2, COLUMNS(_out2),</v>
      </c>
    </row>
    <row r="536" spans="15:15" x14ac:dyDescent="0.3">
      <c r="O536" s="39" t="str">
        <f ca="1"/>
        <v xml:space="preserve">  _ccS, _cc1 + IF(_srt &lt;&gt; 0, 1, 0),</v>
      </c>
    </row>
    <row r="537" spans="15:15" x14ac:dyDescent="0.3">
      <c r="O537" s="39" t="str">
        <f ca="1"/>
        <v xml:space="preserve">  _mtch, DROP(REDUCE(0, _uId1, LAMBDA(_acc,_val, VSTACK(_acc, IFNA(MATCH(_val, _uId2, 0), 0)))), 1),</v>
      </c>
    </row>
    <row r="538" spans="15:15" x14ac:dyDescent="0.3">
      <c r="O538" s="39" t="str">
        <f ca="1"/>
        <v xml:space="preserve">  _blnk, MAKEARRAY(1, _cc2, LAMBDA(_r,_c, NA())),</v>
      </c>
    </row>
    <row r="539" spans="15:15" x14ac:dyDescent="0.3">
      <c r="O539" s="39" t="str">
        <f ca="1"/>
        <v xml:space="preserve">  _arrN, DROP(REDUCE(0, _mtch, LAMBDA(_acc,_val, VSTACK(_acc, IF(_val = 0, _blnk, INDEX(_out2, _val, SEQUENCE(1, _cc2)))))), 1),</v>
      </c>
    </row>
    <row r="540" spans="15:15" x14ac:dyDescent="0.3">
      <c r="O540" s="39" t="str">
        <f ca="1"/>
        <v xml:space="preserve">  _arrR, LET(</v>
      </c>
    </row>
    <row r="541" spans="15:15" x14ac:dyDescent="0.3">
      <c r="O541" s="39" t="str">
        <f ca="1"/>
        <v xml:space="preserve">    _fltr, SCAN(0, SEQUENCE( ROWS(_out2), 1), LAMBDA(_acc,_val, IF( ISNA(MATCH(_val, _mtch, 0)), 1, 0))),</v>
      </c>
    </row>
    <row r="542" spans="15:15" x14ac:dyDescent="0.3">
      <c r="O542" s="39" t="str">
        <f ca="1"/>
        <v xml:space="preserve">    _arr, FILTER(_out2, _fltr = 1, "#[Empty]"),</v>
      </c>
    </row>
    <row r="543" spans="15:15" x14ac:dyDescent="0.3">
      <c r="O543" s="39" t="str">
        <f ca="1"/>
        <v xml:space="preserve">    _mCl, FILTER(_uId2, _fltr = 1, NA()),</v>
      </c>
    </row>
    <row r="544" spans="15:15" x14ac:dyDescent="0.3">
      <c r="O544" s="39" t="str">
        <f ca="1"/>
        <v xml:space="preserve">    _blnk, MAKEARRAY( ROWS(_arr), _cc1, LAMBDA(_r,_c, NA())),</v>
      </c>
    </row>
    <row r="545" spans="15:15" x14ac:dyDescent="0.3">
      <c r="O545" s="39" t="str">
        <f ca="1"/>
        <v xml:space="preserve">    IF(_srt &lt;&gt; 0,</v>
      </c>
    </row>
    <row r="546" spans="15:15" x14ac:dyDescent="0.3">
      <c r="O546" s="39" t="str">
        <f ca="1"/>
        <v xml:space="preserve">      HSTACK(_mCl, _blnk, _arr),</v>
      </c>
    </row>
    <row r="547" spans="15:15" x14ac:dyDescent="0.3">
      <c r="O547" s="39" t="str">
        <f ca="1"/>
        <v xml:space="preserve">      HSTACK(_blnk, _arr)</v>
      </c>
    </row>
    <row r="548" spans="15:15" x14ac:dyDescent="0.3">
      <c r="O548" s="39" t="str">
        <f ca="1"/>
        <v xml:space="preserve">    )</v>
      </c>
    </row>
    <row r="549" spans="15:15" x14ac:dyDescent="0.3">
      <c r="O549" s="39" t="str">
        <f ca="1"/>
        <v xml:space="preserve">  ),</v>
      </c>
    </row>
    <row r="550" spans="15:15" x14ac:dyDescent="0.3">
      <c r="O550" s="39" t="str">
        <f ca="1"/>
        <v xml:space="preserve">  _arrC, IF(_srt &lt;&gt; 0,</v>
      </c>
    </row>
    <row r="551" spans="15:15" x14ac:dyDescent="0.3">
      <c r="O551" s="39" t="str">
        <f ca="1"/>
        <v xml:space="preserve">    HSTACK(_uId1, _out1, _arrN),</v>
      </c>
    </row>
    <row r="552" spans="15:15" x14ac:dyDescent="0.3">
      <c r="O552" s="39" t="str">
        <f ca="1"/>
        <v xml:space="preserve">    HSTACK(_out1, _arrN)</v>
      </c>
    </row>
    <row r="553" spans="15:15" x14ac:dyDescent="0.3">
      <c r="O553" s="39" t="str">
        <f ca="1"/>
        <v xml:space="preserve">  ),</v>
      </c>
    </row>
    <row r="554" spans="15:15" x14ac:dyDescent="0.3">
      <c r="O554" s="39" t="str">
        <f ca="1"/>
        <v xml:space="preserve">  _arrL, IF( OR(_typ = 2, _typ = 3),</v>
      </c>
    </row>
    <row r="555" spans="15:15" x14ac:dyDescent="0.3">
      <c r="O555" s="39" t="str">
        <f ca="1"/>
        <v xml:space="preserve">    FILTER(_arrC, _mtch &lt;&gt; 0, "#[Empty]"),</v>
      </c>
    </row>
    <row r="556" spans="15:15" x14ac:dyDescent="0.3">
      <c r="O556" s="39" t="str">
        <f ca="1"/>
        <v xml:space="preserve">    _arrC</v>
      </c>
    </row>
    <row r="557" spans="15:15" x14ac:dyDescent="0.3">
      <c r="O557" s="39" t="str">
        <f ca="1"/>
        <v xml:space="preserve">  ),</v>
      </c>
    </row>
    <row r="558" spans="15:15" x14ac:dyDescent="0.3">
      <c r="O558" s="39" t="str">
        <f ca="1"/>
        <v xml:space="preserve">  _calc, CHOOSE(_typ,</v>
      </c>
    </row>
    <row r="559" spans="15:15" x14ac:dyDescent="0.3">
      <c r="O559" s="39" t="str">
        <f ca="1"/>
        <v xml:space="preserve">    _arrL,</v>
      </c>
    </row>
    <row r="560" spans="15:15" x14ac:dyDescent="0.3">
      <c r="O560" s="39" t="str">
        <f ca="1"/>
        <v xml:space="preserve">    IF( INDEX(_arrL, 1, 1) = "#[Empty]",</v>
      </c>
    </row>
    <row r="561" spans="15:15" x14ac:dyDescent="0.3">
      <c r="O561" s="39" t="str">
        <f ca="1"/>
        <v xml:space="preserve">      _arrR,</v>
      </c>
    </row>
    <row r="562" spans="15:15" x14ac:dyDescent="0.3">
      <c r="O562" s="39" t="str">
        <f ca="1"/>
        <v xml:space="preserve">      IF( INDEX(_arrR, 1, _ccS + 1) = "#[Empty]",</v>
      </c>
    </row>
    <row r="563" spans="15:15" x14ac:dyDescent="0.3">
      <c r="O563" s="39" t="str">
        <f ca="1"/>
        <v xml:space="preserve">        _arrL,</v>
      </c>
    </row>
    <row r="564" spans="15:15" x14ac:dyDescent="0.3">
      <c r="O564" s="39" t="str">
        <f ca="1"/>
        <v xml:space="preserve">        VSTACK(_arrL, _arrR)</v>
      </c>
    </row>
    <row r="565" spans="15:15" x14ac:dyDescent="0.3">
      <c r="O565" s="39" t="str">
        <f ca="1"/>
        <v xml:space="preserve">      )</v>
      </c>
    </row>
    <row r="566" spans="15:15" x14ac:dyDescent="0.3">
      <c r="O566" s="39" t="str">
        <f ca="1"/>
        <v xml:space="preserve">    ),</v>
      </c>
    </row>
    <row r="567" spans="15:15" x14ac:dyDescent="0.3">
      <c r="O567" s="39" t="str">
        <f ca="1"/>
        <v xml:space="preserve">    IF( INDEX(_arrL, 1, 1) = "#[Empty]",</v>
      </c>
    </row>
    <row r="568" spans="15:15" x14ac:dyDescent="0.3">
      <c r="O568" s="39" t="str">
        <f ca="1"/>
        <v xml:space="preserve">      MAKEARRAY(1, _ccS + _cc2, LAMBDA(_r,_c, NA())),</v>
      </c>
    </row>
    <row r="569" spans="15:15" x14ac:dyDescent="0.3">
      <c r="O569" s="39" t="str">
        <f ca="1"/>
        <v xml:space="preserve">      _arrL</v>
      </c>
    </row>
    <row r="570" spans="15:15" x14ac:dyDescent="0.3">
      <c r="O570" s="39" t="str">
        <f ca="1"/>
        <v xml:space="preserve">    ),</v>
      </c>
    </row>
    <row r="571" spans="15:15" x14ac:dyDescent="0.3">
      <c r="O571" s="39" t="str">
        <f ca="1"/>
        <v xml:space="preserve">    IF( INDEX(_arrR, 1, _ccS + 1) = "#[Empty]",</v>
      </c>
    </row>
    <row r="572" spans="15:15" x14ac:dyDescent="0.3">
      <c r="O572" s="39" t="str">
        <f ca="1"/>
        <v xml:space="preserve">      _arrL,</v>
      </c>
    </row>
    <row r="573" spans="15:15" x14ac:dyDescent="0.3">
      <c r="O573" s="39" t="str">
        <f ca="1"/>
        <v xml:space="preserve">      VSTACK(_arrL, _arrR)</v>
      </c>
    </row>
    <row r="574" spans="15:15" x14ac:dyDescent="0.3">
      <c r="O574" s="39" t="str">
        <f ca="1"/>
        <v xml:space="preserve">    )</v>
      </c>
    </row>
    <row r="575" spans="15:15" x14ac:dyDescent="0.3">
      <c r="O575" s="39" t="str">
        <f ca="1"/>
        <v xml:space="preserve">  ),</v>
      </c>
    </row>
    <row r="576" spans="15:15" x14ac:dyDescent="0.3">
      <c r="O576" s="39" t="str">
        <f ca="1"/>
        <v xml:space="preserve">  _rtn, LET(</v>
      </c>
    </row>
    <row r="577" spans="2:20" x14ac:dyDescent="0.3">
      <c r="O577" s="39" t="str">
        <f ca="1"/>
        <v xml:space="preserve">    _arrS, IF(_srt &lt;&gt; 0,</v>
      </c>
    </row>
    <row r="578" spans="2:20" x14ac:dyDescent="0.3">
      <c r="O578" s="39" t="str">
        <f ca="1"/>
        <v xml:space="preserve">      DROP( SORTBY(_calc, CHOOSECOLS(_calc, 1), _srt), 0, 1),</v>
      </c>
    </row>
    <row r="579" spans="2:20" x14ac:dyDescent="0.3">
      <c r="O579" s="39" t="str">
        <f ca="1"/>
        <v xml:space="preserve">      _calc</v>
      </c>
    </row>
    <row r="580" spans="2:20" x14ac:dyDescent="0.3">
      <c r="O580" s="39" t="str">
        <f ca="1"/>
        <v xml:space="preserve">    ),</v>
      </c>
    </row>
    <row r="581" spans="2:20" x14ac:dyDescent="0.3">
      <c r="O581" s="39" t="str">
        <f ca="1"/>
        <v xml:space="preserve">    _arrR, IF( ISNA(_rep),</v>
      </c>
    </row>
    <row r="582" spans="2:20" x14ac:dyDescent="0.3">
      <c r="O582" s="39" t="str">
        <f ca="1"/>
        <v xml:space="preserve">      _arrS,</v>
      </c>
    </row>
    <row r="583" spans="2:20" x14ac:dyDescent="0.3">
      <c r="O583" s="39" t="str">
        <f ca="1"/>
        <v xml:space="preserve">      IF( ISNA(_arrS), _rep, _arrS)</v>
      </c>
    </row>
    <row r="584" spans="2:20" x14ac:dyDescent="0.3">
      <c r="O584" s="39" t="str">
        <f ca="1"/>
        <v xml:space="preserve">    ),</v>
      </c>
    </row>
    <row r="585" spans="2:20" x14ac:dyDescent="0.3">
      <c r="O585" s="39" t="str">
        <f ca="1"/>
        <v xml:space="preserve">    _arrR</v>
      </c>
    </row>
    <row r="586" spans="2:20" x14ac:dyDescent="0.3">
      <c r="O586" s="39" t="str">
        <f ca="1"/>
        <v xml:space="preserve">  ),</v>
      </c>
    </row>
    <row r="587" spans="2:20" x14ac:dyDescent="0.3">
      <c r="O587" s="39" t="str">
        <f ca="1"/>
        <v xml:space="preserve">  CHOOSE(_inpChk, _rtn, #VALUE!)</v>
      </c>
    </row>
    <row r="588" spans="2:20" x14ac:dyDescent="0.3">
      <c r="O588" s="39" t="str">
        <f ca="1"/>
        <v>)</v>
      </c>
    </row>
    <row r="590" spans="2:20" x14ac:dyDescent="0.3">
      <c r="B590" s="7" t="s">
        <v>180</v>
      </c>
      <c r="C590" s="6"/>
      <c r="D590" s="6"/>
      <c r="E590" s="6"/>
      <c r="F590" s="6"/>
      <c r="G590" s="6"/>
      <c r="H590" s="6"/>
      <c r="I590" s="6"/>
      <c r="J590" s="6"/>
      <c r="K590" s="6"/>
      <c r="L590" s="6"/>
      <c r="M590" s="6"/>
      <c r="N590" s="6"/>
      <c r="O590" s="6"/>
      <c r="P590" s="6"/>
      <c r="Q590" s="6"/>
      <c r="R590" s="6"/>
      <c r="S590" s="6"/>
      <c r="T590" s="6"/>
    </row>
    <row r="592" spans="2:20" x14ac:dyDescent="0.3">
      <c r="B592" s="16" t="str" cm="1">
        <f t="array" ref="B592" xml:space="preserve"> "(" &amp; _xlfn.UNICHAR( 65 + SUMPRODUCT(--(_xlfn.REGEXTEST(B$1:B591, "^\([A-Z]\)$")))) &amp; ")"</f>
        <v>(O)</v>
      </c>
      <c r="C592" s="2" t="s">
        <v>177</v>
      </c>
    </row>
    <row r="594" spans="4:9" x14ac:dyDescent="0.3">
      <c r="D594" s="48" t="s">
        <v>178</v>
      </c>
      <c r="E594" s="52" t="str">
        <f xml:space="preserve"> _xlfn.LET(
  _xlpm._fst, $K$12,
  _xlpm._lst, $N$21,
  ADDRESS(ROW(_xlpm._fst),COLUMN(_xlpm._fst)) &amp; ":" &amp; ADDRESS(ROW(_xlpm._lst),COLUMN(_xlpm._lst))
)</f>
        <v>$K$12:$N$21</v>
      </c>
      <c r="F594" s="53"/>
    </row>
    <row r="595" spans="4:9" x14ac:dyDescent="0.3">
      <c r="D595" s="48" t="s">
        <v>179</v>
      </c>
      <c r="E595" s="52" t="str">
        <f xml:space="preserve"> _xlfn.LET(
  _xlpm._fst, $P$12,
  _xlpm._lst, $S$21,
  ADDRESS(ROW(_xlpm._fst),COLUMN(_xlpm._fst)) &amp; ":" &amp; ADDRESS(ROW(_xlpm._lst),COLUMN(_xlpm._lst))
)</f>
        <v>$P$12:$S$21</v>
      </c>
      <c r="F595" s="53"/>
    </row>
    <row r="596" spans="4:9" x14ac:dyDescent="0.3">
      <c r="D596" s="48" t="s">
        <v>181</v>
      </c>
      <c r="E596" s="50">
        <v>1</v>
      </c>
    </row>
    <row r="597" spans="4:9" x14ac:dyDescent="0.3">
      <c r="D597" s="48" t="s">
        <v>182</v>
      </c>
      <c r="E597" s="50">
        <v>1</v>
      </c>
    </row>
    <row r="598" spans="4:9" x14ac:dyDescent="0.3">
      <c r="D598" s="48" t="s">
        <v>157</v>
      </c>
      <c r="E598" s="44"/>
    </row>
    <row r="599" spans="4:9" x14ac:dyDescent="0.3">
      <c r="D599" s="48" t="s">
        <v>168</v>
      </c>
      <c r="E599" s="50" cm="1">
        <f t="array" ref="E599:G599" xml:space="preserve"> {2,3,4}</f>
        <v>2</v>
      </c>
      <c r="F599" s="50">
        <v>3</v>
      </c>
      <c r="G599" s="50">
        <v>4</v>
      </c>
      <c r="H599" s="50"/>
      <c r="I599" s="54"/>
    </row>
    <row r="600" spans="4:9" x14ac:dyDescent="0.3">
      <c r="D600" s="48" t="s">
        <v>169</v>
      </c>
      <c r="E600" s="50" cm="1">
        <f t="array" ref="E600:F600" xml:space="preserve"> {4,2}</f>
        <v>4</v>
      </c>
      <c r="F600" s="50">
        <v>2</v>
      </c>
      <c r="G600" s="50"/>
      <c r="H600" s="50"/>
    </row>
    <row r="601" spans="4:9" x14ac:dyDescent="0.3">
      <c r="D601" s="48" t="s">
        <v>172</v>
      </c>
      <c r="E601" s="50"/>
    </row>
    <row r="602" spans="4:9" x14ac:dyDescent="0.3">
      <c r="D602" s="48" t="s">
        <v>174</v>
      </c>
      <c r="E602" s="44" t="b">
        <v>0</v>
      </c>
    </row>
    <row r="604" spans="4:9" x14ac:dyDescent="0.3">
      <c r="D604" s="9" t="s">
        <v>175</v>
      </c>
      <c r="E604" s="35" t="str" cm="1">
        <f t="array" ref="E604" xml:space="preserve"> _xlfn.LAMBDA(_xlpm.first_array,_xlpm.second_array,_xlpm.first_array_index,_xlpm.second_array_index,_xlop.join_type,_xlop.first_array_cols,_xlop.second_array_cols,_xlop.sort,_xlop.replace_na,
  _xlfn.LET(
    _xlpm._arr1, _xlpm.first_array,
    _xlpm._arr2, _xlpm.second_array,
    _xlpm._col1, INDEX(_xlpm.first_array_index, 1, 1),
    _xlpm._col2, INDEX(_xlpm.second_array_index, 1, 1),
    _xlpm._idx1, IF( _xlfn.ISOMITTED(_xlpm.first_array_cols), _xlfn.SEQUENCE(1, COLUMNS(_xlpm._arr1)),
      IF( SUM(--ISERROR(_xlpm.first_array_cols)) &gt; 0, 0, _xlpm.first_array_cols)),
    _xlpm._idx2, IF( _xlfn.ISOMITTED(_xlpm.second_array_cols), _xlfn.SEQUENCE(1, COLUMNS(_xlpm._arr2)),
      IF( SUM(--ISERROR(_xlpm.second_array_cols)) &gt; 0, 0, _xlpm.second_array_cols)),
    _xlpm._inpT, IF( _xlfn.ISOMITTED(_xlpm.join_type), 0, INT(_xlpm.join_type)),
    _xlpm._typ, IF( ISNUMBER(_xlpm._inpT), _xlpm._inpT + 1,
      _xlfn.IFNA( MATCH( LOWER(_xlpm.join_type), {"left","right","inner","full"}, 0), -1)
    ),
    _xlpm._srt, IF( _xlfn.ISOMITTED(_xlpm.sort), 0,
      IF( ISERROR(_xlpm.sort), "", INT(_xlpm.sort))),
    _xlpm._inpR, IF( _xlfn.ISOMITTED(_xlpm.replace_na), FALSE, INDEX(_xlpm.replace_na, 1, 1)),
    _xlpm._rep, IF( ISLOGICAL(_xlpm._inpR),
      IF(_xlpm._inpR, "", NA()),
      _xlpm._inpR
    ),
    _xlpm._inpChk, IF(
      OR(
        _xlpm._col1 &lt; 1, _xlpm._col1 &gt; COLUMNS(_xlpm._arr1),
        _xlpm._col2 &lt; 1, _xlpm._col2 &gt; COLUMNS(_xlpm._arr2),
        MIN(_xlpm._idx1) &lt; 1, MAX(_xlpm._idx1) &gt; COLUMNS(_xlpm._arr1),
        MIN(_xlpm._idx2) &lt; 1, MAX(_xlpm._idx2) &gt; COLUMNS(_xlpm._arr2)
      ), 2,
      IF( OR(
        NOT(ISNUMBER(_xlpm._col1)), NOT(ISNUMBER(_xlpm._col2)),
        _xlpm._typ &lt; 1, _xlpm._typ &gt; 4,
        ISERROR(_xlpm._srt), _xlpm._srt &lt; -1, _xlpm._srt &gt; 1
      ), 3,
      1)
    ),
    _xlpm._rtn, CHOOSE(_xlpm._inpChk, "OK", _xlfn.LAMBDA(0), #VALUE!),
    _xlpm._rtn
  )
)($K$12:$N$21, $P$12:$S$21, E596, E597, E598,_xlfn.ANCHORARRAY( E599),_xlfn.ANCHORARRAY( E600), E601, E602)</f>
        <v>OK</v>
      </c>
      <c r="F604" s="39" t="str" cm="1">
        <f t="array" aca="1" ref="F604:F642" ca="1" xml:space="preserve"> _xlfn.TEXTSPLIT( _xlfn.FORMULATEXT(E604), , CHAR(10))</f>
        <v>= LAMBDA(first_array,second_array,first_array_index,second_array_index,[join_type],[first_array_cols],[second_array_cols],[sort],[replace_na],</v>
      </c>
    </row>
    <row r="605" spans="4:9" x14ac:dyDescent="0.3">
      <c r="F605" s="39" t="str">
        <f ca="1"/>
        <v xml:space="preserve">  LET(</v>
      </c>
    </row>
    <row r="606" spans="4:9" x14ac:dyDescent="0.3">
      <c r="F606" s="39" t="str">
        <f ca="1"/>
        <v xml:space="preserve">    _arr1, first_array,</v>
      </c>
    </row>
    <row r="607" spans="4:9" x14ac:dyDescent="0.3">
      <c r="F607" s="39" t="str">
        <f ca="1"/>
        <v xml:space="preserve">    _arr2, second_array,</v>
      </c>
    </row>
    <row r="608" spans="4:9" x14ac:dyDescent="0.3">
      <c r="F608" s="39" t="str">
        <f ca="1"/>
        <v xml:space="preserve">    _col1, INDEX(first_array_index, 1, 1),</v>
      </c>
    </row>
    <row r="609" spans="6:6" x14ac:dyDescent="0.3">
      <c r="F609" s="39" t="str">
        <f ca="1"/>
        <v xml:space="preserve">    _col2, INDEX(second_array_index, 1, 1),</v>
      </c>
    </row>
    <row r="610" spans="6:6" x14ac:dyDescent="0.3">
      <c r="F610" s="39" t="str">
        <f ca="1"/>
        <v xml:space="preserve">    _idx1, IF( ISOMITTED(first_array_cols), SEQUENCE(1, COLUMNS(_arr1)),</v>
      </c>
    </row>
    <row r="611" spans="6:6" x14ac:dyDescent="0.3">
      <c r="F611" s="39" t="str">
        <f ca="1"/>
        <v xml:space="preserve">      IF( SUM(--ISERROR(first_array_cols)) &gt; 0, 0, first_array_cols)),</v>
      </c>
    </row>
    <row r="612" spans="6:6" x14ac:dyDescent="0.3">
      <c r="F612" s="39" t="str">
        <f ca="1"/>
        <v xml:space="preserve">    _idx2, IF( ISOMITTED(second_array_cols), SEQUENCE(1, COLUMNS(_arr2)),</v>
      </c>
    </row>
    <row r="613" spans="6:6" x14ac:dyDescent="0.3">
      <c r="F613" s="39" t="str">
        <f ca="1"/>
        <v xml:space="preserve">      IF( SUM(--ISERROR(second_array_cols)) &gt; 0, 0, second_array_cols)),</v>
      </c>
    </row>
    <row r="614" spans="6:6" x14ac:dyDescent="0.3">
      <c r="F614" s="39" t="str">
        <f ca="1"/>
        <v xml:space="preserve">    _inpT, IF( ISOMITTED(join_type), 0, INT(join_type)),</v>
      </c>
    </row>
    <row r="615" spans="6:6" x14ac:dyDescent="0.3">
      <c r="F615" s="39" t="str">
        <f ca="1"/>
        <v xml:space="preserve">    _typ, IF( ISNUMBER(_inpT), _inpT + 1,</v>
      </c>
    </row>
    <row r="616" spans="6:6" x14ac:dyDescent="0.3">
      <c r="F616" s="39" t="str">
        <f ca="1"/>
        <v xml:space="preserve">      IFNA( MATCH( LOWER(join_type), {"left","right","inner","full"}, 0), -1)</v>
      </c>
    </row>
    <row r="617" spans="6:6" x14ac:dyDescent="0.3">
      <c r="F617" s="39" t="str">
        <f ca="1"/>
        <v xml:space="preserve">    ),</v>
      </c>
    </row>
    <row r="618" spans="6:6" x14ac:dyDescent="0.3">
      <c r="F618" s="39" t="str">
        <f ca="1"/>
        <v xml:space="preserve">    _srt, IF( ISOMITTED(sort), 0,</v>
      </c>
    </row>
    <row r="619" spans="6:6" x14ac:dyDescent="0.3">
      <c r="F619" s="39" t="str">
        <f ca="1"/>
        <v xml:space="preserve">      IF( ISERROR(sort), "", INT(sort))),</v>
      </c>
    </row>
    <row r="620" spans="6:6" x14ac:dyDescent="0.3">
      <c r="F620" s="39" t="str">
        <f ca="1"/>
        <v xml:space="preserve">    _inpR, IF( ISOMITTED(replace_na), FALSE, INDEX(replace_na, 1, 1)),</v>
      </c>
    </row>
    <row r="621" spans="6:6" x14ac:dyDescent="0.3">
      <c r="F621" s="39" t="str">
        <f ca="1"/>
        <v xml:space="preserve">    _rep, IF( ISLOGICAL(_inpR),</v>
      </c>
    </row>
    <row r="622" spans="6:6" x14ac:dyDescent="0.3">
      <c r="F622" s="39" t="str">
        <f ca="1"/>
        <v xml:space="preserve">      IF(_inpR, "", NA()),</v>
      </c>
    </row>
    <row r="623" spans="6:6" x14ac:dyDescent="0.3">
      <c r="F623" s="39" t="str">
        <f ca="1"/>
        <v xml:space="preserve">      _inpR</v>
      </c>
    </row>
    <row r="624" spans="6:6" x14ac:dyDescent="0.3">
      <c r="F624" s="39" t="str">
        <f ca="1"/>
        <v xml:space="preserve">    ),</v>
      </c>
    </row>
    <row r="625" spans="6:6" x14ac:dyDescent="0.3">
      <c r="F625" s="39" t="str">
        <f ca="1"/>
        <v xml:space="preserve">    _inpChk, IF(</v>
      </c>
    </row>
    <row r="626" spans="6:6" x14ac:dyDescent="0.3">
      <c r="F626" s="39" t="str">
        <f ca="1"/>
        <v xml:space="preserve">      OR(</v>
      </c>
    </row>
    <row r="627" spans="6:6" x14ac:dyDescent="0.3">
      <c r="F627" s="39" t="str">
        <f ca="1"/>
        <v xml:space="preserve">        _col1 &lt; 1, _col1 &gt; COLUMNS(_arr1),</v>
      </c>
    </row>
    <row r="628" spans="6:6" x14ac:dyDescent="0.3">
      <c r="F628" s="39" t="str">
        <f ca="1"/>
        <v xml:space="preserve">        _col2 &lt; 1, _col2 &gt; COLUMNS(_arr2),</v>
      </c>
    </row>
    <row r="629" spans="6:6" x14ac:dyDescent="0.3">
      <c r="F629" s="39" t="str">
        <f ca="1"/>
        <v xml:space="preserve">        MIN(_idx1) &lt; 1, MAX(_idx1) &gt; COLUMNS(_arr1),</v>
      </c>
    </row>
    <row r="630" spans="6:6" x14ac:dyDescent="0.3">
      <c r="F630" s="39" t="str">
        <f ca="1"/>
        <v xml:space="preserve">        MIN(_idx2) &lt; 1, MAX(_idx2) &gt; COLUMNS(_arr2)</v>
      </c>
    </row>
    <row r="631" spans="6:6" x14ac:dyDescent="0.3">
      <c r="F631" s="39" t="str">
        <f ca="1"/>
        <v xml:space="preserve">      ), 2,</v>
      </c>
    </row>
    <row r="632" spans="6:6" x14ac:dyDescent="0.3">
      <c r="F632" s="39" t="str">
        <f ca="1"/>
        <v xml:space="preserve">      IF( OR(</v>
      </c>
    </row>
    <row r="633" spans="6:6" x14ac:dyDescent="0.3">
      <c r="F633" s="39" t="str">
        <f ca="1"/>
        <v xml:space="preserve">        NOT(ISNUMBER(_col1)), NOT(ISNUMBER(_col2)),</v>
      </c>
    </row>
    <row r="634" spans="6:6" x14ac:dyDescent="0.3">
      <c r="F634" s="39" t="str">
        <f ca="1"/>
        <v xml:space="preserve">        _typ &lt; 1, _typ &gt; 4,</v>
      </c>
    </row>
    <row r="635" spans="6:6" x14ac:dyDescent="0.3">
      <c r="F635" s="39" t="str">
        <f ca="1"/>
        <v xml:space="preserve">        ISERROR(_srt), _srt &lt; -1, _srt &gt; 1</v>
      </c>
    </row>
    <row r="636" spans="6:6" x14ac:dyDescent="0.3">
      <c r="F636" s="39" t="str">
        <f ca="1"/>
        <v xml:space="preserve">      ), 3,</v>
      </c>
    </row>
    <row r="637" spans="6:6" x14ac:dyDescent="0.3">
      <c r="F637" s="39" t="str">
        <f ca="1"/>
        <v xml:space="preserve">      1)</v>
      </c>
    </row>
    <row r="638" spans="6:6" x14ac:dyDescent="0.3">
      <c r="F638" s="39" t="str">
        <f ca="1"/>
        <v xml:space="preserve">    ),</v>
      </c>
    </row>
    <row r="639" spans="6:6" x14ac:dyDescent="0.3">
      <c r="F639" s="39" t="str">
        <f ca="1"/>
        <v xml:space="preserve">    _rtn, CHOOSE(_inpChk, "OK", LAMBDA(0), #VALUE!),</v>
      </c>
    </row>
    <row r="640" spans="6:6" x14ac:dyDescent="0.3">
      <c r="F640" s="39" t="str">
        <f ca="1"/>
        <v xml:space="preserve">    _rtn</v>
      </c>
    </row>
    <row r="641" spans="2:15" x14ac:dyDescent="0.3">
      <c r="F641" s="39" t="str">
        <f ca="1"/>
        <v xml:space="preserve">  )</v>
      </c>
    </row>
    <row r="642" spans="2:15" x14ac:dyDescent="0.3">
      <c r="F642" s="39" t="str">
        <f ca="1"/>
        <v>)($K$12:$N$21, $P$12:$S$21, E596, E597, E598, E599#, E600#, E601, E602)</v>
      </c>
    </row>
    <row r="644" spans="2:15" x14ac:dyDescent="0.3">
      <c r="B644" s="16" t="str" cm="1">
        <f t="array" ref="B644" xml:space="preserve"> "(" &amp; _xlfn.UNICHAR( 65 + SUMPRODUCT(--(_xlfn.REGEXTEST(B$1:B643, "^\([A-Z]\)$")))) &amp; ")"</f>
        <v>(P)</v>
      </c>
      <c r="C644" s="2" t="s">
        <v>183</v>
      </c>
    </row>
    <row r="645" spans="2:15" x14ac:dyDescent="0.3">
      <c r="C645" s="2" t="s">
        <v>163</v>
      </c>
    </row>
    <row r="646" spans="2:15" x14ac:dyDescent="0.3">
      <c r="G646" s="48" t="s">
        <v>168</v>
      </c>
      <c r="H646" s="50" cm="1">
        <f t="array" ref="H646:K646" xml:space="preserve"> {1,2,3,4}</f>
        <v>1</v>
      </c>
      <c r="I646" s="50">
        <v>2</v>
      </c>
      <c r="J646" s="50">
        <v>3</v>
      </c>
      <c r="K646" s="50">
        <v>4</v>
      </c>
      <c r="L646" s="39" t="str">
        <f ca="1" xml:space="preserve"> _xlfn.FORMULATEXT(H646)</f>
        <v>= {1,2,3,4}</v>
      </c>
    </row>
    <row r="647" spans="2:15" x14ac:dyDescent="0.3">
      <c r="G647" s="48" t="s">
        <v>169</v>
      </c>
      <c r="H647" s="50" cm="1">
        <f t="array" ref="H647:I647" xml:space="preserve"> {4,2}</f>
        <v>4</v>
      </c>
      <c r="I647" s="50">
        <v>2</v>
      </c>
      <c r="J647" s="50"/>
      <c r="K647" s="50"/>
      <c r="L647" s="39" t="str">
        <f ca="1" xml:space="preserve"> _xlfn.FORMULATEXT(H647)</f>
        <v>= {4,2}</v>
      </c>
    </row>
    <row r="648" spans="2:15" x14ac:dyDescent="0.3">
      <c r="G648" s="48" t="s">
        <v>157</v>
      </c>
      <c r="H648" s="44" t="s">
        <v>154</v>
      </c>
    </row>
    <row r="649" spans="2:15" x14ac:dyDescent="0.3">
      <c r="G649" s="48" t="s">
        <v>172</v>
      </c>
      <c r="H649" s="50">
        <v>1</v>
      </c>
    </row>
    <row r="650" spans="2:15" x14ac:dyDescent="0.3">
      <c r="C650" s="50">
        <v>1</v>
      </c>
      <c r="E650" s="50">
        <v>1</v>
      </c>
      <c r="G650" s="48" t="s">
        <v>174</v>
      </c>
      <c r="H650" s="50" t="b">
        <v>0</v>
      </c>
    </row>
    <row r="651" spans="2:15" x14ac:dyDescent="0.3">
      <c r="C651" s="51" t="s">
        <v>17</v>
      </c>
      <c r="E651" s="51" t="s">
        <v>16</v>
      </c>
      <c r="G651" t="s">
        <v>138</v>
      </c>
    </row>
    <row r="652" spans="2:15" ht="14.4" thickBot="1" x14ac:dyDescent="0.35">
      <c r="C652" s="32" t="str" cm="1">
        <f t="array" ref="C652" xml:space="preserve"> _xlfn.CHOOSECOLS($K$11:$N$11, $C$650)</f>
        <v>ID</v>
      </c>
      <c r="E652" s="32" t="str" cm="1">
        <f t="array" ref="E652" xml:space="preserve"> _xlfn.CHOOSECOLS($P$11:$S$11, $E$650)</f>
        <v>ID</v>
      </c>
      <c r="G652" s="32" t="str" cm="1">
        <f t="array" ref="G652:L652" xml:space="preserve"> _xlfn.HSTACK(
  _xlfn.CHOOSECOLS($K$11:$N$11,_xlfn.ANCHORARRAY( $H$646)),
  _xlfn.CHOOSECOLS($P$11:$S$11,_xlfn.ANCHORARRAY( $H$647))
)</f>
        <v>ID</v>
      </c>
      <c r="H652" s="32" t="str">
        <v>Col.1</v>
      </c>
      <c r="I652" s="32" t="str">
        <v>Col.2</v>
      </c>
      <c r="J652" s="32" t="str">
        <v>Col.3</v>
      </c>
      <c r="K652" s="32" t="str">
        <v>Col.30</v>
      </c>
      <c r="L652" s="32" t="str">
        <v>Col.10</v>
      </c>
      <c r="M652" s="32"/>
      <c r="N652" s="32"/>
    </row>
    <row r="653" spans="2:15" x14ac:dyDescent="0.3">
      <c r="C653" s="36" t="str" cm="1">
        <f t="array" ref="C653:C662" xml:space="preserve"> _xlfn.CHOOSECOLS($K$12:$N$21, $C$650)</f>
        <v>X-001</v>
      </c>
      <c r="D653" s="37">
        <v>1</v>
      </c>
      <c r="E653" s="36" t="str" cm="1">
        <f t="array" ref="E653:E662" xml:space="preserve"> _xlfn.CHOOSECOLS($P$12:$S$21, $E$650)</f>
        <v>X-009</v>
      </c>
      <c r="G653" s="35" t="str" cm="1">
        <f t="array" ref="G653:L664" xml:space="preserve"> _xlfn.LAMBDA(_xlpm.first_array,_xlpm.second_array,_xlpm.first_array_index,_xlpm.second_array_index,_xlop.join_type,_xlop.first_array_cols,_xlop.second_array_cols,_xlop.sort,_xlop.replace_na,
  _xlfn.LET(
    _xlpm._arr1, _xlpm.first_array,
    _xlpm._arr2, _xlpm.second_array,
    _xlpm._col1, INDEX(_xlpm.first_array_index, 1, 1),
    _xlpm._col2, INDEX(_xlpm.second_array_index, 1, 1),
    _xlpm._idx1, IF( _xlfn.ISOMITTED(_xlpm.first_array_cols), _xlfn.SEQUENCE(1, COLUMNS(_xlpm._arr1)),
      IF( SUM(--ISERROR(_xlpm.first_array_cols)) &gt; 0, 0, _xlpm.first_array_cols)),
    _xlpm._idx2, IF( _xlfn.ISOMITTED(_xlpm.second_array_cols), _xlfn.SEQUENCE(1, COLUMNS(_xlpm._arr2)),
      IF( SUM(--ISERROR(_xlpm.second_array_cols)) &gt; 0, 0, _xlpm.second_array_cols)),
    _xlpm._inpT, IF( _xlfn.ISOMITTED(_xlpm.join_type), 0, INT(_xlpm.join_type)),
    _xlpm._typ, IF( ISNUMBER(_xlpm._inpT), _xlpm._inpT + 1,
      _xlfn.IFNA( MATCH( LOWER(_xlpm.join_type), {"left","right","inner","full"}, 0), -1)
    ),
    _xlpm._srt, IF( _xlfn.ISOMITTED(_xlpm.sort), 0,
      IF( ISERROR(_xlpm.sort), "", INT(_xlpm.sort))),
    _xlpm._inpR, IF( _xlfn.ISOMITTED(_xlpm.replace_na), FALSE, INDEX(_xlpm.replace_na, 1, 1)),
    _xlpm._rep, IF( ISLOGICAL(_xlpm._inpR),
      IF(_xlpm._inpR, "", NA()),
      _xlpm._inpR
    ),
    _xlpm._inpChk, IF(
      OR(
        _xlpm._col1 &lt; 1, _xlpm._col1 &gt; COLUMNS(_xlpm._arr1),
        _xlpm._col2 &lt; 1, _xlpm._col2 &gt; COLUMNS(_xlpm._arr2),
        MIN(_xlpm._idx1) &lt; 1, MAX(_xlpm._idx1) &gt; COLUMNS(_xlpm._arr1),
        MIN(_xlpm._idx2) &lt; 1, MAX(_xlpm._idx2) &gt; COLUMNS(_xlpm._arr2)
      ), 2,
      IF( OR(
        NOT(ISNUMBER(_xlpm._col1)), NOT(ISNUMBER(_xlpm._col2)),
        _xlpm._typ &lt; 1, _xlpm._typ &gt; 4,
        ISERROR(_xlpm._srt), _xlpm._srt &lt; -1, _xlpm._srt &gt; 1
      ), 3,
      1)
    ),
    _xlpm._uId1, _xlfn.CHOOSECOLS(_xlpm._arr1, _xlpm._col1),
    _xlpm._uId2, _xlfn.CHOOSECOLS(_xlpm._arr2,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_xlpm._mCl, _xlfn._xlws.FILTER(_xlpm._uId2, _xlpm._fltr = 1, NA()),
      _xlpm._blnk, _xlfn.MAKEARRAY( ROWS(_xlpm._arr), _xlpm._cc1, _xlfn.LAMBDA(_xlpm._r,_xlpm._c, NA())),
      IF(_xlpm._srt &lt;&gt; 0,
        _xlfn.HSTACK(_xlpm._mCl, _xlpm._blnk, _xlpm._arr),
        _xlfn.HSTACK(_xlpm._blnk, _xlpm._arr)
      )
    ),
    _xlpm._arrC, IF(_xlpm._srt &lt;&gt; 0,
      _xlfn.HSTACK(_xlpm._uId1, _xlpm._out1, _xlpm._arrN),
      _xlfn.HSTACK(_xlpm._out1, _xlpm._arrN)
    ),
    _xlpm._arrL, IF( OR(_xlpm._typ = 2, _xlpm._typ = 3),
      _xlfn._xlws.FILTER(_xlpm._arrC, _xlpm._mtch &lt;&gt; 0, "#[Empty]"),
      _xlpm._arrC
    ),
    _xlpm._calc, CHOOSE(_xlpm._typ,
      _xlpm._arrL,
      IF( INDEX(_xlpm._arrL, 1, 1) = "#[Empty]",
        _xlpm._arrR,
        IF( INDEX(_xlpm._arrR, 1, _xlpm._ccS + 1) = "#[Empty]",
          _xlpm._arrL,
          _xlfn.VSTACK(_xlpm._arrL, _xlpm._arrR)
        )
      ),
      IF( INDEX(_xlpm._arrL, 1, 1) = "#[Empty]",
        _xlfn.MAKEARRAY(1, _xlpm._ccS + _xlpm._cc2, _xlfn.LAMBDA(_xlpm._r,_xlpm._c, NA())),
        _xlpm._arrL
      ),
      IF( INDEX(_xlpm._arrR, 1, _xlpm._ccS + 1) = "#[Empty]",
        _xlpm._arrL,
        _xlfn.VSTACK(_xlpm._arrL, _xlpm._arrR)
      )
    ),
    _xlpm._rtn, _xlfn.LET(
      _xlpm._arrS, IF(_xlpm._srt &lt;&gt; 0,
        _xlfn.DROP( _xlfn.SORTBY(_xlpm._calc, _xlfn.CHOOSECOLS(_xlpm._calc, 1), _xlpm._srt), 0, 1),
        _xlpm._calc
      ),
      _xlpm._aRep, IF( ISNA(_xlpm._rep),
        _xlpm._arrS,
        IF( ISNA(_xlpm._arrS), _xlpm._rep, _xlpm._arrS)
      ),
      _xlpm._aRep
    ),
    CHOOSE(_xlpm._inpChk, _xlpm._rtn, _xlfn.LAMBDA(0), #VALUE!)
  )
)($K$12:$N$21, $P$12:$S$21, C650, E650, H648,_xlfn.ANCHORARRAY( H646),_xlfn.ANCHORARRAY( H647), H649, H650)</f>
        <v>X-001</v>
      </c>
      <c r="H653" s="35" t="str">
        <v>AAA</v>
      </c>
      <c r="I653" s="35">
        <v>1</v>
      </c>
      <c r="J653" s="35" t="str">
        <v>!</v>
      </c>
      <c r="K653" s="35" t="str">
        <v>one</v>
      </c>
      <c r="L653" s="35">
        <v>1</v>
      </c>
      <c r="M653" s="35"/>
      <c r="N653" s="35"/>
      <c r="O653" s="39" t="str" cm="1">
        <f t="array" aca="1" ref="O653:O747" ca="1" xml:space="preserve"> _xlfn.TEXTSPLIT( _xlfn.FORMULATEXT(G653), , CHAR(10))</f>
        <v>= LAMBDA(first_array,second_array,first_array_index,second_array_index,[join_type],[first_array_cols],[second_array_cols],[sort],[replace_na],</v>
      </c>
    </row>
    <row r="654" spans="2:15" x14ac:dyDescent="0.3">
      <c r="C654" s="36" t="str">
        <v>X-002</v>
      </c>
      <c r="D654" s="37">
        <v>2</v>
      </c>
      <c r="E654" s="36" t="str">
        <v>X-007</v>
      </c>
      <c r="G654" s="35" t="str">
        <v>X-002</v>
      </c>
      <c r="H654" s="35" t="str">
        <v>BBB</v>
      </c>
      <c r="I654" s="35">
        <v>2</v>
      </c>
      <c r="J654" s="35" t="str">
        <v>"</v>
      </c>
      <c r="K654" s="35" t="str">
        <v>two</v>
      </c>
      <c r="L654" s="35">
        <v>2</v>
      </c>
      <c r="M654" s="35"/>
      <c r="N654" s="35"/>
      <c r="O654" s="39" t="str">
        <f ca="1"/>
        <v xml:space="preserve">  LET(</v>
      </c>
    </row>
    <row r="655" spans="2:15" x14ac:dyDescent="0.3">
      <c r="C655" s="36" t="str">
        <v>X-003</v>
      </c>
      <c r="D655" s="37">
        <v>3</v>
      </c>
      <c r="E655" s="36" t="str">
        <v>X-010</v>
      </c>
      <c r="G655" s="35" t="str">
        <v>X-003</v>
      </c>
      <c r="H655" s="35" t="str">
        <v>CCC</v>
      </c>
      <c r="I655" s="35">
        <v>3</v>
      </c>
      <c r="J655" s="35" t="str">
        <v>£</v>
      </c>
      <c r="K655" s="35" t="e">
        <v>#N/A</v>
      </c>
      <c r="L655" s="35" t="e">
        <v>#N/A</v>
      </c>
      <c r="M655" s="35"/>
      <c r="N655" s="35"/>
      <c r="O655" s="39" t="str">
        <f ca="1"/>
        <v xml:space="preserve">    _arr1, first_array,</v>
      </c>
    </row>
    <row r="656" spans="2:15" x14ac:dyDescent="0.3">
      <c r="C656" s="36" t="str">
        <v>X-004</v>
      </c>
      <c r="D656" s="37">
        <v>4</v>
      </c>
      <c r="E656" s="36" t="str">
        <v>X-002</v>
      </c>
      <c r="G656" s="35" t="str">
        <v>X-004</v>
      </c>
      <c r="H656" s="35" t="str">
        <v>DDD</v>
      </c>
      <c r="I656" s="35">
        <v>4</v>
      </c>
      <c r="J656" s="35" t="str">
        <v>$</v>
      </c>
      <c r="K656" s="35" t="str">
        <v>four</v>
      </c>
      <c r="L656" s="35">
        <v>4</v>
      </c>
      <c r="M656" s="35"/>
      <c r="N656" s="35"/>
      <c r="O656" s="39" t="str">
        <f ca="1"/>
        <v xml:space="preserve">    _arr2, second_array,</v>
      </c>
    </row>
    <row r="657" spans="3:15" x14ac:dyDescent="0.3">
      <c r="C657" s="36" t="str">
        <v>X-005</v>
      </c>
      <c r="D657" s="37">
        <v>5</v>
      </c>
      <c r="E657" s="36" t="str">
        <v>X-004</v>
      </c>
      <c r="G657" s="35" t="str">
        <v>X-005</v>
      </c>
      <c r="H657" s="35" t="str">
        <v>EEE</v>
      </c>
      <c r="I657" s="35">
        <v>5</v>
      </c>
      <c r="J657" s="35" t="str">
        <v>%</v>
      </c>
      <c r="K657" s="35" t="e">
        <v>#N/A</v>
      </c>
      <c r="L657" s="35" t="e">
        <v>#N/A</v>
      </c>
      <c r="M657" s="35"/>
      <c r="N657" s="35"/>
      <c r="O657" s="39" t="str">
        <f ca="1"/>
        <v xml:space="preserve">    _col1, INDEX(first_array_index, 1, 1),</v>
      </c>
    </row>
    <row r="658" spans="3:15" x14ac:dyDescent="0.3">
      <c r="C658" s="36" t="str">
        <v>X-006</v>
      </c>
      <c r="D658" s="37">
        <v>6</v>
      </c>
      <c r="E658" s="36" t="str">
        <v>X-008</v>
      </c>
      <c r="G658" s="35" t="str">
        <v>X-006</v>
      </c>
      <c r="H658" s="35" t="str">
        <v>FFF</v>
      </c>
      <c r="I658" s="35">
        <v>6</v>
      </c>
      <c r="J658" s="35" t="str">
        <v>^</v>
      </c>
      <c r="K658" s="35" t="str">
        <v>six</v>
      </c>
      <c r="L658" s="35">
        <v>6</v>
      </c>
      <c r="M658" s="35"/>
      <c r="N658" s="35"/>
      <c r="O658" s="39" t="str">
        <f ca="1"/>
        <v xml:space="preserve">    _col2, INDEX(second_array_index, 1, 1),</v>
      </c>
    </row>
    <row r="659" spans="3:15" x14ac:dyDescent="0.3">
      <c r="C659" s="36" t="str">
        <v>X-007</v>
      </c>
      <c r="D659" s="37">
        <v>7</v>
      </c>
      <c r="E659" s="36" t="str">
        <v>X-012</v>
      </c>
      <c r="G659" s="35" t="str">
        <v>X-007</v>
      </c>
      <c r="H659" s="35" t="str">
        <v>GGG</v>
      </c>
      <c r="I659" s="35">
        <v>7</v>
      </c>
      <c r="J659" s="35" t="str">
        <v>&amp;</v>
      </c>
      <c r="K659" s="35" t="str">
        <v>seven</v>
      </c>
      <c r="L659" s="35">
        <v>7</v>
      </c>
      <c r="M659" s="35"/>
      <c r="N659" s="35"/>
      <c r="O659" s="39" t="str">
        <f ca="1"/>
        <v xml:space="preserve">    _idx1, IF( ISOMITTED(first_array_cols), SEQUENCE(1, COLUMNS(_arr1)),</v>
      </c>
    </row>
    <row r="660" spans="3:15" x14ac:dyDescent="0.3">
      <c r="C660" s="36" t="str">
        <v>X-008</v>
      </c>
      <c r="D660" s="37">
        <v>8</v>
      </c>
      <c r="E660" s="36" t="str">
        <v>X-001</v>
      </c>
      <c r="G660" s="35" t="str">
        <v>X-008</v>
      </c>
      <c r="H660" s="35" t="str">
        <v>HHH</v>
      </c>
      <c r="I660" s="35">
        <v>8</v>
      </c>
      <c r="J660" s="35" t="str">
        <v>*</v>
      </c>
      <c r="K660" s="35" t="str">
        <v>eight</v>
      </c>
      <c r="L660" s="35">
        <v>8</v>
      </c>
      <c r="M660" s="35"/>
      <c r="N660" s="35"/>
      <c r="O660" s="39" t="str">
        <f ca="1"/>
        <v xml:space="preserve">      IF( SUM(--ISERROR(first_array_cols)) &gt; 0, 0, first_array_cols)),</v>
      </c>
    </row>
    <row r="661" spans="3:15" x14ac:dyDescent="0.3">
      <c r="C661" s="36" t="str">
        <v>X-009</v>
      </c>
      <c r="D661" s="37">
        <v>9</v>
      </c>
      <c r="E661" s="36" t="str">
        <v>X-006</v>
      </c>
      <c r="G661" s="35" t="str">
        <v>X-009</v>
      </c>
      <c r="H661" s="35" t="str">
        <v>III</v>
      </c>
      <c r="I661" s="35">
        <v>9</v>
      </c>
      <c r="J661" s="35" t="str">
        <v>(</v>
      </c>
      <c r="K661" s="35" t="str">
        <v>nine</v>
      </c>
      <c r="L661" s="35">
        <v>9</v>
      </c>
      <c r="M661" s="35"/>
      <c r="N661" s="35"/>
      <c r="O661" s="39" t="str">
        <f ca="1"/>
        <v xml:space="preserve">    _idx2, IF( ISOMITTED(second_array_cols), SEQUENCE(1, COLUMNS(_arr2)),</v>
      </c>
    </row>
    <row r="662" spans="3:15" x14ac:dyDescent="0.3">
      <c r="C662" s="36" t="str">
        <v>X-010</v>
      </c>
      <c r="D662" s="37">
        <v>10</v>
      </c>
      <c r="E662" s="36" t="str">
        <v>X-011</v>
      </c>
      <c r="G662" s="35" t="str">
        <v>X-010</v>
      </c>
      <c r="H662" s="35" t="str">
        <v>JJJ</v>
      </c>
      <c r="I662" s="35">
        <v>10</v>
      </c>
      <c r="J662" s="35" t="str">
        <v>)</v>
      </c>
      <c r="K662" s="35" t="str">
        <v>ten</v>
      </c>
      <c r="L662" s="35">
        <v>10</v>
      </c>
      <c r="M662" s="35"/>
      <c r="N662" s="35"/>
      <c r="O662" s="39" t="str">
        <f ca="1"/>
        <v xml:space="preserve">      IF( SUM(--ISERROR(second_array_cols)) &gt; 0, 0, second_array_cols)),</v>
      </c>
    </row>
    <row r="663" spans="3:15" x14ac:dyDescent="0.3">
      <c r="G663" s="35" t="e">
        <v>#N/A</v>
      </c>
      <c r="H663" s="35" t="e">
        <v>#N/A</v>
      </c>
      <c r="I663" s="35" t="e">
        <v>#N/A</v>
      </c>
      <c r="J663" s="35" t="e">
        <v>#N/A</v>
      </c>
      <c r="K663" s="35" t="str">
        <v>eleven</v>
      </c>
      <c r="L663" s="35">
        <v>11</v>
      </c>
      <c r="M663" s="35"/>
      <c r="N663" s="35"/>
      <c r="O663" s="39" t="str">
        <f ca="1"/>
        <v xml:space="preserve">    _inpT, IF( ISOMITTED(join_type), 0, INT(join_type)),</v>
      </c>
    </row>
    <row r="664" spans="3:15" x14ac:dyDescent="0.3">
      <c r="G664" s="35" t="e">
        <v>#N/A</v>
      </c>
      <c r="H664" s="35" t="e">
        <v>#N/A</v>
      </c>
      <c r="I664" s="35" t="e">
        <v>#N/A</v>
      </c>
      <c r="J664" s="35" t="e">
        <v>#N/A</v>
      </c>
      <c r="K664" s="35" t="str">
        <v>twelve</v>
      </c>
      <c r="L664" s="35">
        <v>12</v>
      </c>
      <c r="M664" s="35"/>
      <c r="N664" s="35"/>
      <c r="O664" s="39" t="str">
        <f ca="1"/>
        <v xml:space="preserve">    _typ, IF( ISNUMBER(_inpT), _inpT + 1,</v>
      </c>
    </row>
    <row r="665" spans="3:15" x14ac:dyDescent="0.3">
      <c r="G665" s="35"/>
      <c r="H665" s="35"/>
      <c r="I665" s="35"/>
      <c r="J665" s="35"/>
      <c r="K665" s="35"/>
      <c r="L665" s="35"/>
      <c r="M665" s="35"/>
      <c r="N665" s="35"/>
      <c r="O665" s="39" t="str">
        <f ca="1"/>
        <v xml:space="preserve">      IFNA( MATCH( LOWER(join_type), {"left","right","inner","full"}, 0), -1)</v>
      </c>
    </row>
    <row r="666" spans="3:15" x14ac:dyDescent="0.3">
      <c r="G666" s="35"/>
      <c r="H666" s="35"/>
      <c r="I666" s="35"/>
      <c r="J666" s="35"/>
      <c r="K666" s="35"/>
      <c r="L666" s="35"/>
      <c r="M666" s="35"/>
      <c r="N666" s="35"/>
      <c r="O666" s="39" t="str">
        <f ca="1"/>
        <v xml:space="preserve">    ),</v>
      </c>
    </row>
    <row r="667" spans="3:15" x14ac:dyDescent="0.3">
      <c r="G667" s="35"/>
      <c r="H667" s="35"/>
      <c r="I667" s="35"/>
      <c r="J667" s="35"/>
      <c r="K667" s="35"/>
      <c r="L667" s="35"/>
      <c r="M667" s="35"/>
      <c r="N667" s="35"/>
      <c r="O667" s="39" t="str">
        <f ca="1"/>
        <v xml:space="preserve">    _srt, IF( ISOMITTED(sort), 0,</v>
      </c>
    </row>
    <row r="668" spans="3:15" x14ac:dyDescent="0.3">
      <c r="G668" s="35"/>
      <c r="H668" s="35"/>
      <c r="I668" s="35"/>
      <c r="J668" s="35"/>
      <c r="K668" s="35"/>
      <c r="L668" s="35"/>
      <c r="M668" s="35"/>
      <c r="N668" s="35"/>
      <c r="O668" s="39" t="str">
        <f ca="1"/>
        <v xml:space="preserve">      IF( ISERROR(sort), "", INT(sort))),</v>
      </c>
    </row>
    <row r="669" spans="3:15" x14ac:dyDescent="0.3">
      <c r="G669" s="35"/>
      <c r="H669" s="35"/>
      <c r="I669" s="35"/>
      <c r="J669" s="35"/>
      <c r="K669" s="35"/>
      <c r="L669" s="35"/>
      <c r="M669" s="35"/>
      <c r="N669" s="35"/>
      <c r="O669" s="39" t="str">
        <f ca="1"/>
        <v xml:space="preserve">    _inpR, IF( ISOMITTED(replace_na), FALSE, INDEX(replace_na, 1, 1)),</v>
      </c>
    </row>
    <row r="670" spans="3:15" x14ac:dyDescent="0.3">
      <c r="G670" s="35"/>
      <c r="H670" s="35"/>
      <c r="I670" s="35"/>
      <c r="J670" s="35"/>
      <c r="K670" s="35"/>
      <c r="L670" s="35"/>
      <c r="M670" s="35"/>
      <c r="N670" s="35"/>
      <c r="O670" s="39" t="str">
        <f ca="1"/>
        <v xml:space="preserve">    _rep, IF( ISLOGICAL(_inpR),</v>
      </c>
    </row>
    <row r="671" spans="3:15" x14ac:dyDescent="0.3">
      <c r="G671" s="35"/>
      <c r="H671" s="35"/>
      <c r="I671" s="35"/>
      <c r="J671" s="35"/>
      <c r="K671" s="35"/>
      <c r="L671" s="35"/>
      <c r="M671" s="35"/>
      <c r="N671" s="35"/>
      <c r="O671" s="39" t="str">
        <f ca="1"/>
        <v xml:space="preserve">      IF(_inpR, "", NA()),</v>
      </c>
    </row>
    <row r="672" spans="3:15" x14ac:dyDescent="0.3">
      <c r="G672" s="35"/>
      <c r="H672" s="35"/>
      <c r="I672" s="35"/>
      <c r="J672" s="35"/>
      <c r="K672" s="35"/>
      <c r="L672" s="35"/>
      <c r="M672" s="35"/>
      <c r="N672" s="35"/>
      <c r="O672" s="39" t="str">
        <f ca="1"/>
        <v xml:space="preserve">      _inpR</v>
      </c>
    </row>
    <row r="673" spans="15:15" x14ac:dyDescent="0.3">
      <c r="O673" s="39" t="str">
        <f ca="1"/>
        <v xml:space="preserve">    ),</v>
      </c>
    </row>
    <row r="674" spans="15:15" x14ac:dyDescent="0.3">
      <c r="O674" s="39" t="str">
        <f ca="1"/>
        <v xml:space="preserve">    _inpChk, IF(</v>
      </c>
    </row>
    <row r="675" spans="15:15" x14ac:dyDescent="0.3">
      <c r="O675" s="39" t="str">
        <f ca="1"/>
        <v xml:space="preserve">      OR(</v>
      </c>
    </row>
    <row r="676" spans="15:15" x14ac:dyDescent="0.3">
      <c r="O676" s="39" t="str">
        <f ca="1"/>
        <v xml:space="preserve">        _col1 &lt; 1, _col1 &gt; COLUMNS(_arr1),</v>
      </c>
    </row>
    <row r="677" spans="15:15" x14ac:dyDescent="0.3">
      <c r="O677" s="39" t="str">
        <f ca="1"/>
        <v xml:space="preserve">        _col2 &lt; 1, _col2 &gt; COLUMNS(_arr2),</v>
      </c>
    </row>
    <row r="678" spans="15:15" x14ac:dyDescent="0.3">
      <c r="O678" s="39" t="str">
        <f ca="1"/>
        <v xml:space="preserve">        MIN(_idx1) &lt; 1, MAX(_idx1) &gt; COLUMNS(_arr1),</v>
      </c>
    </row>
    <row r="679" spans="15:15" x14ac:dyDescent="0.3">
      <c r="O679" s="39" t="str">
        <f ca="1"/>
        <v xml:space="preserve">        MIN(_idx2) &lt; 1, MAX(_idx2) &gt; COLUMNS(_arr2)</v>
      </c>
    </row>
    <row r="680" spans="15:15" x14ac:dyDescent="0.3">
      <c r="O680" s="39" t="str">
        <f ca="1"/>
        <v xml:space="preserve">      ), 2,</v>
      </c>
    </row>
    <row r="681" spans="15:15" x14ac:dyDescent="0.3">
      <c r="O681" s="39" t="str">
        <f ca="1"/>
        <v xml:space="preserve">      IF( OR(</v>
      </c>
    </row>
    <row r="682" spans="15:15" x14ac:dyDescent="0.3">
      <c r="O682" s="39" t="str">
        <f ca="1"/>
        <v xml:space="preserve">        NOT(ISNUMBER(_col1)), NOT(ISNUMBER(_col2)),</v>
      </c>
    </row>
    <row r="683" spans="15:15" x14ac:dyDescent="0.3">
      <c r="O683" s="39" t="str">
        <f ca="1"/>
        <v xml:space="preserve">        _typ &lt; 1, _typ &gt; 4,</v>
      </c>
    </row>
    <row r="684" spans="15:15" x14ac:dyDescent="0.3">
      <c r="O684" s="39" t="str">
        <f ca="1"/>
        <v xml:space="preserve">        ISERROR(_srt), _srt &lt; -1, _srt &gt; 1</v>
      </c>
    </row>
    <row r="685" spans="15:15" x14ac:dyDescent="0.3">
      <c r="O685" s="39" t="str">
        <f ca="1"/>
        <v xml:space="preserve">      ), 3,</v>
      </c>
    </row>
    <row r="686" spans="15:15" x14ac:dyDescent="0.3">
      <c r="O686" s="39" t="str">
        <f ca="1"/>
        <v xml:space="preserve">      1)</v>
      </c>
    </row>
    <row r="687" spans="15:15" x14ac:dyDescent="0.3">
      <c r="O687" s="39" t="str">
        <f ca="1"/>
        <v xml:space="preserve">    ),</v>
      </c>
    </row>
    <row r="688" spans="15:15" x14ac:dyDescent="0.3">
      <c r="O688" s="39" t="str">
        <f ca="1"/>
        <v xml:space="preserve">    _uId1, CHOOSECOLS(_arr1, _col1),</v>
      </c>
    </row>
    <row r="689" spans="15:15" x14ac:dyDescent="0.3">
      <c r="O689" s="39" t="str">
        <f ca="1"/>
        <v xml:space="preserve">    _uId2, CHOOSECOLS(_arr2, _col2),</v>
      </c>
    </row>
    <row r="690" spans="15:15" x14ac:dyDescent="0.3">
      <c r="O690" s="39" t="str">
        <f ca="1"/>
        <v xml:space="preserve">    _out1, CHOOSECOLS(_arr1, _idx1),</v>
      </c>
    </row>
    <row r="691" spans="15:15" x14ac:dyDescent="0.3">
      <c r="O691" s="39" t="str">
        <f ca="1"/>
        <v xml:space="preserve">    _out2, CHOOSECOLS(_arr2, _idx2),</v>
      </c>
    </row>
    <row r="692" spans="15:15" x14ac:dyDescent="0.3">
      <c r="O692" s="39" t="str">
        <f ca="1"/>
        <v xml:space="preserve">    _cc1, COLUMNS(_out1),</v>
      </c>
    </row>
    <row r="693" spans="15:15" x14ac:dyDescent="0.3">
      <c r="O693" s="39" t="str">
        <f ca="1"/>
        <v xml:space="preserve">    _cc2, COLUMNS(_out2),</v>
      </c>
    </row>
    <row r="694" spans="15:15" x14ac:dyDescent="0.3">
      <c r="O694" s="39" t="str">
        <f ca="1"/>
        <v xml:space="preserve">    _ccS, _cc1 + IF(_srt &lt;&gt; 0, 1, 0),</v>
      </c>
    </row>
    <row r="695" spans="15:15" x14ac:dyDescent="0.3">
      <c r="O695" s="39" t="str">
        <f ca="1"/>
        <v xml:space="preserve">    _mtch, DROP(REDUCE(0, _uId1, LAMBDA(_acc,_val, VSTACK(_acc, IFNA(MATCH(_val, _uId2, 0), 0)))), 1),</v>
      </c>
    </row>
    <row r="696" spans="15:15" x14ac:dyDescent="0.3">
      <c r="O696" s="39" t="str">
        <f ca="1"/>
        <v xml:space="preserve">    _blnk, MAKEARRAY(1, _cc2, LAMBDA(_r,_c, NA())),</v>
      </c>
    </row>
    <row r="697" spans="15:15" x14ac:dyDescent="0.3">
      <c r="O697" s="39" t="str">
        <f ca="1"/>
        <v xml:space="preserve">    _arrN, DROP(REDUCE(0, _mtch, LAMBDA(_acc,_val, VSTACK(_acc, IF(_val = 0, _blnk, INDEX(_out2, _val, SEQUENCE(1, _cc2)))))), 1),</v>
      </c>
    </row>
    <row r="698" spans="15:15" x14ac:dyDescent="0.3">
      <c r="O698" s="39" t="str">
        <f ca="1"/>
        <v xml:space="preserve">    _arrR, LET(</v>
      </c>
    </row>
    <row r="699" spans="15:15" x14ac:dyDescent="0.3">
      <c r="O699" s="39" t="str">
        <f ca="1"/>
        <v xml:space="preserve">      _fltr, SCAN(0, SEQUENCE( ROWS(_out2), 1), LAMBDA(_acc,_val, IF( ISNA(MATCH(_val, _mtch, 0)), 1, 0))),</v>
      </c>
    </row>
    <row r="700" spans="15:15" x14ac:dyDescent="0.3">
      <c r="O700" s="39" t="str">
        <f ca="1"/>
        <v xml:space="preserve">      _arr, FILTER(_out2, _fltr = 1, "#[Empty]"),</v>
      </c>
    </row>
    <row r="701" spans="15:15" x14ac:dyDescent="0.3">
      <c r="O701" s="39" t="str">
        <f ca="1"/>
        <v xml:space="preserve">      _mCl, FILTER(_uId2, _fltr = 1, NA()),</v>
      </c>
    </row>
    <row r="702" spans="15:15" x14ac:dyDescent="0.3">
      <c r="O702" s="39" t="str">
        <f ca="1"/>
        <v xml:space="preserve">      _blnk, MAKEARRAY( ROWS(_arr), _cc1, LAMBDA(_r,_c, NA())),</v>
      </c>
    </row>
    <row r="703" spans="15:15" x14ac:dyDescent="0.3">
      <c r="O703" s="39" t="str">
        <f ca="1"/>
        <v xml:space="preserve">      IF(_srt &lt;&gt; 0,</v>
      </c>
    </row>
    <row r="704" spans="15:15" x14ac:dyDescent="0.3">
      <c r="O704" s="39" t="str">
        <f ca="1"/>
        <v xml:space="preserve">        HSTACK(_mCl, _blnk, _arr),</v>
      </c>
    </row>
    <row r="705" spans="15:15" x14ac:dyDescent="0.3">
      <c r="O705" s="39" t="str">
        <f ca="1"/>
        <v xml:space="preserve">        HSTACK(_blnk, _arr)</v>
      </c>
    </row>
    <row r="706" spans="15:15" x14ac:dyDescent="0.3">
      <c r="O706" s="39" t="str">
        <f ca="1"/>
        <v xml:space="preserve">      )</v>
      </c>
    </row>
    <row r="707" spans="15:15" x14ac:dyDescent="0.3">
      <c r="O707" s="39" t="str">
        <f ca="1"/>
        <v xml:space="preserve">    ),</v>
      </c>
    </row>
    <row r="708" spans="15:15" x14ac:dyDescent="0.3">
      <c r="O708" s="39" t="str">
        <f ca="1"/>
        <v xml:space="preserve">    _arrC, IF(_srt &lt;&gt; 0,</v>
      </c>
    </row>
    <row r="709" spans="15:15" x14ac:dyDescent="0.3">
      <c r="O709" s="39" t="str">
        <f ca="1"/>
        <v xml:space="preserve">      HSTACK(_uId1, _out1, _arrN),</v>
      </c>
    </row>
    <row r="710" spans="15:15" x14ac:dyDescent="0.3">
      <c r="O710" s="39" t="str">
        <f ca="1"/>
        <v xml:space="preserve">      HSTACK(_out1, _arrN)</v>
      </c>
    </row>
    <row r="711" spans="15:15" x14ac:dyDescent="0.3">
      <c r="O711" s="39" t="str">
        <f ca="1"/>
        <v xml:space="preserve">    ),</v>
      </c>
    </row>
    <row r="712" spans="15:15" x14ac:dyDescent="0.3">
      <c r="O712" s="39" t="str">
        <f ca="1"/>
        <v xml:space="preserve">    _arrL, IF( OR(_typ = 2, _typ = 3),</v>
      </c>
    </row>
    <row r="713" spans="15:15" x14ac:dyDescent="0.3">
      <c r="O713" s="39" t="str">
        <f ca="1"/>
        <v xml:space="preserve">      FILTER(_arrC, _mtch &lt;&gt; 0, "#[Empty]"),</v>
      </c>
    </row>
    <row r="714" spans="15:15" x14ac:dyDescent="0.3">
      <c r="O714" s="39" t="str">
        <f ca="1"/>
        <v xml:space="preserve">      _arrC</v>
      </c>
    </row>
    <row r="715" spans="15:15" x14ac:dyDescent="0.3">
      <c r="O715" s="39" t="str">
        <f ca="1"/>
        <v xml:space="preserve">    ),</v>
      </c>
    </row>
    <row r="716" spans="15:15" x14ac:dyDescent="0.3">
      <c r="O716" s="39" t="str">
        <f ca="1"/>
        <v xml:space="preserve">    _calc, CHOOSE(_typ,</v>
      </c>
    </row>
    <row r="717" spans="15:15" x14ac:dyDescent="0.3">
      <c r="O717" s="39" t="str">
        <f ca="1"/>
        <v xml:space="preserve">      _arrL,</v>
      </c>
    </row>
    <row r="718" spans="15:15" x14ac:dyDescent="0.3">
      <c r="O718" s="39" t="str">
        <f ca="1"/>
        <v xml:space="preserve">      IF( INDEX(_arrL, 1, 1) = "#[Empty]",</v>
      </c>
    </row>
    <row r="719" spans="15:15" x14ac:dyDescent="0.3">
      <c r="O719" s="39" t="str">
        <f ca="1"/>
        <v xml:space="preserve">        _arrR,</v>
      </c>
    </row>
    <row r="720" spans="15:15" x14ac:dyDescent="0.3">
      <c r="O720" s="39" t="str">
        <f ca="1"/>
        <v xml:space="preserve">        IF( INDEX(_arrR, 1, _ccS + 1) = "#[Empty]",</v>
      </c>
    </row>
    <row r="721" spans="15:15" x14ac:dyDescent="0.3">
      <c r="O721" s="39" t="str">
        <f ca="1"/>
        <v xml:space="preserve">          _arrL,</v>
      </c>
    </row>
    <row r="722" spans="15:15" x14ac:dyDescent="0.3">
      <c r="O722" s="39" t="str">
        <f ca="1"/>
        <v xml:space="preserve">          VSTACK(_arrL, _arrR)</v>
      </c>
    </row>
    <row r="723" spans="15:15" x14ac:dyDescent="0.3">
      <c r="O723" s="39" t="str">
        <f ca="1"/>
        <v xml:space="preserve">        )</v>
      </c>
    </row>
    <row r="724" spans="15:15" x14ac:dyDescent="0.3">
      <c r="O724" s="39" t="str">
        <f ca="1"/>
        <v xml:space="preserve">      ),</v>
      </c>
    </row>
    <row r="725" spans="15:15" x14ac:dyDescent="0.3">
      <c r="O725" s="39" t="str">
        <f ca="1"/>
        <v xml:space="preserve">      IF( INDEX(_arrL, 1, 1) = "#[Empty]",</v>
      </c>
    </row>
    <row r="726" spans="15:15" x14ac:dyDescent="0.3">
      <c r="O726" s="39" t="str">
        <f ca="1"/>
        <v xml:space="preserve">        MAKEARRAY(1, _ccS + _cc2, LAMBDA(_r,_c, NA())),</v>
      </c>
    </row>
    <row r="727" spans="15:15" x14ac:dyDescent="0.3">
      <c r="O727" s="39" t="str">
        <f ca="1"/>
        <v xml:space="preserve">        _arrL</v>
      </c>
    </row>
    <row r="728" spans="15:15" x14ac:dyDescent="0.3">
      <c r="O728" s="39" t="str">
        <f ca="1"/>
        <v xml:space="preserve">      ),</v>
      </c>
    </row>
    <row r="729" spans="15:15" x14ac:dyDescent="0.3">
      <c r="O729" s="39" t="str">
        <f ca="1"/>
        <v xml:space="preserve">      IF( INDEX(_arrR, 1, _ccS + 1) = "#[Empty]",</v>
      </c>
    </row>
    <row r="730" spans="15:15" x14ac:dyDescent="0.3">
      <c r="O730" s="39" t="str">
        <f ca="1"/>
        <v xml:space="preserve">        _arrL,</v>
      </c>
    </row>
    <row r="731" spans="15:15" x14ac:dyDescent="0.3">
      <c r="O731" s="39" t="str">
        <f ca="1"/>
        <v xml:space="preserve">        VSTACK(_arrL, _arrR)</v>
      </c>
    </row>
    <row r="732" spans="15:15" x14ac:dyDescent="0.3">
      <c r="O732" s="39" t="str">
        <f ca="1"/>
        <v xml:space="preserve">      )</v>
      </c>
    </row>
    <row r="733" spans="15:15" x14ac:dyDescent="0.3">
      <c r="O733" s="39" t="str">
        <f ca="1"/>
        <v xml:space="preserve">    ),</v>
      </c>
    </row>
    <row r="734" spans="15:15" x14ac:dyDescent="0.3">
      <c r="O734" s="39" t="str">
        <f ca="1"/>
        <v xml:space="preserve">    _rtn, LET(</v>
      </c>
    </row>
    <row r="735" spans="15:15" x14ac:dyDescent="0.3">
      <c r="O735" s="39" t="str">
        <f ca="1"/>
        <v xml:space="preserve">      _arrS, IF(_srt &lt;&gt; 0,</v>
      </c>
    </row>
    <row r="736" spans="15:15" x14ac:dyDescent="0.3">
      <c r="O736" s="39" t="str">
        <f ca="1"/>
        <v xml:space="preserve">        DROP( SORTBY(_calc, CHOOSECOLS(_calc, 1), _srt), 0, 1),</v>
      </c>
    </row>
    <row r="737" spans="2:20" x14ac:dyDescent="0.3">
      <c r="O737" s="39" t="str">
        <f ca="1"/>
        <v xml:space="preserve">        _calc</v>
      </c>
    </row>
    <row r="738" spans="2:20" x14ac:dyDescent="0.3">
      <c r="O738" s="39" t="str">
        <f ca="1"/>
        <v xml:space="preserve">      ),</v>
      </c>
    </row>
    <row r="739" spans="2:20" x14ac:dyDescent="0.3">
      <c r="O739" s="39" t="str">
        <f ca="1"/>
        <v xml:space="preserve">      _aRep, IF( ISNA(_rep),</v>
      </c>
    </row>
    <row r="740" spans="2:20" x14ac:dyDescent="0.3">
      <c r="O740" s="39" t="str">
        <f ca="1"/>
        <v xml:space="preserve">        _arrS,</v>
      </c>
    </row>
    <row r="741" spans="2:20" x14ac:dyDescent="0.3">
      <c r="O741" s="39" t="str">
        <f ca="1"/>
        <v xml:space="preserve">        IF( ISNA(_arrS), _rep, _arrS)</v>
      </c>
    </row>
    <row r="742" spans="2:20" x14ac:dyDescent="0.3">
      <c r="O742" s="39" t="str">
        <f ca="1"/>
        <v xml:space="preserve">      ),</v>
      </c>
    </row>
    <row r="743" spans="2:20" x14ac:dyDescent="0.3">
      <c r="O743" s="39" t="str">
        <f ca="1"/>
        <v xml:space="preserve">      _aRep</v>
      </c>
    </row>
    <row r="744" spans="2:20" x14ac:dyDescent="0.3">
      <c r="O744" s="39" t="str">
        <f ca="1"/>
        <v xml:space="preserve">    ),</v>
      </c>
    </row>
    <row r="745" spans="2:20" x14ac:dyDescent="0.3">
      <c r="O745" s="39" t="str">
        <f ca="1"/>
        <v xml:space="preserve">    CHOOSE(_inpChk, _rtn, LAMBDA(0), #VALUE!)</v>
      </c>
    </row>
    <row r="746" spans="2:20" x14ac:dyDescent="0.3">
      <c r="O746" s="39" t="str">
        <f ca="1"/>
        <v xml:space="preserve">  )</v>
      </c>
    </row>
    <row r="747" spans="2:20" x14ac:dyDescent="0.3">
      <c r="O747" s="39" t="str">
        <f ca="1"/>
        <v>)($K$12:$N$21, $P$12:$S$21, C650, E650, H648, H646#, H647#, H649, H650)</v>
      </c>
    </row>
    <row r="749" spans="2:20" x14ac:dyDescent="0.3">
      <c r="B749" s="7" t="s">
        <v>351</v>
      </c>
      <c r="C749" s="6"/>
      <c r="D749" s="6"/>
      <c r="E749" s="6"/>
      <c r="F749" s="6"/>
      <c r="G749" s="6"/>
      <c r="H749" s="6"/>
      <c r="I749" s="6"/>
      <c r="J749" s="6"/>
      <c r="K749" s="6"/>
      <c r="L749" s="6"/>
      <c r="M749" s="6"/>
      <c r="N749" s="6"/>
      <c r="O749" s="6"/>
      <c r="P749" s="6"/>
      <c r="Q749" s="6"/>
      <c r="R749" s="6"/>
      <c r="S749" s="6"/>
      <c r="T749" s="6"/>
    </row>
    <row r="751" spans="2:20" x14ac:dyDescent="0.3">
      <c r="B751" s="16" t="str" cm="1">
        <f t="array" ref="B751" xml:space="preserve"> "(" &amp; _xlfn.UNICHAR( 65 + SUMPRODUCT(--(_xlfn.REGEXTEST(B$1:B750, "^\([A-Z]\)$")))) &amp; ")"</f>
        <v>(Q)</v>
      </c>
      <c r="C751" s="2" t="s">
        <v>352</v>
      </c>
    </row>
    <row r="752" spans="2:20" x14ac:dyDescent="0.3">
      <c r="G752" s="48" t="s">
        <v>361</v>
      </c>
      <c r="H752" s="50" cm="1">
        <f t="array" ref="H752:I752" xml:space="preserve"> {1,4}</f>
        <v>1</v>
      </c>
      <c r="I752" s="50">
        <v>4</v>
      </c>
      <c r="J752" s="50"/>
      <c r="K752" s="50"/>
      <c r="L752" s="39" t="str">
        <f ca="1" xml:space="preserve"> _xlfn.FORMULATEXT(H752)</f>
        <v>= {1,4}</v>
      </c>
    </row>
    <row r="753" spans="3:15" x14ac:dyDescent="0.3">
      <c r="G753" s="48" t="s">
        <v>360</v>
      </c>
      <c r="H753" s="50" cm="1">
        <f t="array" ref="H753:I753" xml:space="preserve"> {1,3}</f>
        <v>1</v>
      </c>
      <c r="I753" s="50">
        <v>3</v>
      </c>
      <c r="J753" s="50"/>
      <c r="K753" s="50"/>
      <c r="L753" s="39" t="str">
        <f ca="1" xml:space="preserve"> _xlfn.FORMULATEXT(H753)</f>
        <v>= {1,3}</v>
      </c>
    </row>
    <row r="754" spans="3:15" x14ac:dyDescent="0.3">
      <c r="G754" s="48" t="s">
        <v>168</v>
      </c>
      <c r="H754" s="50" cm="1">
        <f t="array" ref="H754:K754" xml:space="preserve"> {1,2,3,4}</f>
        <v>1</v>
      </c>
      <c r="I754" s="50">
        <v>2</v>
      </c>
      <c r="J754" s="50">
        <v>3</v>
      </c>
      <c r="K754" s="50">
        <v>4</v>
      </c>
      <c r="L754" s="39" t="str">
        <f ca="1" xml:space="preserve"> _xlfn.FORMULATEXT(H754)</f>
        <v>= {1,2,3,4}</v>
      </c>
    </row>
    <row r="755" spans="3:15" x14ac:dyDescent="0.3">
      <c r="G755" s="48" t="s">
        <v>169</v>
      </c>
      <c r="H755" s="50" cm="1">
        <f t="array" ref="H755:I755" xml:space="preserve"> {4,2}</f>
        <v>4</v>
      </c>
      <c r="I755" s="50">
        <v>2</v>
      </c>
      <c r="J755" s="50"/>
      <c r="K755" s="50"/>
      <c r="L755" s="39" t="str">
        <f ca="1" xml:space="preserve"> _xlfn.FORMULATEXT(H755)</f>
        <v>= {4,2}</v>
      </c>
    </row>
    <row r="756" spans="3:15" x14ac:dyDescent="0.3">
      <c r="G756" s="48" t="s">
        <v>157</v>
      </c>
      <c r="H756" s="44" t="s">
        <v>154</v>
      </c>
    </row>
    <row r="757" spans="3:15" x14ac:dyDescent="0.3">
      <c r="G757" s="48" t="s">
        <v>172</v>
      </c>
      <c r="H757" s="50">
        <v>1</v>
      </c>
    </row>
    <row r="758" spans="3:15" x14ac:dyDescent="0.3">
      <c r="G758" s="48" t="s">
        <v>174</v>
      </c>
      <c r="H758" s="50" t="b">
        <v>0</v>
      </c>
    </row>
    <row r="759" spans="3:15" x14ac:dyDescent="0.3">
      <c r="C759" s="51" t="s">
        <v>17</v>
      </c>
      <c r="E759" s="51" t="s">
        <v>16</v>
      </c>
      <c r="G759" t="s">
        <v>138</v>
      </c>
    </row>
    <row r="760" spans="3:15" ht="14.4" thickBot="1" x14ac:dyDescent="0.35">
      <c r="C760" s="32" t="str" cm="1">
        <f t="array" ref="C760" xml:space="preserve"> _xlfn.CHOOSECOLS($K$11:$N$11, H752)</f>
        <v>ID</v>
      </c>
      <c r="E760" s="32" t="str" cm="1">
        <f t="array" ref="E760" xml:space="preserve"> _xlfn.CHOOSECOLS($P$11:$S$11, H753)</f>
        <v>ID</v>
      </c>
      <c r="G760" s="32" t="str" cm="1">
        <f t="array" ref="G760:L760" xml:space="preserve"> _xlfn.HSTACK(
  _xlfn.CHOOSECOLS($K$11:$N$11,_xlfn.ANCHORARRAY( H754)),
  _xlfn.CHOOSECOLS($P$11:$S$11,_xlfn.ANCHORARRAY( H755))
)</f>
        <v>ID</v>
      </c>
      <c r="H760" s="32" t="str">
        <v>Col.1</v>
      </c>
      <c r="I760" s="32" t="str">
        <v>Col.2</v>
      </c>
      <c r="J760" s="32" t="str">
        <v>Col.3</v>
      </c>
      <c r="K760" s="32" t="str">
        <v>Col.30</v>
      </c>
      <c r="L760" s="32" t="str">
        <v>Col.10</v>
      </c>
      <c r="M760" s="32"/>
      <c r="N760" s="32"/>
    </row>
    <row r="761" spans="3:15" x14ac:dyDescent="0.3">
      <c r="C761" s="36" t="str" cm="1">
        <f t="array" ref="C761:C770" xml:space="preserve"> _xlfn.CHOOSECOLS($K$12:$N$21, H752)</f>
        <v>X-001</v>
      </c>
      <c r="D761" s="37">
        <v>1</v>
      </c>
      <c r="E761" s="36" t="str" cm="1">
        <f t="array" ref="E761:E770" xml:space="preserve"> _xlfn.CHOOSECOLS($P$12:$S$21, H753)</f>
        <v>X-009</v>
      </c>
      <c r="G761" s="35" t="str" cm="1">
        <f t="array" ref="G761:L772" xml:space="preserve"> _xlfn.LAMBDA(_xlpm.first_array,_xlpm.second_array,_xlpm.first_match_index,_xlpm.second_match_index,_xlop.join_type,_xlop.first_array_cols,_xlop.second_array_cols,_xlop.sort,_xlop.replace_na,
  _xlfn.LET(
    _xlpm._arr1, _xlpm.first_array,
    _xlpm._arr2, _xlpm.second_array,
    _xlpm._col1, _xlpm.first_match_index,
    _xlpm._col2, _xlpm.second_match_index,
    _xlpm._idx1, IF( _xlfn.ISOMITTED(_xlpm.first_array_cols), _xlfn.SEQUENCE(1, COLUMNS(_xlpm._arr1)),
      IF( SUM(--ISERROR(_xlpm.first_array_cols)) &gt; 0, 0, _xlpm.first_array_cols)),
    _xlpm._idx2, IF( _xlfn.ISOMITTED(_xlpm.second_array_cols), _xlfn.SEQUENCE(1, COLUMNS(_xlpm._arr2)),
      IF( SUM(--ISERROR(_xlpm.second_array_cols)) &gt; 0, 0, _xlpm.second_array_cols)),
    _xlpm._inpT, IF( _xlfn.ISOMITTED(_xlpm.join_type), 0, INT(_xlpm.join_type)),
    _xlpm._typ, IF( ISNUMBER(_xlpm._inpT), _xlpm._inpT + 1,
      _xlfn.IFNA( MATCH( LOWER(_xlpm.join_type), {"left","right","inner","full"}, 0), -1)
    ),
    _xlpm._srt, IF( _xlfn.ISOMITTED(_xlpm.sort), 0,
      IF( ISERROR(_xlpm.sort), "", INT(_xlpm.sort))),
    _xlpm._inpR, IF( _xlfn.ISOMITTED(_xlpm.replace_na), FALSE, INDEX(_xlpm.replace_na, 1, 1)),
    _xlpm._rep, IF( ISLOGICAL(_xlpm._inpR),
      IF(_xlpm._inpR, "", NA()),
      _xlpm._inpR
    ),
    _xlpm._inpChk, IF(
      OR(
        NOT(ISNUMBER(_xlpm._col1)), NOT(ISNUMBER(_xlpm._col2)),
        MIN(_xlpm._col1) &lt; 1, MAX(_xlpm._col1) &gt; COLUMNS(_xlpm._arr1),
        MIN(_xlpm._col2) &lt; 1, MAX(_xlpm._col2) &gt; COLUMNS(_xlpm._arr2),
        NOT(ISNUMBER(_xlpm._idx1)), NOT(ISNUMBER(_xlpm._idx2)),
        MIN(_xlpm._idx1) &lt; 1, MAX(_xlpm._idx1) &gt; COLUMNS(_xlpm._arr1),
        MIN(_xlpm._idx2) &lt; 1, MAX(_xlpm._idx2) &gt; COLUMNS(_xlpm._arr2)
      ), 2,
      IF( OR(
        _xlpm._typ &lt; 1, _xlpm._typ &gt; 4,
        ISERROR(_xlpm._srt), _xlpm._srt &lt; -1, _xlpm._srt &gt; 1
      ), 3,
      1)
    ),
    _xlpm._uId1, _xlfn.SCAN(0, _xlfn.SEQUENCE(ROWS(_xlpm._arr1)), _xlfn.LAMBDA(_xlpm._acc,_xlpm._val, _xlfn.CONCAT(INDEX(_xlpm._arr1, _xlpm._val, _xlpm._col1)))),
    _xlpm._uId2, _xlfn.SCAN(0, _xlfn.SEQUENCE(ROWS(_xlpm._arr2)), _xlfn.LAMBDA(_xlpm._acc,_xlpm._val, _xlfn.CONCAT(INDEX(_xlpm._arr2, _xlpm._val, _xlpm._col2)))),
    _xlpm._out1, _xlfn.CHOOSECOLS(_xlpm._arr1, _xlpm._idx1),
    _xlpm._out2, _xlfn.CHOOSECOLS(_xlpm._arr2, _xlpm._idx2),
    _xlpm._cc1, COLUMNS(_xlpm._out1),
    _xlpm._cc2, COLUMNS(_xlpm._out2),
    _xlpm._ccS, _xlpm._cc1 + IF(_xlpm._srt &lt;&gt; 0, 1, 0),
    _xlpm._mtch, _xlfn.DROP(_xlfn.REDUCE(0, _xlpm._uId1, _xlfn.LAMBDA(_xlpm._acc,_xlpm._val, _xlfn.VSTACK(_xlpm._acc, _xlfn.IFNA(MATCH(_xlpm._val, _xlpm._uId2, 0), 0)))), 1),
    _xlpm._blnk, _xlfn.MAKEARRAY(1, _xlpm._cc2, _xlfn.LAMBDA(_xlpm._r,_xlpm._c, NA())),
    _xlpm._arrN, _xlfn.DROP(_xlfn.REDUCE(0, _xlpm._mtch, _xlfn.LAMBDA(_xlpm._acc,_xlpm._val, _xlfn.VSTACK(_xlpm._acc, IF(_xlpm._val = 0, _xlpm._blnk, INDEX(_xlpm._out2, _xlpm._val, _xlfn.SEQUENCE(1, _xlpm._cc2)))))), 1),
    _xlpm._arrR, _xlfn.LET(
      _xlpm._fltr, _xlfn.SCAN(0, _xlfn.SEQUENCE( ROWS(_xlpm._out2), 1), _xlfn.LAMBDA(_xlpm._acc,_xlpm._val, IF( ISNA(MATCH(_xlpm._val, _xlpm._mtch, 0)), 1, 0))),
      _xlpm._arr, _xlfn._xlws.FILTER(_xlpm._out2, _xlpm._fltr = 1, "#[Empty]"),
      _xlpm._mCl, _xlfn._xlws.FILTER(_xlpm._uId2, _xlpm._fltr = 1, NA()),
      _xlpm._blnk, _xlfn.MAKEARRAY( ROWS(_xlpm._arr), _xlpm._cc1, _xlfn.LAMBDA(_xlpm._r,_xlpm._c, NA())),
      IF(_xlpm._srt &lt;&gt; 0,
        _xlfn.HSTACK(_xlpm._mCl, _xlpm._blnk, _xlpm._arr),
        _xlfn.HSTACK(_xlpm._blnk, _xlpm._arr)
      )
    ),
    _xlpm._arrC, IF(_xlpm._srt &lt;&gt; 0,
      _xlfn.HSTACK(_xlpm._uId1, _xlpm._out1, _xlpm._arrN),
      _xlfn.HSTACK(_xlpm._out1, _xlpm._arrN)
    ),
    _xlpm._arrL, IF( OR(_xlpm._typ = 2, _xlpm._typ = 3),
      _xlfn._xlws.FILTER(_xlpm._arrC, _xlpm._mtch &lt;&gt; 0, "#[Empty]"),
      _xlpm._arrC
    ),
    _xlpm._calc, CHOOSE(_xlpm._typ,
      _xlpm._arrL,
      IF( INDEX(_xlpm._arrL, 1, 1) = "#[Empty]",
        _xlpm._arrR,
        IF( INDEX(_xlpm._arrR, 1, _xlpm._ccS + 1) = "#[Empty]",
          _xlpm._arrL,
          _xlfn.VSTACK(_xlpm._arrL, _xlpm._arrR)
        )
      ),
      IF( INDEX(_xlpm._arrL, 1, 1) = "#[Empty]",
        _xlfn.MAKEARRAY(1, _xlpm._ccS + _xlpm._cc2, _xlfn.LAMBDA(_xlpm._r,_xlpm._c, NA())),
        _xlpm._arrL
      ),
      IF( INDEX(_xlpm._arrR, 1, _xlpm._ccS + 1) = "#[Empty]",
        _xlpm._arrL,
        _xlfn.VSTACK(_xlpm._arrL, _xlpm._arrR)
      )
    ),
    _xlpm._rtn, _xlfn.LET(
      _xlpm._arrS, IF(_xlpm._srt &lt;&gt; 0,
        _xlfn.DROP( _xlfn.SORTBY(_xlpm._calc, _xlfn.CHOOSECOLS(_xlpm._calc, 1), _xlpm._srt), 0, 1),
        _xlpm._calc
      ),
      _xlpm._aRep, IF( ISNA(_xlpm._rep),
        _xlpm._arrS,
        IF( ISNA(_xlpm._arrS), _xlpm._rep, _xlpm._arrS)
      ),
      _xlpm._aRep
    ),
    CHOOSE(_xlpm._inpChk, _xlpm._rtn, _xlfn.LAMBDA(0), #VALUE!)
  )
)($K$12:$N$21, $P$12:$S$21,_xlfn.ANCHORARRAY( H752),_xlfn.ANCHORARRAY( H753), H756,_xlfn.ANCHORARRAY( H754),_xlfn.ANCHORARRAY( H755), H757, H758)</f>
        <v>X-001</v>
      </c>
      <c r="H761" s="35" t="str">
        <v>AAA</v>
      </c>
      <c r="I761" s="35">
        <v>1</v>
      </c>
      <c r="J761" s="35" t="str">
        <v>!</v>
      </c>
      <c r="K761" s="35" t="str">
        <v>one</v>
      </c>
      <c r="L761" s="35">
        <v>1</v>
      </c>
      <c r="M761" s="35"/>
      <c r="N761" s="35"/>
      <c r="O761" s="39" t="str" cm="1">
        <f t="array" aca="1" ref="O761:O856" ca="1" xml:space="preserve"> _xlfn.TEXTSPLIT( _xlfn.FORMULATEXT(G761), , CHAR(10))</f>
        <v>= LAMBDA(first_array,second_array,first_match_index,second_match_index,[join_type],[first_array_cols],[second_array_cols],[sort],[replace_na],</v>
      </c>
    </row>
    <row r="762" spans="3:15" x14ac:dyDescent="0.3">
      <c r="C762" s="36" t="str">
        <v>X-002</v>
      </c>
      <c r="D762" s="37">
        <v>2</v>
      </c>
      <c r="E762" s="36" t="str">
        <v>X-007</v>
      </c>
      <c r="G762" s="35" t="str">
        <v>X-002</v>
      </c>
      <c r="H762" s="35" t="str">
        <v>BBB</v>
      </c>
      <c r="I762" s="35">
        <v>2</v>
      </c>
      <c r="J762" s="35" t="str">
        <v>"</v>
      </c>
      <c r="K762" s="35" t="str">
        <v>two</v>
      </c>
      <c r="L762" s="35">
        <v>2</v>
      </c>
      <c r="M762" s="35"/>
      <c r="N762" s="35"/>
      <c r="O762" s="39" t="str">
        <f ca="1"/>
        <v xml:space="preserve">  LET(</v>
      </c>
    </row>
    <row r="763" spans="3:15" x14ac:dyDescent="0.3">
      <c r="C763" s="36" t="str">
        <v>X-003</v>
      </c>
      <c r="D763" s="37">
        <v>3</v>
      </c>
      <c r="E763" s="36" t="str">
        <v>X-010</v>
      </c>
      <c r="G763" s="35" t="str">
        <v>X-003</v>
      </c>
      <c r="H763" s="35" t="str">
        <v>CCC</v>
      </c>
      <c r="I763" s="35">
        <v>3</v>
      </c>
      <c r="J763" s="35" t="str">
        <v>£</v>
      </c>
      <c r="K763" s="35" t="e">
        <v>#N/A</v>
      </c>
      <c r="L763" s="35" t="e">
        <v>#N/A</v>
      </c>
      <c r="M763" s="35"/>
      <c r="N763" s="35"/>
      <c r="O763" s="39" t="str">
        <f ca="1"/>
        <v xml:space="preserve">    _arr1, first_array,</v>
      </c>
    </row>
    <row r="764" spans="3:15" x14ac:dyDescent="0.3">
      <c r="C764" s="36" t="str">
        <v>X-004</v>
      </c>
      <c r="D764" s="37">
        <v>4</v>
      </c>
      <c r="E764" s="36" t="str">
        <v>X-002</v>
      </c>
      <c r="G764" s="35" t="str">
        <v>X-004</v>
      </c>
      <c r="H764" s="35" t="str">
        <v>DDD</v>
      </c>
      <c r="I764" s="35">
        <v>4</v>
      </c>
      <c r="J764" s="35" t="str">
        <v>$</v>
      </c>
      <c r="K764" s="35" t="str">
        <v>four</v>
      </c>
      <c r="L764" s="35">
        <v>4</v>
      </c>
      <c r="M764" s="35"/>
      <c r="N764" s="35"/>
      <c r="O764" s="39" t="str">
        <f ca="1"/>
        <v xml:space="preserve">    _arr2, second_array,</v>
      </c>
    </row>
    <row r="765" spans="3:15" x14ac:dyDescent="0.3">
      <c r="C765" s="36" t="str">
        <v>X-005</v>
      </c>
      <c r="D765" s="37">
        <v>5</v>
      </c>
      <c r="E765" s="36" t="str">
        <v>X-004</v>
      </c>
      <c r="G765" s="35" t="str">
        <v>X-005</v>
      </c>
      <c r="H765" s="35" t="str">
        <v>EEE</v>
      </c>
      <c r="I765" s="35">
        <v>5</v>
      </c>
      <c r="J765" s="35" t="str">
        <v>%</v>
      </c>
      <c r="K765" s="35" t="e">
        <v>#N/A</v>
      </c>
      <c r="L765" s="35" t="e">
        <v>#N/A</v>
      </c>
      <c r="M765" s="35"/>
      <c r="N765" s="35"/>
      <c r="O765" s="39" t="str">
        <f ca="1"/>
        <v xml:space="preserve">    _col1, first_match_index,</v>
      </c>
    </row>
    <row r="766" spans="3:15" x14ac:dyDescent="0.3">
      <c r="C766" s="36" t="str">
        <v>X-006</v>
      </c>
      <c r="D766" s="37">
        <v>6</v>
      </c>
      <c r="E766" s="36" t="str">
        <v>X-008</v>
      </c>
      <c r="G766" s="35" t="str">
        <v>X-006</v>
      </c>
      <c r="H766" s="35" t="str">
        <v>FFF</v>
      </c>
      <c r="I766" s="35">
        <v>6</v>
      </c>
      <c r="J766" s="35" t="str">
        <v>^</v>
      </c>
      <c r="K766" s="35" t="str">
        <v>six</v>
      </c>
      <c r="L766" s="35">
        <v>6</v>
      </c>
      <c r="M766" s="35"/>
      <c r="N766" s="35"/>
      <c r="O766" s="39" t="str">
        <f ca="1"/>
        <v xml:space="preserve">    _col2, second_match_index,</v>
      </c>
    </row>
    <row r="767" spans="3:15" x14ac:dyDescent="0.3">
      <c r="C767" s="36" t="str">
        <v>X-007</v>
      </c>
      <c r="D767" s="37">
        <v>7</v>
      </c>
      <c r="E767" s="36" t="str">
        <v>X-012</v>
      </c>
      <c r="G767" s="35" t="str">
        <v>X-007</v>
      </c>
      <c r="H767" s="35" t="str">
        <v>GGG</v>
      </c>
      <c r="I767" s="35">
        <v>7</v>
      </c>
      <c r="J767" s="35" t="str">
        <v>&amp;</v>
      </c>
      <c r="K767" s="35" t="str">
        <v>seven</v>
      </c>
      <c r="L767" s="35">
        <v>7</v>
      </c>
      <c r="M767" s="35"/>
      <c r="N767" s="35"/>
      <c r="O767" s="39" t="str">
        <f ca="1"/>
        <v xml:space="preserve">    _idx1, IF( ISOMITTED(first_array_cols), SEQUENCE(1, COLUMNS(_arr1)),</v>
      </c>
    </row>
    <row r="768" spans="3:15" x14ac:dyDescent="0.3">
      <c r="C768" s="36" t="str">
        <v>X-008</v>
      </c>
      <c r="D768" s="37">
        <v>8</v>
      </c>
      <c r="E768" s="36" t="str">
        <v>X-001</v>
      </c>
      <c r="G768" s="35" t="str">
        <v>X-008</v>
      </c>
      <c r="H768" s="35" t="str">
        <v>HHH</v>
      </c>
      <c r="I768" s="35">
        <v>8</v>
      </c>
      <c r="J768" s="35" t="str">
        <v>*</v>
      </c>
      <c r="K768" s="35" t="str">
        <v>eight</v>
      </c>
      <c r="L768" s="35">
        <v>8</v>
      </c>
      <c r="M768" s="35"/>
      <c r="N768" s="35"/>
      <c r="O768" s="39" t="str">
        <f ca="1"/>
        <v xml:space="preserve">      IF( SUM(--ISERROR(first_array_cols)) &gt; 0, 0, first_array_cols)),</v>
      </c>
    </row>
    <row r="769" spans="3:15" x14ac:dyDescent="0.3">
      <c r="C769" s="36" t="str">
        <v>X-009</v>
      </c>
      <c r="D769" s="37">
        <v>9</v>
      </c>
      <c r="E769" s="36" t="str">
        <v>X-006</v>
      </c>
      <c r="G769" s="35" t="str">
        <v>X-009</v>
      </c>
      <c r="H769" s="35" t="str">
        <v>III</v>
      </c>
      <c r="I769" s="35">
        <v>9</v>
      </c>
      <c r="J769" s="35" t="str">
        <v>(</v>
      </c>
      <c r="K769" s="35" t="str">
        <v>nine</v>
      </c>
      <c r="L769" s="35">
        <v>9</v>
      </c>
      <c r="M769" s="35"/>
      <c r="N769" s="35"/>
      <c r="O769" s="39" t="str">
        <f ca="1"/>
        <v xml:space="preserve">    _idx2, IF( ISOMITTED(second_array_cols), SEQUENCE(1, COLUMNS(_arr2)),</v>
      </c>
    </row>
    <row r="770" spans="3:15" x14ac:dyDescent="0.3">
      <c r="C770" s="36" t="str">
        <v>X-010</v>
      </c>
      <c r="D770" s="37">
        <v>10</v>
      </c>
      <c r="E770" s="36" t="str">
        <v>X-011</v>
      </c>
      <c r="G770" s="35" t="str">
        <v>X-010</v>
      </c>
      <c r="H770" s="35" t="str">
        <v>JJJ</v>
      </c>
      <c r="I770" s="35">
        <v>10</v>
      </c>
      <c r="J770" s="35" t="str">
        <v>)</v>
      </c>
      <c r="K770" s="35" t="str">
        <v>ten</v>
      </c>
      <c r="L770" s="35">
        <v>10</v>
      </c>
      <c r="M770" s="35"/>
      <c r="N770" s="35"/>
      <c r="O770" s="39" t="str">
        <f ca="1"/>
        <v xml:space="preserve">      IF( SUM(--ISERROR(second_array_cols)) &gt; 0, 0, second_array_cols)),</v>
      </c>
    </row>
    <row r="771" spans="3:15" x14ac:dyDescent="0.3">
      <c r="G771" s="35" t="e">
        <v>#N/A</v>
      </c>
      <c r="H771" s="35" t="e">
        <v>#N/A</v>
      </c>
      <c r="I771" s="35" t="e">
        <v>#N/A</v>
      </c>
      <c r="J771" s="35" t="e">
        <v>#N/A</v>
      </c>
      <c r="K771" s="35" t="str">
        <v>eleven</v>
      </c>
      <c r="L771" s="35">
        <v>11</v>
      </c>
      <c r="M771" s="35"/>
      <c r="N771" s="35"/>
      <c r="O771" s="39" t="str">
        <f ca="1"/>
        <v xml:space="preserve">    _inpT, IF( ISOMITTED(join_type), 0, INT(join_type)),</v>
      </c>
    </row>
    <row r="772" spans="3:15" x14ac:dyDescent="0.3">
      <c r="G772" s="35" t="e">
        <v>#N/A</v>
      </c>
      <c r="H772" s="35" t="e">
        <v>#N/A</v>
      </c>
      <c r="I772" s="35" t="e">
        <v>#N/A</v>
      </c>
      <c r="J772" s="35" t="e">
        <v>#N/A</v>
      </c>
      <c r="K772" s="35" t="str">
        <v>twelve</v>
      </c>
      <c r="L772" s="35">
        <v>12</v>
      </c>
      <c r="M772" s="35"/>
      <c r="N772" s="35"/>
      <c r="O772" s="39" t="str">
        <f ca="1"/>
        <v xml:space="preserve">    _typ, IF( ISNUMBER(_inpT), _inpT + 1,</v>
      </c>
    </row>
    <row r="773" spans="3:15" x14ac:dyDescent="0.3">
      <c r="G773" s="35"/>
      <c r="H773" s="35"/>
      <c r="I773" s="35"/>
      <c r="J773" s="35"/>
      <c r="K773" s="35"/>
      <c r="L773" s="35"/>
      <c r="M773" s="35"/>
      <c r="N773" s="35"/>
      <c r="O773" s="39" t="str">
        <f ca="1"/>
        <v xml:space="preserve">      IFNA( MATCH( LOWER(join_type), {"left","right","inner","full"}, 0), -1)</v>
      </c>
    </row>
    <row r="774" spans="3:15" x14ac:dyDescent="0.3">
      <c r="G774" s="35"/>
      <c r="H774" s="35"/>
      <c r="I774" s="35"/>
      <c r="J774" s="35"/>
      <c r="K774" s="35"/>
      <c r="L774" s="35"/>
      <c r="M774" s="35"/>
      <c r="N774" s="35"/>
      <c r="O774" s="39" t="str">
        <f ca="1"/>
        <v xml:space="preserve">    ),</v>
      </c>
    </row>
    <row r="775" spans="3:15" x14ac:dyDescent="0.3">
      <c r="G775" s="35"/>
      <c r="H775" s="35"/>
      <c r="I775" s="35"/>
      <c r="J775" s="35"/>
      <c r="K775" s="35"/>
      <c r="L775" s="35"/>
      <c r="M775" s="35"/>
      <c r="N775" s="35"/>
      <c r="O775" s="39" t="str">
        <f ca="1"/>
        <v xml:space="preserve">    _srt, IF( ISOMITTED(sort), 0,</v>
      </c>
    </row>
    <row r="776" spans="3:15" x14ac:dyDescent="0.3">
      <c r="G776" s="35"/>
      <c r="H776" s="35"/>
      <c r="I776" s="35"/>
      <c r="J776" s="35"/>
      <c r="K776" s="35"/>
      <c r="L776" s="35"/>
      <c r="M776" s="35"/>
      <c r="N776" s="35"/>
      <c r="O776" s="39" t="str">
        <f ca="1"/>
        <v xml:space="preserve">      IF( ISERROR(sort), "", INT(sort))),</v>
      </c>
    </row>
    <row r="777" spans="3:15" x14ac:dyDescent="0.3">
      <c r="G777" s="35"/>
      <c r="H777" s="35"/>
      <c r="I777" s="35"/>
      <c r="J777" s="35"/>
      <c r="K777" s="35"/>
      <c r="L777" s="35"/>
      <c r="M777" s="35"/>
      <c r="N777" s="35"/>
      <c r="O777" s="39" t="str">
        <f ca="1"/>
        <v xml:space="preserve">    _inpR, IF( ISOMITTED(replace_na), FALSE, INDEX(replace_na, 1, 1)),</v>
      </c>
    </row>
    <row r="778" spans="3:15" x14ac:dyDescent="0.3">
      <c r="G778" s="35"/>
      <c r="H778" s="35"/>
      <c r="I778" s="35"/>
      <c r="J778" s="35"/>
      <c r="K778" s="35"/>
      <c r="L778" s="35"/>
      <c r="M778" s="35"/>
      <c r="N778" s="35"/>
      <c r="O778" s="39" t="str">
        <f ca="1"/>
        <v xml:space="preserve">    _rep, IF( ISLOGICAL(_inpR),</v>
      </c>
    </row>
    <row r="779" spans="3:15" x14ac:dyDescent="0.3">
      <c r="G779" s="35"/>
      <c r="H779" s="35"/>
      <c r="I779" s="35"/>
      <c r="J779" s="35"/>
      <c r="K779" s="35"/>
      <c r="L779" s="35"/>
      <c r="M779" s="35"/>
      <c r="N779" s="35"/>
      <c r="O779" s="39" t="str">
        <f ca="1"/>
        <v xml:space="preserve">      IF(_inpR, "", NA()),</v>
      </c>
    </row>
    <row r="780" spans="3:15" x14ac:dyDescent="0.3">
      <c r="G780" s="35"/>
      <c r="H780" s="35"/>
      <c r="I780" s="35"/>
      <c r="J780" s="35"/>
      <c r="K780" s="35"/>
      <c r="L780" s="35"/>
      <c r="M780" s="35"/>
      <c r="N780" s="35"/>
      <c r="O780" s="39" t="str">
        <f ca="1"/>
        <v xml:space="preserve">      _inpR</v>
      </c>
    </row>
    <row r="781" spans="3:15" x14ac:dyDescent="0.3">
      <c r="O781" s="39" t="str">
        <f ca="1"/>
        <v xml:space="preserve">    ),</v>
      </c>
    </row>
    <row r="782" spans="3:15" x14ac:dyDescent="0.3">
      <c r="O782" s="39" t="str">
        <f ca="1"/>
        <v xml:space="preserve">    _inpChk, IF(</v>
      </c>
    </row>
    <row r="783" spans="3:15" x14ac:dyDescent="0.3">
      <c r="O783" s="39" t="str">
        <f ca="1"/>
        <v xml:space="preserve">      OR(</v>
      </c>
    </row>
    <row r="784" spans="3:15" x14ac:dyDescent="0.3">
      <c r="O784" s="39" t="str">
        <f ca="1"/>
        <v xml:space="preserve">        NOT(ISNUMBER(_col1)), NOT(ISNUMBER(_col2)),</v>
      </c>
    </row>
    <row r="785" spans="15:15" x14ac:dyDescent="0.3">
      <c r="O785" s="39" t="str">
        <f ca="1"/>
        <v xml:space="preserve">        MIN(_col1) &lt; 1, MAX(_col1) &gt; COLUMNS(_arr1),</v>
      </c>
    </row>
    <row r="786" spans="15:15" x14ac:dyDescent="0.3">
      <c r="O786" s="39" t="str">
        <f ca="1"/>
        <v xml:space="preserve">        MIN(_col2) &lt; 1, MAX(_col2) &gt; COLUMNS(_arr2),</v>
      </c>
    </row>
    <row r="787" spans="15:15" x14ac:dyDescent="0.3">
      <c r="O787" s="39" t="str">
        <f ca="1"/>
        <v xml:space="preserve">        NOT(ISNUMBER(_idx1)), NOT(ISNUMBER(_idx2)),</v>
      </c>
    </row>
    <row r="788" spans="15:15" x14ac:dyDescent="0.3">
      <c r="O788" s="39" t="str">
        <f ca="1"/>
        <v xml:space="preserve">        MIN(_idx1) &lt; 1, MAX(_idx1) &gt; COLUMNS(_arr1),</v>
      </c>
    </row>
    <row r="789" spans="15:15" x14ac:dyDescent="0.3">
      <c r="O789" s="39" t="str">
        <f ca="1"/>
        <v xml:space="preserve">        MIN(_idx2) &lt; 1, MAX(_idx2) &gt; COLUMNS(_arr2)</v>
      </c>
    </row>
    <row r="790" spans="15:15" x14ac:dyDescent="0.3">
      <c r="O790" s="39" t="str">
        <f ca="1"/>
        <v xml:space="preserve">      ), 2,</v>
      </c>
    </row>
    <row r="791" spans="15:15" x14ac:dyDescent="0.3">
      <c r="O791" s="39" t="str">
        <f ca="1"/>
        <v xml:space="preserve">      IF( OR(</v>
      </c>
    </row>
    <row r="792" spans="15:15" x14ac:dyDescent="0.3">
      <c r="O792" s="39" t="str">
        <f ca="1"/>
        <v xml:space="preserve">        _typ &lt; 1, _typ &gt; 4,</v>
      </c>
    </row>
    <row r="793" spans="15:15" x14ac:dyDescent="0.3">
      <c r="O793" s="39" t="str">
        <f ca="1"/>
        <v xml:space="preserve">        ISERROR(_srt), _srt &lt; -1, _srt &gt; 1</v>
      </c>
    </row>
    <row r="794" spans="15:15" x14ac:dyDescent="0.3">
      <c r="O794" s="39" t="str">
        <f ca="1"/>
        <v xml:space="preserve">      ), 3,</v>
      </c>
    </row>
    <row r="795" spans="15:15" x14ac:dyDescent="0.3">
      <c r="O795" s="39" t="str">
        <f ca="1"/>
        <v xml:space="preserve">      1)</v>
      </c>
    </row>
    <row r="796" spans="15:15" x14ac:dyDescent="0.3">
      <c r="O796" s="39" t="str">
        <f ca="1"/>
        <v xml:space="preserve">    ),</v>
      </c>
    </row>
    <row r="797" spans="15:15" x14ac:dyDescent="0.3">
      <c r="O797" s="39" t="str">
        <f ca="1"/>
        <v xml:space="preserve">    _uId1, SCAN(0, SEQUENCE(ROWS(_arr1)), LAMBDA(_acc,_val, CONCAT(INDEX(_arr1, _val, _col1)))),</v>
      </c>
    </row>
    <row r="798" spans="15:15" x14ac:dyDescent="0.3">
      <c r="O798" s="39" t="str">
        <f ca="1"/>
        <v xml:space="preserve">    _uId2, SCAN(0, SEQUENCE(ROWS(_arr2)), LAMBDA(_acc,_val, CONCAT(INDEX(_arr2, _val, _col2)))),</v>
      </c>
    </row>
    <row r="799" spans="15:15" x14ac:dyDescent="0.3">
      <c r="O799" s="39" t="str">
        <f ca="1"/>
        <v xml:space="preserve">    _out1, CHOOSECOLS(_arr1, _idx1),</v>
      </c>
    </row>
    <row r="800" spans="15:15" x14ac:dyDescent="0.3">
      <c r="O800" s="39" t="str">
        <f ca="1"/>
        <v xml:space="preserve">    _out2, CHOOSECOLS(_arr2, _idx2),</v>
      </c>
    </row>
    <row r="801" spans="15:15" x14ac:dyDescent="0.3">
      <c r="O801" s="39" t="str">
        <f ca="1"/>
        <v xml:space="preserve">    _cc1, COLUMNS(_out1),</v>
      </c>
    </row>
    <row r="802" spans="15:15" x14ac:dyDescent="0.3">
      <c r="O802" s="39" t="str">
        <f ca="1"/>
        <v xml:space="preserve">    _cc2, COLUMNS(_out2),</v>
      </c>
    </row>
    <row r="803" spans="15:15" x14ac:dyDescent="0.3">
      <c r="O803" s="39" t="str">
        <f ca="1"/>
        <v xml:space="preserve">    _ccS, _cc1 + IF(_srt &lt;&gt; 0, 1, 0),</v>
      </c>
    </row>
    <row r="804" spans="15:15" x14ac:dyDescent="0.3">
      <c r="O804" s="39" t="str">
        <f ca="1"/>
        <v xml:space="preserve">    _mtch, DROP(REDUCE(0, _uId1, LAMBDA(_acc,_val, VSTACK(_acc, IFNA(MATCH(_val, _uId2, 0), 0)))), 1),</v>
      </c>
    </row>
    <row r="805" spans="15:15" x14ac:dyDescent="0.3">
      <c r="O805" s="39" t="str">
        <f ca="1"/>
        <v xml:space="preserve">    _blnk, MAKEARRAY(1, _cc2, LAMBDA(_r,_c, NA())),</v>
      </c>
    </row>
    <row r="806" spans="15:15" x14ac:dyDescent="0.3">
      <c r="O806" s="39" t="str">
        <f ca="1"/>
        <v xml:space="preserve">    _arrN, DROP(REDUCE(0, _mtch, LAMBDA(_acc,_val, VSTACK(_acc, IF(_val = 0, _blnk, INDEX(_out2, _val, SEQUENCE(1, _cc2)))))), 1),</v>
      </c>
    </row>
    <row r="807" spans="15:15" x14ac:dyDescent="0.3">
      <c r="O807" s="39" t="str">
        <f ca="1"/>
        <v xml:space="preserve">    _arrR, LET(</v>
      </c>
    </row>
    <row r="808" spans="15:15" x14ac:dyDescent="0.3">
      <c r="O808" s="39" t="str">
        <f ca="1"/>
        <v xml:space="preserve">      _fltr, SCAN(0, SEQUENCE( ROWS(_out2), 1), LAMBDA(_acc,_val, IF( ISNA(MATCH(_val, _mtch, 0)), 1, 0))),</v>
      </c>
    </row>
    <row r="809" spans="15:15" x14ac:dyDescent="0.3">
      <c r="O809" s="39" t="str">
        <f ca="1"/>
        <v xml:space="preserve">      _arr, FILTER(_out2, _fltr = 1, "#[Empty]"),</v>
      </c>
    </row>
    <row r="810" spans="15:15" x14ac:dyDescent="0.3">
      <c r="O810" s="39" t="str">
        <f ca="1"/>
        <v xml:space="preserve">      _mCl, FILTER(_uId2, _fltr = 1, NA()),</v>
      </c>
    </row>
    <row r="811" spans="15:15" x14ac:dyDescent="0.3">
      <c r="O811" s="39" t="str">
        <f ca="1"/>
        <v xml:space="preserve">      _blnk, MAKEARRAY( ROWS(_arr), _cc1, LAMBDA(_r,_c, NA())),</v>
      </c>
    </row>
    <row r="812" spans="15:15" x14ac:dyDescent="0.3">
      <c r="O812" s="39" t="str">
        <f ca="1"/>
        <v xml:space="preserve">      IF(_srt &lt;&gt; 0,</v>
      </c>
    </row>
    <row r="813" spans="15:15" x14ac:dyDescent="0.3">
      <c r="O813" s="39" t="str">
        <f ca="1"/>
        <v xml:space="preserve">        HSTACK(_mCl, _blnk, _arr),</v>
      </c>
    </row>
    <row r="814" spans="15:15" x14ac:dyDescent="0.3">
      <c r="O814" s="39" t="str">
        <f ca="1"/>
        <v xml:space="preserve">        HSTACK(_blnk, _arr)</v>
      </c>
    </row>
    <row r="815" spans="15:15" x14ac:dyDescent="0.3">
      <c r="O815" s="39" t="str">
        <f ca="1"/>
        <v xml:space="preserve">      )</v>
      </c>
    </row>
    <row r="816" spans="15:15" x14ac:dyDescent="0.3">
      <c r="O816" s="39" t="str">
        <f ca="1"/>
        <v xml:space="preserve">    ),</v>
      </c>
    </row>
    <row r="817" spans="15:15" x14ac:dyDescent="0.3">
      <c r="O817" s="39" t="str">
        <f ca="1"/>
        <v xml:space="preserve">    _arrC, IF(_srt &lt;&gt; 0,</v>
      </c>
    </row>
    <row r="818" spans="15:15" x14ac:dyDescent="0.3">
      <c r="O818" s="39" t="str">
        <f ca="1"/>
        <v xml:space="preserve">      HSTACK(_uId1, _out1, _arrN),</v>
      </c>
    </row>
    <row r="819" spans="15:15" x14ac:dyDescent="0.3">
      <c r="O819" s="39" t="str">
        <f ca="1"/>
        <v xml:space="preserve">      HSTACK(_out1, _arrN)</v>
      </c>
    </row>
    <row r="820" spans="15:15" x14ac:dyDescent="0.3">
      <c r="O820" s="39" t="str">
        <f ca="1"/>
        <v xml:space="preserve">    ),</v>
      </c>
    </row>
    <row r="821" spans="15:15" x14ac:dyDescent="0.3">
      <c r="O821" s="39" t="str">
        <f ca="1"/>
        <v xml:space="preserve">    _arrL, IF( OR(_typ = 2, _typ = 3),</v>
      </c>
    </row>
    <row r="822" spans="15:15" x14ac:dyDescent="0.3">
      <c r="O822" s="39" t="str">
        <f ca="1"/>
        <v xml:space="preserve">      FILTER(_arrC, _mtch &lt;&gt; 0, "#[Empty]"),</v>
      </c>
    </row>
    <row r="823" spans="15:15" x14ac:dyDescent="0.3">
      <c r="O823" s="39" t="str">
        <f ca="1"/>
        <v xml:space="preserve">      _arrC</v>
      </c>
    </row>
    <row r="824" spans="15:15" x14ac:dyDescent="0.3">
      <c r="O824" s="39" t="str">
        <f ca="1"/>
        <v xml:space="preserve">    ),</v>
      </c>
    </row>
    <row r="825" spans="15:15" x14ac:dyDescent="0.3">
      <c r="O825" s="39" t="str">
        <f ca="1"/>
        <v xml:space="preserve">    _calc, CHOOSE(_typ,</v>
      </c>
    </row>
    <row r="826" spans="15:15" x14ac:dyDescent="0.3">
      <c r="O826" s="39" t="str">
        <f ca="1"/>
        <v xml:space="preserve">      _arrL,</v>
      </c>
    </row>
    <row r="827" spans="15:15" x14ac:dyDescent="0.3">
      <c r="O827" s="39" t="str">
        <f ca="1"/>
        <v xml:space="preserve">      IF( INDEX(_arrL, 1, 1) = "#[Empty]",</v>
      </c>
    </row>
    <row r="828" spans="15:15" x14ac:dyDescent="0.3">
      <c r="O828" s="39" t="str">
        <f ca="1"/>
        <v xml:space="preserve">        _arrR,</v>
      </c>
    </row>
    <row r="829" spans="15:15" x14ac:dyDescent="0.3">
      <c r="O829" s="39" t="str">
        <f ca="1"/>
        <v xml:space="preserve">        IF( INDEX(_arrR, 1, _ccS + 1) = "#[Empty]",</v>
      </c>
    </row>
    <row r="830" spans="15:15" x14ac:dyDescent="0.3">
      <c r="O830" s="39" t="str">
        <f ca="1"/>
        <v xml:space="preserve">          _arrL,</v>
      </c>
    </row>
    <row r="831" spans="15:15" x14ac:dyDescent="0.3">
      <c r="O831" s="39" t="str">
        <f ca="1"/>
        <v xml:space="preserve">          VSTACK(_arrL, _arrR)</v>
      </c>
    </row>
    <row r="832" spans="15:15" x14ac:dyDescent="0.3">
      <c r="O832" s="39" t="str">
        <f ca="1"/>
        <v xml:space="preserve">        )</v>
      </c>
    </row>
    <row r="833" spans="15:15" x14ac:dyDescent="0.3">
      <c r="O833" s="39" t="str">
        <f ca="1"/>
        <v xml:space="preserve">      ),</v>
      </c>
    </row>
    <row r="834" spans="15:15" x14ac:dyDescent="0.3">
      <c r="O834" s="39" t="str">
        <f ca="1"/>
        <v xml:space="preserve">      IF( INDEX(_arrL, 1, 1) = "#[Empty]",</v>
      </c>
    </row>
    <row r="835" spans="15:15" x14ac:dyDescent="0.3">
      <c r="O835" s="39" t="str">
        <f ca="1"/>
        <v xml:space="preserve">        MAKEARRAY(1, _ccS + _cc2, LAMBDA(_r,_c, NA())),</v>
      </c>
    </row>
    <row r="836" spans="15:15" x14ac:dyDescent="0.3">
      <c r="O836" s="39" t="str">
        <f ca="1"/>
        <v xml:space="preserve">        _arrL</v>
      </c>
    </row>
    <row r="837" spans="15:15" x14ac:dyDescent="0.3">
      <c r="O837" s="39" t="str">
        <f ca="1"/>
        <v xml:space="preserve">      ),</v>
      </c>
    </row>
    <row r="838" spans="15:15" x14ac:dyDescent="0.3">
      <c r="O838" s="39" t="str">
        <f ca="1"/>
        <v xml:space="preserve">      IF( INDEX(_arrR, 1, _ccS + 1) = "#[Empty]",</v>
      </c>
    </row>
    <row r="839" spans="15:15" x14ac:dyDescent="0.3">
      <c r="O839" s="39" t="str">
        <f ca="1"/>
        <v xml:space="preserve">        _arrL,</v>
      </c>
    </row>
    <row r="840" spans="15:15" x14ac:dyDescent="0.3">
      <c r="O840" s="39" t="str">
        <f ca="1"/>
        <v xml:space="preserve">        VSTACK(_arrL, _arrR)</v>
      </c>
    </row>
    <row r="841" spans="15:15" x14ac:dyDescent="0.3">
      <c r="O841" s="39" t="str">
        <f ca="1"/>
        <v xml:space="preserve">      )</v>
      </c>
    </row>
    <row r="842" spans="15:15" x14ac:dyDescent="0.3">
      <c r="O842" s="39" t="str">
        <f ca="1"/>
        <v xml:space="preserve">    ),</v>
      </c>
    </row>
    <row r="843" spans="15:15" x14ac:dyDescent="0.3">
      <c r="O843" s="39" t="str">
        <f ca="1"/>
        <v xml:space="preserve">    _rtn, LET(</v>
      </c>
    </row>
    <row r="844" spans="15:15" x14ac:dyDescent="0.3">
      <c r="O844" s="39" t="str">
        <f ca="1"/>
        <v xml:space="preserve">      _arrS, IF(_srt &lt;&gt; 0,</v>
      </c>
    </row>
    <row r="845" spans="15:15" x14ac:dyDescent="0.3">
      <c r="O845" s="39" t="str">
        <f ca="1"/>
        <v xml:space="preserve">        DROP( SORTBY(_calc, CHOOSECOLS(_calc, 1), _srt), 0, 1),</v>
      </c>
    </row>
    <row r="846" spans="15:15" x14ac:dyDescent="0.3">
      <c r="O846" s="39" t="str">
        <f ca="1"/>
        <v xml:space="preserve">        _calc</v>
      </c>
    </row>
    <row r="847" spans="15:15" x14ac:dyDescent="0.3">
      <c r="O847" s="39" t="str">
        <f ca="1"/>
        <v xml:space="preserve">      ),</v>
      </c>
    </row>
    <row r="848" spans="15:15" x14ac:dyDescent="0.3">
      <c r="O848" s="39" t="str">
        <f ca="1"/>
        <v xml:space="preserve">      _aRep, IF( ISNA(_rep),</v>
      </c>
    </row>
    <row r="849" spans="2:15" x14ac:dyDescent="0.3">
      <c r="O849" s="39" t="str">
        <f ca="1"/>
        <v xml:space="preserve">        _arrS,</v>
      </c>
    </row>
    <row r="850" spans="2:15" x14ac:dyDescent="0.3">
      <c r="O850" s="39" t="str">
        <f ca="1"/>
        <v xml:space="preserve">        IF( ISNA(_arrS), _rep, _arrS)</v>
      </c>
    </row>
    <row r="851" spans="2:15" x14ac:dyDescent="0.3">
      <c r="O851" s="39" t="str">
        <f ca="1"/>
        <v xml:space="preserve">      ),</v>
      </c>
    </row>
    <row r="852" spans="2:15" x14ac:dyDescent="0.3">
      <c r="O852" s="39" t="str">
        <f ca="1"/>
        <v xml:space="preserve">      _aRep</v>
      </c>
    </row>
    <row r="853" spans="2:15" x14ac:dyDescent="0.3">
      <c r="O853" s="39" t="str">
        <f ca="1"/>
        <v xml:space="preserve">    ),</v>
      </c>
    </row>
    <row r="854" spans="2:15" x14ac:dyDescent="0.3">
      <c r="O854" s="39" t="str">
        <f ca="1"/>
        <v xml:space="preserve">    CHOOSE(_inpChk, _rtn, LAMBDA(0), #VALUE!)</v>
      </c>
    </row>
    <row r="855" spans="2:15" x14ac:dyDescent="0.3">
      <c r="O855" s="39" t="str">
        <f ca="1"/>
        <v xml:space="preserve">  )</v>
      </c>
    </row>
    <row r="856" spans="2:15" x14ac:dyDescent="0.3">
      <c r="O856" s="39" t="str">
        <f ca="1"/>
        <v>)($K$12:$N$21, $P$12:$S$21, H752#, H753#, H756, H754#, H755#, H757, H758)</v>
      </c>
    </row>
    <row r="858" spans="2:15" s="4" customFormat="1" ht="16.2" thickBot="1" x14ac:dyDescent="0.35">
      <c r="B858" s="5">
        <f xml:space="preserve"> MAX(B$1:B857) + 1</f>
        <v>2</v>
      </c>
      <c r="C858" s="4" t="s">
        <v>8</v>
      </c>
    </row>
    <row r="860" spans="2:15" x14ac:dyDescent="0.3">
      <c r="B860" s="2" t="s">
        <v>12</v>
      </c>
    </row>
    <row r="861" spans="2:15" x14ac:dyDescent="0.3">
      <c r="C861" t="s">
        <v>349</v>
      </c>
    </row>
    <row r="862" spans="2:15" x14ac:dyDescent="0.3">
      <c r="C862" t="s">
        <v>350</v>
      </c>
    </row>
    <row r="865" spans="2:11" x14ac:dyDescent="0.3">
      <c r="B865" s="2" t="s">
        <v>13</v>
      </c>
    </row>
    <row r="866" spans="2:11" x14ac:dyDescent="0.3">
      <c r="C866" s="17" t="s">
        <v>17</v>
      </c>
      <c r="F866" s="18" t="s">
        <v>18</v>
      </c>
      <c r="G866" t="s">
        <v>207</v>
      </c>
    </row>
    <row r="867" spans="2:11" x14ac:dyDescent="0.3">
      <c r="C867" s="17" t="s">
        <v>16</v>
      </c>
      <c r="F867" s="18" t="s">
        <v>18</v>
      </c>
      <c r="G867" t="s">
        <v>208</v>
      </c>
    </row>
    <row r="868" spans="2:11" x14ac:dyDescent="0.3">
      <c r="C868" s="17" t="s">
        <v>189</v>
      </c>
      <c r="F868" s="18" t="s">
        <v>18</v>
      </c>
      <c r="G868" t="s">
        <v>358</v>
      </c>
    </row>
    <row r="869" spans="2:11" x14ac:dyDescent="0.3">
      <c r="C869" s="17" t="s">
        <v>188</v>
      </c>
      <c r="F869" s="18" t="s">
        <v>18</v>
      </c>
      <c r="G869" t="s">
        <v>359</v>
      </c>
    </row>
    <row r="870" spans="2:11" x14ac:dyDescent="0.3">
      <c r="C870" s="17" t="s">
        <v>158</v>
      </c>
      <c r="F870" s="55" t="s">
        <v>187</v>
      </c>
      <c r="G870" t="s">
        <v>190</v>
      </c>
    </row>
    <row r="871" spans="2:11" x14ac:dyDescent="0.3">
      <c r="G871" t="s">
        <v>216</v>
      </c>
    </row>
    <row r="872" spans="2:11" x14ac:dyDescent="0.3">
      <c r="G872" s="57">
        <v>0</v>
      </c>
      <c r="H872" s="57" t="s">
        <v>191</v>
      </c>
      <c r="I872" s="56" t="s">
        <v>195</v>
      </c>
      <c r="K872" s="56" t="s">
        <v>199</v>
      </c>
    </row>
    <row r="873" spans="2:11" x14ac:dyDescent="0.3">
      <c r="G873" s="57">
        <v>1</v>
      </c>
      <c r="H873" s="57" t="s">
        <v>192</v>
      </c>
      <c r="I873" s="56" t="s">
        <v>196</v>
      </c>
      <c r="K873" s="56" t="s">
        <v>200</v>
      </c>
    </row>
    <row r="874" spans="2:11" x14ac:dyDescent="0.3">
      <c r="G874" s="57">
        <v>2</v>
      </c>
      <c r="H874" s="57" t="s">
        <v>193</v>
      </c>
      <c r="I874" s="56" t="s">
        <v>197</v>
      </c>
      <c r="K874" s="56" t="s">
        <v>201</v>
      </c>
    </row>
    <row r="875" spans="2:11" x14ac:dyDescent="0.3">
      <c r="G875" s="57">
        <v>3</v>
      </c>
      <c r="H875" s="57" t="s">
        <v>194</v>
      </c>
      <c r="I875" s="56" t="s">
        <v>198</v>
      </c>
      <c r="K875" s="56" t="s">
        <v>202</v>
      </c>
    </row>
    <row r="876" spans="2:11" x14ac:dyDescent="0.3">
      <c r="G876" t="s">
        <v>203</v>
      </c>
    </row>
    <row r="877" spans="2:11" x14ac:dyDescent="0.3">
      <c r="C877" s="17" t="s">
        <v>167</v>
      </c>
      <c r="F877" s="55" t="s">
        <v>187</v>
      </c>
      <c r="G877" t="s">
        <v>204</v>
      </c>
    </row>
    <row r="878" spans="2:11" x14ac:dyDescent="0.3">
      <c r="G878" t="s">
        <v>206</v>
      </c>
    </row>
    <row r="879" spans="2:11" x14ac:dyDescent="0.3">
      <c r="G879" t="s">
        <v>209</v>
      </c>
    </row>
    <row r="880" spans="2:11" x14ac:dyDescent="0.3">
      <c r="C880" s="17" t="s">
        <v>184</v>
      </c>
      <c r="F880" s="55" t="s">
        <v>187</v>
      </c>
      <c r="G880" t="s">
        <v>205</v>
      </c>
    </row>
    <row r="881" spans="3:8" x14ac:dyDescent="0.3">
      <c r="G881" t="s">
        <v>206</v>
      </c>
    </row>
    <row r="882" spans="3:8" x14ac:dyDescent="0.3">
      <c r="G882" t="s">
        <v>210</v>
      </c>
    </row>
    <row r="883" spans="3:8" x14ac:dyDescent="0.3">
      <c r="C883" s="17" t="s">
        <v>185</v>
      </c>
      <c r="F883" s="55" t="s">
        <v>187</v>
      </c>
      <c r="G883" t="s">
        <v>211</v>
      </c>
    </row>
    <row r="884" spans="3:8" x14ac:dyDescent="0.3">
      <c r="G884" t="s">
        <v>217</v>
      </c>
    </row>
    <row r="885" spans="3:8" x14ac:dyDescent="0.3">
      <c r="G885" s="57">
        <v>0</v>
      </c>
      <c r="H885" s="56" t="s">
        <v>213</v>
      </c>
    </row>
    <row r="886" spans="3:8" x14ac:dyDescent="0.3">
      <c r="G886" s="57">
        <v>1</v>
      </c>
      <c r="H886" s="56" t="s">
        <v>214</v>
      </c>
    </row>
    <row r="887" spans="3:8" x14ac:dyDescent="0.3">
      <c r="G887" s="57">
        <v>-1</v>
      </c>
      <c r="H887" s="56" t="s">
        <v>215</v>
      </c>
    </row>
    <row r="888" spans="3:8" x14ac:dyDescent="0.3">
      <c r="G888" s="58" t="b">
        <v>1</v>
      </c>
      <c r="H888" s="56" t="s">
        <v>214</v>
      </c>
    </row>
    <row r="889" spans="3:8" x14ac:dyDescent="0.3">
      <c r="G889" s="58" t="b">
        <v>0</v>
      </c>
      <c r="H889" s="56" t="s">
        <v>213</v>
      </c>
    </row>
    <row r="890" spans="3:8" x14ac:dyDescent="0.3">
      <c r="G890" t="s">
        <v>212</v>
      </c>
    </row>
    <row r="891" spans="3:8" x14ac:dyDescent="0.3">
      <c r="C891" s="17" t="s">
        <v>186</v>
      </c>
      <c r="F891" s="55" t="s">
        <v>187</v>
      </c>
      <c r="G891" t="s">
        <v>220</v>
      </c>
    </row>
    <row r="892" spans="3:8" x14ac:dyDescent="0.3">
      <c r="G892" t="s">
        <v>218</v>
      </c>
    </row>
    <row r="893" spans="3:8" x14ac:dyDescent="0.3">
      <c r="G893" s="58" t="b">
        <v>0</v>
      </c>
      <c r="H893" s="56" t="s">
        <v>221</v>
      </c>
    </row>
    <row r="894" spans="3:8" x14ac:dyDescent="0.3">
      <c r="G894" s="58" t="b">
        <v>1</v>
      </c>
      <c r="H894" s="56" t="s">
        <v>222</v>
      </c>
    </row>
    <row r="895" spans="3:8" x14ac:dyDescent="0.3">
      <c r="G895" s="58" t="s">
        <v>219</v>
      </c>
      <c r="H895" s="56" t="s">
        <v>223</v>
      </c>
    </row>
    <row r="896" spans="3:8" x14ac:dyDescent="0.3">
      <c r="G896" t="s">
        <v>327</v>
      </c>
    </row>
    <row r="898" spans="2:5" x14ac:dyDescent="0.3">
      <c r="B898" s="2" t="s">
        <v>14</v>
      </c>
    </row>
    <row r="899" spans="2:5" x14ac:dyDescent="0.3">
      <c r="C899" s="19" t="e">
        <v>#VALUE!</v>
      </c>
      <c r="E899" t="s">
        <v>224</v>
      </c>
    </row>
    <row r="900" spans="2:5" x14ac:dyDescent="0.3">
      <c r="C900" s="19" t="e" vm="1">
        <v>#VALUE!</v>
      </c>
      <c r="E900" t="s">
        <v>356</v>
      </c>
    </row>
    <row r="901" spans="2:5" x14ac:dyDescent="0.3">
      <c r="E901" s="67" t="s">
        <v>225</v>
      </c>
    </row>
    <row r="902" spans="2:5" x14ac:dyDescent="0.3">
      <c r="C902" s="19" t="e" vm="1">
        <v>#VALUE!</v>
      </c>
      <c r="E902" t="s">
        <v>357</v>
      </c>
    </row>
    <row r="903" spans="2:5" x14ac:dyDescent="0.3">
      <c r="E903" s="67" t="s">
        <v>225</v>
      </c>
    </row>
    <row r="904" spans="2:5" x14ac:dyDescent="0.3">
      <c r="C904" s="19" t="e">
        <v>#VALUE!</v>
      </c>
      <c r="E904" t="s">
        <v>226</v>
      </c>
    </row>
    <row r="905" spans="2:5" x14ac:dyDescent="0.3">
      <c r="E905" s="67" t="s">
        <v>227</v>
      </c>
    </row>
    <row r="907" spans="2:5" x14ac:dyDescent="0.3">
      <c r="B907" s="2" t="s">
        <v>19</v>
      </c>
    </row>
    <row r="908" spans="2:5" x14ac:dyDescent="0.3">
      <c r="C908" t="s">
        <v>328</v>
      </c>
    </row>
    <row r="909" spans="2:5" x14ac:dyDescent="0.3">
      <c r="C909" t="s">
        <v>329</v>
      </c>
    </row>
    <row r="910" spans="2:5" x14ac:dyDescent="0.3">
      <c r="C910" t="s">
        <v>371</v>
      </c>
    </row>
    <row r="911" spans="2:5" x14ac:dyDescent="0.3">
      <c r="C911" t="s">
        <v>372</v>
      </c>
    </row>
    <row r="912" spans="2:5" x14ac:dyDescent="0.3">
      <c r="C912" t="s">
        <v>373</v>
      </c>
    </row>
    <row r="913" spans="2:3" x14ac:dyDescent="0.3">
      <c r="C913" t="s">
        <v>370</v>
      </c>
    </row>
    <row r="914" spans="2:3" x14ac:dyDescent="0.3">
      <c r="C914" t="s">
        <v>229</v>
      </c>
    </row>
    <row r="915" spans="2:3" x14ac:dyDescent="0.3">
      <c r="C915" t="s">
        <v>228</v>
      </c>
    </row>
    <row r="916" spans="2:3" x14ac:dyDescent="0.3">
      <c r="C916" t="s">
        <v>369</v>
      </c>
    </row>
    <row r="918" spans="2:3" x14ac:dyDescent="0.3">
      <c r="B918" s="2" t="s">
        <v>15</v>
      </c>
    </row>
    <row r="919" spans="2:3" x14ac:dyDescent="0.3">
      <c r="C919" s="20" t="s">
        <v>21</v>
      </c>
    </row>
    <row r="920" spans="2:3" x14ac:dyDescent="0.3">
      <c r="C920" s="59" t="s">
        <v>301</v>
      </c>
    </row>
    <row r="921" spans="2:3" x14ac:dyDescent="0.3">
      <c r="C921" s="60" t="s">
        <v>300</v>
      </c>
    </row>
    <row r="922" spans="2:3" x14ac:dyDescent="0.3">
      <c r="C922" s="60" t="s">
        <v>299</v>
      </c>
    </row>
    <row r="923" spans="2:3" x14ac:dyDescent="0.3">
      <c r="C923" s="60" t="s">
        <v>362</v>
      </c>
    </row>
    <row r="924" spans="2:3" x14ac:dyDescent="0.3">
      <c r="C924" s="60" t="s">
        <v>363</v>
      </c>
    </row>
    <row r="925" spans="2:3" x14ac:dyDescent="0.3">
      <c r="C925" s="60" t="s">
        <v>298</v>
      </c>
    </row>
    <row r="926" spans="2:3" x14ac:dyDescent="0.3">
      <c r="C926" s="60" t="s">
        <v>297</v>
      </c>
    </row>
    <row r="927" spans="2:3" x14ac:dyDescent="0.3">
      <c r="C927" s="60" t="s">
        <v>296</v>
      </c>
    </row>
    <row r="928" spans="2:3" x14ac:dyDescent="0.3">
      <c r="C928" s="60" t="s">
        <v>295</v>
      </c>
    </row>
    <row r="929" spans="3:3" x14ac:dyDescent="0.3">
      <c r="C929" s="60" t="s">
        <v>294</v>
      </c>
    </row>
    <row r="930" spans="3:3" x14ac:dyDescent="0.3">
      <c r="C930" s="59" t="s">
        <v>302</v>
      </c>
    </row>
    <row r="931" spans="3:3" x14ac:dyDescent="0.3">
      <c r="C931" s="22" t="s">
        <v>230</v>
      </c>
    </row>
    <row r="932" spans="3:3" x14ac:dyDescent="0.3">
      <c r="C932" s="61" t="s">
        <v>231</v>
      </c>
    </row>
    <row r="933" spans="3:3" x14ac:dyDescent="0.3">
      <c r="C933" s="61" t="s">
        <v>232</v>
      </c>
    </row>
    <row r="934" spans="3:3" x14ac:dyDescent="0.3">
      <c r="C934" s="61" t="s">
        <v>364</v>
      </c>
    </row>
    <row r="935" spans="3:3" x14ac:dyDescent="0.3">
      <c r="C935" s="61" t="s">
        <v>365</v>
      </c>
    </row>
    <row r="936" spans="3:3" x14ac:dyDescent="0.3">
      <c r="C936" s="64" t="s">
        <v>303</v>
      </c>
    </row>
    <row r="937" spans="3:3" x14ac:dyDescent="0.3">
      <c r="C937" s="61" t="s">
        <v>233</v>
      </c>
    </row>
    <row r="938" spans="3:3" x14ac:dyDescent="0.3">
      <c r="C938" s="62" t="s">
        <v>234</v>
      </c>
    </row>
    <row r="939" spans="3:3" x14ac:dyDescent="0.3">
      <c r="C939" s="61" t="s">
        <v>235</v>
      </c>
    </row>
    <row r="940" spans="3:3" x14ac:dyDescent="0.3">
      <c r="C940" s="62" t="s">
        <v>236</v>
      </c>
    </row>
    <row r="941" spans="3:3" x14ac:dyDescent="0.3">
      <c r="C941" s="61" t="s">
        <v>237</v>
      </c>
    </row>
    <row r="942" spans="3:3" x14ac:dyDescent="0.3">
      <c r="C942" s="61" t="s">
        <v>238</v>
      </c>
    </row>
    <row r="943" spans="3:3" x14ac:dyDescent="0.3">
      <c r="C943" s="62" t="s">
        <v>239</v>
      </c>
    </row>
    <row r="944" spans="3:3" x14ac:dyDescent="0.3">
      <c r="C944" s="61" t="s">
        <v>240</v>
      </c>
    </row>
    <row r="945" spans="3:3" x14ac:dyDescent="0.3">
      <c r="C945" s="61" t="s">
        <v>241</v>
      </c>
    </row>
    <row r="946" spans="3:3" x14ac:dyDescent="0.3">
      <c r="C946" s="62" t="s">
        <v>242</v>
      </c>
    </row>
    <row r="947" spans="3:3" x14ac:dyDescent="0.3">
      <c r="C947" s="61" t="s">
        <v>243</v>
      </c>
    </row>
    <row r="948" spans="3:3" x14ac:dyDescent="0.3">
      <c r="C948" s="61" t="s">
        <v>244</v>
      </c>
    </row>
    <row r="949" spans="3:3" x14ac:dyDescent="0.3">
      <c r="C949" s="62" t="s">
        <v>245</v>
      </c>
    </row>
    <row r="950" spans="3:3" x14ac:dyDescent="0.3">
      <c r="C950" s="62" t="s">
        <v>246</v>
      </c>
    </row>
    <row r="951" spans="3:3" x14ac:dyDescent="0.3">
      <c r="C951" s="61" t="s">
        <v>240</v>
      </c>
    </row>
    <row r="952" spans="3:3" x14ac:dyDescent="0.3">
      <c r="C952" s="64" t="s">
        <v>304</v>
      </c>
    </row>
    <row r="953" spans="3:3" x14ac:dyDescent="0.3">
      <c r="C953" s="61" t="s">
        <v>247</v>
      </c>
    </row>
    <row r="954" spans="3:3" x14ac:dyDescent="0.3">
      <c r="C954" s="62" t="s">
        <v>248</v>
      </c>
    </row>
    <row r="955" spans="3:3" x14ac:dyDescent="0.3">
      <c r="C955" s="63" t="s">
        <v>253</v>
      </c>
    </row>
    <row r="956" spans="3:3" x14ac:dyDescent="0.3">
      <c r="C956" s="63" t="s">
        <v>354</v>
      </c>
    </row>
    <row r="957" spans="3:3" x14ac:dyDescent="0.3">
      <c r="C957" s="63" t="s">
        <v>355</v>
      </c>
    </row>
    <row r="958" spans="3:3" x14ac:dyDescent="0.3">
      <c r="C958" s="63" t="s">
        <v>366</v>
      </c>
    </row>
    <row r="959" spans="3:3" x14ac:dyDescent="0.3">
      <c r="C959" s="63" t="s">
        <v>249</v>
      </c>
    </row>
    <row r="960" spans="3:3" x14ac:dyDescent="0.3">
      <c r="C960" s="63" t="s">
        <v>250</v>
      </c>
    </row>
    <row r="961" spans="3:3" x14ac:dyDescent="0.3">
      <c r="C961" s="62" t="s">
        <v>251</v>
      </c>
    </row>
    <row r="962" spans="3:3" x14ac:dyDescent="0.3">
      <c r="C962" s="62" t="s">
        <v>252</v>
      </c>
    </row>
    <row r="963" spans="3:3" x14ac:dyDescent="0.3">
      <c r="C963" s="63" t="s">
        <v>254</v>
      </c>
    </row>
    <row r="964" spans="3:3" x14ac:dyDescent="0.3">
      <c r="C964" s="63" t="s">
        <v>255</v>
      </c>
    </row>
    <row r="965" spans="3:3" x14ac:dyDescent="0.3">
      <c r="C965" s="62" t="s">
        <v>256</v>
      </c>
    </row>
    <row r="966" spans="3:3" x14ac:dyDescent="0.3">
      <c r="C966" s="62" t="s">
        <v>257</v>
      </c>
    </row>
    <row r="967" spans="3:3" x14ac:dyDescent="0.3">
      <c r="C967" s="61" t="s">
        <v>240</v>
      </c>
    </row>
    <row r="968" spans="3:3" x14ac:dyDescent="0.3">
      <c r="C968" s="64" t="s">
        <v>310</v>
      </c>
    </row>
    <row r="969" spans="3:3" x14ac:dyDescent="0.3">
      <c r="C969" s="61" t="s">
        <v>367</v>
      </c>
    </row>
    <row r="970" spans="3:3" x14ac:dyDescent="0.3">
      <c r="C970" s="61" t="s">
        <v>368</v>
      </c>
    </row>
    <row r="971" spans="3:3" x14ac:dyDescent="0.3">
      <c r="C971" s="61" t="s">
        <v>258</v>
      </c>
    </row>
    <row r="972" spans="3:3" x14ac:dyDescent="0.3">
      <c r="C972" s="61" t="s">
        <v>259</v>
      </c>
    </row>
    <row r="973" spans="3:3" x14ac:dyDescent="0.3">
      <c r="C973" s="64" t="s">
        <v>311</v>
      </c>
    </row>
    <row r="974" spans="3:3" x14ac:dyDescent="0.3">
      <c r="C974" s="61" t="s">
        <v>260</v>
      </c>
    </row>
    <row r="975" spans="3:3" x14ac:dyDescent="0.3">
      <c r="C975" s="61" t="s">
        <v>261</v>
      </c>
    </row>
    <row r="976" spans="3:3" x14ac:dyDescent="0.3">
      <c r="C976" s="61" t="s">
        <v>262</v>
      </c>
    </row>
    <row r="977" spans="3:3" x14ac:dyDescent="0.3">
      <c r="C977" s="64" t="s">
        <v>312</v>
      </c>
    </row>
    <row r="978" spans="3:3" x14ac:dyDescent="0.3">
      <c r="C978" s="64" t="s">
        <v>313</v>
      </c>
    </row>
    <row r="979" spans="3:3" x14ac:dyDescent="0.3">
      <c r="C979" s="64" t="s">
        <v>315</v>
      </c>
    </row>
    <row r="980" spans="3:3" x14ac:dyDescent="0.3">
      <c r="C980" s="64" t="s">
        <v>314</v>
      </c>
    </row>
    <row r="981" spans="3:3" x14ac:dyDescent="0.3">
      <c r="C981" s="61" t="s">
        <v>263</v>
      </c>
    </row>
    <row r="982" spans="3:3" x14ac:dyDescent="0.3">
      <c r="C982" s="61" t="s">
        <v>264</v>
      </c>
    </row>
    <row r="983" spans="3:3" x14ac:dyDescent="0.3">
      <c r="C983" s="61" t="s">
        <v>265</v>
      </c>
    </row>
    <row r="984" spans="3:3" x14ac:dyDescent="0.3">
      <c r="C984" s="64" t="s">
        <v>316</v>
      </c>
    </row>
    <row r="985" spans="3:3" x14ac:dyDescent="0.3">
      <c r="C985" s="64" t="s">
        <v>317</v>
      </c>
    </row>
    <row r="986" spans="3:3" x14ac:dyDescent="0.3">
      <c r="C986" s="61" t="s">
        <v>266</v>
      </c>
    </row>
    <row r="987" spans="3:3" x14ac:dyDescent="0.3">
      <c r="C987" s="62" t="s">
        <v>267</v>
      </c>
    </row>
    <row r="988" spans="3:3" x14ac:dyDescent="0.3">
      <c r="C988" s="62" t="s">
        <v>268</v>
      </c>
    </row>
    <row r="989" spans="3:3" x14ac:dyDescent="0.3">
      <c r="C989" s="62" t="s">
        <v>269</v>
      </c>
    </row>
    <row r="990" spans="3:3" x14ac:dyDescent="0.3">
      <c r="C990" s="62" t="s">
        <v>270</v>
      </c>
    </row>
    <row r="991" spans="3:3" x14ac:dyDescent="0.3">
      <c r="C991" s="62" t="s">
        <v>271</v>
      </c>
    </row>
    <row r="992" spans="3:3" x14ac:dyDescent="0.3">
      <c r="C992" s="63" t="s">
        <v>272</v>
      </c>
    </row>
    <row r="993" spans="3:3" x14ac:dyDescent="0.3">
      <c r="C993" s="63" t="s">
        <v>273</v>
      </c>
    </row>
    <row r="994" spans="3:3" x14ac:dyDescent="0.3">
      <c r="C994" s="62" t="s">
        <v>20</v>
      </c>
    </row>
    <row r="995" spans="3:3" x14ac:dyDescent="0.3">
      <c r="C995" s="61" t="s">
        <v>240</v>
      </c>
    </row>
    <row r="996" spans="3:3" x14ac:dyDescent="0.3">
      <c r="C996" s="64" t="s">
        <v>318</v>
      </c>
    </row>
    <row r="997" spans="3:3" x14ac:dyDescent="0.3">
      <c r="C997" s="64" t="s">
        <v>319</v>
      </c>
    </row>
    <row r="998" spans="3:3" x14ac:dyDescent="0.3">
      <c r="C998" s="61" t="s">
        <v>274</v>
      </c>
    </row>
    <row r="999" spans="3:3" x14ac:dyDescent="0.3">
      <c r="C999" s="62" t="s">
        <v>275</v>
      </c>
    </row>
    <row r="1000" spans="3:3" x14ac:dyDescent="0.3">
      <c r="C1000" s="62" t="s">
        <v>276</v>
      </c>
    </row>
    <row r="1001" spans="3:3" x14ac:dyDescent="0.3">
      <c r="C1001" s="61" t="s">
        <v>240</v>
      </c>
    </row>
    <row r="1002" spans="3:3" x14ac:dyDescent="0.3">
      <c r="C1002" s="64" t="s">
        <v>320</v>
      </c>
    </row>
    <row r="1003" spans="3:3" x14ac:dyDescent="0.3">
      <c r="C1003" s="61" t="s">
        <v>277</v>
      </c>
    </row>
    <row r="1004" spans="3:3" x14ac:dyDescent="0.3">
      <c r="C1004" s="62" t="s">
        <v>278</v>
      </c>
    </row>
    <row r="1005" spans="3:3" x14ac:dyDescent="0.3">
      <c r="C1005" s="62" t="s">
        <v>279</v>
      </c>
    </row>
    <row r="1006" spans="3:3" x14ac:dyDescent="0.3">
      <c r="C1006" s="61" t="s">
        <v>240</v>
      </c>
    </row>
    <row r="1007" spans="3:3" x14ac:dyDescent="0.3">
      <c r="C1007" s="64" t="s">
        <v>321</v>
      </c>
    </row>
    <row r="1008" spans="3:3" x14ac:dyDescent="0.3">
      <c r="C1008" s="64" t="s">
        <v>322</v>
      </c>
    </row>
    <row r="1009" spans="3:3" x14ac:dyDescent="0.3">
      <c r="C1009" s="64" t="s">
        <v>323</v>
      </c>
    </row>
    <row r="1010" spans="3:3" x14ac:dyDescent="0.3">
      <c r="C1010" s="61" t="s">
        <v>280</v>
      </c>
    </row>
    <row r="1011" spans="3:3" x14ac:dyDescent="0.3">
      <c r="C1011" s="62" t="s">
        <v>281</v>
      </c>
    </row>
    <row r="1012" spans="3:3" x14ac:dyDescent="0.3">
      <c r="C1012" s="62" t="s">
        <v>282</v>
      </c>
    </row>
    <row r="1013" spans="3:3" x14ac:dyDescent="0.3">
      <c r="C1013" s="63" t="s">
        <v>283</v>
      </c>
    </row>
    <row r="1014" spans="3:3" x14ac:dyDescent="0.3">
      <c r="C1014" s="63" t="s">
        <v>284</v>
      </c>
    </row>
    <row r="1015" spans="3:3" x14ac:dyDescent="0.3">
      <c r="C1015" s="65" t="s">
        <v>281</v>
      </c>
    </row>
    <row r="1016" spans="3:3" x14ac:dyDescent="0.3">
      <c r="C1016" s="65" t="s">
        <v>285</v>
      </c>
    </row>
    <row r="1017" spans="3:3" x14ac:dyDescent="0.3">
      <c r="C1017" s="63" t="s">
        <v>20</v>
      </c>
    </row>
    <row r="1018" spans="3:3" x14ac:dyDescent="0.3">
      <c r="C1018" s="62" t="s">
        <v>240</v>
      </c>
    </row>
    <row r="1019" spans="3:3" x14ac:dyDescent="0.3">
      <c r="C1019" s="62" t="s">
        <v>282</v>
      </c>
    </row>
    <row r="1020" spans="3:3" x14ac:dyDescent="0.3">
      <c r="C1020" s="63" t="s">
        <v>286</v>
      </c>
    </row>
    <row r="1021" spans="3:3" x14ac:dyDescent="0.3">
      <c r="C1021" s="63" t="s">
        <v>287</v>
      </c>
    </row>
    <row r="1022" spans="3:3" x14ac:dyDescent="0.3">
      <c r="C1022" s="62" t="s">
        <v>240</v>
      </c>
    </row>
    <row r="1023" spans="3:3" x14ac:dyDescent="0.3">
      <c r="C1023" s="62" t="s">
        <v>284</v>
      </c>
    </row>
    <row r="1024" spans="3:3" x14ac:dyDescent="0.3">
      <c r="C1024" s="63" t="s">
        <v>281</v>
      </c>
    </row>
    <row r="1025" spans="3:3" x14ac:dyDescent="0.3">
      <c r="C1025" s="63" t="s">
        <v>285</v>
      </c>
    </row>
    <row r="1026" spans="3:3" x14ac:dyDescent="0.3">
      <c r="C1026" s="62" t="s">
        <v>20</v>
      </c>
    </row>
    <row r="1027" spans="3:3" x14ac:dyDescent="0.3">
      <c r="C1027" s="61" t="s">
        <v>240</v>
      </c>
    </row>
    <row r="1028" spans="3:3" x14ac:dyDescent="0.3">
      <c r="C1028" s="61" t="s">
        <v>288</v>
      </c>
    </row>
    <row r="1029" spans="3:3" x14ac:dyDescent="0.3">
      <c r="C1029" s="66" t="s">
        <v>325</v>
      </c>
    </row>
    <row r="1030" spans="3:3" x14ac:dyDescent="0.3">
      <c r="C1030" s="62" t="s">
        <v>289</v>
      </c>
    </row>
    <row r="1031" spans="3:3" x14ac:dyDescent="0.3">
      <c r="C1031" s="63" t="s">
        <v>290</v>
      </c>
    </row>
    <row r="1032" spans="3:3" x14ac:dyDescent="0.3">
      <c r="C1032" s="63" t="s">
        <v>291</v>
      </c>
    </row>
    <row r="1033" spans="3:3" x14ac:dyDescent="0.3">
      <c r="C1033" s="62" t="s">
        <v>240</v>
      </c>
    </row>
    <row r="1034" spans="3:3" x14ac:dyDescent="0.3">
      <c r="C1034" s="66" t="s">
        <v>324</v>
      </c>
    </row>
    <row r="1035" spans="3:3" x14ac:dyDescent="0.3">
      <c r="C1035" s="62" t="s">
        <v>306</v>
      </c>
    </row>
    <row r="1036" spans="3:3" x14ac:dyDescent="0.3">
      <c r="C1036" s="63" t="s">
        <v>292</v>
      </c>
    </row>
    <row r="1037" spans="3:3" x14ac:dyDescent="0.3">
      <c r="C1037" s="63" t="s">
        <v>293</v>
      </c>
    </row>
    <row r="1038" spans="3:3" x14ac:dyDescent="0.3">
      <c r="C1038" s="62" t="s">
        <v>240</v>
      </c>
    </row>
    <row r="1039" spans="3:3" x14ac:dyDescent="0.3">
      <c r="C1039" s="62" t="s">
        <v>307</v>
      </c>
    </row>
    <row r="1040" spans="3:3" x14ac:dyDescent="0.3">
      <c r="C1040" s="61" t="s">
        <v>240</v>
      </c>
    </row>
    <row r="1041" spans="2:3" x14ac:dyDescent="0.3">
      <c r="C1041" s="64" t="s">
        <v>326</v>
      </c>
    </row>
    <row r="1042" spans="2:3" x14ac:dyDescent="0.3">
      <c r="C1042" s="61" t="s">
        <v>305</v>
      </c>
    </row>
    <row r="1043" spans="2:3" x14ac:dyDescent="0.3">
      <c r="C1043" s="22" t="s">
        <v>20</v>
      </c>
    </row>
    <row r="1044" spans="2:3" x14ac:dyDescent="0.3">
      <c r="C1044" s="21" t="s">
        <v>20</v>
      </c>
    </row>
    <row r="1046" spans="2:3" x14ac:dyDescent="0.3">
      <c r="C1046" s="2" t="s">
        <v>22</v>
      </c>
    </row>
    <row r="1047" spans="2:3" x14ac:dyDescent="0.3">
      <c r="C1047" s="20" t="s">
        <v>308</v>
      </c>
    </row>
    <row r="1049" spans="2:3" ht="14.4" thickBot="1" x14ac:dyDescent="0.35"/>
    <row r="1050" spans="2:3" s="14" customFormat="1" x14ac:dyDescent="0.3">
      <c r="B1050" s="14" t="s">
        <v>6</v>
      </c>
    </row>
  </sheetData>
  <conditionalFormatting sqref="C409:C410">
    <cfRule type="duplicateValues" dxfId="20" priority="3"/>
  </conditionalFormatting>
  <conditionalFormatting sqref="C500:C501">
    <cfRule type="duplicateValues" dxfId="19" priority="2"/>
  </conditionalFormatting>
  <conditionalFormatting sqref="C644:C645">
    <cfRule type="duplicateValues" dxfId="18" priority="1"/>
  </conditionalFormatting>
  <conditionalFormatting sqref="G306:N325 G355:N374 G417:N436 G509:N528 G653:N672 G761:N780">
    <cfRule type="expression" dxfId="17" priority="4">
      <formula>ISNA(G306)</formula>
    </cfRule>
  </conditionalFormatting>
  <conditionalFormatting sqref="I38:K45 I61:K68 G84:L91 G137:N148 G176:N183 G227:N238 G281:N300">
    <cfRule type="expression" dxfId="16" priority="5">
      <formula>ISNA(G38)</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098F8-B6BA-4BB2-993B-49A3C369AB06}">
  <sheetPr codeName="Sheet2"/>
  <dimension ref="B1:T322"/>
  <sheetViews>
    <sheetView showGridLines="0" tabSelected="1" workbookViewId="0">
      <pane ySplit="1" topLeftCell="A2" activePane="bottomLeft" state="frozen"/>
      <selection pane="bottomLeft"/>
    </sheetView>
  </sheetViews>
  <sheetFormatPr defaultRowHeight="13.8" x14ac:dyDescent="0.3"/>
  <cols>
    <col min="1" max="3" width="4.33203125" customWidth="1"/>
    <col min="4" max="4" width="8.88671875" customWidth="1"/>
  </cols>
  <sheetData>
    <row r="1" spans="2:20" s="1" customFormat="1" ht="30" customHeight="1" x14ac:dyDescent="0.3">
      <c r="C1" s="8" t="s">
        <v>109</v>
      </c>
    </row>
    <row r="2" spans="2:20" s="4" customFormat="1" ht="16.2" thickBot="1" x14ac:dyDescent="0.35">
      <c r="B2" s="5">
        <f xml:space="preserve"> MAX(B$1:B1) + 1</f>
        <v>1</v>
      </c>
      <c r="C2" s="4" t="s">
        <v>23</v>
      </c>
    </row>
    <row r="4" spans="2:20" x14ac:dyDescent="0.3">
      <c r="D4" s="23" t="s">
        <v>24</v>
      </c>
      <c r="E4" t="s">
        <v>108</v>
      </c>
    </row>
    <row r="5" spans="2:20" x14ac:dyDescent="0.3">
      <c r="D5" s="23" t="s">
        <v>25</v>
      </c>
      <c r="E5" t="s">
        <v>348</v>
      </c>
    </row>
    <row r="6" spans="2:20" x14ac:dyDescent="0.3">
      <c r="E6" t="s">
        <v>334</v>
      </c>
    </row>
    <row r="7" spans="2:20" x14ac:dyDescent="0.3">
      <c r="E7" t="s">
        <v>344</v>
      </c>
    </row>
    <row r="8" spans="2:20" x14ac:dyDescent="0.3">
      <c r="F8" t="s">
        <v>335</v>
      </c>
      <c r="H8" t="s">
        <v>339</v>
      </c>
    </row>
    <row r="9" spans="2:20" x14ac:dyDescent="0.3">
      <c r="F9" t="s">
        <v>336</v>
      </c>
      <c r="H9" t="s">
        <v>340</v>
      </c>
    </row>
    <row r="10" spans="2:20" x14ac:dyDescent="0.3">
      <c r="F10" t="s">
        <v>337</v>
      </c>
      <c r="H10" t="s">
        <v>341</v>
      </c>
    </row>
    <row r="11" spans="2:20" x14ac:dyDescent="0.3">
      <c r="F11" t="s">
        <v>338</v>
      </c>
      <c r="H11" t="s">
        <v>342</v>
      </c>
    </row>
    <row r="12" spans="2:20" x14ac:dyDescent="0.3">
      <c r="D12" s="23" t="s">
        <v>26</v>
      </c>
      <c r="E12" s="68" t="s">
        <v>343</v>
      </c>
    </row>
    <row r="15" spans="2:20" x14ac:dyDescent="0.3">
      <c r="B15" s="7" t="s">
        <v>107</v>
      </c>
      <c r="C15" s="6"/>
      <c r="D15" s="6"/>
      <c r="E15" s="6"/>
      <c r="F15" s="6"/>
      <c r="G15" s="6"/>
      <c r="H15" s="6"/>
      <c r="I15" s="6"/>
      <c r="J15" s="6"/>
      <c r="K15" s="6"/>
      <c r="L15" s="6"/>
      <c r="M15" s="6"/>
      <c r="N15" s="6"/>
      <c r="O15" s="6"/>
      <c r="P15" s="6"/>
      <c r="Q15" s="6"/>
      <c r="R15" s="6"/>
      <c r="S15" s="6"/>
      <c r="T15" s="6"/>
    </row>
    <row r="17" spans="3:12" x14ac:dyDescent="0.3">
      <c r="C17" s="3" t="s">
        <v>27</v>
      </c>
    </row>
    <row r="18" spans="3:12" ht="14.4" thickBot="1" x14ac:dyDescent="0.35">
      <c r="D18" s="32" t="s">
        <v>76</v>
      </c>
      <c r="E18" s="32" t="s">
        <v>9</v>
      </c>
      <c r="F18" s="32" t="s">
        <v>10</v>
      </c>
      <c r="G18" s="32" t="s">
        <v>11</v>
      </c>
      <c r="I18" s="32" t="s">
        <v>76</v>
      </c>
      <c r="J18" s="32" t="s">
        <v>106</v>
      </c>
      <c r="K18" s="32" t="s">
        <v>116</v>
      </c>
      <c r="L18" s="32" t="s">
        <v>117</v>
      </c>
    </row>
    <row r="19" spans="3:12" x14ac:dyDescent="0.3">
      <c r="D19" s="30" t="s">
        <v>86</v>
      </c>
      <c r="E19" s="30" t="s">
        <v>77</v>
      </c>
      <c r="F19" s="31">
        <v>1</v>
      </c>
      <c r="G19" s="28" t="s">
        <v>97</v>
      </c>
      <c r="I19" s="30" t="s">
        <v>94</v>
      </c>
      <c r="J19" s="29">
        <v>9</v>
      </c>
      <c r="K19" s="28" t="s">
        <v>105</v>
      </c>
      <c r="L19" s="28" t="s">
        <v>127</v>
      </c>
    </row>
    <row r="20" spans="3:12" x14ac:dyDescent="0.3">
      <c r="D20" s="28" t="s">
        <v>87</v>
      </c>
      <c r="E20" s="28" t="s">
        <v>78</v>
      </c>
      <c r="F20" s="29">
        <v>2</v>
      </c>
      <c r="G20" s="28" t="s">
        <v>98</v>
      </c>
      <c r="I20" s="30" t="s">
        <v>92</v>
      </c>
      <c r="J20" s="29">
        <v>7</v>
      </c>
      <c r="K20" s="28" t="s">
        <v>103</v>
      </c>
      <c r="L20" s="28" t="s">
        <v>128</v>
      </c>
    </row>
    <row r="21" spans="3:12" x14ac:dyDescent="0.3">
      <c r="D21" s="28" t="s">
        <v>88</v>
      </c>
      <c r="E21" s="28" t="s">
        <v>79</v>
      </c>
      <c r="F21" s="29">
        <v>3</v>
      </c>
      <c r="G21" s="28" t="s">
        <v>99</v>
      </c>
      <c r="I21" s="30" t="s">
        <v>95</v>
      </c>
      <c r="J21" s="29">
        <v>10</v>
      </c>
      <c r="K21" s="28" t="s">
        <v>20</v>
      </c>
      <c r="L21" s="28" t="s">
        <v>129</v>
      </c>
    </row>
    <row r="22" spans="3:12" x14ac:dyDescent="0.3">
      <c r="D22" s="28" t="s">
        <v>89</v>
      </c>
      <c r="E22" s="28" t="s">
        <v>80</v>
      </c>
      <c r="F22" s="29">
        <v>4</v>
      </c>
      <c r="G22" s="28" t="s">
        <v>100</v>
      </c>
      <c r="I22" s="30" t="s">
        <v>87</v>
      </c>
      <c r="J22" s="29">
        <v>2</v>
      </c>
      <c r="K22" s="28" t="s">
        <v>98</v>
      </c>
      <c r="L22" s="28" t="s">
        <v>130</v>
      </c>
    </row>
    <row r="23" spans="3:12" x14ac:dyDescent="0.3">
      <c r="D23" s="28" t="s">
        <v>90</v>
      </c>
      <c r="E23" s="28" t="s">
        <v>81</v>
      </c>
      <c r="F23" s="29">
        <v>5</v>
      </c>
      <c r="G23" s="28" t="s">
        <v>101</v>
      </c>
      <c r="I23" s="30" t="s">
        <v>89</v>
      </c>
      <c r="J23" s="29">
        <v>4</v>
      </c>
      <c r="K23" s="28" t="s">
        <v>100</v>
      </c>
      <c r="L23" s="28" t="s">
        <v>131</v>
      </c>
    </row>
    <row r="24" spans="3:12" x14ac:dyDescent="0.3">
      <c r="D24" s="28" t="s">
        <v>91</v>
      </c>
      <c r="E24" s="28" t="s">
        <v>82</v>
      </c>
      <c r="F24" s="29">
        <v>6</v>
      </c>
      <c r="G24" s="28" t="s">
        <v>102</v>
      </c>
      <c r="I24" s="30" t="s">
        <v>93</v>
      </c>
      <c r="J24" s="29">
        <v>8</v>
      </c>
      <c r="K24" s="28" t="s">
        <v>104</v>
      </c>
      <c r="L24" s="28" t="s">
        <v>132</v>
      </c>
    </row>
    <row r="25" spans="3:12" x14ac:dyDescent="0.3">
      <c r="D25" s="28" t="s">
        <v>92</v>
      </c>
      <c r="E25" s="28" t="s">
        <v>83</v>
      </c>
      <c r="F25" s="29">
        <v>7</v>
      </c>
      <c r="G25" s="28" t="s">
        <v>103</v>
      </c>
      <c r="I25" s="30" t="s">
        <v>115</v>
      </c>
      <c r="J25" s="29">
        <v>12</v>
      </c>
      <c r="K25" s="28" t="s">
        <v>353</v>
      </c>
      <c r="L25" s="33" t="s">
        <v>133</v>
      </c>
    </row>
    <row r="26" spans="3:12" x14ac:dyDescent="0.3">
      <c r="D26" s="28" t="s">
        <v>93</v>
      </c>
      <c r="E26" s="28" t="s">
        <v>84</v>
      </c>
      <c r="F26" s="29">
        <v>8</v>
      </c>
      <c r="G26" s="28" t="s">
        <v>104</v>
      </c>
      <c r="I26" s="30" t="s">
        <v>86</v>
      </c>
      <c r="J26" s="29">
        <v>1</v>
      </c>
      <c r="K26" s="28" t="s">
        <v>97</v>
      </c>
      <c r="L26" s="28" t="s">
        <v>126</v>
      </c>
    </row>
    <row r="27" spans="3:12" x14ac:dyDescent="0.3">
      <c r="D27" s="28" t="s">
        <v>94</v>
      </c>
      <c r="E27" s="28" t="s">
        <v>85</v>
      </c>
      <c r="F27" s="29">
        <v>9</v>
      </c>
      <c r="G27" s="28" t="s">
        <v>105</v>
      </c>
      <c r="I27" s="30" t="s">
        <v>91</v>
      </c>
      <c r="J27" s="29">
        <v>6</v>
      </c>
      <c r="K27" s="28" t="s">
        <v>102</v>
      </c>
      <c r="L27" s="28" t="s">
        <v>134</v>
      </c>
    </row>
    <row r="28" spans="3:12" x14ac:dyDescent="0.3">
      <c r="D28" s="28" t="s">
        <v>95</v>
      </c>
      <c r="E28" s="28" t="s">
        <v>96</v>
      </c>
      <c r="F28" s="29">
        <v>10</v>
      </c>
      <c r="G28" s="28" t="s">
        <v>20</v>
      </c>
      <c r="I28" s="30" t="s">
        <v>114</v>
      </c>
      <c r="J28" s="29">
        <v>11</v>
      </c>
      <c r="K28" s="28" t="s">
        <v>395</v>
      </c>
      <c r="L28" s="33" t="s">
        <v>135</v>
      </c>
    </row>
    <row r="31" spans="3:12" x14ac:dyDescent="0.3">
      <c r="C31" s="3" t="s">
        <v>28</v>
      </c>
    </row>
    <row r="32" spans="3:12" x14ac:dyDescent="0.3">
      <c r="D32" t="s">
        <v>374</v>
      </c>
    </row>
    <row r="33" spans="4:11" x14ac:dyDescent="0.3">
      <c r="D33" s="69" t="s">
        <v>376</v>
      </c>
    </row>
    <row r="34" spans="4:11" ht="14.4" thickBot="1" x14ac:dyDescent="0.35">
      <c r="D34" s="32" t="s">
        <v>76</v>
      </c>
      <c r="E34" s="32" t="s">
        <v>9</v>
      </c>
      <c r="F34" s="32" t="s">
        <v>10</v>
      </c>
      <c r="G34" s="32" t="s">
        <v>11</v>
      </c>
      <c r="H34" s="32" t="s">
        <v>76</v>
      </c>
      <c r="I34" s="32" t="s">
        <v>106</v>
      </c>
      <c r="J34" s="32" t="s">
        <v>116</v>
      </c>
      <c r="K34" s="32" t="s">
        <v>117</v>
      </c>
    </row>
    <row r="35" spans="4:11" x14ac:dyDescent="0.3">
      <c r="D35" s="35" t="str" cm="1">
        <f t="array" ref="D35:K44" xml:space="preserve"> RXL_Join($D$19:$G$28, $I$19:$L$28, 1, 1)</f>
        <v>X-001</v>
      </c>
      <c r="E35" s="35" t="str">
        <v>AAA</v>
      </c>
      <c r="F35" s="35">
        <v>1</v>
      </c>
      <c r="G35" s="35" t="str">
        <v>!</v>
      </c>
      <c r="H35" s="35" t="str">
        <v>X-001</v>
      </c>
      <c r="I35" s="35">
        <v>1</v>
      </c>
      <c r="J35" s="35" t="str">
        <v>!</v>
      </c>
      <c r="K35" s="35" t="str">
        <v>one</v>
      </c>
    </row>
    <row r="36" spans="4:11" x14ac:dyDescent="0.3">
      <c r="D36" s="35" t="str">
        <v>X-002</v>
      </c>
      <c r="E36" s="35" t="str">
        <v>BBB</v>
      </c>
      <c r="F36" s="35">
        <v>2</v>
      </c>
      <c r="G36" s="35" t="str">
        <v>"</v>
      </c>
      <c r="H36" s="35" t="str">
        <v>X-002</v>
      </c>
      <c r="I36" s="35">
        <v>2</v>
      </c>
      <c r="J36" s="35" t="str">
        <v>"</v>
      </c>
      <c r="K36" s="35" t="str">
        <v>two</v>
      </c>
    </row>
    <row r="37" spans="4:11" x14ac:dyDescent="0.3">
      <c r="D37" s="35" t="str">
        <v>X-003</v>
      </c>
      <c r="E37" s="35" t="str">
        <v>CCC</v>
      </c>
      <c r="F37" s="35">
        <v>3</v>
      </c>
      <c r="G37" s="35" t="str">
        <v>£</v>
      </c>
      <c r="H37" s="35" t="e">
        <v>#N/A</v>
      </c>
      <c r="I37" s="35" t="e">
        <v>#N/A</v>
      </c>
      <c r="J37" s="35" t="e">
        <v>#N/A</v>
      </c>
      <c r="K37" s="35" t="e">
        <v>#N/A</v>
      </c>
    </row>
    <row r="38" spans="4:11" x14ac:dyDescent="0.3">
      <c r="D38" s="35" t="str">
        <v>X-004</v>
      </c>
      <c r="E38" s="35" t="str">
        <v>DDD</v>
      </c>
      <c r="F38" s="35">
        <v>4</v>
      </c>
      <c r="G38" s="35" t="str">
        <v>$</v>
      </c>
      <c r="H38" s="35" t="str">
        <v>X-004</v>
      </c>
      <c r="I38" s="35">
        <v>4</v>
      </c>
      <c r="J38" s="35" t="str">
        <v>$</v>
      </c>
      <c r="K38" s="35" t="str">
        <v>four</v>
      </c>
    </row>
    <row r="39" spans="4:11" x14ac:dyDescent="0.3">
      <c r="D39" s="35" t="str">
        <v>X-005</v>
      </c>
      <c r="E39" s="35" t="str">
        <v>EEE</v>
      </c>
      <c r="F39" s="35">
        <v>5</v>
      </c>
      <c r="G39" s="35" t="str">
        <v>%</v>
      </c>
      <c r="H39" s="35" t="e">
        <v>#N/A</v>
      </c>
      <c r="I39" s="35" t="e">
        <v>#N/A</v>
      </c>
      <c r="J39" s="35" t="e">
        <v>#N/A</v>
      </c>
      <c r="K39" s="35" t="e">
        <v>#N/A</v>
      </c>
    </row>
    <row r="40" spans="4:11" x14ac:dyDescent="0.3">
      <c r="D40" s="35" t="str">
        <v>X-006</v>
      </c>
      <c r="E40" s="35" t="str">
        <v>FFF</v>
      </c>
      <c r="F40" s="35">
        <v>6</v>
      </c>
      <c r="G40" s="35" t="str">
        <v>^</v>
      </c>
      <c r="H40" s="35" t="str">
        <v>X-006</v>
      </c>
      <c r="I40" s="35">
        <v>6</v>
      </c>
      <c r="J40" s="35" t="str">
        <v>^</v>
      </c>
      <c r="K40" s="35" t="str">
        <v>six</v>
      </c>
    </row>
    <row r="41" spans="4:11" x14ac:dyDescent="0.3">
      <c r="D41" s="35" t="str">
        <v>X-007</v>
      </c>
      <c r="E41" s="35" t="str">
        <v>GGG</v>
      </c>
      <c r="F41" s="35">
        <v>7</v>
      </c>
      <c r="G41" s="35" t="str">
        <v>&amp;</v>
      </c>
      <c r="H41" s="35" t="str">
        <v>X-007</v>
      </c>
      <c r="I41" s="35">
        <v>7</v>
      </c>
      <c r="J41" s="35" t="str">
        <v>&amp;</v>
      </c>
      <c r="K41" s="35" t="str">
        <v>seven</v>
      </c>
    </row>
    <row r="42" spans="4:11" x14ac:dyDescent="0.3">
      <c r="D42" s="35" t="str">
        <v>X-008</v>
      </c>
      <c r="E42" s="35" t="str">
        <v>HHH</v>
      </c>
      <c r="F42" s="35">
        <v>8</v>
      </c>
      <c r="G42" s="35" t="str">
        <v>*</v>
      </c>
      <c r="H42" s="35" t="str">
        <v>X-008</v>
      </c>
      <c r="I42" s="35">
        <v>8</v>
      </c>
      <c r="J42" s="35" t="str">
        <v>*</v>
      </c>
      <c r="K42" s="35" t="str">
        <v>eight</v>
      </c>
    </row>
    <row r="43" spans="4:11" x14ac:dyDescent="0.3">
      <c r="D43" s="35" t="str">
        <v>X-009</v>
      </c>
      <c r="E43" s="35" t="str">
        <v>III</v>
      </c>
      <c r="F43" s="35">
        <v>9</v>
      </c>
      <c r="G43" s="35" t="str">
        <v>(</v>
      </c>
      <c r="H43" s="35" t="str">
        <v>X-009</v>
      </c>
      <c r="I43" s="35">
        <v>9</v>
      </c>
      <c r="J43" s="35" t="str">
        <v>(</v>
      </c>
      <c r="K43" s="35" t="str">
        <v>nine</v>
      </c>
    </row>
    <row r="44" spans="4:11" x14ac:dyDescent="0.3">
      <c r="D44" s="35" t="str">
        <v>X-010</v>
      </c>
      <c r="E44" s="35" t="str">
        <v>JJJ</v>
      </c>
      <c r="F44" s="35">
        <v>10</v>
      </c>
      <c r="G44" s="35" t="str">
        <v>)</v>
      </c>
      <c r="H44" s="35" t="str">
        <v>X-010</v>
      </c>
      <c r="I44" s="35">
        <v>10</v>
      </c>
      <c r="J44" s="35" t="str">
        <v>)</v>
      </c>
      <c r="K44" s="35" t="str">
        <v>ten</v>
      </c>
    </row>
    <row r="45" spans="4:11" x14ac:dyDescent="0.3">
      <c r="D45" s="39" t="str">
        <f ca="1" xml:space="preserve"> _xlfn.FORMULATEXT(D35)</f>
        <v>= RXL_Join($D$19:$G$28, $I$19:$L$28, 1, 1)</v>
      </c>
    </row>
    <row r="47" spans="4:11" x14ac:dyDescent="0.3">
      <c r="D47" t="s">
        <v>375</v>
      </c>
    </row>
    <row r="48" spans="4:11" x14ac:dyDescent="0.3">
      <c r="D48" s="69" t="s">
        <v>376</v>
      </c>
    </row>
    <row r="49" spans="4:11" ht="14.4" thickBot="1" x14ac:dyDescent="0.35">
      <c r="D49" s="32" t="s">
        <v>76</v>
      </c>
      <c r="E49" s="32" t="s">
        <v>9</v>
      </c>
      <c r="F49" s="32" t="s">
        <v>10</v>
      </c>
      <c r="G49" s="32" t="s">
        <v>11</v>
      </c>
      <c r="H49" s="32" t="s">
        <v>76</v>
      </c>
      <c r="I49" s="32" t="s">
        <v>106</v>
      </c>
      <c r="J49" s="32" t="s">
        <v>116</v>
      </c>
      <c r="K49" s="32" t="s">
        <v>117</v>
      </c>
    </row>
    <row r="50" spans="4:11" x14ac:dyDescent="0.3">
      <c r="D50" s="35" t="str" cm="1">
        <f t="array" ref="D50:K59" xml:space="preserve"> RXL_Join($D$19:$G$28, $I$19:$L$28, 4, 3)</f>
        <v>X-001</v>
      </c>
      <c r="E50" s="35" t="str">
        <v>AAA</v>
      </c>
      <c r="F50" s="35">
        <v>1</v>
      </c>
      <c r="G50" s="35" t="str">
        <v>!</v>
      </c>
      <c r="H50" s="35" t="str">
        <v>X-001</v>
      </c>
      <c r="I50" s="35">
        <v>1</v>
      </c>
      <c r="J50" s="35" t="str">
        <v>!</v>
      </c>
      <c r="K50" s="35" t="str">
        <v>one</v>
      </c>
    </row>
    <row r="51" spans="4:11" x14ac:dyDescent="0.3">
      <c r="D51" s="35" t="str">
        <v>X-002</v>
      </c>
      <c r="E51" s="35" t="str">
        <v>BBB</v>
      </c>
      <c r="F51" s="35">
        <v>2</v>
      </c>
      <c r="G51" s="35" t="str">
        <v>"</v>
      </c>
      <c r="H51" s="35" t="str">
        <v>X-002</v>
      </c>
      <c r="I51" s="35">
        <v>2</v>
      </c>
      <c r="J51" s="35" t="str">
        <v>"</v>
      </c>
      <c r="K51" s="35" t="str">
        <v>two</v>
      </c>
    </row>
    <row r="52" spans="4:11" x14ac:dyDescent="0.3">
      <c r="D52" s="35" t="str">
        <v>X-003</v>
      </c>
      <c r="E52" s="35" t="str">
        <v>CCC</v>
      </c>
      <c r="F52" s="35">
        <v>3</v>
      </c>
      <c r="G52" s="35" t="str">
        <v>£</v>
      </c>
      <c r="H52" s="35" t="e">
        <v>#N/A</v>
      </c>
      <c r="I52" s="35" t="e">
        <v>#N/A</v>
      </c>
      <c r="J52" s="35" t="e">
        <v>#N/A</v>
      </c>
      <c r="K52" s="35" t="e">
        <v>#N/A</v>
      </c>
    </row>
    <row r="53" spans="4:11" x14ac:dyDescent="0.3">
      <c r="D53" s="35" t="str">
        <v>X-004</v>
      </c>
      <c r="E53" s="35" t="str">
        <v>DDD</v>
      </c>
      <c r="F53" s="35">
        <v>4</v>
      </c>
      <c r="G53" s="35" t="str">
        <v>$</v>
      </c>
      <c r="H53" s="35" t="str">
        <v>X-004</v>
      </c>
      <c r="I53" s="35">
        <v>4</v>
      </c>
      <c r="J53" s="35" t="str">
        <v>$</v>
      </c>
      <c r="K53" s="35" t="str">
        <v>four</v>
      </c>
    </row>
    <row r="54" spans="4:11" x14ac:dyDescent="0.3">
      <c r="D54" s="35" t="str">
        <v>X-005</v>
      </c>
      <c r="E54" s="35" t="str">
        <v>EEE</v>
      </c>
      <c r="F54" s="35">
        <v>5</v>
      </c>
      <c r="G54" s="35" t="str">
        <v>%</v>
      </c>
      <c r="H54" s="35" t="e">
        <v>#N/A</v>
      </c>
      <c r="I54" s="35" t="e">
        <v>#N/A</v>
      </c>
      <c r="J54" s="35" t="e">
        <v>#N/A</v>
      </c>
      <c r="K54" s="35" t="e">
        <v>#N/A</v>
      </c>
    </row>
    <row r="55" spans="4:11" x14ac:dyDescent="0.3">
      <c r="D55" s="35" t="str">
        <v>X-006</v>
      </c>
      <c r="E55" s="35" t="str">
        <v>FFF</v>
      </c>
      <c r="F55" s="35">
        <v>6</v>
      </c>
      <c r="G55" s="35" t="str">
        <v>^</v>
      </c>
      <c r="H55" s="35" t="str">
        <v>X-006</v>
      </c>
      <c r="I55" s="35">
        <v>6</v>
      </c>
      <c r="J55" s="35" t="str">
        <v>^</v>
      </c>
      <c r="K55" s="35" t="str">
        <v>six</v>
      </c>
    </row>
    <row r="56" spans="4:11" x14ac:dyDescent="0.3">
      <c r="D56" s="35" t="str">
        <v>X-007</v>
      </c>
      <c r="E56" s="35" t="str">
        <v>GGG</v>
      </c>
      <c r="F56" s="35">
        <v>7</v>
      </c>
      <c r="G56" s="35" t="str">
        <v>&amp;</v>
      </c>
      <c r="H56" s="35" t="str">
        <v>X-007</v>
      </c>
      <c r="I56" s="35">
        <v>7</v>
      </c>
      <c r="J56" s="35" t="str">
        <v>&amp;</v>
      </c>
      <c r="K56" s="35" t="str">
        <v>seven</v>
      </c>
    </row>
    <row r="57" spans="4:11" x14ac:dyDescent="0.3">
      <c r="D57" s="35" t="str">
        <v>X-008</v>
      </c>
      <c r="E57" s="35" t="str">
        <v>HHH</v>
      </c>
      <c r="F57" s="35">
        <v>8</v>
      </c>
      <c r="G57" s="35" t="str">
        <v>*</v>
      </c>
      <c r="H57" s="35" t="str">
        <v>X-009</v>
      </c>
      <c r="I57" s="35">
        <v>9</v>
      </c>
      <c r="J57" s="35" t="str">
        <v>(</v>
      </c>
      <c r="K57" s="35" t="str">
        <v>nine</v>
      </c>
    </row>
    <row r="58" spans="4:11" x14ac:dyDescent="0.3">
      <c r="D58" s="35" t="str">
        <v>X-009</v>
      </c>
      <c r="E58" s="35" t="str">
        <v>III</v>
      </c>
      <c r="F58" s="35">
        <v>9</v>
      </c>
      <c r="G58" s="35" t="str">
        <v>(</v>
      </c>
      <c r="H58" s="35" t="str">
        <v>X-009</v>
      </c>
      <c r="I58" s="35">
        <v>9</v>
      </c>
      <c r="J58" s="35" t="str">
        <v>(</v>
      </c>
      <c r="K58" s="35" t="str">
        <v>nine</v>
      </c>
    </row>
    <row r="59" spans="4:11" x14ac:dyDescent="0.3">
      <c r="D59" s="35" t="str">
        <v>X-010</v>
      </c>
      <c r="E59" s="35" t="str">
        <v>JJJ</v>
      </c>
      <c r="F59" s="35">
        <v>10</v>
      </c>
      <c r="G59" s="35" t="str">
        <v>)</v>
      </c>
      <c r="H59" s="35" t="str">
        <v>X-010</v>
      </c>
      <c r="I59" s="35">
        <v>10</v>
      </c>
      <c r="J59" s="35" t="str">
        <v>)</v>
      </c>
      <c r="K59" s="35" t="str">
        <v>ten</v>
      </c>
    </row>
    <row r="60" spans="4:11" x14ac:dyDescent="0.3">
      <c r="D60" s="35"/>
      <c r="E60" s="35"/>
      <c r="F60" s="35"/>
      <c r="G60" s="35"/>
      <c r="H60" s="35"/>
      <c r="I60" s="35"/>
      <c r="J60" s="35"/>
      <c r="K60" s="35"/>
    </row>
    <row r="61" spans="4:11" x14ac:dyDescent="0.3">
      <c r="D61" s="35"/>
      <c r="E61" s="35"/>
      <c r="F61" s="35"/>
      <c r="G61" s="35"/>
      <c r="H61" s="35"/>
      <c r="I61" s="35"/>
      <c r="J61" s="35"/>
      <c r="K61" s="35"/>
    </row>
    <row r="62" spans="4:11" x14ac:dyDescent="0.3">
      <c r="D62" s="39" t="str">
        <f ca="1" xml:space="preserve"> _xlfn.FORMULATEXT(D50)</f>
        <v>= RXL_Join($D$19:$G$28, $I$19:$L$28, 4, 3)</v>
      </c>
    </row>
    <row r="65" spans="3:11" x14ac:dyDescent="0.3">
      <c r="C65" s="3" t="s">
        <v>345</v>
      </c>
    </row>
    <row r="66" spans="3:11" x14ac:dyDescent="0.3">
      <c r="D66" t="s">
        <v>381</v>
      </c>
    </row>
    <row r="67" spans="3:11" x14ac:dyDescent="0.3">
      <c r="D67" s="69" t="s">
        <v>377</v>
      </c>
    </row>
    <row r="68" spans="3:11" ht="14.4" thickBot="1" x14ac:dyDescent="0.35">
      <c r="D68" s="32" t="s">
        <v>76</v>
      </c>
      <c r="E68" s="32" t="s">
        <v>9</v>
      </c>
      <c r="F68" s="32" t="s">
        <v>10</v>
      </c>
      <c r="G68" s="32" t="s">
        <v>11</v>
      </c>
      <c r="H68" s="32" t="s">
        <v>76</v>
      </c>
      <c r="I68" s="32" t="s">
        <v>106</v>
      </c>
      <c r="J68" s="32" t="s">
        <v>116</v>
      </c>
      <c r="K68" s="32" t="s">
        <v>117</v>
      </c>
    </row>
    <row r="69" spans="3:11" x14ac:dyDescent="0.3">
      <c r="D69" s="35" t="str" cm="1">
        <f t="array" ref="D69:K78" xml:space="preserve"> RXL_Join($D$19:$G$28, $I$19:$L$28, 1, 1, "left")</f>
        <v>X-001</v>
      </c>
      <c r="E69" s="35" t="str">
        <v>AAA</v>
      </c>
      <c r="F69" s="35">
        <v>1</v>
      </c>
      <c r="G69" s="35" t="str">
        <v>!</v>
      </c>
      <c r="H69" s="35" t="str">
        <v>X-001</v>
      </c>
      <c r="I69" s="35">
        <v>1</v>
      </c>
      <c r="J69" s="35" t="str">
        <v>!</v>
      </c>
      <c r="K69" s="35" t="str">
        <v>one</v>
      </c>
    </row>
    <row r="70" spans="3:11" x14ac:dyDescent="0.3">
      <c r="D70" s="35" t="str">
        <v>X-002</v>
      </c>
      <c r="E70" s="35" t="str">
        <v>BBB</v>
      </c>
      <c r="F70" s="35">
        <v>2</v>
      </c>
      <c r="G70" s="35" t="str">
        <v>"</v>
      </c>
      <c r="H70" s="35" t="str">
        <v>X-002</v>
      </c>
      <c r="I70" s="35">
        <v>2</v>
      </c>
      <c r="J70" s="35" t="str">
        <v>"</v>
      </c>
      <c r="K70" s="35" t="str">
        <v>two</v>
      </c>
    </row>
    <row r="71" spans="3:11" x14ac:dyDescent="0.3">
      <c r="D71" s="35" t="str">
        <v>X-003</v>
      </c>
      <c r="E71" s="35" t="str">
        <v>CCC</v>
      </c>
      <c r="F71" s="35">
        <v>3</v>
      </c>
      <c r="G71" s="35" t="str">
        <v>£</v>
      </c>
      <c r="H71" s="35" t="e">
        <v>#N/A</v>
      </c>
      <c r="I71" s="35" t="e">
        <v>#N/A</v>
      </c>
      <c r="J71" s="35" t="e">
        <v>#N/A</v>
      </c>
      <c r="K71" s="35" t="e">
        <v>#N/A</v>
      </c>
    </row>
    <row r="72" spans="3:11" x14ac:dyDescent="0.3">
      <c r="D72" s="35" t="str">
        <v>X-004</v>
      </c>
      <c r="E72" s="35" t="str">
        <v>DDD</v>
      </c>
      <c r="F72" s="35">
        <v>4</v>
      </c>
      <c r="G72" s="35" t="str">
        <v>$</v>
      </c>
      <c r="H72" s="35" t="str">
        <v>X-004</v>
      </c>
      <c r="I72" s="35">
        <v>4</v>
      </c>
      <c r="J72" s="35" t="str">
        <v>$</v>
      </c>
      <c r="K72" s="35" t="str">
        <v>four</v>
      </c>
    </row>
    <row r="73" spans="3:11" x14ac:dyDescent="0.3">
      <c r="D73" s="35" t="str">
        <v>X-005</v>
      </c>
      <c r="E73" s="35" t="str">
        <v>EEE</v>
      </c>
      <c r="F73" s="35">
        <v>5</v>
      </c>
      <c r="G73" s="35" t="str">
        <v>%</v>
      </c>
      <c r="H73" s="35" t="e">
        <v>#N/A</v>
      </c>
      <c r="I73" s="35" t="e">
        <v>#N/A</v>
      </c>
      <c r="J73" s="35" t="e">
        <v>#N/A</v>
      </c>
      <c r="K73" s="35" t="e">
        <v>#N/A</v>
      </c>
    </row>
    <row r="74" spans="3:11" x14ac:dyDescent="0.3">
      <c r="D74" s="35" t="str">
        <v>X-006</v>
      </c>
      <c r="E74" s="35" t="str">
        <v>FFF</v>
      </c>
      <c r="F74" s="35">
        <v>6</v>
      </c>
      <c r="G74" s="35" t="str">
        <v>^</v>
      </c>
      <c r="H74" s="35" t="str">
        <v>X-006</v>
      </c>
      <c r="I74" s="35">
        <v>6</v>
      </c>
      <c r="J74" s="35" t="str">
        <v>^</v>
      </c>
      <c r="K74" s="35" t="str">
        <v>six</v>
      </c>
    </row>
    <row r="75" spans="3:11" x14ac:dyDescent="0.3">
      <c r="D75" s="35" t="str">
        <v>X-007</v>
      </c>
      <c r="E75" s="35" t="str">
        <v>GGG</v>
      </c>
      <c r="F75" s="35">
        <v>7</v>
      </c>
      <c r="G75" s="35" t="str">
        <v>&amp;</v>
      </c>
      <c r="H75" s="35" t="str">
        <v>X-007</v>
      </c>
      <c r="I75" s="35">
        <v>7</v>
      </c>
      <c r="J75" s="35" t="str">
        <v>&amp;</v>
      </c>
      <c r="K75" s="35" t="str">
        <v>seven</v>
      </c>
    </row>
    <row r="76" spans="3:11" x14ac:dyDescent="0.3">
      <c r="D76" s="35" t="str">
        <v>X-008</v>
      </c>
      <c r="E76" s="35" t="str">
        <v>HHH</v>
      </c>
      <c r="F76" s="35">
        <v>8</v>
      </c>
      <c r="G76" s="35" t="str">
        <v>*</v>
      </c>
      <c r="H76" s="35" t="str">
        <v>X-008</v>
      </c>
      <c r="I76" s="35">
        <v>8</v>
      </c>
      <c r="J76" s="35" t="str">
        <v>*</v>
      </c>
      <c r="K76" s="35" t="str">
        <v>eight</v>
      </c>
    </row>
    <row r="77" spans="3:11" x14ac:dyDescent="0.3">
      <c r="D77" s="35" t="str">
        <v>X-009</v>
      </c>
      <c r="E77" s="35" t="str">
        <v>III</v>
      </c>
      <c r="F77" s="35">
        <v>9</v>
      </c>
      <c r="G77" s="35" t="str">
        <v>(</v>
      </c>
      <c r="H77" s="35" t="str">
        <v>X-009</v>
      </c>
      <c r="I77" s="35">
        <v>9</v>
      </c>
      <c r="J77" s="35" t="str">
        <v>(</v>
      </c>
      <c r="K77" s="35" t="str">
        <v>nine</v>
      </c>
    </row>
    <row r="78" spans="3:11" x14ac:dyDescent="0.3">
      <c r="D78" s="35" t="str">
        <v>X-010</v>
      </c>
      <c r="E78" s="35" t="str">
        <v>JJJ</v>
      </c>
      <c r="F78" s="35">
        <v>10</v>
      </c>
      <c r="G78" s="35" t="str">
        <v>)</v>
      </c>
      <c r="H78" s="35" t="str">
        <v>X-010</v>
      </c>
      <c r="I78" s="35">
        <v>10</v>
      </c>
      <c r="J78" s="35" t="str">
        <v>)</v>
      </c>
      <c r="K78" s="35" t="str">
        <v>ten</v>
      </c>
    </row>
    <row r="79" spans="3:11" x14ac:dyDescent="0.3">
      <c r="D79" s="35"/>
      <c r="E79" s="35"/>
      <c r="F79" s="35"/>
      <c r="G79" s="35"/>
      <c r="H79" s="35"/>
      <c r="I79" s="35"/>
      <c r="J79" s="35"/>
      <c r="K79" s="35"/>
    </row>
    <row r="80" spans="3:11" x14ac:dyDescent="0.3">
      <c r="D80" s="35"/>
      <c r="E80" s="35"/>
      <c r="F80" s="35"/>
      <c r="G80" s="35"/>
      <c r="H80" s="35"/>
      <c r="I80" s="35"/>
      <c r="J80" s="35"/>
      <c r="K80" s="35"/>
    </row>
    <row r="81" spans="4:11" x14ac:dyDescent="0.3">
      <c r="D81" s="39" t="str">
        <f ca="1" xml:space="preserve"> _xlfn.FORMULATEXT(D69)</f>
        <v>= RXL_Join($D$19:$G$28, $I$19:$L$28, 1, 1, "left")</v>
      </c>
    </row>
    <row r="83" spans="4:11" x14ac:dyDescent="0.3">
      <c r="D83" t="s">
        <v>382</v>
      </c>
    </row>
    <row r="84" spans="4:11" x14ac:dyDescent="0.3">
      <c r="D84" s="69" t="s">
        <v>379</v>
      </c>
    </row>
    <row r="85" spans="4:11" ht="14.4" thickBot="1" x14ac:dyDescent="0.35">
      <c r="D85" s="32" t="s">
        <v>76</v>
      </c>
      <c r="E85" s="32" t="s">
        <v>9</v>
      </c>
      <c r="F85" s="32" t="s">
        <v>10</v>
      </c>
      <c r="G85" s="32" t="s">
        <v>11</v>
      </c>
      <c r="H85" s="32" t="s">
        <v>76</v>
      </c>
      <c r="I85" s="32" t="s">
        <v>106</v>
      </c>
      <c r="J85" s="32" t="s">
        <v>116</v>
      </c>
      <c r="K85" s="32" t="s">
        <v>117</v>
      </c>
    </row>
    <row r="86" spans="4:11" x14ac:dyDescent="0.3">
      <c r="D86" s="35" t="str" cm="1">
        <f t="array" ref="D86:K95" xml:space="preserve"> RXL_Join($D$19:$G$28, $I$19:$L$28, 1, 1, "right")</f>
        <v>X-001</v>
      </c>
      <c r="E86" s="35" t="str">
        <v>AAA</v>
      </c>
      <c r="F86" s="35">
        <v>1</v>
      </c>
      <c r="G86" s="35" t="str">
        <v>!</v>
      </c>
      <c r="H86" s="35" t="str">
        <v>X-001</v>
      </c>
      <c r="I86" s="35">
        <v>1</v>
      </c>
      <c r="J86" s="35" t="str">
        <v>!</v>
      </c>
      <c r="K86" s="35" t="str">
        <v>one</v>
      </c>
    </row>
    <row r="87" spans="4:11" x14ac:dyDescent="0.3">
      <c r="D87" s="35" t="str">
        <v>X-002</v>
      </c>
      <c r="E87" s="35" t="str">
        <v>BBB</v>
      </c>
      <c r="F87" s="35">
        <v>2</v>
      </c>
      <c r="G87" s="35" t="str">
        <v>"</v>
      </c>
      <c r="H87" s="35" t="str">
        <v>X-002</v>
      </c>
      <c r="I87" s="35">
        <v>2</v>
      </c>
      <c r="J87" s="35" t="str">
        <v>"</v>
      </c>
      <c r="K87" s="35" t="str">
        <v>two</v>
      </c>
    </row>
    <row r="88" spans="4:11" x14ac:dyDescent="0.3">
      <c r="D88" s="35" t="str">
        <v>X-004</v>
      </c>
      <c r="E88" s="35" t="str">
        <v>DDD</v>
      </c>
      <c r="F88" s="35">
        <v>4</v>
      </c>
      <c r="G88" s="35" t="str">
        <v>$</v>
      </c>
      <c r="H88" s="35" t="str">
        <v>X-004</v>
      </c>
      <c r="I88" s="35">
        <v>4</v>
      </c>
      <c r="J88" s="35" t="str">
        <v>$</v>
      </c>
      <c r="K88" s="35" t="str">
        <v>four</v>
      </c>
    </row>
    <row r="89" spans="4:11" x14ac:dyDescent="0.3">
      <c r="D89" s="35" t="str">
        <v>X-006</v>
      </c>
      <c r="E89" s="35" t="str">
        <v>FFF</v>
      </c>
      <c r="F89" s="35">
        <v>6</v>
      </c>
      <c r="G89" s="35" t="str">
        <v>^</v>
      </c>
      <c r="H89" s="35" t="str">
        <v>X-006</v>
      </c>
      <c r="I89" s="35">
        <v>6</v>
      </c>
      <c r="J89" s="35" t="str">
        <v>^</v>
      </c>
      <c r="K89" s="35" t="str">
        <v>six</v>
      </c>
    </row>
    <row r="90" spans="4:11" x14ac:dyDescent="0.3">
      <c r="D90" s="35" t="str">
        <v>X-007</v>
      </c>
      <c r="E90" s="35" t="str">
        <v>GGG</v>
      </c>
      <c r="F90" s="35">
        <v>7</v>
      </c>
      <c r="G90" s="35" t="str">
        <v>&amp;</v>
      </c>
      <c r="H90" s="35" t="str">
        <v>X-007</v>
      </c>
      <c r="I90" s="35">
        <v>7</v>
      </c>
      <c r="J90" s="35" t="str">
        <v>&amp;</v>
      </c>
      <c r="K90" s="35" t="str">
        <v>seven</v>
      </c>
    </row>
    <row r="91" spans="4:11" x14ac:dyDescent="0.3">
      <c r="D91" s="35" t="str">
        <v>X-008</v>
      </c>
      <c r="E91" s="35" t="str">
        <v>HHH</v>
      </c>
      <c r="F91" s="35">
        <v>8</v>
      </c>
      <c r="G91" s="35" t="str">
        <v>*</v>
      </c>
      <c r="H91" s="35" t="str">
        <v>X-008</v>
      </c>
      <c r="I91" s="35">
        <v>8</v>
      </c>
      <c r="J91" s="35" t="str">
        <v>*</v>
      </c>
      <c r="K91" s="35" t="str">
        <v>eight</v>
      </c>
    </row>
    <row r="92" spans="4:11" x14ac:dyDescent="0.3">
      <c r="D92" s="35" t="str">
        <v>X-009</v>
      </c>
      <c r="E92" s="35" t="str">
        <v>III</v>
      </c>
      <c r="F92" s="35">
        <v>9</v>
      </c>
      <c r="G92" s="35" t="str">
        <v>(</v>
      </c>
      <c r="H92" s="35" t="str">
        <v>X-009</v>
      </c>
      <c r="I92" s="35">
        <v>9</v>
      </c>
      <c r="J92" s="35" t="str">
        <v>(</v>
      </c>
      <c r="K92" s="35" t="str">
        <v>nine</v>
      </c>
    </row>
    <row r="93" spans="4:11" x14ac:dyDescent="0.3">
      <c r="D93" s="35" t="str">
        <v>X-010</v>
      </c>
      <c r="E93" s="35" t="str">
        <v>JJJ</v>
      </c>
      <c r="F93" s="35">
        <v>10</v>
      </c>
      <c r="G93" s="35" t="str">
        <v>)</v>
      </c>
      <c r="H93" s="35" t="str">
        <v>X-010</v>
      </c>
      <c r="I93" s="35">
        <v>10</v>
      </c>
      <c r="J93" s="35" t="str">
        <v>)</v>
      </c>
      <c r="K93" s="35" t="str">
        <v>ten</v>
      </c>
    </row>
    <row r="94" spans="4:11" x14ac:dyDescent="0.3">
      <c r="D94" s="35" t="e">
        <v>#N/A</v>
      </c>
      <c r="E94" s="35" t="e">
        <v>#N/A</v>
      </c>
      <c r="F94" s="35" t="e">
        <v>#N/A</v>
      </c>
      <c r="G94" s="35" t="e">
        <v>#N/A</v>
      </c>
      <c r="H94" s="35" t="str">
        <v>X-012</v>
      </c>
      <c r="I94" s="35">
        <v>12</v>
      </c>
      <c r="J94" s="35" t="str">
        <v>@</v>
      </c>
      <c r="K94" s="35" t="str">
        <v>twelve</v>
      </c>
    </row>
    <row r="95" spans="4:11" x14ac:dyDescent="0.3">
      <c r="D95" s="35" t="e">
        <v>#N/A</v>
      </c>
      <c r="E95" s="35" t="e">
        <v>#N/A</v>
      </c>
      <c r="F95" s="35" t="e">
        <v>#N/A</v>
      </c>
      <c r="G95" s="35" t="e">
        <v>#N/A</v>
      </c>
      <c r="H95" s="35" t="str">
        <v>X-011</v>
      </c>
      <c r="I95" s="35">
        <v>11</v>
      </c>
      <c r="J95" s="35" t="str">
        <v>~</v>
      </c>
      <c r="K95" s="35" t="str">
        <v>eleven</v>
      </c>
    </row>
    <row r="96" spans="4:11" x14ac:dyDescent="0.3">
      <c r="D96" s="35"/>
      <c r="E96" s="35"/>
      <c r="F96" s="35"/>
      <c r="G96" s="35"/>
      <c r="H96" s="35"/>
      <c r="I96" s="35"/>
      <c r="J96" s="35"/>
      <c r="K96" s="35"/>
    </row>
    <row r="97" spans="4:11" x14ac:dyDescent="0.3">
      <c r="D97" s="35"/>
      <c r="E97" s="35"/>
      <c r="F97" s="35"/>
      <c r="G97" s="35"/>
      <c r="H97" s="35"/>
      <c r="I97" s="35"/>
      <c r="J97" s="35"/>
      <c r="K97" s="35"/>
    </row>
    <row r="98" spans="4:11" x14ac:dyDescent="0.3">
      <c r="D98" s="39" t="str">
        <f ca="1" xml:space="preserve"> _xlfn.FORMULATEXT(D86)</f>
        <v>= RXL_Join($D$19:$G$28, $I$19:$L$28, 1, 1, "right")</v>
      </c>
    </row>
    <row r="100" spans="4:11" x14ac:dyDescent="0.3">
      <c r="D100" t="s">
        <v>383</v>
      </c>
    </row>
    <row r="101" spans="4:11" x14ac:dyDescent="0.3">
      <c r="D101" s="69" t="s">
        <v>378</v>
      </c>
    </row>
    <row r="102" spans="4:11" ht="14.4" thickBot="1" x14ac:dyDescent="0.35">
      <c r="D102" s="32" t="s">
        <v>76</v>
      </c>
      <c r="E102" s="32" t="s">
        <v>9</v>
      </c>
      <c r="F102" s="32" t="s">
        <v>10</v>
      </c>
      <c r="G102" s="32" t="s">
        <v>11</v>
      </c>
      <c r="H102" s="32" t="s">
        <v>76</v>
      </c>
      <c r="I102" s="32" t="s">
        <v>106</v>
      </c>
      <c r="J102" s="32" t="s">
        <v>116</v>
      </c>
      <c r="K102" s="32" t="s">
        <v>117</v>
      </c>
    </row>
    <row r="103" spans="4:11" x14ac:dyDescent="0.3">
      <c r="D103" s="35" t="str" cm="1">
        <f t="array" ref="D103:K110" xml:space="preserve"> RXL_Join($D$19:$G$28, $I$19:$L$28, 1, 1, "inner")</f>
        <v>X-001</v>
      </c>
      <c r="E103" s="35" t="str">
        <v>AAA</v>
      </c>
      <c r="F103" s="35">
        <v>1</v>
      </c>
      <c r="G103" s="35" t="str">
        <v>!</v>
      </c>
      <c r="H103" s="35" t="str">
        <v>X-001</v>
      </c>
      <c r="I103" s="35">
        <v>1</v>
      </c>
      <c r="J103" s="35" t="str">
        <v>!</v>
      </c>
      <c r="K103" s="35" t="str">
        <v>one</v>
      </c>
    </row>
    <row r="104" spans="4:11" x14ac:dyDescent="0.3">
      <c r="D104" s="35" t="str">
        <v>X-002</v>
      </c>
      <c r="E104" s="35" t="str">
        <v>BBB</v>
      </c>
      <c r="F104" s="35">
        <v>2</v>
      </c>
      <c r="G104" s="35" t="str">
        <v>"</v>
      </c>
      <c r="H104" s="35" t="str">
        <v>X-002</v>
      </c>
      <c r="I104" s="35">
        <v>2</v>
      </c>
      <c r="J104" s="35" t="str">
        <v>"</v>
      </c>
      <c r="K104" s="35" t="str">
        <v>two</v>
      </c>
    </row>
    <row r="105" spans="4:11" x14ac:dyDescent="0.3">
      <c r="D105" s="35" t="str">
        <v>X-004</v>
      </c>
      <c r="E105" s="35" t="str">
        <v>DDD</v>
      </c>
      <c r="F105" s="35">
        <v>4</v>
      </c>
      <c r="G105" s="35" t="str">
        <v>$</v>
      </c>
      <c r="H105" s="35" t="str">
        <v>X-004</v>
      </c>
      <c r="I105" s="35">
        <v>4</v>
      </c>
      <c r="J105" s="35" t="str">
        <v>$</v>
      </c>
      <c r="K105" s="35" t="str">
        <v>four</v>
      </c>
    </row>
    <row r="106" spans="4:11" x14ac:dyDescent="0.3">
      <c r="D106" s="35" t="str">
        <v>X-006</v>
      </c>
      <c r="E106" s="35" t="str">
        <v>FFF</v>
      </c>
      <c r="F106" s="35">
        <v>6</v>
      </c>
      <c r="G106" s="35" t="str">
        <v>^</v>
      </c>
      <c r="H106" s="35" t="str">
        <v>X-006</v>
      </c>
      <c r="I106" s="35">
        <v>6</v>
      </c>
      <c r="J106" s="35" t="str">
        <v>^</v>
      </c>
      <c r="K106" s="35" t="str">
        <v>six</v>
      </c>
    </row>
    <row r="107" spans="4:11" x14ac:dyDescent="0.3">
      <c r="D107" s="35" t="str">
        <v>X-007</v>
      </c>
      <c r="E107" s="35" t="str">
        <v>GGG</v>
      </c>
      <c r="F107" s="35">
        <v>7</v>
      </c>
      <c r="G107" s="35" t="str">
        <v>&amp;</v>
      </c>
      <c r="H107" s="35" t="str">
        <v>X-007</v>
      </c>
      <c r="I107" s="35">
        <v>7</v>
      </c>
      <c r="J107" s="35" t="str">
        <v>&amp;</v>
      </c>
      <c r="K107" s="35" t="str">
        <v>seven</v>
      </c>
    </row>
    <row r="108" spans="4:11" x14ac:dyDescent="0.3">
      <c r="D108" s="35" t="str">
        <v>X-008</v>
      </c>
      <c r="E108" s="35" t="str">
        <v>HHH</v>
      </c>
      <c r="F108" s="35">
        <v>8</v>
      </c>
      <c r="G108" s="35" t="str">
        <v>*</v>
      </c>
      <c r="H108" s="35" t="str">
        <v>X-008</v>
      </c>
      <c r="I108" s="35">
        <v>8</v>
      </c>
      <c r="J108" s="35" t="str">
        <v>*</v>
      </c>
      <c r="K108" s="35" t="str">
        <v>eight</v>
      </c>
    </row>
    <row r="109" spans="4:11" x14ac:dyDescent="0.3">
      <c r="D109" s="35" t="str">
        <v>X-009</v>
      </c>
      <c r="E109" s="35" t="str">
        <v>III</v>
      </c>
      <c r="F109" s="35">
        <v>9</v>
      </c>
      <c r="G109" s="35" t="str">
        <v>(</v>
      </c>
      <c r="H109" s="35" t="str">
        <v>X-009</v>
      </c>
      <c r="I109" s="35">
        <v>9</v>
      </c>
      <c r="J109" s="35" t="str">
        <v>(</v>
      </c>
      <c r="K109" s="35" t="str">
        <v>nine</v>
      </c>
    </row>
    <row r="110" spans="4:11" x14ac:dyDescent="0.3">
      <c r="D110" s="35" t="str">
        <v>X-010</v>
      </c>
      <c r="E110" s="35" t="str">
        <v>JJJ</v>
      </c>
      <c r="F110" s="35">
        <v>10</v>
      </c>
      <c r="G110" s="35" t="str">
        <v>)</v>
      </c>
      <c r="H110" s="35" t="str">
        <v>X-010</v>
      </c>
      <c r="I110" s="35">
        <v>10</v>
      </c>
      <c r="J110" s="35" t="str">
        <v>)</v>
      </c>
      <c r="K110" s="35" t="str">
        <v>ten</v>
      </c>
    </row>
    <row r="111" spans="4:11" x14ac:dyDescent="0.3">
      <c r="D111" s="35"/>
      <c r="E111" s="35"/>
      <c r="F111" s="35"/>
      <c r="G111" s="35"/>
      <c r="H111" s="35"/>
      <c r="I111" s="35"/>
      <c r="J111" s="35"/>
      <c r="K111" s="35"/>
    </row>
    <row r="112" spans="4:11" x14ac:dyDescent="0.3">
      <c r="D112" s="35"/>
      <c r="E112" s="35"/>
      <c r="F112" s="35"/>
      <c r="G112" s="35"/>
      <c r="H112" s="35"/>
      <c r="I112" s="35"/>
      <c r="J112" s="35"/>
      <c r="K112" s="35"/>
    </row>
    <row r="113" spans="4:11" x14ac:dyDescent="0.3">
      <c r="D113" s="35"/>
      <c r="E113" s="35"/>
      <c r="F113" s="35"/>
      <c r="G113" s="35"/>
      <c r="H113" s="35"/>
      <c r="I113" s="35"/>
      <c r="J113" s="35"/>
      <c r="K113" s="35"/>
    </row>
    <row r="114" spans="4:11" x14ac:dyDescent="0.3">
      <c r="D114" s="35"/>
      <c r="E114" s="35"/>
      <c r="F114" s="35"/>
      <c r="G114" s="35"/>
      <c r="H114" s="35"/>
      <c r="I114" s="35"/>
      <c r="J114" s="35"/>
      <c r="K114" s="35"/>
    </row>
    <row r="115" spans="4:11" x14ac:dyDescent="0.3">
      <c r="D115" s="39" t="str">
        <f ca="1" xml:space="preserve"> _xlfn.FORMULATEXT(D103)</f>
        <v>= RXL_Join($D$19:$G$28, $I$19:$L$28, 1, 1, "inner")</v>
      </c>
    </row>
    <row r="117" spans="4:11" x14ac:dyDescent="0.3">
      <c r="D117" t="s">
        <v>380</v>
      </c>
    </row>
    <row r="118" spans="4:11" x14ac:dyDescent="0.3">
      <c r="D118" s="69" t="s">
        <v>386</v>
      </c>
    </row>
    <row r="119" spans="4:11" ht="14.4" thickBot="1" x14ac:dyDescent="0.35">
      <c r="D119" s="32" t="s">
        <v>76</v>
      </c>
      <c r="E119" s="32" t="s">
        <v>9</v>
      </c>
      <c r="F119" s="32" t="s">
        <v>10</v>
      </c>
      <c r="G119" s="32" t="s">
        <v>11</v>
      </c>
      <c r="H119" s="32" t="s">
        <v>76</v>
      </c>
      <c r="I119" s="32" t="s">
        <v>106</v>
      </c>
      <c r="J119" s="32" t="s">
        <v>116</v>
      </c>
      <c r="K119" s="32" t="s">
        <v>117</v>
      </c>
    </row>
    <row r="120" spans="4:11" x14ac:dyDescent="0.3">
      <c r="D120" s="35" t="str" cm="1">
        <f t="array" ref="D120:K131" xml:space="preserve"> RXL_Join($D$19:$G$28, $I$19:$L$28, 1, 1, "full")</f>
        <v>X-001</v>
      </c>
      <c r="E120" s="35" t="str">
        <v>AAA</v>
      </c>
      <c r="F120" s="35">
        <v>1</v>
      </c>
      <c r="G120" s="35" t="str">
        <v>!</v>
      </c>
      <c r="H120" s="35" t="str">
        <v>X-001</v>
      </c>
      <c r="I120" s="35">
        <v>1</v>
      </c>
      <c r="J120" s="35" t="str">
        <v>!</v>
      </c>
      <c r="K120" s="35" t="str">
        <v>one</v>
      </c>
    </row>
    <row r="121" spans="4:11" x14ac:dyDescent="0.3">
      <c r="D121" s="35" t="str">
        <v>X-002</v>
      </c>
      <c r="E121" s="35" t="str">
        <v>BBB</v>
      </c>
      <c r="F121" s="35">
        <v>2</v>
      </c>
      <c r="G121" s="35" t="str">
        <v>"</v>
      </c>
      <c r="H121" s="35" t="str">
        <v>X-002</v>
      </c>
      <c r="I121" s="35">
        <v>2</v>
      </c>
      <c r="J121" s="35" t="str">
        <v>"</v>
      </c>
      <c r="K121" s="35" t="str">
        <v>two</v>
      </c>
    </row>
    <row r="122" spans="4:11" x14ac:dyDescent="0.3">
      <c r="D122" s="35" t="str">
        <v>X-003</v>
      </c>
      <c r="E122" s="35" t="str">
        <v>CCC</v>
      </c>
      <c r="F122" s="35">
        <v>3</v>
      </c>
      <c r="G122" s="35" t="str">
        <v>£</v>
      </c>
      <c r="H122" s="35" t="e">
        <v>#N/A</v>
      </c>
      <c r="I122" s="35" t="e">
        <v>#N/A</v>
      </c>
      <c r="J122" s="35" t="e">
        <v>#N/A</v>
      </c>
      <c r="K122" s="35" t="e">
        <v>#N/A</v>
      </c>
    </row>
    <row r="123" spans="4:11" x14ac:dyDescent="0.3">
      <c r="D123" s="35" t="str">
        <v>X-004</v>
      </c>
      <c r="E123" s="35" t="str">
        <v>DDD</v>
      </c>
      <c r="F123" s="35">
        <v>4</v>
      </c>
      <c r="G123" s="35" t="str">
        <v>$</v>
      </c>
      <c r="H123" s="35" t="str">
        <v>X-004</v>
      </c>
      <c r="I123" s="35">
        <v>4</v>
      </c>
      <c r="J123" s="35" t="str">
        <v>$</v>
      </c>
      <c r="K123" s="35" t="str">
        <v>four</v>
      </c>
    </row>
    <row r="124" spans="4:11" x14ac:dyDescent="0.3">
      <c r="D124" s="35" t="str">
        <v>X-005</v>
      </c>
      <c r="E124" s="35" t="str">
        <v>EEE</v>
      </c>
      <c r="F124" s="35">
        <v>5</v>
      </c>
      <c r="G124" s="35" t="str">
        <v>%</v>
      </c>
      <c r="H124" s="35" t="e">
        <v>#N/A</v>
      </c>
      <c r="I124" s="35" t="e">
        <v>#N/A</v>
      </c>
      <c r="J124" s="35" t="e">
        <v>#N/A</v>
      </c>
      <c r="K124" s="35" t="e">
        <v>#N/A</v>
      </c>
    </row>
    <row r="125" spans="4:11" x14ac:dyDescent="0.3">
      <c r="D125" s="35" t="str">
        <v>X-006</v>
      </c>
      <c r="E125" s="35" t="str">
        <v>FFF</v>
      </c>
      <c r="F125" s="35">
        <v>6</v>
      </c>
      <c r="G125" s="35" t="str">
        <v>^</v>
      </c>
      <c r="H125" s="35" t="str">
        <v>X-006</v>
      </c>
      <c r="I125" s="35">
        <v>6</v>
      </c>
      <c r="J125" s="35" t="str">
        <v>^</v>
      </c>
      <c r="K125" s="35" t="str">
        <v>six</v>
      </c>
    </row>
    <row r="126" spans="4:11" x14ac:dyDescent="0.3">
      <c r="D126" s="35" t="str">
        <v>X-007</v>
      </c>
      <c r="E126" s="35" t="str">
        <v>GGG</v>
      </c>
      <c r="F126" s="35">
        <v>7</v>
      </c>
      <c r="G126" s="35" t="str">
        <v>&amp;</v>
      </c>
      <c r="H126" s="35" t="str">
        <v>X-007</v>
      </c>
      <c r="I126" s="35">
        <v>7</v>
      </c>
      <c r="J126" s="35" t="str">
        <v>&amp;</v>
      </c>
      <c r="K126" s="35" t="str">
        <v>seven</v>
      </c>
    </row>
    <row r="127" spans="4:11" x14ac:dyDescent="0.3">
      <c r="D127" s="35" t="str">
        <v>X-008</v>
      </c>
      <c r="E127" s="35" t="str">
        <v>HHH</v>
      </c>
      <c r="F127" s="35">
        <v>8</v>
      </c>
      <c r="G127" s="35" t="str">
        <v>*</v>
      </c>
      <c r="H127" s="35" t="str">
        <v>X-008</v>
      </c>
      <c r="I127" s="35">
        <v>8</v>
      </c>
      <c r="J127" s="35" t="str">
        <v>*</v>
      </c>
      <c r="K127" s="35" t="str">
        <v>eight</v>
      </c>
    </row>
    <row r="128" spans="4:11" x14ac:dyDescent="0.3">
      <c r="D128" s="35" t="str">
        <v>X-009</v>
      </c>
      <c r="E128" s="35" t="str">
        <v>III</v>
      </c>
      <c r="F128" s="35">
        <v>9</v>
      </c>
      <c r="G128" s="35" t="str">
        <v>(</v>
      </c>
      <c r="H128" s="35" t="str">
        <v>X-009</v>
      </c>
      <c r="I128" s="35">
        <v>9</v>
      </c>
      <c r="J128" s="35" t="str">
        <v>(</v>
      </c>
      <c r="K128" s="35" t="str">
        <v>nine</v>
      </c>
    </row>
    <row r="129" spans="3:11" x14ac:dyDescent="0.3">
      <c r="D129" s="35" t="str">
        <v>X-010</v>
      </c>
      <c r="E129" s="35" t="str">
        <v>JJJ</v>
      </c>
      <c r="F129" s="35">
        <v>10</v>
      </c>
      <c r="G129" s="35" t="str">
        <v>)</v>
      </c>
      <c r="H129" s="35" t="str">
        <v>X-010</v>
      </c>
      <c r="I129" s="35">
        <v>10</v>
      </c>
      <c r="J129" s="35" t="str">
        <v>)</v>
      </c>
      <c r="K129" s="35" t="str">
        <v>ten</v>
      </c>
    </row>
    <row r="130" spans="3:11" x14ac:dyDescent="0.3">
      <c r="D130" s="35" t="e">
        <v>#N/A</v>
      </c>
      <c r="E130" s="35" t="e">
        <v>#N/A</v>
      </c>
      <c r="F130" s="35" t="e">
        <v>#N/A</v>
      </c>
      <c r="G130" s="35" t="e">
        <v>#N/A</v>
      </c>
      <c r="H130" s="35" t="str">
        <v>X-012</v>
      </c>
      <c r="I130" s="35">
        <v>12</v>
      </c>
      <c r="J130" s="35" t="str">
        <v>@</v>
      </c>
      <c r="K130" s="35" t="str">
        <v>twelve</v>
      </c>
    </row>
    <row r="131" spans="3:11" x14ac:dyDescent="0.3">
      <c r="D131" s="35" t="e">
        <v>#N/A</v>
      </c>
      <c r="E131" s="35" t="e">
        <v>#N/A</v>
      </c>
      <c r="F131" s="35" t="e">
        <v>#N/A</v>
      </c>
      <c r="G131" s="35" t="e">
        <v>#N/A</v>
      </c>
      <c r="H131" s="35" t="str">
        <v>X-011</v>
      </c>
      <c r="I131" s="35">
        <v>11</v>
      </c>
      <c r="J131" s="35" t="str">
        <v>~</v>
      </c>
      <c r="K131" s="35" t="str">
        <v>eleven</v>
      </c>
    </row>
    <row r="132" spans="3:11" x14ac:dyDescent="0.3">
      <c r="D132" s="39" t="str">
        <f ca="1" xml:space="preserve"> _xlfn.FORMULATEXT(D120)</f>
        <v>= RXL_Join($D$19:$G$28, $I$19:$L$28, 1, 1, "full")</v>
      </c>
    </row>
    <row r="135" spans="3:11" x14ac:dyDescent="0.3">
      <c r="C135" s="3" t="s">
        <v>347</v>
      </c>
    </row>
    <row r="136" spans="3:11" x14ac:dyDescent="0.3">
      <c r="D136" t="s">
        <v>381</v>
      </c>
    </row>
    <row r="137" spans="3:11" x14ac:dyDescent="0.3">
      <c r="D137" s="56" t="s">
        <v>384</v>
      </c>
    </row>
    <row r="138" spans="3:11" ht="14.4" thickBot="1" x14ac:dyDescent="0.35">
      <c r="D138" s="32" t="s">
        <v>76</v>
      </c>
      <c r="E138" s="32" t="s">
        <v>9</v>
      </c>
      <c r="F138" s="32" t="s">
        <v>10</v>
      </c>
      <c r="G138" s="32" t="s">
        <v>11</v>
      </c>
      <c r="H138" s="32" t="s">
        <v>76</v>
      </c>
      <c r="I138" s="32" t="s">
        <v>106</v>
      </c>
      <c r="J138" s="32" t="s">
        <v>116</v>
      </c>
      <c r="K138" s="32" t="s">
        <v>117</v>
      </c>
    </row>
    <row r="139" spans="3:11" x14ac:dyDescent="0.3">
      <c r="D139" s="35" t="str" cm="1">
        <f t="array" ref="D139:K148" xml:space="preserve"> RXL_Join($D$19:$G$28, $I$19:$L$28, 1, 1, 0)</f>
        <v>X-001</v>
      </c>
      <c r="E139" s="35" t="str">
        <v>AAA</v>
      </c>
      <c r="F139" s="35">
        <v>1</v>
      </c>
      <c r="G139" s="35" t="str">
        <v>!</v>
      </c>
      <c r="H139" s="35" t="str">
        <v>X-001</v>
      </c>
      <c r="I139" s="35">
        <v>1</v>
      </c>
      <c r="J139" s="35" t="str">
        <v>!</v>
      </c>
      <c r="K139" s="35" t="str">
        <v>one</v>
      </c>
    </row>
    <row r="140" spans="3:11" x14ac:dyDescent="0.3">
      <c r="D140" s="35" t="str">
        <v>X-002</v>
      </c>
      <c r="E140" s="35" t="str">
        <v>BBB</v>
      </c>
      <c r="F140" s="35">
        <v>2</v>
      </c>
      <c r="G140" s="35" t="str">
        <v>"</v>
      </c>
      <c r="H140" s="35" t="str">
        <v>X-002</v>
      </c>
      <c r="I140" s="35">
        <v>2</v>
      </c>
      <c r="J140" s="35" t="str">
        <v>"</v>
      </c>
      <c r="K140" s="35" t="str">
        <v>two</v>
      </c>
    </row>
    <row r="141" spans="3:11" x14ac:dyDescent="0.3">
      <c r="D141" s="35" t="str">
        <v>X-003</v>
      </c>
      <c r="E141" s="35" t="str">
        <v>CCC</v>
      </c>
      <c r="F141" s="35">
        <v>3</v>
      </c>
      <c r="G141" s="35" t="str">
        <v>£</v>
      </c>
      <c r="H141" s="35" t="e">
        <v>#N/A</v>
      </c>
      <c r="I141" s="35" t="e">
        <v>#N/A</v>
      </c>
      <c r="J141" s="35" t="e">
        <v>#N/A</v>
      </c>
      <c r="K141" s="35" t="e">
        <v>#N/A</v>
      </c>
    </row>
    <row r="142" spans="3:11" x14ac:dyDescent="0.3">
      <c r="D142" s="35" t="str">
        <v>X-004</v>
      </c>
      <c r="E142" s="35" t="str">
        <v>DDD</v>
      </c>
      <c r="F142" s="35">
        <v>4</v>
      </c>
      <c r="G142" s="35" t="str">
        <v>$</v>
      </c>
      <c r="H142" s="35" t="str">
        <v>X-004</v>
      </c>
      <c r="I142" s="35">
        <v>4</v>
      </c>
      <c r="J142" s="35" t="str">
        <v>$</v>
      </c>
      <c r="K142" s="35" t="str">
        <v>four</v>
      </c>
    </row>
    <row r="143" spans="3:11" x14ac:dyDescent="0.3">
      <c r="D143" s="35" t="str">
        <v>X-005</v>
      </c>
      <c r="E143" s="35" t="str">
        <v>EEE</v>
      </c>
      <c r="F143" s="35">
        <v>5</v>
      </c>
      <c r="G143" s="35" t="str">
        <v>%</v>
      </c>
      <c r="H143" s="35" t="e">
        <v>#N/A</v>
      </c>
      <c r="I143" s="35" t="e">
        <v>#N/A</v>
      </c>
      <c r="J143" s="35" t="e">
        <v>#N/A</v>
      </c>
      <c r="K143" s="35" t="e">
        <v>#N/A</v>
      </c>
    </row>
    <row r="144" spans="3:11" x14ac:dyDescent="0.3">
      <c r="D144" s="35" t="str">
        <v>X-006</v>
      </c>
      <c r="E144" s="35" t="str">
        <v>FFF</v>
      </c>
      <c r="F144" s="35">
        <v>6</v>
      </c>
      <c r="G144" s="35" t="str">
        <v>^</v>
      </c>
      <c r="H144" s="35" t="str">
        <v>X-006</v>
      </c>
      <c r="I144" s="35">
        <v>6</v>
      </c>
      <c r="J144" s="35" t="str">
        <v>^</v>
      </c>
      <c r="K144" s="35" t="str">
        <v>six</v>
      </c>
    </row>
    <row r="145" spans="4:11" x14ac:dyDescent="0.3">
      <c r="D145" s="35" t="str">
        <v>X-007</v>
      </c>
      <c r="E145" s="35" t="str">
        <v>GGG</v>
      </c>
      <c r="F145" s="35">
        <v>7</v>
      </c>
      <c r="G145" s="35" t="str">
        <v>&amp;</v>
      </c>
      <c r="H145" s="35" t="str">
        <v>X-007</v>
      </c>
      <c r="I145" s="35">
        <v>7</v>
      </c>
      <c r="J145" s="35" t="str">
        <v>&amp;</v>
      </c>
      <c r="K145" s="35" t="str">
        <v>seven</v>
      </c>
    </row>
    <row r="146" spans="4:11" x14ac:dyDescent="0.3">
      <c r="D146" s="35" t="str">
        <v>X-008</v>
      </c>
      <c r="E146" s="35" t="str">
        <v>HHH</v>
      </c>
      <c r="F146" s="35">
        <v>8</v>
      </c>
      <c r="G146" s="35" t="str">
        <v>*</v>
      </c>
      <c r="H146" s="35" t="str">
        <v>X-008</v>
      </c>
      <c r="I146" s="35">
        <v>8</v>
      </c>
      <c r="J146" s="35" t="str">
        <v>*</v>
      </c>
      <c r="K146" s="35" t="str">
        <v>eight</v>
      </c>
    </row>
    <row r="147" spans="4:11" x14ac:dyDescent="0.3">
      <c r="D147" s="35" t="str">
        <v>X-009</v>
      </c>
      <c r="E147" s="35" t="str">
        <v>III</v>
      </c>
      <c r="F147" s="35">
        <v>9</v>
      </c>
      <c r="G147" s="35" t="str">
        <v>(</v>
      </c>
      <c r="H147" s="35" t="str">
        <v>X-009</v>
      </c>
      <c r="I147" s="35">
        <v>9</v>
      </c>
      <c r="J147" s="35" t="str">
        <v>(</v>
      </c>
      <c r="K147" s="35" t="str">
        <v>nine</v>
      </c>
    </row>
    <row r="148" spans="4:11" x14ac:dyDescent="0.3">
      <c r="D148" s="35" t="str">
        <v>X-010</v>
      </c>
      <c r="E148" s="35" t="str">
        <v>JJJ</v>
      </c>
      <c r="F148" s="35">
        <v>10</v>
      </c>
      <c r="G148" s="35" t="str">
        <v>)</v>
      </c>
      <c r="H148" s="35" t="str">
        <v>X-010</v>
      </c>
      <c r="I148" s="35">
        <v>10</v>
      </c>
      <c r="J148" s="35" t="str">
        <v>)</v>
      </c>
      <c r="K148" s="35" t="str">
        <v>ten</v>
      </c>
    </row>
    <row r="149" spans="4:11" x14ac:dyDescent="0.3">
      <c r="D149" s="35"/>
      <c r="E149" s="35"/>
      <c r="F149" s="35"/>
      <c r="G149" s="35"/>
      <c r="H149" s="35"/>
      <c r="I149" s="35"/>
      <c r="J149" s="35"/>
      <c r="K149" s="35"/>
    </row>
    <row r="150" spans="4:11" x14ac:dyDescent="0.3">
      <c r="D150" s="35"/>
      <c r="E150" s="35"/>
      <c r="F150" s="35"/>
      <c r="G150" s="35"/>
      <c r="H150" s="35"/>
      <c r="I150" s="35"/>
      <c r="J150" s="35"/>
      <c r="K150" s="35"/>
    </row>
    <row r="151" spans="4:11" x14ac:dyDescent="0.3">
      <c r="D151" s="39" t="str">
        <f ca="1" xml:space="preserve"> _xlfn.FORMULATEXT(D139)</f>
        <v>= RXL_Join($D$19:$G$28, $I$19:$L$28, 1, 1, 0)</v>
      </c>
    </row>
    <row r="153" spans="4:11" x14ac:dyDescent="0.3">
      <c r="D153" t="s">
        <v>381</v>
      </c>
    </row>
    <row r="154" spans="4:11" x14ac:dyDescent="0.3">
      <c r="D154" s="56" t="s">
        <v>385</v>
      </c>
    </row>
    <row r="155" spans="4:11" ht="14.4" thickBot="1" x14ac:dyDescent="0.35">
      <c r="D155" s="32" t="s">
        <v>76</v>
      </c>
      <c r="E155" s="32" t="s">
        <v>9</v>
      </c>
      <c r="F155" s="32" t="s">
        <v>106</v>
      </c>
      <c r="G155" s="32" t="s">
        <v>116</v>
      </c>
      <c r="H155" s="32" t="s">
        <v>117</v>
      </c>
      <c r="I155" s="32"/>
      <c r="J155" s="32"/>
      <c r="K155" s="32"/>
    </row>
    <row r="156" spans="4:11" x14ac:dyDescent="0.3">
      <c r="D156" s="35" t="str" cm="1">
        <f t="array" ref="D156:H165" xml:space="preserve"> RXL_Join($D$19:$G$28, $I$19:$L$28, 1, 1, 0, {1,2}, {2,3,4})</f>
        <v>X-001</v>
      </c>
      <c r="E156" s="35" t="str">
        <v>AAA</v>
      </c>
      <c r="F156" s="35">
        <v>1</v>
      </c>
      <c r="G156" s="35" t="str">
        <v>!</v>
      </c>
      <c r="H156" s="35" t="str">
        <v>one</v>
      </c>
      <c r="I156" s="35"/>
      <c r="J156" s="35"/>
      <c r="K156" s="35"/>
    </row>
    <row r="157" spans="4:11" x14ac:dyDescent="0.3">
      <c r="D157" s="35" t="str">
        <v>X-002</v>
      </c>
      <c r="E157" s="35" t="str">
        <v>BBB</v>
      </c>
      <c r="F157" s="35">
        <v>2</v>
      </c>
      <c r="G157" s="35" t="str">
        <v>"</v>
      </c>
      <c r="H157" s="35" t="str">
        <v>two</v>
      </c>
      <c r="I157" s="35"/>
      <c r="J157" s="35"/>
      <c r="K157" s="35"/>
    </row>
    <row r="158" spans="4:11" x14ac:dyDescent="0.3">
      <c r="D158" s="35" t="str">
        <v>X-003</v>
      </c>
      <c r="E158" s="35" t="str">
        <v>CCC</v>
      </c>
      <c r="F158" s="35" t="e">
        <v>#N/A</v>
      </c>
      <c r="G158" s="35" t="e">
        <v>#N/A</v>
      </c>
      <c r="H158" s="35" t="e">
        <v>#N/A</v>
      </c>
      <c r="I158" s="35"/>
      <c r="J158" s="35"/>
      <c r="K158" s="35"/>
    </row>
    <row r="159" spans="4:11" x14ac:dyDescent="0.3">
      <c r="D159" s="35" t="str">
        <v>X-004</v>
      </c>
      <c r="E159" s="35" t="str">
        <v>DDD</v>
      </c>
      <c r="F159" s="35">
        <v>4</v>
      </c>
      <c r="G159" s="35" t="str">
        <v>$</v>
      </c>
      <c r="H159" s="35" t="str">
        <v>four</v>
      </c>
      <c r="I159" s="35"/>
      <c r="J159" s="35"/>
      <c r="K159" s="35"/>
    </row>
    <row r="160" spans="4:11" x14ac:dyDescent="0.3">
      <c r="D160" s="35" t="str">
        <v>X-005</v>
      </c>
      <c r="E160" s="35" t="str">
        <v>EEE</v>
      </c>
      <c r="F160" s="35" t="e">
        <v>#N/A</v>
      </c>
      <c r="G160" s="35" t="e">
        <v>#N/A</v>
      </c>
      <c r="H160" s="35" t="e">
        <v>#N/A</v>
      </c>
      <c r="I160" s="35"/>
      <c r="J160" s="35"/>
      <c r="K160" s="35"/>
    </row>
    <row r="161" spans="4:11" x14ac:dyDescent="0.3">
      <c r="D161" s="35" t="str">
        <v>X-006</v>
      </c>
      <c r="E161" s="35" t="str">
        <v>FFF</v>
      </c>
      <c r="F161" s="35">
        <v>6</v>
      </c>
      <c r="G161" s="35" t="str">
        <v>^</v>
      </c>
      <c r="H161" s="35" t="str">
        <v>six</v>
      </c>
      <c r="I161" s="35"/>
      <c r="J161" s="35"/>
      <c r="K161" s="35"/>
    </row>
    <row r="162" spans="4:11" x14ac:dyDescent="0.3">
      <c r="D162" s="35" t="str">
        <v>X-007</v>
      </c>
      <c r="E162" s="35" t="str">
        <v>GGG</v>
      </c>
      <c r="F162" s="35">
        <v>7</v>
      </c>
      <c r="G162" s="35" t="str">
        <v>&amp;</v>
      </c>
      <c r="H162" s="35" t="str">
        <v>seven</v>
      </c>
      <c r="I162" s="35"/>
      <c r="J162" s="35"/>
      <c r="K162" s="35"/>
    </row>
    <row r="163" spans="4:11" x14ac:dyDescent="0.3">
      <c r="D163" s="35" t="str">
        <v>X-008</v>
      </c>
      <c r="E163" s="35" t="str">
        <v>HHH</v>
      </c>
      <c r="F163" s="35">
        <v>8</v>
      </c>
      <c r="G163" s="35" t="str">
        <v>*</v>
      </c>
      <c r="H163" s="35" t="str">
        <v>eight</v>
      </c>
      <c r="I163" s="35"/>
      <c r="J163" s="35"/>
      <c r="K163" s="35"/>
    </row>
    <row r="164" spans="4:11" x14ac:dyDescent="0.3">
      <c r="D164" s="35" t="str">
        <v>X-009</v>
      </c>
      <c r="E164" s="35" t="str">
        <v>III</v>
      </c>
      <c r="F164" s="35">
        <v>9</v>
      </c>
      <c r="G164" s="35" t="str">
        <v>(</v>
      </c>
      <c r="H164" s="35" t="str">
        <v>nine</v>
      </c>
      <c r="I164" s="35"/>
      <c r="J164" s="35"/>
      <c r="K164" s="35"/>
    </row>
    <row r="165" spans="4:11" x14ac:dyDescent="0.3">
      <c r="D165" s="35" t="str">
        <v>X-010</v>
      </c>
      <c r="E165" s="35" t="str">
        <v>JJJ</v>
      </c>
      <c r="F165" s="35">
        <v>10</v>
      </c>
      <c r="G165" s="35" t="str">
        <v>)</v>
      </c>
      <c r="H165" s="35" t="str">
        <v>ten</v>
      </c>
      <c r="I165" s="35"/>
      <c r="J165" s="35"/>
      <c r="K165" s="35"/>
    </row>
    <row r="166" spans="4:11" x14ac:dyDescent="0.3">
      <c r="D166" s="35"/>
      <c r="E166" s="35"/>
      <c r="F166" s="35"/>
      <c r="G166" s="35"/>
      <c r="H166" s="35"/>
      <c r="I166" s="35"/>
      <c r="J166" s="35"/>
      <c r="K166" s="35"/>
    </row>
    <row r="167" spans="4:11" x14ac:dyDescent="0.3">
      <c r="D167" s="35"/>
      <c r="E167" s="35"/>
      <c r="F167" s="35"/>
      <c r="G167" s="35"/>
      <c r="H167" s="35"/>
      <c r="I167" s="35"/>
      <c r="J167" s="35"/>
      <c r="K167" s="35"/>
    </row>
    <row r="168" spans="4:11" x14ac:dyDescent="0.3">
      <c r="D168" s="39" t="str">
        <f ca="1" xml:space="preserve"> _xlfn.FORMULATEXT(D156)</f>
        <v>= RXL_Join($D$19:$G$28, $I$19:$L$28, 1, 1, 0, {1,2}, {2,3,4})</v>
      </c>
    </row>
    <row r="170" spans="4:11" x14ac:dyDescent="0.3">
      <c r="D170" t="s">
        <v>381</v>
      </c>
    </row>
    <row r="171" spans="4:11" x14ac:dyDescent="0.3">
      <c r="D171" s="56" t="s">
        <v>385</v>
      </c>
    </row>
    <row r="172" spans="4:11" x14ac:dyDescent="0.3">
      <c r="D172" s="56" t="s">
        <v>387</v>
      </c>
    </row>
    <row r="173" spans="4:11" ht="14.4" thickBot="1" x14ac:dyDescent="0.35">
      <c r="D173" s="32" t="s">
        <v>76</v>
      </c>
      <c r="E173" s="32" t="s">
        <v>9</v>
      </c>
      <c r="F173" s="32" t="s">
        <v>117</v>
      </c>
      <c r="G173" s="32" t="s">
        <v>116</v>
      </c>
      <c r="H173" s="32" t="s">
        <v>106</v>
      </c>
      <c r="I173" s="32"/>
      <c r="J173" s="32"/>
      <c r="K173" s="32"/>
    </row>
    <row r="174" spans="4:11" x14ac:dyDescent="0.3">
      <c r="D174" s="35" t="str" cm="1">
        <f t="array" ref="D174:H183" xml:space="preserve"> RXL_Join($D$19:$G$28, $I$19:$L$28, 1, 1, 0, {1,2}, {4,3,2})</f>
        <v>X-001</v>
      </c>
      <c r="E174" s="35" t="str">
        <v>AAA</v>
      </c>
      <c r="F174" s="35" t="str">
        <v>one</v>
      </c>
      <c r="G174" s="35" t="str">
        <v>!</v>
      </c>
      <c r="H174" s="35">
        <v>1</v>
      </c>
      <c r="I174" s="35"/>
      <c r="J174" s="35"/>
      <c r="K174" s="35"/>
    </row>
    <row r="175" spans="4:11" x14ac:dyDescent="0.3">
      <c r="D175" s="35" t="str">
        <v>X-002</v>
      </c>
      <c r="E175" s="35" t="str">
        <v>BBB</v>
      </c>
      <c r="F175" s="35" t="str">
        <v>two</v>
      </c>
      <c r="G175" s="35" t="str">
        <v>"</v>
      </c>
      <c r="H175" s="35">
        <v>2</v>
      </c>
      <c r="I175" s="35"/>
      <c r="J175" s="35"/>
      <c r="K175" s="35"/>
    </row>
    <row r="176" spans="4:11" x14ac:dyDescent="0.3">
      <c r="D176" s="35" t="str">
        <v>X-003</v>
      </c>
      <c r="E176" s="35" t="str">
        <v>CCC</v>
      </c>
      <c r="F176" s="35" t="e">
        <v>#N/A</v>
      </c>
      <c r="G176" s="35" t="e">
        <v>#N/A</v>
      </c>
      <c r="H176" s="35" t="e">
        <v>#N/A</v>
      </c>
      <c r="I176" s="35"/>
      <c r="J176" s="35"/>
      <c r="K176" s="35"/>
    </row>
    <row r="177" spans="3:11" x14ac:dyDescent="0.3">
      <c r="D177" s="35" t="str">
        <v>X-004</v>
      </c>
      <c r="E177" s="35" t="str">
        <v>DDD</v>
      </c>
      <c r="F177" s="35" t="str">
        <v>four</v>
      </c>
      <c r="G177" s="35" t="str">
        <v>$</v>
      </c>
      <c r="H177" s="35">
        <v>4</v>
      </c>
      <c r="I177" s="35"/>
      <c r="J177" s="35"/>
      <c r="K177" s="35"/>
    </row>
    <row r="178" spans="3:11" x14ac:dyDescent="0.3">
      <c r="D178" s="35" t="str">
        <v>X-005</v>
      </c>
      <c r="E178" s="35" t="str">
        <v>EEE</v>
      </c>
      <c r="F178" s="35" t="e">
        <v>#N/A</v>
      </c>
      <c r="G178" s="35" t="e">
        <v>#N/A</v>
      </c>
      <c r="H178" s="35" t="e">
        <v>#N/A</v>
      </c>
      <c r="I178" s="35"/>
      <c r="J178" s="35"/>
      <c r="K178" s="35"/>
    </row>
    <row r="179" spans="3:11" x14ac:dyDescent="0.3">
      <c r="D179" s="35" t="str">
        <v>X-006</v>
      </c>
      <c r="E179" s="35" t="str">
        <v>FFF</v>
      </c>
      <c r="F179" s="35" t="str">
        <v>six</v>
      </c>
      <c r="G179" s="35" t="str">
        <v>^</v>
      </c>
      <c r="H179" s="35">
        <v>6</v>
      </c>
      <c r="I179" s="35"/>
      <c r="J179" s="35"/>
      <c r="K179" s="35"/>
    </row>
    <row r="180" spans="3:11" x14ac:dyDescent="0.3">
      <c r="D180" s="35" t="str">
        <v>X-007</v>
      </c>
      <c r="E180" s="35" t="str">
        <v>GGG</v>
      </c>
      <c r="F180" s="35" t="str">
        <v>seven</v>
      </c>
      <c r="G180" s="35" t="str">
        <v>&amp;</v>
      </c>
      <c r="H180" s="35">
        <v>7</v>
      </c>
      <c r="I180" s="35"/>
      <c r="J180" s="35"/>
      <c r="K180" s="35"/>
    </row>
    <row r="181" spans="3:11" x14ac:dyDescent="0.3">
      <c r="D181" s="35" t="str">
        <v>X-008</v>
      </c>
      <c r="E181" s="35" t="str">
        <v>HHH</v>
      </c>
      <c r="F181" s="35" t="str">
        <v>eight</v>
      </c>
      <c r="G181" s="35" t="str">
        <v>*</v>
      </c>
      <c r="H181" s="35">
        <v>8</v>
      </c>
      <c r="I181" s="35"/>
      <c r="J181" s="35"/>
      <c r="K181" s="35"/>
    </row>
    <row r="182" spans="3:11" x14ac:dyDescent="0.3">
      <c r="D182" s="35" t="str">
        <v>X-009</v>
      </c>
      <c r="E182" s="35" t="str">
        <v>III</v>
      </c>
      <c r="F182" s="35" t="str">
        <v>nine</v>
      </c>
      <c r="G182" s="35" t="str">
        <v>(</v>
      </c>
      <c r="H182" s="35">
        <v>9</v>
      </c>
      <c r="I182" s="35"/>
      <c r="J182" s="35"/>
      <c r="K182" s="35"/>
    </row>
    <row r="183" spans="3:11" x14ac:dyDescent="0.3">
      <c r="D183" s="35" t="str">
        <v>X-010</v>
      </c>
      <c r="E183" s="35" t="str">
        <v>JJJ</v>
      </c>
      <c r="F183" s="35" t="str">
        <v>ten</v>
      </c>
      <c r="G183" s="35" t="str">
        <v>)</v>
      </c>
      <c r="H183" s="35">
        <v>10</v>
      </c>
      <c r="I183" s="35"/>
      <c r="J183" s="35"/>
      <c r="K183" s="35"/>
    </row>
    <row r="184" spans="3:11" x14ac:dyDescent="0.3">
      <c r="D184" s="35"/>
      <c r="E184" s="35"/>
      <c r="F184" s="35"/>
      <c r="G184" s="35"/>
      <c r="H184" s="35"/>
      <c r="I184" s="35"/>
      <c r="J184" s="35"/>
      <c r="K184" s="35"/>
    </row>
    <row r="185" spans="3:11" x14ac:dyDescent="0.3">
      <c r="D185" s="35"/>
      <c r="E185" s="35"/>
      <c r="F185" s="35"/>
      <c r="G185" s="35"/>
      <c r="H185" s="35"/>
      <c r="I185" s="35"/>
      <c r="J185" s="35"/>
      <c r="K185" s="35"/>
    </row>
    <row r="186" spans="3:11" x14ac:dyDescent="0.3">
      <c r="D186" s="39" t="str">
        <f ca="1" xml:space="preserve"> _xlfn.FORMULATEXT(D174)</f>
        <v>= RXL_Join($D$19:$G$28, $I$19:$L$28, 1, 1, 0, {1,2}, {4,3,2})</v>
      </c>
    </row>
    <row r="189" spans="3:11" x14ac:dyDescent="0.3">
      <c r="C189" s="3" t="s">
        <v>346</v>
      </c>
    </row>
    <row r="190" spans="3:11" x14ac:dyDescent="0.3">
      <c r="D190" t="s">
        <v>380</v>
      </c>
    </row>
    <row r="191" spans="3:11" x14ac:dyDescent="0.3">
      <c r="D191" s="56" t="s">
        <v>388</v>
      </c>
    </row>
    <row r="192" spans="3:11" x14ac:dyDescent="0.3">
      <c r="D192" s="56" t="s">
        <v>389</v>
      </c>
    </row>
    <row r="193" spans="4:11" x14ac:dyDescent="0.3">
      <c r="D193" s="70" t="s">
        <v>390</v>
      </c>
    </row>
    <row r="194" spans="4:11" ht="14.4" thickBot="1" x14ac:dyDescent="0.35">
      <c r="D194" s="32" t="s">
        <v>76</v>
      </c>
      <c r="E194" s="32" t="s">
        <v>106</v>
      </c>
      <c r="F194" s="32" t="s">
        <v>116</v>
      </c>
      <c r="G194" s="32" t="s">
        <v>117</v>
      </c>
      <c r="H194" s="32" t="s">
        <v>76</v>
      </c>
      <c r="I194" s="32" t="s">
        <v>9</v>
      </c>
      <c r="J194" s="32" t="s">
        <v>10</v>
      </c>
      <c r="K194" s="32" t="s">
        <v>11</v>
      </c>
    </row>
    <row r="195" spans="4:11" x14ac:dyDescent="0.3">
      <c r="D195" s="35" t="str" cm="1">
        <f t="array" ref="D195:K206" xml:space="preserve"> RXL_Join($I$19:$L$28, $D$19:$G$28, 1, 1, 3, , , FALSE)</f>
        <v>X-009</v>
      </c>
      <c r="E195" s="35">
        <v>9</v>
      </c>
      <c r="F195" s="35" t="str">
        <v>(</v>
      </c>
      <c r="G195" s="35" t="str">
        <v>nine</v>
      </c>
      <c r="H195" s="35" t="str">
        <v>X-009</v>
      </c>
      <c r="I195" s="35" t="str">
        <v>III</v>
      </c>
      <c r="J195" s="35">
        <v>9</v>
      </c>
      <c r="K195" s="35" t="str">
        <v>(</v>
      </c>
    </row>
    <row r="196" spans="4:11" x14ac:dyDescent="0.3">
      <c r="D196" s="35" t="str">
        <v>X-007</v>
      </c>
      <c r="E196" s="35">
        <v>7</v>
      </c>
      <c r="F196" s="35" t="str">
        <v>&amp;</v>
      </c>
      <c r="G196" s="35" t="str">
        <v>seven</v>
      </c>
      <c r="H196" s="35" t="str">
        <v>X-007</v>
      </c>
      <c r="I196" s="35" t="str">
        <v>GGG</v>
      </c>
      <c r="J196" s="35">
        <v>7</v>
      </c>
      <c r="K196" s="35" t="str">
        <v>&amp;</v>
      </c>
    </row>
    <row r="197" spans="4:11" x14ac:dyDescent="0.3">
      <c r="D197" s="35" t="str">
        <v>X-010</v>
      </c>
      <c r="E197" s="35">
        <v>10</v>
      </c>
      <c r="F197" s="35" t="str">
        <v>)</v>
      </c>
      <c r="G197" s="35" t="str">
        <v>ten</v>
      </c>
      <c r="H197" s="35" t="str">
        <v>X-010</v>
      </c>
      <c r="I197" s="35" t="str">
        <v>JJJ</v>
      </c>
      <c r="J197" s="35">
        <v>10</v>
      </c>
      <c r="K197" s="35" t="str">
        <v>)</v>
      </c>
    </row>
    <row r="198" spans="4:11" x14ac:dyDescent="0.3">
      <c r="D198" s="35" t="str">
        <v>X-002</v>
      </c>
      <c r="E198" s="35">
        <v>2</v>
      </c>
      <c r="F198" s="35" t="str">
        <v>"</v>
      </c>
      <c r="G198" s="35" t="str">
        <v>two</v>
      </c>
      <c r="H198" s="35" t="str">
        <v>X-002</v>
      </c>
      <c r="I198" s="35" t="str">
        <v>BBB</v>
      </c>
      <c r="J198" s="35">
        <v>2</v>
      </c>
      <c r="K198" s="35" t="str">
        <v>"</v>
      </c>
    </row>
    <row r="199" spans="4:11" x14ac:dyDescent="0.3">
      <c r="D199" s="35" t="str">
        <v>X-004</v>
      </c>
      <c r="E199" s="35">
        <v>4</v>
      </c>
      <c r="F199" s="35" t="str">
        <v>$</v>
      </c>
      <c r="G199" s="35" t="str">
        <v>four</v>
      </c>
      <c r="H199" s="35" t="str">
        <v>X-004</v>
      </c>
      <c r="I199" s="35" t="str">
        <v>DDD</v>
      </c>
      <c r="J199" s="35">
        <v>4</v>
      </c>
      <c r="K199" s="35" t="str">
        <v>$</v>
      </c>
    </row>
    <row r="200" spans="4:11" x14ac:dyDescent="0.3">
      <c r="D200" s="35" t="str">
        <v>X-008</v>
      </c>
      <c r="E200" s="35">
        <v>8</v>
      </c>
      <c r="F200" s="35" t="str">
        <v>*</v>
      </c>
      <c r="G200" s="35" t="str">
        <v>eight</v>
      </c>
      <c r="H200" s="35" t="str">
        <v>X-008</v>
      </c>
      <c r="I200" s="35" t="str">
        <v>HHH</v>
      </c>
      <c r="J200" s="35">
        <v>8</v>
      </c>
      <c r="K200" s="35" t="str">
        <v>*</v>
      </c>
    </row>
    <row r="201" spans="4:11" x14ac:dyDescent="0.3">
      <c r="D201" s="35" t="str">
        <v>X-012</v>
      </c>
      <c r="E201" s="35">
        <v>12</v>
      </c>
      <c r="F201" s="35" t="str">
        <v>@</v>
      </c>
      <c r="G201" s="35" t="str">
        <v>twelve</v>
      </c>
      <c r="H201" s="35" t="e">
        <v>#N/A</v>
      </c>
      <c r="I201" s="35" t="e">
        <v>#N/A</v>
      </c>
      <c r="J201" s="35" t="e">
        <v>#N/A</v>
      </c>
      <c r="K201" s="35" t="e">
        <v>#N/A</v>
      </c>
    </row>
    <row r="202" spans="4:11" x14ac:dyDescent="0.3">
      <c r="D202" s="35" t="str">
        <v>X-001</v>
      </c>
      <c r="E202" s="35">
        <v>1</v>
      </c>
      <c r="F202" s="35" t="str">
        <v>!</v>
      </c>
      <c r="G202" s="35" t="str">
        <v>one</v>
      </c>
      <c r="H202" s="35" t="str">
        <v>X-001</v>
      </c>
      <c r="I202" s="35" t="str">
        <v>AAA</v>
      </c>
      <c r="J202" s="35">
        <v>1</v>
      </c>
      <c r="K202" s="35" t="str">
        <v>!</v>
      </c>
    </row>
    <row r="203" spans="4:11" x14ac:dyDescent="0.3">
      <c r="D203" s="35" t="str">
        <v>X-006</v>
      </c>
      <c r="E203" s="35">
        <v>6</v>
      </c>
      <c r="F203" s="35" t="str">
        <v>^</v>
      </c>
      <c r="G203" s="35" t="str">
        <v>six</v>
      </c>
      <c r="H203" s="35" t="str">
        <v>X-006</v>
      </c>
      <c r="I203" s="35" t="str">
        <v>FFF</v>
      </c>
      <c r="J203" s="35">
        <v>6</v>
      </c>
      <c r="K203" s="35" t="str">
        <v>^</v>
      </c>
    </row>
    <row r="204" spans="4:11" x14ac:dyDescent="0.3">
      <c r="D204" s="35" t="str">
        <v>X-011</v>
      </c>
      <c r="E204" s="35">
        <v>11</v>
      </c>
      <c r="F204" s="35" t="str">
        <v>~</v>
      </c>
      <c r="G204" s="35" t="str">
        <v>eleven</v>
      </c>
      <c r="H204" s="35" t="e">
        <v>#N/A</v>
      </c>
      <c r="I204" s="35" t="e">
        <v>#N/A</v>
      </c>
      <c r="J204" s="35" t="e">
        <v>#N/A</v>
      </c>
      <c r="K204" s="35" t="e">
        <v>#N/A</v>
      </c>
    </row>
    <row r="205" spans="4:11" x14ac:dyDescent="0.3">
      <c r="D205" s="35" t="e">
        <v>#N/A</v>
      </c>
      <c r="E205" s="35" t="e">
        <v>#N/A</v>
      </c>
      <c r="F205" s="35" t="e">
        <v>#N/A</v>
      </c>
      <c r="G205" s="35" t="e">
        <v>#N/A</v>
      </c>
      <c r="H205" s="35" t="str">
        <v>X-003</v>
      </c>
      <c r="I205" s="35" t="str">
        <v>CCC</v>
      </c>
      <c r="J205" s="35">
        <v>3</v>
      </c>
      <c r="K205" s="35" t="str">
        <v>£</v>
      </c>
    </row>
    <row r="206" spans="4:11" x14ac:dyDescent="0.3">
      <c r="D206" s="35" t="e">
        <v>#N/A</v>
      </c>
      <c r="E206" s="35" t="e">
        <v>#N/A</v>
      </c>
      <c r="F206" s="35" t="e">
        <v>#N/A</v>
      </c>
      <c r="G206" s="35" t="e">
        <v>#N/A</v>
      </c>
      <c r="H206" s="35" t="str">
        <v>X-005</v>
      </c>
      <c r="I206" s="35" t="str">
        <v>EEE</v>
      </c>
      <c r="J206" s="35">
        <v>5</v>
      </c>
      <c r="K206" s="35" t="str">
        <v>%</v>
      </c>
    </row>
    <row r="207" spans="4:11" x14ac:dyDescent="0.3">
      <c r="D207" s="39" t="str">
        <f ca="1" xml:space="preserve"> _xlfn.FORMULATEXT(D195)</f>
        <v>= RXL_Join($I$19:$L$28, $D$19:$G$28, 1, 1, 3, , , FALSE)</v>
      </c>
    </row>
    <row r="209" spans="4:11" x14ac:dyDescent="0.3">
      <c r="D209" t="s">
        <v>380</v>
      </c>
    </row>
    <row r="210" spans="4:11" x14ac:dyDescent="0.3">
      <c r="D210" s="56" t="s">
        <v>388</v>
      </c>
    </row>
    <row r="211" spans="4:11" x14ac:dyDescent="0.3">
      <c r="D211" s="56" t="s">
        <v>392</v>
      </c>
    </row>
    <row r="212" spans="4:11" x14ac:dyDescent="0.3">
      <c r="D212" s="70" t="s">
        <v>391</v>
      </c>
    </row>
    <row r="213" spans="4:11" ht="14.4" thickBot="1" x14ac:dyDescent="0.35">
      <c r="D213" s="32" t="s">
        <v>76</v>
      </c>
      <c r="E213" s="32" t="s">
        <v>106</v>
      </c>
      <c r="F213" s="32" t="s">
        <v>116</v>
      </c>
      <c r="G213" s="32" t="s">
        <v>117</v>
      </c>
      <c r="H213" s="32" t="s">
        <v>76</v>
      </c>
      <c r="I213" s="32" t="s">
        <v>9</v>
      </c>
      <c r="J213" s="32" t="s">
        <v>10</v>
      </c>
      <c r="K213" s="32" t="s">
        <v>11</v>
      </c>
    </row>
    <row r="214" spans="4:11" x14ac:dyDescent="0.3">
      <c r="D214" s="35" t="str" cm="1">
        <f t="array" ref="D214:K225" xml:space="preserve"> RXL_Join($I$19:$L$28, $D$19:$G$28, 1, 1, 3, , , TRUE)</f>
        <v>X-001</v>
      </c>
      <c r="E214" s="35">
        <v>1</v>
      </c>
      <c r="F214" s="35" t="str">
        <v>!</v>
      </c>
      <c r="G214" s="35" t="str">
        <v>one</v>
      </c>
      <c r="H214" s="35" t="str">
        <v>X-001</v>
      </c>
      <c r="I214" s="35" t="str">
        <v>AAA</v>
      </c>
      <c r="J214" s="35">
        <v>1</v>
      </c>
      <c r="K214" s="35" t="str">
        <v>!</v>
      </c>
    </row>
    <row r="215" spans="4:11" x14ac:dyDescent="0.3">
      <c r="D215" s="35" t="str">
        <v>X-002</v>
      </c>
      <c r="E215" s="35">
        <v>2</v>
      </c>
      <c r="F215" s="35" t="str">
        <v>"</v>
      </c>
      <c r="G215" s="35" t="str">
        <v>two</v>
      </c>
      <c r="H215" s="35" t="str">
        <v>X-002</v>
      </c>
      <c r="I215" s="35" t="str">
        <v>BBB</v>
      </c>
      <c r="J215" s="35">
        <v>2</v>
      </c>
      <c r="K215" s="35" t="str">
        <v>"</v>
      </c>
    </row>
    <row r="216" spans="4:11" x14ac:dyDescent="0.3">
      <c r="D216" s="35" t="e">
        <v>#N/A</v>
      </c>
      <c r="E216" s="35" t="e">
        <v>#N/A</v>
      </c>
      <c r="F216" s="35" t="e">
        <v>#N/A</v>
      </c>
      <c r="G216" s="35" t="e">
        <v>#N/A</v>
      </c>
      <c r="H216" s="35" t="str">
        <v>X-003</v>
      </c>
      <c r="I216" s="35" t="str">
        <v>CCC</v>
      </c>
      <c r="J216" s="35">
        <v>3</v>
      </c>
      <c r="K216" s="35" t="str">
        <v>£</v>
      </c>
    </row>
    <row r="217" spans="4:11" x14ac:dyDescent="0.3">
      <c r="D217" s="35" t="str">
        <v>X-004</v>
      </c>
      <c r="E217" s="35">
        <v>4</v>
      </c>
      <c r="F217" s="35" t="str">
        <v>$</v>
      </c>
      <c r="G217" s="35" t="str">
        <v>four</v>
      </c>
      <c r="H217" s="35" t="str">
        <v>X-004</v>
      </c>
      <c r="I217" s="35" t="str">
        <v>DDD</v>
      </c>
      <c r="J217" s="35">
        <v>4</v>
      </c>
      <c r="K217" s="35" t="str">
        <v>$</v>
      </c>
    </row>
    <row r="218" spans="4:11" x14ac:dyDescent="0.3">
      <c r="D218" s="35" t="e">
        <v>#N/A</v>
      </c>
      <c r="E218" s="35" t="e">
        <v>#N/A</v>
      </c>
      <c r="F218" s="35" t="e">
        <v>#N/A</v>
      </c>
      <c r="G218" s="35" t="e">
        <v>#N/A</v>
      </c>
      <c r="H218" s="35" t="str">
        <v>X-005</v>
      </c>
      <c r="I218" s="35" t="str">
        <v>EEE</v>
      </c>
      <c r="J218" s="35">
        <v>5</v>
      </c>
      <c r="K218" s="35" t="str">
        <v>%</v>
      </c>
    </row>
    <row r="219" spans="4:11" x14ac:dyDescent="0.3">
      <c r="D219" s="35" t="str">
        <v>X-006</v>
      </c>
      <c r="E219" s="35">
        <v>6</v>
      </c>
      <c r="F219" s="35" t="str">
        <v>^</v>
      </c>
      <c r="G219" s="35" t="str">
        <v>six</v>
      </c>
      <c r="H219" s="35" t="str">
        <v>X-006</v>
      </c>
      <c r="I219" s="35" t="str">
        <v>FFF</v>
      </c>
      <c r="J219" s="35">
        <v>6</v>
      </c>
      <c r="K219" s="35" t="str">
        <v>^</v>
      </c>
    </row>
    <row r="220" spans="4:11" x14ac:dyDescent="0.3">
      <c r="D220" s="35" t="str">
        <v>X-007</v>
      </c>
      <c r="E220" s="35">
        <v>7</v>
      </c>
      <c r="F220" s="35" t="str">
        <v>&amp;</v>
      </c>
      <c r="G220" s="35" t="str">
        <v>seven</v>
      </c>
      <c r="H220" s="35" t="str">
        <v>X-007</v>
      </c>
      <c r="I220" s="35" t="str">
        <v>GGG</v>
      </c>
      <c r="J220" s="35">
        <v>7</v>
      </c>
      <c r="K220" s="35" t="str">
        <v>&amp;</v>
      </c>
    </row>
    <row r="221" spans="4:11" x14ac:dyDescent="0.3">
      <c r="D221" s="35" t="str">
        <v>X-008</v>
      </c>
      <c r="E221" s="35">
        <v>8</v>
      </c>
      <c r="F221" s="35" t="str">
        <v>*</v>
      </c>
      <c r="G221" s="35" t="str">
        <v>eight</v>
      </c>
      <c r="H221" s="35" t="str">
        <v>X-008</v>
      </c>
      <c r="I221" s="35" t="str">
        <v>HHH</v>
      </c>
      <c r="J221" s="35">
        <v>8</v>
      </c>
      <c r="K221" s="35" t="str">
        <v>*</v>
      </c>
    </row>
    <row r="222" spans="4:11" x14ac:dyDescent="0.3">
      <c r="D222" s="35" t="str">
        <v>X-009</v>
      </c>
      <c r="E222" s="35">
        <v>9</v>
      </c>
      <c r="F222" s="35" t="str">
        <v>(</v>
      </c>
      <c r="G222" s="35" t="str">
        <v>nine</v>
      </c>
      <c r="H222" s="35" t="str">
        <v>X-009</v>
      </c>
      <c r="I222" s="35" t="str">
        <v>III</v>
      </c>
      <c r="J222" s="35">
        <v>9</v>
      </c>
      <c r="K222" s="35" t="str">
        <v>(</v>
      </c>
    </row>
    <row r="223" spans="4:11" x14ac:dyDescent="0.3">
      <c r="D223" s="35" t="str">
        <v>X-010</v>
      </c>
      <c r="E223" s="35">
        <v>10</v>
      </c>
      <c r="F223" s="35" t="str">
        <v>)</v>
      </c>
      <c r="G223" s="35" t="str">
        <v>ten</v>
      </c>
      <c r="H223" s="35" t="str">
        <v>X-010</v>
      </c>
      <c r="I223" s="35" t="str">
        <v>JJJ</v>
      </c>
      <c r="J223" s="35">
        <v>10</v>
      </c>
      <c r="K223" s="35" t="str">
        <v>)</v>
      </c>
    </row>
    <row r="224" spans="4:11" x14ac:dyDescent="0.3">
      <c r="D224" s="35" t="str">
        <v>X-011</v>
      </c>
      <c r="E224" s="35">
        <v>11</v>
      </c>
      <c r="F224" s="35" t="str">
        <v>~</v>
      </c>
      <c r="G224" s="35" t="str">
        <v>eleven</v>
      </c>
      <c r="H224" s="35" t="e">
        <v>#N/A</v>
      </c>
      <c r="I224" s="35" t="e">
        <v>#N/A</v>
      </c>
      <c r="J224" s="35" t="e">
        <v>#N/A</v>
      </c>
      <c r="K224" s="35" t="e">
        <v>#N/A</v>
      </c>
    </row>
    <row r="225" spans="4:11" x14ac:dyDescent="0.3">
      <c r="D225" s="35" t="str">
        <v>X-012</v>
      </c>
      <c r="E225" s="35">
        <v>12</v>
      </c>
      <c r="F225" s="35" t="str">
        <v>@</v>
      </c>
      <c r="G225" s="35" t="str">
        <v>twelve</v>
      </c>
      <c r="H225" s="35" t="e">
        <v>#N/A</v>
      </c>
      <c r="I225" s="35" t="e">
        <v>#N/A</v>
      </c>
      <c r="J225" s="35" t="e">
        <v>#N/A</v>
      </c>
      <c r="K225" s="35" t="e">
        <v>#N/A</v>
      </c>
    </row>
    <row r="226" spans="4:11" x14ac:dyDescent="0.3">
      <c r="D226" s="39" t="str">
        <f ca="1" xml:space="preserve"> _xlfn.FORMULATEXT(D214)</f>
        <v>= RXL_Join($I$19:$L$28, $D$19:$G$28, 1, 1, 3, , , TRUE)</v>
      </c>
    </row>
    <row r="228" spans="4:11" x14ac:dyDescent="0.3">
      <c r="D228" t="s">
        <v>380</v>
      </c>
    </row>
    <row r="229" spans="4:11" x14ac:dyDescent="0.3">
      <c r="D229" s="56" t="s">
        <v>388</v>
      </c>
    </row>
    <row r="230" spans="4:11" x14ac:dyDescent="0.3">
      <c r="D230" s="56" t="s">
        <v>393</v>
      </c>
    </row>
    <row r="231" spans="4:11" x14ac:dyDescent="0.3">
      <c r="D231" s="70" t="s">
        <v>394</v>
      </c>
    </row>
    <row r="232" spans="4:11" ht="14.4" thickBot="1" x14ac:dyDescent="0.35">
      <c r="D232" s="32" t="s">
        <v>76</v>
      </c>
      <c r="E232" s="32" t="s">
        <v>106</v>
      </c>
      <c r="F232" s="32" t="s">
        <v>116</v>
      </c>
      <c r="G232" s="32" t="s">
        <v>117</v>
      </c>
      <c r="H232" s="32" t="s">
        <v>76</v>
      </c>
      <c r="I232" s="32" t="s">
        <v>9</v>
      </c>
      <c r="J232" s="32" t="s">
        <v>10</v>
      </c>
      <c r="K232" s="32" t="s">
        <v>11</v>
      </c>
    </row>
    <row r="233" spans="4:11" x14ac:dyDescent="0.3">
      <c r="D233" s="35" t="str" cm="1">
        <f t="array" ref="D233:K244" xml:space="preserve"> RXL_Join($I$19:$L$28, $D$19:$G$28, 1, 1, 3, , , -1)</f>
        <v>X-012</v>
      </c>
      <c r="E233" s="35">
        <v>12</v>
      </c>
      <c r="F233" s="35" t="str">
        <v>@</v>
      </c>
      <c r="G233" s="35" t="str">
        <v>twelve</v>
      </c>
      <c r="H233" s="35" t="e">
        <v>#N/A</v>
      </c>
      <c r="I233" s="35" t="e">
        <v>#N/A</v>
      </c>
      <c r="J233" s="35" t="e">
        <v>#N/A</v>
      </c>
      <c r="K233" s="35" t="e">
        <v>#N/A</v>
      </c>
    </row>
    <row r="234" spans="4:11" x14ac:dyDescent="0.3">
      <c r="D234" s="35" t="str">
        <v>X-011</v>
      </c>
      <c r="E234" s="35">
        <v>11</v>
      </c>
      <c r="F234" s="35" t="str">
        <v>~</v>
      </c>
      <c r="G234" s="35" t="str">
        <v>eleven</v>
      </c>
      <c r="H234" s="35" t="e">
        <v>#N/A</v>
      </c>
      <c r="I234" s="35" t="e">
        <v>#N/A</v>
      </c>
      <c r="J234" s="35" t="e">
        <v>#N/A</v>
      </c>
      <c r="K234" s="35" t="e">
        <v>#N/A</v>
      </c>
    </row>
    <row r="235" spans="4:11" x14ac:dyDescent="0.3">
      <c r="D235" s="35" t="str">
        <v>X-010</v>
      </c>
      <c r="E235" s="35">
        <v>10</v>
      </c>
      <c r="F235" s="35" t="str">
        <v>)</v>
      </c>
      <c r="G235" s="35" t="str">
        <v>ten</v>
      </c>
      <c r="H235" s="35" t="str">
        <v>X-010</v>
      </c>
      <c r="I235" s="35" t="str">
        <v>JJJ</v>
      </c>
      <c r="J235" s="35">
        <v>10</v>
      </c>
      <c r="K235" s="35" t="str">
        <v>)</v>
      </c>
    </row>
    <row r="236" spans="4:11" x14ac:dyDescent="0.3">
      <c r="D236" s="35" t="str">
        <v>X-009</v>
      </c>
      <c r="E236" s="35">
        <v>9</v>
      </c>
      <c r="F236" s="35" t="str">
        <v>(</v>
      </c>
      <c r="G236" s="35" t="str">
        <v>nine</v>
      </c>
      <c r="H236" s="35" t="str">
        <v>X-009</v>
      </c>
      <c r="I236" s="35" t="str">
        <v>III</v>
      </c>
      <c r="J236" s="35">
        <v>9</v>
      </c>
      <c r="K236" s="35" t="str">
        <v>(</v>
      </c>
    </row>
    <row r="237" spans="4:11" x14ac:dyDescent="0.3">
      <c r="D237" s="35" t="str">
        <v>X-008</v>
      </c>
      <c r="E237" s="35">
        <v>8</v>
      </c>
      <c r="F237" s="35" t="str">
        <v>*</v>
      </c>
      <c r="G237" s="35" t="str">
        <v>eight</v>
      </c>
      <c r="H237" s="35" t="str">
        <v>X-008</v>
      </c>
      <c r="I237" s="35" t="str">
        <v>HHH</v>
      </c>
      <c r="J237" s="35">
        <v>8</v>
      </c>
      <c r="K237" s="35" t="str">
        <v>*</v>
      </c>
    </row>
    <row r="238" spans="4:11" x14ac:dyDescent="0.3">
      <c r="D238" s="35" t="str">
        <v>X-007</v>
      </c>
      <c r="E238" s="35">
        <v>7</v>
      </c>
      <c r="F238" s="35" t="str">
        <v>&amp;</v>
      </c>
      <c r="G238" s="35" t="str">
        <v>seven</v>
      </c>
      <c r="H238" s="35" t="str">
        <v>X-007</v>
      </c>
      <c r="I238" s="35" t="str">
        <v>GGG</v>
      </c>
      <c r="J238" s="35">
        <v>7</v>
      </c>
      <c r="K238" s="35" t="str">
        <v>&amp;</v>
      </c>
    </row>
    <row r="239" spans="4:11" x14ac:dyDescent="0.3">
      <c r="D239" s="35" t="str">
        <v>X-006</v>
      </c>
      <c r="E239" s="35">
        <v>6</v>
      </c>
      <c r="F239" s="35" t="str">
        <v>^</v>
      </c>
      <c r="G239" s="35" t="str">
        <v>six</v>
      </c>
      <c r="H239" s="35" t="str">
        <v>X-006</v>
      </c>
      <c r="I239" s="35" t="str">
        <v>FFF</v>
      </c>
      <c r="J239" s="35">
        <v>6</v>
      </c>
      <c r="K239" s="35" t="str">
        <v>^</v>
      </c>
    </row>
    <row r="240" spans="4:11" x14ac:dyDescent="0.3">
      <c r="D240" s="35" t="e">
        <v>#N/A</v>
      </c>
      <c r="E240" s="35" t="e">
        <v>#N/A</v>
      </c>
      <c r="F240" s="35" t="e">
        <v>#N/A</v>
      </c>
      <c r="G240" s="35" t="e">
        <v>#N/A</v>
      </c>
      <c r="H240" s="35" t="str">
        <v>X-005</v>
      </c>
      <c r="I240" s="35" t="str">
        <v>EEE</v>
      </c>
      <c r="J240" s="35">
        <v>5</v>
      </c>
      <c r="K240" s="35" t="str">
        <v>%</v>
      </c>
    </row>
    <row r="241" spans="3:11" x14ac:dyDescent="0.3">
      <c r="D241" s="35" t="str">
        <v>X-004</v>
      </c>
      <c r="E241" s="35">
        <v>4</v>
      </c>
      <c r="F241" s="35" t="str">
        <v>$</v>
      </c>
      <c r="G241" s="35" t="str">
        <v>four</v>
      </c>
      <c r="H241" s="35" t="str">
        <v>X-004</v>
      </c>
      <c r="I241" s="35" t="str">
        <v>DDD</v>
      </c>
      <c r="J241" s="35">
        <v>4</v>
      </c>
      <c r="K241" s="35" t="str">
        <v>$</v>
      </c>
    </row>
    <row r="242" spans="3:11" x14ac:dyDescent="0.3">
      <c r="D242" s="35" t="e">
        <v>#N/A</v>
      </c>
      <c r="E242" s="35" t="e">
        <v>#N/A</v>
      </c>
      <c r="F242" s="35" t="e">
        <v>#N/A</v>
      </c>
      <c r="G242" s="35" t="e">
        <v>#N/A</v>
      </c>
      <c r="H242" s="35" t="str">
        <v>X-003</v>
      </c>
      <c r="I242" s="35" t="str">
        <v>CCC</v>
      </c>
      <c r="J242" s="35">
        <v>3</v>
      </c>
      <c r="K242" s="35" t="str">
        <v>£</v>
      </c>
    </row>
    <row r="243" spans="3:11" x14ac:dyDescent="0.3">
      <c r="D243" s="35" t="str">
        <v>X-002</v>
      </c>
      <c r="E243" s="35">
        <v>2</v>
      </c>
      <c r="F243" s="35" t="str">
        <v>"</v>
      </c>
      <c r="G243" s="35" t="str">
        <v>two</v>
      </c>
      <c r="H243" s="35" t="str">
        <v>X-002</v>
      </c>
      <c r="I243" s="35" t="str">
        <v>BBB</v>
      </c>
      <c r="J243" s="35">
        <v>2</v>
      </c>
      <c r="K243" s="35" t="str">
        <v>"</v>
      </c>
    </row>
    <row r="244" spans="3:11" x14ac:dyDescent="0.3">
      <c r="D244" s="35" t="str">
        <v>X-001</v>
      </c>
      <c r="E244" s="35">
        <v>1</v>
      </c>
      <c r="F244" s="35" t="str">
        <v>!</v>
      </c>
      <c r="G244" s="35" t="str">
        <v>one</v>
      </c>
      <c r="H244" s="35" t="str">
        <v>X-001</v>
      </c>
      <c r="I244" s="35" t="str">
        <v>AAA</v>
      </c>
      <c r="J244" s="35">
        <v>1</v>
      </c>
      <c r="K244" s="35" t="str">
        <v>!</v>
      </c>
    </row>
    <row r="245" spans="3:11" x14ac:dyDescent="0.3">
      <c r="D245" s="39" t="str">
        <f ca="1" xml:space="preserve"> _xlfn.FORMULATEXT(D233)</f>
        <v>= RXL_Join($I$19:$L$28, $D$19:$G$28, 1, 1, 3, , , -1)</v>
      </c>
    </row>
    <row r="248" spans="3:11" x14ac:dyDescent="0.3">
      <c r="C248" s="3" t="s">
        <v>29</v>
      </c>
    </row>
    <row r="249" spans="3:11" x14ac:dyDescent="0.3">
      <c r="D249" t="s">
        <v>380</v>
      </c>
    </row>
    <row r="250" spans="3:11" x14ac:dyDescent="0.3">
      <c r="D250" s="56" t="s">
        <v>392</v>
      </c>
    </row>
    <row r="251" spans="3:11" x14ac:dyDescent="0.3">
      <c r="D251" s="56" t="s">
        <v>399</v>
      </c>
    </row>
    <row r="252" spans="3:11" ht="14.4" thickBot="1" x14ac:dyDescent="0.35">
      <c r="D252" s="32" t="s">
        <v>76</v>
      </c>
      <c r="E252" s="32" t="s">
        <v>9</v>
      </c>
      <c r="F252" s="32" t="s">
        <v>10</v>
      </c>
      <c r="G252" s="32" t="s">
        <v>116</v>
      </c>
      <c r="H252" s="32" t="s">
        <v>117</v>
      </c>
      <c r="I252" s="32"/>
      <c r="J252" s="32"/>
      <c r="K252" s="32"/>
    </row>
    <row r="253" spans="3:11" x14ac:dyDescent="0.3">
      <c r="D253" s="35" t="str" cm="1">
        <f t="array" ref="D253:H264" xml:space="preserve"> RXL_Join($D$19:$G$28, $I$19:$L$28, 1, 1, "full", {1,2,3}, {3,4}, TRUE, FALSE)</f>
        <v>X-001</v>
      </c>
      <c r="E253" s="35" t="str">
        <v>AAA</v>
      </c>
      <c r="F253" s="35">
        <v>1</v>
      </c>
      <c r="G253" s="35" t="str">
        <v>!</v>
      </c>
      <c r="H253" s="35" t="str">
        <v>one</v>
      </c>
      <c r="I253" s="35"/>
      <c r="J253" s="35"/>
      <c r="K253" s="35"/>
    </row>
    <row r="254" spans="3:11" x14ac:dyDescent="0.3">
      <c r="D254" s="35" t="str">
        <v>X-002</v>
      </c>
      <c r="E254" s="35" t="str">
        <v>BBB</v>
      </c>
      <c r="F254" s="35">
        <v>2</v>
      </c>
      <c r="G254" s="35" t="str">
        <v>"</v>
      </c>
      <c r="H254" s="35" t="str">
        <v>two</v>
      </c>
      <c r="I254" s="35"/>
      <c r="J254" s="35"/>
      <c r="K254" s="35"/>
    </row>
    <row r="255" spans="3:11" x14ac:dyDescent="0.3">
      <c r="D255" s="35" t="str">
        <v>X-003</v>
      </c>
      <c r="E255" s="35" t="str">
        <v>CCC</v>
      </c>
      <c r="F255" s="35">
        <v>3</v>
      </c>
      <c r="G255" s="35" t="e">
        <v>#N/A</v>
      </c>
      <c r="H255" s="35" t="e">
        <v>#N/A</v>
      </c>
      <c r="I255" s="35"/>
      <c r="J255" s="35"/>
      <c r="K255" s="35"/>
    </row>
    <row r="256" spans="3:11" x14ac:dyDescent="0.3">
      <c r="D256" s="35" t="str">
        <v>X-004</v>
      </c>
      <c r="E256" s="35" t="str">
        <v>DDD</v>
      </c>
      <c r="F256" s="35">
        <v>4</v>
      </c>
      <c r="G256" s="35" t="str">
        <v>$</v>
      </c>
      <c r="H256" s="35" t="str">
        <v>four</v>
      </c>
      <c r="I256" s="35"/>
      <c r="J256" s="35"/>
      <c r="K256" s="35"/>
    </row>
    <row r="257" spans="4:11" x14ac:dyDescent="0.3">
      <c r="D257" s="35" t="str">
        <v>X-005</v>
      </c>
      <c r="E257" s="35" t="str">
        <v>EEE</v>
      </c>
      <c r="F257" s="35">
        <v>5</v>
      </c>
      <c r="G257" s="35" t="e">
        <v>#N/A</v>
      </c>
      <c r="H257" s="35" t="e">
        <v>#N/A</v>
      </c>
      <c r="I257" s="35"/>
      <c r="J257" s="35"/>
      <c r="K257" s="35"/>
    </row>
    <row r="258" spans="4:11" x14ac:dyDescent="0.3">
      <c r="D258" s="35" t="str">
        <v>X-006</v>
      </c>
      <c r="E258" s="35" t="str">
        <v>FFF</v>
      </c>
      <c r="F258" s="35">
        <v>6</v>
      </c>
      <c r="G258" s="35" t="str">
        <v>^</v>
      </c>
      <c r="H258" s="35" t="str">
        <v>six</v>
      </c>
      <c r="I258" s="35"/>
      <c r="J258" s="35"/>
      <c r="K258" s="35"/>
    </row>
    <row r="259" spans="4:11" x14ac:dyDescent="0.3">
      <c r="D259" s="35" t="str">
        <v>X-007</v>
      </c>
      <c r="E259" s="35" t="str">
        <v>GGG</v>
      </c>
      <c r="F259" s="35">
        <v>7</v>
      </c>
      <c r="G259" s="35" t="str">
        <v>&amp;</v>
      </c>
      <c r="H259" s="35" t="str">
        <v>seven</v>
      </c>
      <c r="I259" s="35"/>
      <c r="J259" s="35"/>
      <c r="K259" s="35"/>
    </row>
    <row r="260" spans="4:11" x14ac:dyDescent="0.3">
      <c r="D260" s="35" t="str">
        <v>X-008</v>
      </c>
      <c r="E260" s="35" t="str">
        <v>HHH</v>
      </c>
      <c r="F260" s="35">
        <v>8</v>
      </c>
      <c r="G260" s="35" t="str">
        <v>*</v>
      </c>
      <c r="H260" s="35" t="str">
        <v>eight</v>
      </c>
      <c r="I260" s="35"/>
      <c r="J260" s="35"/>
      <c r="K260" s="35"/>
    </row>
    <row r="261" spans="4:11" x14ac:dyDescent="0.3">
      <c r="D261" s="35" t="str">
        <v>X-009</v>
      </c>
      <c r="E261" s="35" t="str">
        <v>III</v>
      </c>
      <c r="F261" s="35">
        <v>9</v>
      </c>
      <c r="G261" s="35" t="str">
        <v>(</v>
      </c>
      <c r="H261" s="35" t="str">
        <v>nine</v>
      </c>
      <c r="I261" s="35"/>
      <c r="J261" s="35"/>
      <c r="K261" s="35"/>
    </row>
    <row r="262" spans="4:11" x14ac:dyDescent="0.3">
      <c r="D262" s="35" t="str">
        <v>X-010</v>
      </c>
      <c r="E262" s="35" t="str">
        <v>JJJ</v>
      </c>
      <c r="F262" s="35">
        <v>10</v>
      </c>
      <c r="G262" s="35" t="str">
        <v>)</v>
      </c>
      <c r="H262" s="35" t="str">
        <v>ten</v>
      </c>
      <c r="I262" s="35"/>
      <c r="J262" s="35"/>
      <c r="K262" s="35"/>
    </row>
    <row r="263" spans="4:11" x14ac:dyDescent="0.3">
      <c r="D263" s="35" t="e">
        <v>#N/A</v>
      </c>
      <c r="E263" s="35" t="e">
        <v>#N/A</v>
      </c>
      <c r="F263" s="35" t="e">
        <v>#N/A</v>
      </c>
      <c r="G263" s="35" t="str">
        <v>~</v>
      </c>
      <c r="H263" s="35" t="str">
        <v>eleven</v>
      </c>
      <c r="I263" s="35"/>
      <c r="J263" s="35"/>
      <c r="K263" s="35"/>
    </row>
    <row r="264" spans="4:11" x14ac:dyDescent="0.3">
      <c r="D264" s="35" t="e">
        <v>#N/A</v>
      </c>
      <c r="E264" s="35" t="e">
        <v>#N/A</v>
      </c>
      <c r="F264" s="35" t="e">
        <v>#N/A</v>
      </c>
      <c r="G264" s="35" t="str">
        <v>@</v>
      </c>
      <c r="H264" s="35" t="str">
        <v>twelve</v>
      </c>
      <c r="I264" s="35"/>
      <c r="J264" s="35"/>
      <c r="K264" s="35"/>
    </row>
    <row r="265" spans="4:11" x14ac:dyDescent="0.3">
      <c r="D265" s="39" t="str">
        <f ca="1" xml:space="preserve"> _xlfn.FORMULATEXT(D253)</f>
        <v>= RXL_Join($D$19:$G$28, $I$19:$L$28, 1, 1, "full", {1,2,3}, {3,4}, TRUE, FALSE)</v>
      </c>
    </row>
    <row r="267" spans="4:11" x14ac:dyDescent="0.3">
      <c r="D267" t="s">
        <v>380</v>
      </c>
    </row>
    <row r="268" spans="4:11" x14ac:dyDescent="0.3">
      <c r="D268" s="56" t="s">
        <v>392</v>
      </c>
    </row>
    <row r="269" spans="4:11" x14ac:dyDescent="0.3">
      <c r="D269" s="56" t="s">
        <v>396</v>
      </c>
    </row>
    <row r="270" spans="4:11" ht="14.4" thickBot="1" x14ac:dyDescent="0.35">
      <c r="D270" s="32" t="s">
        <v>76</v>
      </c>
      <c r="E270" s="32" t="s">
        <v>9</v>
      </c>
      <c r="F270" s="32" t="s">
        <v>10</v>
      </c>
      <c r="G270" s="32" t="s">
        <v>116</v>
      </c>
      <c r="H270" s="32" t="s">
        <v>117</v>
      </c>
      <c r="I270" s="32"/>
      <c r="J270" s="32"/>
      <c r="K270" s="32"/>
    </row>
    <row r="271" spans="4:11" x14ac:dyDescent="0.3">
      <c r="D271" s="35" t="str" cm="1">
        <f t="array" ref="D271:H282" xml:space="preserve"> RXL_Join($D$19:$G$28, $I$19:$L$28, 1, 1, "full", {1,2,3}, {3,4}, TRUE, TRUE)</f>
        <v>X-001</v>
      </c>
      <c r="E271" s="35" t="str">
        <v>AAA</v>
      </c>
      <c r="F271" s="35">
        <v>1</v>
      </c>
      <c r="G271" s="35" t="str">
        <v>!</v>
      </c>
      <c r="H271" s="35" t="str">
        <v>one</v>
      </c>
      <c r="I271" s="35"/>
      <c r="J271" s="35"/>
      <c r="K271" s="35"/>
    </row>
    <row r="272" spans="4:11" x14ac:dyDescent="0.3">
      <c r="D272" s="35" t="str">
        <v>X-002</v>
      </c>
      <c r="E272" s="35" t="str">
        <v>BBB</v>
      </c>
      <c r="F272" s="35">
        <v>2</v>
      </c>
      <c r="G272" s="35" t="str">
        <v>"</v>
      </c>
      <c r="H272" s="35" t="str">
        <v>two</v>
      </c>
      <c r="I272" s="35"/>
      <c r="J272" s="35"/>
      <c r="K272" s="35"/>
    </row>
    <row r="273" spans="4:11" x14ac:dyDescent="0.3">
      <c r="D273" s="35" t="str">
        <v>X-003</v>
      </c>
      <c r="E273" s="35" t="str">
        <v>CCC</v>
      </c>
      <c r="F273" s="35">
        <v>3</v>
      </c>
      <c r="G273" s="35" t="str">
        <v/>
      </c>
      <c r="H273" s="35" t="str">
        <v/>
      </c>
      <c r="I273" s="35"/>
      <c r="J273" s="35"/>
      <c r="K273" s="35"/>
    </row>
    <row r="274" spans="4:11" x14ac:dyDescent="0.3">
      <c r="D274" s="35" t="str">
        <v>X-004</v>
      </c>
      <c r="E274" s="35" t="str">
        <v>DDD</v>
      </c>
      <c r="F274" s="35">
        <v>4</v>
      </c>
      <c r="G274" s="35" t="str">
        <v>$</v>
      </c>
      <c r="H274" s="35" t="str">
        <v>four</v>
      </c>
      <c r="I274" s="35"/>
      <c r="J274" s="35"/>
      <c r="K274" s="35"/>
    </row>
    <row r="275" spans="4:11" x14ac:dyDescent="0.3">
      <c r="D275" s="35" t="str">
        <v>X-005</v>
      </c>
      <c r="E275" s="35" t="str">
        <v>EEE</v>
      </c>
      <c r="F275" s="35">
        <v>5</v>
      </c>
      <c r="G275" s="35" t="str">
        <v/>
      </c>
      <c r="H275" s="35" t="str">
        <v/>
      </c>
      <c r="I275" s="35"/>
      <c r="J275" s="35"/>
      <c r="K275" s="35"/>
    </row>
    <row r="276" spans="4:11" x14ac:dyDescent="0.3">
      <c r="D276" s="35" t="str">
        <v>X-006</v>
      </c>
      <c r="E276" s="35" t="str">
        <v>FFF</v>
      </c>
      <c r="F276" s="35">
        <v>6</v>
      </c>
      <c r="G276" s="35" t="str">
        <v>^</v>
      </c>
      <c r="H276" s="35" t="str">
        <v>six</v>
      </c>
      <c r="I276" s="35"/>
      <c r="J276" s="35"/>
      <c r="K276" s="35"/>
    </row>
    <row r="277" spans="4:11" x14ac:dyDescent="0.3">
      <c r="D277" s="35" t="str">
        <v>X-007</v>
      </c>
      <c r="E277" s="35" t="str">
        <v>GGG</v>
      </c>
      <c r="F277" s="35">
        <v>7</v>
      </c>
      <c r="G277" s="35" t="str">
        <v>&amp;</v>
      </c>
      <c r="H277" s="35" t="str">
        <v>seven</v>
      </c>
      <c r="I277" s="35"/>
      <c r="J277" s="35"/>
      <c r="K277" s="35"/>
    </row>
    <row r="278" spans="4:11" x14ac:dyDescent="0.3">
      <c r="D278" s="35" t="str">
        <v>X-008</v>
      </c>
      <c r="E278" s="35" t="str">
        <v>HHH</v>
      </c>
      <c r="F278" s="35">
        <v>8</v>
      </c>
      <c r="G278" s="35" t="str">
        <v>*</v>
      </c>
      <c r="H278" s="35" t="str">
        <v>eight</v>
      </c>
      <c r="I278" s="35"/>
      <c r="J278" s="35"/>
      <c r="K278" s="35"/>
    </row>
    <row r="279" spans="4:11" x14ac:dyDescent="0.3">
      <c r="D279" s="35" t="str">
        <v>X-009</v>
      </c>
      <c r="E279" s="35" t="str">
        <v>III</v>
      </c>
      <c r="F279" s="35">
        <v>9</v>
      </c>
      <c r="G279" s="35" t="str">
        <v>(</v>
      </c>
      <c r="H279" s="35" t="str">
        <v>nine</v>
      </c>
      <c r="I279" s="35"/>
      <c r="J279" s="35"/>
      <c r="K279" s="35"/>
    </row>
    <row r="280" spans="4:11" x14ac:dyDescent="0.3">
      <c r="D280" s="35" t="str">
        <v>X-010</v>
      </c>
      <c r="E280" s="35" t="str">
        <v>JJJ</v>
      </c>
      <c r="F280" s="35">
        <v>10</v>
      </c>
      <c r="G280" s="35" t="str">
        <v>)</v>
      </c>
      <c r="H280" s="35" t="str">
        <v>ten</v>
      </c>
      <c r="I280" s="35"/>
      <c r="J280" s="35"/>
      <c r="K280" s="35"/>
    </row>
    <row r="281" spans="4:11" x14ac:dyDescent="0.3">
      <c r="D281" s="35" t="str">
        <v/>
      </c>
      <c r="E281" s="35" t="str">
        <v/>
      </c>
      <c r="F281" s="35" t="str">
        <v/>
      </c>
      <c r="G281" s="35" t="str">
        <v>~</v>
      </c>
      <c r="H281" s="35" t="str">
        <v>eleven</v>
      </c>
      <c r="I281" s="35"/>
      <c r="J281" s="35"/>
      <c r="K281" s="35"/>
    </row>
    <row r="282" spans="4:11" x14ac:dyDescent="0.3">
      <c r="D282" s="35" t="str">
        <v/>
      </c>
      <c r="E282" s="35" t="str">
        <v/>
      </c>
      <c r="F282" s="35" t="str">
        <v/>
      </c>
      <c r="G282" s="35" t="str">
        <v>@</v>
      </c>
      <c r="H282" s="35" t="str">
        <v>twelve</v>
      </c>
      <c r="I282" s="35"/>
      <c r="J282" s="35"/>
      <c r="K282" s="35"/>
    </row>
    <row r="283" spans="4:11" x14ac:dyDescent="0.3">
      <c r="D283" s="39" t="str">
        <f ca="1" xml:space="preserve"> _xlfn.FORMULATEXT(D271)</f>
        <v>= RXL_Join($D$19:$G$28, $I$19:$L$28, 1, 1, "full", {1,2,3}, {3,4}, TRUE, TRUE)</v>
      </c>
    </row>
    <row r="285" spans="4:11" x14ac:dyDescent="0.3">
      <c r="D285" t="s">
        <v>380</v>
      </c>
    </row>
    <row r="286" spans="4:11" x14ac:dyDescent="0.3">
      <c r="D286" s="56" t="s">
        <v>392</v>
      </c>
    </row>
    <row r="287" spans="4:11" x14ac:dyDescent="0.3">
      <c r="D287" s="56" t="s">
        <v>397</v>
      </c>
    </row>
    <row r="288" spans="4:11" ht="14.4" thickBot="1" x14ac:dyDescent="0.35">
      <c r="D288" s="32" t="s">
        <v>76</v>
      </c>
      <c r="E288" s="32" t="s">
        <v>9</v>
      </c>
      <c r="F288" s="32" t="s">
        <v>10</v>
      </c>
      <c r="G288" s="32" t="s">
        <v>116</v>
      </c>
      <c r="H288" s="32" t="s">
        <v>117</v>
      </c>
      <c r="I288" s="32"/>
      <c r="J288" s="32"/>
      <c r="K288" s="32"/>
    </row>
    <row r="289" spans="4:11" x14ac:dyDescent="0.3">
      <c r="D289" s="35" t="str" cm="1">
        <f t="array" ref="D289:H300" xml:space="preserve"> RXL_Join($D$19:$G$28, $I$19:$L$28, 1, 1, "full", {1,2,3}, {3,4}, TRUE, "(null)")</f>
        <v>X-001</v>
      </c>
      <c r="E289" s="35" t="str">
        <v>AAA</v>
      </c>
      <c r="F289" s="35">
        <v>1</v>
      </c>
      <c r="G289" s="35" t="str">
        <v>!</v>
      </c>
      <c r="H289" s="35" t="str">
        <v>one</v>
      </c>
      <c r="I289" s="35"/>
      <c r="J289" s="35"/>
      <c r="K289" s="35"/>
    </row>
    <row r="290" spans="4:11" x14ac:dyDescent="0.3">
      <c r="D290" s="35" t="str">
        <v>X-002</v>
      </c>
      <c r="E290" s="35" t="str">
        <v>BBB</v>
      </c>
      <c r="F290" s="35">
        <v>2</v>
      </c>
      <c r="G290" s="35" t="str">
        <v>"</v>
      </c>
      <c r="H290" s="35" t="str">
        <v>two</v>
      </c>
      <c r="I290" s="35"/>
      <c r="J290" s="35"/>
      <c r="K290" s="35"/>
    </row>
    <row r="291" spans="4:11" x14ac:dyDescent="0.3">
      <c r="D291" s="35" t="str">
        <v>X-003</v>
      </c>
      <c r="E291" s="35" t="str">
        <v>CCC</v>
      </c>
      <c r="F291" s="35">
        <v>3</v>
      </c>
      <c r="G291" s="35" t="str">
        <v>(null)</v>
      </c>
      <c r="H291" s="35" t="str">
        <v>(null)</v>
      </c>
      <c r="I291" s="35"/>
      <c r="J291" s="35"/>
      <c r="K291" s="35"/>
    </row>
    <row r="292" spans="4:11" x14ac:dyDescent="0.3">
      <c r="D292" s="35" t="str">
        <v>X-004</v>
      </c>
      <c r="E292" s="35" t="str">
        <v>DDD</v>
      </c>
      <c r="F292" s="35">
        <v>4</v>
      </c>
      <c r="G292" s="35" t="str">
        <v>$</v>
      </c>
      <c r="H292" s="35" t="str">
        <v>four</v>
      </c>
      <c r="I292" s="35"/>
      <c r="J292" s="35"/>
      <c r="K292" s="35"/>
    </row>
    <row r="293" spans="4:11" x14ac:dyDescent="0.3">
      <c r="D293" s="35" t="str">
        <v>X-005</v>
      </c>
      <c r="E293" s="35" t="str">
        <v>EEE</v>
      </c>
      <c r="F293" s="35">
        <v>5</v>
      </c>
      <c r="G293" s="35" t="str">
        <v>(null)</v>
      </c>
      <c r="H293" s="35" t="str">
        <v>(null)</v>
      </c>
      <c r="I293" s="35"/>
      <c r="J293" s="35"/>
      <c r="K293" s="35"/>
    </row>
    <row r="294" spans="4:11" x14ac:dyDescent="0.3">
      <c r="D294" s="35" t="str">
        <v>X-006</v>
      </c>
      <c r="E294" s="35" t="str">
        <v>FFF</v>
      </c>
      <c r="F294" s="35">
        <v>6</v>
      </c>
      <c r="G294" s="35" t="str">
        <v>^</v>
      </c>
      <c r="H294" s="35" t="str">
        <v>six</v>
      </c>
      <c r="I294" s="35"/>
      <c r="J294" s="35"/>
      <c r="K294" s="35"/>
    </row>
    <row r="295" spans="4:11" x14ac:dyDescent="0.3">
      <c r="D295" s="35" t="str">
        <v>X-007</v>
      </c>
      <c r="E295" s="35" t="str">
        <v>GGG</v>
      </c>
      <c r="F295" s="35">
        <v>7</v>
      </c>
      <c r="G295" s="35" t="str">
        <v>&amp;</v>
      </c>
      <c r="H295" s="35" t="str">
        <v>seven</v>
      </c>
      <c r="I295" s="35"/>
      <c r="J295" s="35"/>
      <c r="K295" s="35"/>
    </row>
    <row r="296" spans="4:11" x14ac:dyDescent="0.3">
      <c r="D296" s="35" t="str">
        <v>X-008</v>
      </c>
      <c r="E296" s="35" t="str">
        <v>HHH</v>
      </c>
      <c r="F296" s="35">
        <v>8</v>
      </c>
      <c r="G296" s="35" t="str">
        <v>*</v>
      </c>
      <c r="H296" s="35" t="str">
        <v>eight</v>
      </c>
      <c r="I296" s="35"/>
      <c r="J296" s="35"/>
      <c r="K296" s="35"/>
    </row>
    <row r="297" spans="4:11" x14ac:dyDescent="0.3">
      <c r="D297" s="35" t="str">
        <v>X-009</v>
      </c>
      <c r="E297" s="35" t="str">
        <v>III</v>
      </c>
      <c r="F297" s="35">
        <v>9</v>
      </c>
      <c r="G297" s="35" t="str">
        <v>(</v>
      </c>
      <c r="H297" s="35" t="str">
        <v>nine</v>
      </c>
      <c r="I297" s="35"/>
      <c r="J297" s="35"/>
      <c r="K297" s="35"/>
    </row>
    <row r="298" spans="4:11" x14ac:dyDescent="0.3">
      <c r="D298" s="35" t="str">
        <v>X-010</v>
      </c>
      <c r="E298" s="35" t="str">
        <v>JJJ</v>
      </c>
      <c r="F298" s="35">
        <v>10</v>
      </c>
      <c r="G298" s="35" t="str">
        <v>)</v>
      </c>
      <c r="H298" s="35" t="str">
        <v>ten</v>
      </c>
      <c r="I298" s="35"/>
      <c r="J298" s="35"/>
      <c r="K298" s="35"/>
    </row>
    <row r="299" spans="4:11" x14ac:dyDescent="0.3">
      <c r="D299" s="35" t="str">
        <v>(null)</v>
      </c>
      <c r="E299" s="35" t="str">
        <v>(null)</v>
      </c>
      <c r="F299" s="35" t="str">
        <v>(null)</v>
      </c>
      <c r="G299" s="35" t="str">
        <v>~</v>
      </c>
      <c r="H299" s="35" t="str">
        <v>eleven</v>
      </c>
      <c r="I299" s="35"/>
      <c r="J299" s="35"/>
      <c r="K299" s="35"/>
    </row>
    <row r="300" spans="4:11" x14ac:dyDescent="0.3">
      <c r="D300" s="35" t="str">
        <v>(null)</v>
      </c>
      <c r="E300" s="35" t="str">
        <v>(null)</v>
      </c>
      <c r="F300" s="35" t="str">
        <v>(null)</v>
      </c>
      <c r="G300" s="35" t="str">
        <v>@</v>
      </c>
      <c r="H300" s="35" t="str">
        <v>twelve</v>
      </c>
      <c r="I300" s="35"/>
      <c r="J300" s="35"/>
      <c r="K300" s="35"/>
    </row>
    <row r="301" spans="4:11" x14ac:dyDescent="0.3">
      <c r="D301" s="39" t="str">
        <f ca="1" xml:space="preserve"> _xlfn.FORMULATEXT(D289)</f>
        <v>= RXL_Join($D$19:$G$28, $I$19:$L$28, 1, 1, "full", {1,2,3}, {3,4}, TRUE, "(null)")</v>
      </c>
    </row>
    <row r="303" spans="4:11" x14ac:dyDescent="0.3">
      <c r="D303" t="s">
        <v>380</v>
      </c>
    </row>
    <row r="304" spans="4:11" x14ac:dyDescent="0.3">
      <c r="D304" s="56" t="s">
        <v>392</v>
      </c>
    </row>
    <row r="305" spans="4:11" x14ac:dyDescent="0.3">
      <c r="D305" s="56" t="s">
        <v>398</v>
      </c>
    </row>
    <row r="306" spans="4:11" ht="14.4" thickBot="1" x14ac:dyDescent="0.35">
      <c r="D306" s="32" t="s">
        <v>76</v>
      </c>
      <c r="E306" s="32" t="s">
        <v>9</v>
      </c>
      <c r="F306" s="32" t="s">
        <v>10</v>
      </c>
      <c r="G306" s="32" t="s">
        <v>116</v>
      </c>
      <c r="H306" s="32" t="s">
        <v>117</v>
      </c>
      <c r="I306" s="32"/>
      <c r="J306" s="32"/>
      <c r="K306" s="32"/>
    </row>
    <row r="307" spans="4:11" x14ac:dyDescent="0.3">
      <c r="D307" s="35" t="str" cm="1">
        <f t="array" ref="D307:H318" xml:space="preserve"> RXL_Join($D$19:$G$28, $I$19:$L$28, 1, 1, "full", {1,2,3}, {3,4}, TRUE, 0)</f>
        <v>X-001</v>
      </c>
      <c r="E307" s="35" t="str">
        <v>AAA</v>
      </c>
      <c r="F307" s="35">
        <v>1</v>
      </c>
      <c r="G307" s="35" t="str">
        <v>!</v>
      </c>
      <c r="H307" s="35" t="str">
        <v>one</v>
      </c>
      <c r="I307" s="35"/>
      <c r="J307" s="35"/>
      <c r="K307" s="35"/>
    </row>
    <row r="308" spans="4:11" x14ac:dyDescent="0.3">
      <c r="D308" s="35" t="str">
        <v>X-002</v>
      </c>
      <c r="E308" s="35" t="str">
        <v>BBB</v>
      </c>
      <c r="F308" s="35">
        <v>2</v>
      </c>
      <c r="G308" s="35" t="str">
        <v>"</v>
      </c>
      <c r="H308" s="35" t="str">
        <v>two</v>
      </c>
      <c r="I308" s="35"/>
      <c r="J308" s="35"/>
      <c r="K308" s="35"/>
    </row>
    <row r="309" spans="4:11" x14ac:dyDescent="0.3">
      <c r="D309" s="35" t="str">
        <v>X-003</v>
      </c>
      <c r="E309" s="35" t="str">
        <v>CCC</v>
      </c>
      <c r="F309" s="35">
        <v>3</v>
      </c>
      <c r="G309" s="35">
        <v>0</v>
      </c>
      <c r="H309" s="35">
        <v>0</v>
      </c>
      <c r="I309" s="35"/>
      <c r="J309" s="35"/>
      <c r="K309" s="35"/>
    </row>
    <row r="310" spans="4:11" x14ac:dyDescent="0.3">
      <c r="D310" s="35" t="str">
        <v>X-004</v>
      </c>
      <c r="E310" s="35" t="str">
        <v>DDD</v>
      </c>
      <c r="F310" s="35">
        <v>4</v>
      </c>
      <c r="G310" s="35" t="str">
        <v>$</v>
      </c>
      <c r="H310" s="35" t="str">
        <v>four</v>
      </c>
      <c r="I310" s="35"/>
      <c r="J310" s="35"/>
      <c r="K310" s="35"/>
    </row>
    <row r="311" spans="4:11" x14ac:dyDescent="0.3">
      <c r="D311" s="35" t="str">
        <v>X-005</v>
      </c>
      <c r="E311" s="35" t="str">
        <v>EEE</v>
      </c>
      <c r="F311" s="35">
        <v>5</v>
      </c>
      <c r="G311" s="35">
        <v>0</v>
      </c>
      <c r="H311" s="35">
        <v>0</v>
      </c>
      <c r="I311" s="35"/>
      <c r="J311" s="35"/>
      <c r="K311" s="35"/>
    </row>
    <row r="312" spans="4:11" x14ac:dyDescent="0.3">
      <c r="D312" s="35" t="str">
        <v>X-006</v>
      </c>
      <c r="E312" s="35" t="str">
        <v>FFF</v>
      </c>
      <c r="F312" s="35">
        <v>6</v>
      </c>
      <c r="G312" s="35" t="str">
        <v>^</v>
      </c>
      <c r="H312" s="35" t="str">
        <v>six</v>
      </c>
      <c r="I312" s="35"/>
      <c r="J312" s="35"/>
      <c r="K312" s="35"/>
    </row>
    <row r="313" spans="4:11" x14ac:dyDescent="0.3">
      <c r="D313" s="35" t="str">
        <v>X-007</v>
      </c>
      <c r="E313" s="35" t="str">
        <v>GGG</v>
      </c>
      <c r="F313" s="35">
        <v>7</v>
      </c>
      <c r="G313" s="35" t="str">
        <v>&amp;</v>
      </c>
      <c r="H313" s="35" t="str">
        <v>seven</v>
      </c>
      <c r="I313" s="35"/>
      <c r="J313" s="35"/>
      <c r="K313" s="35"/>
    </row>
    <row r="314" spans="4:11" x14ac:dyDescent="0.3">
      <c r="D314" s="35" t="str">
        <v>X-008</v>
      </c>
      <c r="E314" s="35" t="str">
        <v>HHH</v>
      </c>
      <c r="F314" s="35">
        <v>8</v>
      </c>
      <c r="G314" s="35" t="str">
        <v>*</v>
      </c>
      <c r="H314" s="35" t="str">
        <v>eight</v>
      </c>
      <c r="I314" s="35"/>
      <c r="J314" s="35"/>
      <c r="K314" s="35"/>
    </row>
    <row r="315" spans="4:11" x14ac:dyDescent="0.3">
      <c r="D315" s="35" t="str">
        <v>X-009</v>
      </c>
      <c r="E315" s="35" t="str">
        <v>III</v>
      </c>
      <c r="F315" s="35">
        <v>9</v>
      </c>
      <c r="G315" s="35" t="str">
        <v>(</v>
      </c>
      <c r="H315" s="35" t="str">
        <v>nine</v>
      </c>
      <c r="I315" s="35"/>
      <c r="J315" s="35"/>
      <c r="K315" s="35"/>
    </row>
    <row r="316" spans="4:11" x14ac:dyDescent="0.3">
      <c r="D316" s="35" t="str">
        <v>X-010</v>
      </c>
      <c r="E316" s="35" t="str">
        <v>JJJ</v>
      </c>
      <c r="F316" s="35">
        <v>10</v>
      </c>
      <c r="G316" s="35" t="str">
        <v>)</v>
      </c>
      <c r="H316" s="35" t="str">
        <v>ten</v>
      </c>
      <c r="I316" s="35"/>
      <c r="J316" s="35"/>
      <c r="K316" s="35"/>
    </row>
    <row r="317" spans="4:11" x14ac:dyDescent="0.3">
      <c r="D317" s="35">
        <v>0</v>
      </c>
      <c r="E317" s="35">
        <v>0</v>
      </c>
      <c r="F317" s="35">
        <v>0</v>
      </c>
      <c r="G317" s="35" t="str">
        <v>~</v>
      </c>
      <c r="H317" s="35" t="str">
        <v>eleven</v>
      </c>
      <c r="I317" s="35"/>
      <c r="J317" s="35"/>
      <c r="K317" s="35"/>
    </row>
    <row r="318" spans="4:11" x14ac:dyDescent="0.3">
      <c r="D318" s="35">
        <v>0</v>
      </c>
      <c r="E318" s="35">
        <v>0</v>
      </c>
      <c r="F318" s="35">
        <v>0</v>
      </c>
      <c r="G318" s="35" t="str">
        <v>@</v>
      </c>
      <c r="H318" s="35" t="str">
        <v>twelve</v>
      </c>
      <c r="I318" s="35"/>
      <c r="J318" s="35"/>
      <c r="K318" s="35"/>
    </row>
    <row r="319" spans="4:11" x14ac:dyDescent="0.3">
      <c r="D319" s="39" t="str">
        <f ca="1" xml:space="preserve"> _xlfn.FORMULATEXT(D307)</f>
        <v>= RXL_Join($D$19:$G$28, $I$19:$L$28, 1, 1, "full", {1,2,3}, {3,4}, TRUE, 0)</v>
      </c>
    </row>
    <row r="321" spans="2:2" ht="14.4" thickBot="1" x14ac:dyDescent="0.35"/>
    <row r="322" spans="2:2" s="14" customFormat="1" x14ac:dyDescent="0.3">
      <c r="B322" s="14" t="s">
        <v>6</v>
      </c>
    </row>
  </sheetData>
  <conditionalFormatting sqref="D35:K44">
    <cfRule type="expression" dxfId="15" priority="20">
      <formula>ISNA(D35)</formula>
    </cfRule>
  </conditionalFormatting>
  <conditionalFormatting sqref="D50:K61">
    <cfRule type="expression" dxfId="14" priority="19">
      <formula>ISNA(D50)</formula>
    </cfRule>
  </conditionalFormatting>
  <conditionalFormatting sqref="D69:K80">
    <cfRule type="expression" dxfId="13" priority="18">
      <formula>ISNA(D69)</formula>
    </cfRule>
  </conditionalFormatting>
  <conditionalFormatting sqref="D86:K97">
    <cfRule type="expression" dxfId="12" priority="17">
      <formula>ISNA(D86)</formula>
    </cfRule>
  </conditionalFormatting>
  <conditionalFormatting sqref="D103:K114">
    <cfRule type="expression" dxfId="11" priority="16">
      <formula>ISNA(D103)</formula>
    </cfRule>
  </conditionalFormatting>
  <conditionalFormatting sqref="D120:K131">
    <cfRule type="expression" dxfId="10" priority="15">
      <formula>ISNA(D120)</formula>
    </cfRule>
  </conditionalFormatting>
  <conditionalFormatting sqref="D139:K150">
    <cfRule type="expression" dxfId="9" priority="10">
      <formula>ISNA(D139)</formula>
    </cfRule>
  </conditionalFormatting>
  <conditionalFormatting sqref="D156:K167">
    <cfRule type="expression" dxfId="8" priority="9">
      <formula>ISNA(D156)</formula>
    </cfRule>
  </conditionalFormatting>
  <conditionalFormatting sqref="D174:K185">
    <cfRule type="expression" dxfId="7" priority="8">
      <formula>ISNA(D174)</formula>
    </cfRule>
  </conditionalFormatting>
  <conditionalFormatting sqref="D195:K206">
    <cfRule type="expression" dxfId="6" priority="7">
      <formula>ISNA(D195)</formula>
    </cfRule>
  </conditionalFormatting>
  <conditionalFormatting sqref="D214:K225">
    <cfRule type="expression" dxfId="5" priority="6">
      <formula>ISNA(D214)</formula>
    </cfRule>
  </conditionalFormatting>
  <conditionalFormatting sqref="D233:K244">
    <cfRule type="expression" dxfId="4" priority="5">
      <formula>ISNA(D233)</formula>
    </cfRule>
  </conditionalFormatting>
  <conditionalFormatting sqref="D253:K264">
    <cfRule type="expression" dxfId="3" priority="4">
      <formula>ISNA(D253)</formula>
    </cfRule>
  </conditionalFormatting>
  <conditionalFormatting sqref="D271:K282">
    <cfRule type="expression" dxfId="2" priority="3">
      <formula>ISNA(D271)</formula>
    </cfRule>
  </conditionalFormatting>
  <conditionalFormatting sqref="D289:K300">
    <cfRule type="expression" dxfId="1" priority="2">
      <formula>ISNA(D289)</formula>
    </cfRule>
  </conditionalFormatting>
  <conditionalFormatting sqref="D307:K318">
    <cfRule type="expression" dxfId="0" priority="1">
      <formula>ISNA(D307)</formula>
    </cfRule>
  </conditionalFormatting>
  <hyperlinks>
    <hyperlink ref="E12" r:id="rId1" xr:uid="{57896C24-2FA7-4A11-89E0-BAFB458FD88A}"/>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FD0F2-4F6A-4E2A-9975-23D7E15926EC}">
  <sheetPr codeName="Sheet3"/>
  <dimension ref="B1:C110"/>
  <sheetViews>
    <sheetView showGridLines="0" workbookViewId="0"/>
  </sheetViews>
  <sheetFormatPr defaultRowHeight="13.8" x14ac:dyDescent="0.3"/>
  <cols>
    <col min="1" max="2" width="4.33203125" customWidth="1"/>
  </cols>
  <sheetData>
    <row r="1" spans="2:3" s="1" customFormat="1" ht="30" customHeight="1" x14ac:dyDescent="0.3">
      <c r="C1" s="8" t="s">
        <v>109</v>
      </c>
    </row>
    <row r="2" spans="2:3" s="4" customFormat="1" ht="16.2" thickBot="1" x14ac:dyDescent="0.35">
      <c r="B2" s="5">
        <f xml:space="preserve"> MAX(B$1:B1) + 1</f>
        <v>1</v>
      </c>
      <c r="C2" s="4" t="s">
        <v>30</v>
      </c>
    </row>
    <row r="4" spans="2:3" x14ac:dyDescent="0.3">
      <c r="C4" t="s">
        <v>111</v>
      </c>
    </row>
    <row r="6" spans="2:3" x14ac:dyDescent="0.3">
      <c r="B6" s="9" t="s">
        <v>32</v>
      </c>
      <c r="C6" t="s">
        <v>33</v>
      </c>
    </row>
    <row r="7" spans="2:3" x14ac:dyDescent="0.3">
      <c r="B7" s="9" t="s">
        <v>34</v>
      </c>
      <c r="C7" t="s">
        <v>35</v>
      </c>
    </row>
    <row r="8" spans="2:3" x14ac:dyDescent="0.3">
      <c r="C8" s="27"/>
    </row>
    <row r="17" spans="2:3" x14ac:dyDescent="0.3">
      <c r="B17" s="9" t="s">
        <v>36</v>
      </c>
      <c r="C17" t="s">
        <v>112</v>
      </c>
    </row>
    <row r="38" spans="2:3" x14ac:dyDescent="0.3">
      <c r="B38" s="9" t="s">
        <v>37</v>
      </c>
      <c r="C38" t="s">
        <v>38</v>
      </c>
    </row>
    <row r="39" spans="2:3" x14ac:dyDescent="0.3">
      <c r="B39" s="9" t="s">
        <v>39</v>
      </c>
      <c r="C39" t="s">
        <v>40</v>
      </c>
    </row>
    <row r="40" spans="2:3" x14ac:dyDescent="0.3">
      <c r="C40" t="s">
        <v>113</v>
      </c>
    </row>
    <row r="64" spans="2:3" x14ac:dyDescent="0.3">
      <c r="B64" s="9" t="s">
        <v>41</v>
      </c>
      <c r="C64" t="s">
        <v>42</v>
      </c>
    </row>
    <row r="71" spans="2:3" s="4" customFormat="1" ht="16.2" thickBot="1" x14ac:dyDescent="0.35">
      <c r="B71" s="5">
        <f xml:space="preserve"> MAX(B$1:B70) + 1</f>
        <v>2</v>
      </c>
      <c r="C71" s="4" t="s">
        <v>31</v>
      </c>
    </row>
    <row r="73" spans="2:3" x14ac:dyDescent="0.3">
      <c r="C73" s="24" t="s">
        <v>58</v>
      </c>
    </row>
    <row r="74" spans="2:3" x14ac:dyDescent="0.3">
      <c r="C74" s="24"/>
    </row>
    <row r="75" spans="2:3" x14ac:dyDescent="0.3">
      <c r="C75" s="24" t="s">
        <v>59</v>
      </c>
    </row>
    <row r="76" spans="2:3" x14ac:dyDescent="0.3">
      <c r="C76" s="24" t="s">
        <v>60</v>
      </c>
    </row>
    <row r="77" spans="2:3" x14ac:dyDescent="0.3">
      <c r="C77" s="24" t="s">
        <v>43</v>
      </c>
    </row>
    <row r="78" spans="2:3" x14ac:dyDescent="0.3">
      <c r="C78" s="25" t="s">
        <v>44</v>
      </c>
    </row>
    <row r="79" spans="2:3" x14ac:dyDescent="0.3">
      <c r="C79" s="24" t="s">
        <v>110</v>
      </c>
    </row>
    <row r="80" spans="2:3" x14ac:dyDescent="0.3">
      <c r="C80" s="24" t="s">
        <v>43</v>
      </c>
    </row>
    <row r="81" spans="3:3" x14ac:dyDescent="0.3">
      <c r="C81" s="26" t="s">
        <v>45</v>
      </c>
    </row>
    <row r="82" spans="3:3" x14ac:dyDescent="0.3">
      <c r="C82" s="25" t="s">
        <v>46</v>
      </c>
    </row>
    <row r="83" spans="3:3" x14ac:dyDescent="0.3">
      <c r="C83" s="24" t="s">
        <v>61</v>
      </c>
    </row>
    <row r="84" spans="3:3" x14ac:dyDescent="0.3">
      <c r="C84" s="26" t="s">
        <v>47</v>
      </c>
    </row>
    <row r="85" spans="3:3" x14ac:dyDescent="0.3">
      <c r="C85" s="24" t="s">
        <v>62</v>
      </c>
    </row>
    <row r="86" spans="3:3" x14ac:dyDescent="0.3">
      <c r="C86" s="24" t="s">
        <v>63</v>
      </c>
    </row>
    <row r="87" spans="3:3" x14ac:dyDescent="0.3">
      <c r="C87" s="26" t="s">
        <v>48</v>
      </c>
    </row>
    <row r="88" spans="3:3" x14ac:dyDescent="0.3">
      <c r="C88" s="26" t="s">
        <v>49</v>
      </c>
    </row>
    <row r="89" spans="3:3" x14ac:dyDescent="0.3">
      <c r="C89" s="24" t="s">
        <v>43</v>
      </c>
    </row>
    <row r="90" spans="3:3" x14ac:dyDescent="0.3">
      <c r="C90" s="26" t="s">
        <v>45</v>
      </c>
    </row>
    <row r="91" spans="3:3" x14ac:dyDescent="0.3">
      <c r="C91" s="24" t="s">
        <v>64</v>
      </c>
    </row>
    <row r="92" spans="3:3" x14ac:dyDescent="0.3">
      <c r="C92" s="24" t="s">
        <v>65</v>
      </c>
    </row>
    <row r="93" spans="3:3" x14ac:dyDescent="0.3">
      <c r="C93" s="24" t="s">
        <v>50</v>
      </c>
    </row>
    <row r="94" spans="3:3" x14ac:dyDescent="0.3">
      <c r="C94" s="24" t="s">
        <v>66</v>
      </c>
    </row>
    <row r="95" spans="3:3" x14ac:dyDescent="0.3">
      <c r="C95" s="24" t="s">
        <v>51</v>
      </c>
    </row>
    <row r="96" spans="3:3" x14ac:dyDescent="0.3">
      <c r="C96" s="24" t="s">
        <v>52</v>
      </c>
    </row>
    <row r="97" spans="2:3" x14ac:dyDescent="0.3">
      <c r="C97" s="24" t="s">
        <v>67</v>
      </c>
    </row>
    <row r="98" spans="2:3" x14ac:dyDescent="0.3">
      <c r="C98" s="24" t="s">
        <v>53</v>
      </c>
    </row>
    <row r="99" spans="2:3" x14ac:dyDescent="0.3">
      <c r="C99" s="24" t="s">
        <v>68</v>
      </c>
    </row>
    <row r="100" spans="2:3" x14ac:dyDescent="0.3">
      <c r="C100" s="26" t="s">
        <v>54</v>
      </c>
    </row>
    <row r="101" spans="2:3" x14ac:dyDescent="0.3">
      <c r="C101" s="24" t="s">
        <v>69</v>
      </c>
    </row>
    <row r="102" spans="2:3" x14ac:dyDescent="0.3">
      <c r="C102" s="26" t="s">
        <v>55</v>
      </c>
    </row>
    <row r="103" spans="2:3" x14ac:dyDescent="0.3">
      <c r="C103" s="26" t="s">
        <v>56</v>
      </c>
    </row>
    <row r="104" spans="2:3" x14ac:dyDescent="0.3">
      <c r="C104" s="24" t="s">
        <v>70</v>
      </c>
    </row>
    <row r="105" spans="2:3" x14ac:dyDescent="0.3">
      <c r="C105" s="26" t="s">
        <v>49</v>
      </c>
    </row>
    <row r="106" spans="2:3" x14ac:dyDescent="0.3">
      <c r="C106" s="24" t="s">
        <v>43</v>
      </c>
    </row>
    <row r="107" spans="2:3" x14ac:dyDescent="0.3">
      <c r="C107" s="26" t="s">
        <v>57</v>
      </c>
    </row>
    <row r="109" spans="2:3" ht="14.4" thickBot="1" x14ac:dyDescent="0.35"/>
    <row r="110" spans="2:3" s="14" customFormat="1" x14ac:dyDescent="0.3">
      <c r="B110" s="14" t="s">
        <v>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2EC9-017B-47C2-904B-18191FC0F19F}">
  <sheetPr codeName="Sheet4"/>
  <dimension ref="B1:D10"/>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4" s="1" customFormat="1" ht="30" customHeight="1" x14ac:dyDescent="0.3">
      <c r="C1" s="8" t="s">
        <v>3</v>
      </c>
    </row>
    <row r="3" spans="2:4" x14ac:dyDescent="0.3">
      <c r="B3" s="10">
        <v>1</v>
      </c>
      <c r="C3" s="11">
        <v>1</v>
      </c>
    </row>
    <row r="4" spans="2:4" x14ac:dyDescent="0.3">
      <c r="B4" s="10">
        <v>0</v>
      </c>
      <c r="C4" s="11">
        <v>0</v>
      </c>
      <c r="D4" s="13" t="s">
        <v>4</v>
      </c>
    </row>
    <row r="6" spans="2:4" x14ac:dyDescent="0.3">
      <c r="B6" s="10">
        <v>1</v>
      </c>
      <c r="C6" s="12">
        <v>1</v>
      </c>
    </row>
    <row r="7" spans="2:4" x14ac:dyDescent="0.3">
      <c r="B7" s="10">
        <v>0</v>
      </c>
      <c r="C7" s="12">
        <v>0</v>
      </c>
      <c r="D7" s="13" t="s">
        <v>5</v>
      </c>
    </row>
    <row r="9" spans="2:4" ht="14.4" thickBot="1" x14ac:dyDescent="0.35"/>
    <row r="10" spans="2:4" s="14" customFormat="1" x14ac:dyDescent="0.3">
      <c r="B10" s="14" t="s">
        <v>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CAAUgBYAEwAXwBKAG8AaQBuACAARgB1AG4AYwB0AGkAbwBuAFwAbgAgACAAIAAgACAAIAAgACAAdgBlAHIAcwBpAG8AbgAgADEALgAwADUAIAAgACgAMgA5AC8AMAA3AC8AMgAwADIANQApAFwAbgAgACAAIAAgACAAIAAgACAAUgAgAFMAaQBsAGsALAAgAFIAWABMACAARABlAHYAZQBsAG8AcABtAGUAbgB0AFwAbgAgACAAIAAgACAAIAAgACAAaAB0AHQAcABzADoALwAvAGcAaQBzAHQALgBnAGkAdABoAHUAYgAuAGMAbwBtAC8AcgAtAHMAaQBsAGsALwBhADgANABlAGEAZQBiADEAMgBmADIAMQBmAGEAMgA0ADgANwBkADQAMQA2AGYAMgBmAGQAMwBmADkAOQBhADAAXABuACoALwBcAG4ALwAqAFwAbgAgACAAIAAgAE4AYQBtAGUAOgAgACAAIAAgACAAIAAgACAASgBvAGkAbgAoACkAXABuACAAIAAgACAARABlAHMAYwByAGkAcAB0AGkAbwBuADoAIAAqAC8ALwAqACoASgBvAGkAbgBzACAAdAB3AG8AIABkAGEAdABhACAAdABhAGIAbABlAHMAIAB0AG8AZwBlAHQAaABlAHIAIABtAGEAdABjAGgAaQBuAGcAIAByAG8AdwBzACAAYgBhAHMAZQBkACAAbwBuACAAYwBoAG8AcwBlAG4AIABjAG8AbAB1AG0AbgBzACAAZgByAG8AbQAgAGUAYQBjAGgAIABpAG4AcAB1AHQAIABhAHIAcgBhAHkAOwAgAHMAaQBtAGkAbABhAHIAIAB0AG8AIAB0AGgAZQAgAFMAUQBMACAASgBPAEkATgAgAG8AcABlAHIAYQB0AGkAbwBuACoALwAvACoAXABuACAAIAAgACAAUABhAHIAYQBtAGUAdABlAHIAcwA6AFwAbgAgACAAIAAgACAAIAAgACAAKwAgAGYAaQByAHMAdABfAGEAcgByAGEAeQAgACAAIAAgACAAIAAgACAAIAA9ACAAKAByAGUAcQB1AGkAcgBlAGQAKQAgAFQAaABlACAAZgBpAHIAcwB0ACAAbwByACAAbQBhAGkAbgAgACgAcAByAGkAbQBhAHIAeQAvAGwAZQBmAHQAKQAgAGQAYQB0AGEAIABhAHIAcgBhAHkALAAgAHQAbwAgAHcAaABpAGMAaAAgAHQAaABlACAAcwBlAGMAbwBuAGQAIAAoAHMAZQBjAG8AbgBkAGEAcgB5AC8AcgBpAGcAaAB0ACkAIABkAGEAdABhACAAYQByAHIAYQB5ACAAdwBpAGwAbAAgAGIAZQAgAGoAbwBpAG4AZQBkAFwAbgAgACAAIAAgACAAIAAgACAAKwAgAHMAZQBjAG8AbgBkAF8AYQByAHIAYQB5ACAAIAAgACAAIAAgACAAIAA9ACAAKAByAGUAcQB1AGkAcgBlAGQAKQAgAFQAaABlACAAcwBlAGMAbwBuAGQAIAAoAHMAZQBjAG8AbgBkAGEAcgB5AC8AcgBpAGcAaAB0ACkAIABkAGEAdABhACAAYQByAHIAYQB5ACwAIAB3AGgAaQBjAGgAIABpAHMAIABqAG8AaQBuAGUAZAAgAHQAbwAgAHQAaABlACAAZgBpAHIAcwB0ACAAKABwAHIAaQBtAGEAcgB5AC8AbABlAGYAdAApACAAZABhAHQAYQAgAGEAcgByAGEAeQBcAG4AIAAgACAAIAAgACAAIAAgACsAIABmAGkAcgBzAHQAXwBtAGEAdABjAGgAXwBpAG4AZABlAHgAIAAgACAAPQAgACgAcgBlAHEAdQBpAHIAZQBkACkAIABUAGgAZQAgAGMAbwBsAHUAbQBuACAAbgB1AG0AYgBlAHIAKABzACkAIABvAGYAIAB0AGgAZQAgAGMAbwBsAHUAbQBuACgAcwApACAAdABvACAAdQBzAGUAIABmAG8AcgAgAG0AYQB0AGMAaABpAG4AZwAgAGkAbgAgAHQAaABlACAAZgBpAHIAcwB0AF8AYQByAHIAYQB5ACAAKABlAC4AZwAuACAAMQAgAGYAbwByACAAdABoAGUAIAAxAHMAdAAgAGMAbwBsAHUAbQBuACAAbwBmACAAdABoAGUAIABhAHIAcgBhAHkALAAgADIAIABmAG8AcgAgAHQAaABlACAAMgBuAGQAIABjAG8AbAB1AG0AbgAsACAAZQB0AGMALgApAFwAbgAgACAAIAAgACAAIAAgACAAKwAgAHMAZQBjAG8AbgBkAF8AbQBhAHQAYwBoAF8AaQBuAGQAZQB4ACAAIAA9ACAAKAByAGUAcQB1AGkAcgBlAGQAKQAgAFQAaABlACAAYwBvAGwAdQBtAG4AIABuAHUAbQBiAGUAcgAoAHMAKQAgAG8AZgAgAHQAaABlACAAYwBvAGwAdQBtAG4AKABzACkAIAB0AG8AIAB1AHMAZQAgAGYAbwByACAAbQBhAHQAYwBoAGkAbgBnACAAaQBuACAAdABoAGUAIABzAGUAYwBvAG4AZABfAGEAcgByAGEAeQAgACgAZQAuAGcALgAgADEAIABmAG8AcgAgAHQAaABlACAAMQBzAHQAIABjAG8AbAB1AG0AbgAgAG8AZgAgAHQAaABlACAAYQByAHIAYQB5ACwAIAAyACAAZgBvAHIAIAB0AGgAZQAgADIAbgBkACAAYwBvAGwAdQBtAG4ALAAgAGUAdABjAC4AKQBcAG4AIAAgACAAIAAgACAAIAAgACsAIABqAG8AaQBuAF8AdAB5AHAAZQAgACAAIAAgACAAIAAgACAAIAAgACAAPQAgACgAbwBwAHQAaQBvAG4AYQBsACkAIABEAGUAdABlAHIAbQBpAG4AZQBzACAAdABoAGUAIAB0AHkAcABlACAAbwBmACAAagBvAGkAbgAgAG8AdQB0AHAAdQB0ACAAdwBoAGkAYwBoACAAdABoAGUAIABmAHUAbgBjAHQAaQBvAG4AIABwAHIAbwBkAHUAYwBlAHMAXABuACAAIAAgACAAIAAgACAAIAAgACAAIAAgACAAIAAgACAAIAAgACAAIAAgACAAIAAgACAAIAAgACAAIAAgACAAIAAgACAAIAAgACAAIAAgACAAIAAgACAAIABDAGEAbgAgAGIAZQAgAGkAbgBwAHUAdAAgAGEAcwAgAGUAaQB0AGgAZQByACAAYQAgAG4AdQBtAGIAZQByACAAbwByACAAdABlAHgAdAAgAHMAdAByAGkAbgBnACAAZgByAG8AbQAgAHQAaABlACAAbABpAHMAdAAgAG8AZgAgAG8AcAB0AGkAbwBuAHMAIABiAGUAbABvAHcAOgBcAG4AIAAgACAAIAAgACAAIAAgACAAIAAgACAAIAAgACAAIAAgACAAIAAgACAAIAAgACAAIAAgACAAIAAgACAAIAAgACAAIAAgACAAIAAgACAAIAAgACAAIAAgACAAIAAwACAAIABcACIAbABlAGYAdABcACIAIAAgACAAPQAgAEwARQBGAFQAIABKAE8ASQBOACAAIAAgACAAIAAgACAAIAA+AD4AIABvAHUAdABwAHUAdABzACAAYQBsAGwAIAByAG8AdwBzACAAZgByAG8AbQAgAHQAaABlACAAcAByAGkAbQBhAHIAeQAgACgAbABlAGYAdAApACAAYQByAHIAYQB5ACwAIABpAG4AYwBsAHUAZABpAG4AZwAgAGEAbgB5ACAAdQBuAG0AYQB0AGMAaABlAGQAIAByAG8AdwBzAFwAbgAgACAAIAAgACAAIAAgACAAIAAgACAAIAAgACAAIAAgACAAIAAgACAAIAAgACAAIAAgACAAIAAgACAAIAAgACAAIAAgACAAIAAgACAAIAAgACAAIAAgACAAIAAgADEAIAAgAFwAIgByAGkAZwBoAHQAXAAiACAAIAA9ACAAUgBJAEcASABUACAASgBPAEkATgAgACAAIAAgACAAIAAgAD4APgAgAG8AdQB0AHAAdQB0AHMAIAB0AGgAZQAgAG0AYQB0AGMAaABlAGQAIABhAG4AZAAgAGoAbwBpAG4AZQBkACAAcgBvAHcAcwAgAGYAcgBvAG0AIAB0AGgAZQAgAHAAcgBpAG0AYQByAHkAIAAoAGwAZQBmAHQAKQAgAGEAcgByAGEAeQAgAGYAbwBsAGwAbwB3AGUAZAAgAGIAeQAgAGEAbgB5ACAAdQBuAG0AYQB0AGMAaABlAGQAIAByAG8AdwBzACAAZgByAG8AbQAgAHQAaABlACAAcwBlAGMAbwBuAGQAYQByAHkAIAAoAHIAaQBnAGgAdAApACAAYQByAHIAYQB5AFwAbgAgACAAIAAgACAAIAAgACAAIAAgACAAIAAgACAAIAAgACAAIAAgACAAIAAgACAAIAAgACAAIAAgACAAIAAgACAAIAAgACAAIAAgACAAIAAgACAAIAAgACAAIAAgADIAIAAgAFwAIgBpAG4AbgBlAHIAXAAiACAAIAA9ACAASQBOAE4ARQBSACAASgBPAEkATgAgACAAIAAgACAAIAAgAD4APgAgAG8AdQB0AHAAdQB0AHMAIABvAG4AbAB5ACAAdABoAGUAIAByAG8AdwBzACAAZgByAG8AbQAgAHQAaABlACAAcAByAGkAbQBhAHIAeQAgACgAbABlAGYAdAApACAAYQByAHIAYQB5ACAAdwBoAGkAYwBoACAAYQByAGUAIABtAGEAdABjAGgAZQBkACAAYQBuAGQAIABqAG8AaQBuAGUAZAAgAHQAbwAgAHQAaABlACAAcwBlAGMAbwBuAGQAYQByAHkAIAAoAHIAaQBnAGgAdAApACAAYQByAHIAYQB5AFwAbgAgACAAIAAgACAAIAAgACAAIAAgACAAIAAgACAAIAAgACAAIAAgACAAIAAgACAAIAAgACAAIAAgACAAIAAgACAAIAAgACAAIAAgACAAIAAgACAAIAAgACAAIAAgADMAIAAgAFwAIgBmAHUAbABsAFwAIgAgACAAIAA9ACAARgBVAEwATAAvAE8AVQBUAEUAUgAgAEoATwBJAE4AIAAgAD4APgAgAG8AdQB0AHAAdQB0AHMAIABhAGwAbAAgAHIAbwB3AHMAIABmAHIAbwBtACAAdABoAGUAIABwAHIAaQBtAGEAcgB5ACAAKABsAGUAZgB0ACkAIABhAHIAcgBhAHkAIABmAG8AbABsAG8AdwBlAGQAIABiAHkAIAB1AG4AbQBhAHQAYwBoAGUAZAAgAHIAbwB3AHMAIABmAHIAbwBtACAAdABoAGUAIABzAGUAYwBvAG4AZABhAHIAeQAgACgAcgBpAGcAaAB0ACkAIABhAHIAcgBhAHkAXABuACAAIAAgACAAIAAgACAAIAAgACAAIAAgACAAIAAgACAAIAAgACAAIAAgACAAIAAgACAAIAAgACAAIAAgACAAIAAgACAAIAAgACAAIAAgACAAIAAgACAAIABJAGYAIABuAG8AIABpAG4AcAB1AHQAIAB2AGEAbAB1AGUAIABpAHMAIABwAHIAbwB2AGkAZABlAGQALAAgAHcAaQBsAGwAIABkAGUAZgBhAHUAbAB0ACAAdABvACAAMAAgACgATABFAEYAVAAgAEoATwBJAE4AKQBcAG4AIAAgACAAIAAgACAAIAAgACsAIABmAGkAcgBzAHQAXwBhAHIAcgBhAHkAXwBjAG8AbABzACAAIAAgACAAPQAgACgAbwBwAHQAaQBvAG4AYQBsACkAIABBAG4AIABhAHIAcgBhAHkAIABvAGYAIABjAG8AbAB1AG0AbgAgAGkAbgBkAGUAeAAgAHYAYQBsAHUAZQBzACAAdABoAGEAdAAgAGQAZQB0AGUAcgBtAGkAbgBlAHMAIAB3AGgAaQBjAGgAIABjAG8AbAB1AG0AbgBzACAAZgByAG8AbQAgAHQAaABlACAAZgBpAHIAcwB0AF8AYQByAHIAYQB5ACAAKABwAHIAaQBtAGEAcgB5AC8AbABlAGYAdAAgAGEAcgByAGEAeQApACAAdwBpAGwAbAAgAGIAZQAgAGkAbgBjAGwAdQBkAGUAZAAgAGkAbgAgAHQAaABlACAAZgB1AG4AYwB0AGkAbwBuACAAbwB1AHQAcAB1AHQAXABuACAAIAAgACAAIAAgACAAIAAgACAAIAAgACAAIAAgACAAIAAgACAAIAAgACAAIAAgACAAIAAgACAAIAAgACAAIAAgACAAIAAgACAAIAAgACAAIAAgACAAIABUAGgAZQAgAGkAbgBwAHUAdAAgAHMAaABvAHUAbABkACAAYgBlACAAcAByAG8AdgBpAGQAZQBkACAAYQBzACAAYQAgAHMAaQBuAGcAbABlACAAcgBvAHcAIABvAGYAIABjAG8AbQBtAGEALQBzAGUAcABhAHIAYQB0AGUAZAAgAGkAbgB0AGUAZwBlAHIAIAB2AGEAbAB1AGUAcwAsACAAZQAuAGcALgAgAHsAMQAsADIALAAzAH0AXABuACAAIAAgACAAIAAgACAAIAAgACAAIAAgACAAIAAgACAAIAAgACAAIAAgACAAIAAgACAAIAAgACAAIAAgACAAIAAgACAAIAAgACAAIAAgACAAIAAgACAAIABJAGYAIABuAG8AIABpAG4AcAB1AHQAIABpAHMAIABwAHIAbwB2AGkAZABlAGQALAAgAHcAaQBsAGwAIABkAGUAZgBhAHUAbAB0ACAAdABvACAAaQBuAGMAbAB1AGQAaQBuAGcAIABhAGwAbAAgAGMAbwBsAHUAbQBuAHMAIABmAHIAbwBtACAAdABoAGUAIABmAGkAcgBzAHQAXwBhAHIAcgBhAHkAXABuACAAIAAgACAAIAAgACAAIAArACAAcwBlAGMAbwBuAGQAXwBhAHIAcgBhAHkAXwBjAG8AbABzACAAIAAgAD0AIAAoAG8AcAB0AGkAbwBuAGEAbAApACAAQQBuACAAYQByAHIAYQB5ACAAbwBmACAAYwBvAGwAdQBtAG4AIABpAG4AZABlAHgAIAB2AGEAbAB1AGUAcwAgAHQAaABhAHQAIABkAGUAdABlAHIAbQBpAG4AZQBzACAAdwBoAGkAYwBoACAAYwBvAGwAdQBtAG4AcwAgAGYAcgBvAG0AIAB0AGgAZQAgAHMAZQBjAG8AbgBkAF8AYQByAHIAYQB5ACAAKABzAGUAYwBvAG4AZABhAHIAeQAvAHIAaQBnAGgAdAAgAGEAcgByAGEAeQApACAAdwBpAGwAbAAgAGIAZQAgAGkAbgBjAGwAdQBkAGUAZAAgAGkAbgAgAHQAaABlACAAZgB1AG4AYwB0AGkAbwBuACAAbwB1AHQAcAB1AHQAXABuACAAIAAgACAAIAAgACAAIAAgACAAIAAgACAAIAAgACAAIAAgACAAIAAgACAAIAAgACAAIAAgACAAIAAgACAAIAAgACAAIAAgACAAIAAgACAAIAAgACAAIABUAGgAZQAgAGkAbgBwAHUAdAAgAHMAaABvAHUAbABkACAAYgBlACAAcAByAG8AdgBpAGQAZQBkACAAYQBzACAAYQAgAHMAaQBuAGcAbABlACAAcgBvAHcAIABvAGYAIABjAG8AbQBtAGEALQBzAGUAcABhAHIAYQB0AGUAZAAgAGkAbgB0AGUAZwBlAHIAIAB2AGEAbAB1AGUAcwAsACAAZQAuAGcALgAgAHsAMQAsADIALAAzAH0AXABuACAAIAAgACAAIAAgACAAIAAgACAAIAAgACAAIAAgACAAIAAgACAAIAAgACAAIAAgACAAIAAgACAAIAAgACAAIAAgACAAIAAgACAAIAAgACAAIAAgACAAIABJAGYAIABuAG8AIABpAG4AcAB1AHQAIABpAHMAIABwAHIAbwB2AGkAZABlAGQALAAgAHcAaQBsAGwAIABkAGUAZgBhAHUAbAB0ACAAdABvACAAaQBuAGMAbAB1AGQAaQBuAGcAIABhAGwAbAAgAGMAbwBsAHUAbQBuAHMAIABmAHIAbwBtACAAdABoAGUAIABzAGUAYwBvAG4AZABfAGEAcgByAGEAeQBcAG4AIAAgACAAIAAgACAAIAAgACsAIABzAG8AcgB0ACAAIAAgACAAIAAgACAAIAAgACAAIAAgACAAIAAgACAAPQAgACgAbwBwAHQAaQBvAG4AYQBsACkAIABBAGwAbABvAHcAcwAgAHQAaABlACAAdQBzAGUAcgAgAHQAbwAgAHMAbwByAHQAIAB0AGgAZQAgAGYAdQBuAGMAdABpAG8AbgAgAG8AdQB0AHAAdQB0ACAAYgBhAHMAZQBkACAAbwBuACAAdABoAGUAIABtAGEAdABjAGgAIABjAG8AbAB1AG0AbgAoAHMAKQBcAG4AIAAgACAAIAAgACAAIAAgACAAIAAgACAAIAAgACAAIAAgACAAIAAgACAAIAAgACAAIAAgACAAIAAgACAAIAAgACAAIAAgACAAIAAgACAAIAAgACAAIAAgAEMAYQBuACAAYgBlACAAaQBuAHAAdQB0ACAAYQBzACAAZQBpAHQAaABlAHIAIABhACAAbgB1AG0AYgBlAHIAIABvAHIAIABhACAAbABvAGcAaQBjAGEAbAAvAEIAbwBvAGwAZQBhAG4AIAB2AGEAbAB1AGUAOgBcAG4AIAAgACAAIAAgACAAIAAgACAAIAAgACAAIAAgACAAIAAgACAAIAAgACAAIAAgACAAIAAgACAAIAAgACAAIAAgACAAIAAgACAAIAAgACAAIAAgACAAIAAgACAAIAAgACAAMAAgACAAIAAgAD0AIABuAG8AIABzAG8AcgB0AGkAbgBnAFwAbgAgACAAIAAgACAAIAAgACAAIAAgACAAIAAgACAAIAAgACAAIAAgACAAIAAgACAAIAAgACAAIAAgACAAIAAgACAAIAAgACAAIAAgACAAIAAgACAAIAAgACAAIAAgACAAKwAxACAAIAAgACAAPQAgAGYAdQBuAGMAdABpAG8AbgAgAG8AdQB0AHAAdQB0ACAAcwBvAHIAdABlAGQAIABpAG4AIABhAHMAYwBlAG4AZABpAG4AZwAgAG8AcgBkAGUAcgAgACgAZQAuAGcALgAgAEEALQBaACAAbwByACAAMQAtADkAKQBcAG4AIAAgACAAIAAgACAAIAAgACAAIAAgACAAIAAgACAAIAAgACAAIAAgACAAIAAgACAAIAAgACAAIAAgACAAIAAgACAAIAAgACAAIAAgACAAIAAgACAAIAAgACAAIAAgAC0AMQAgACAAIAAgAD0AIABmAHUAbgBjAHQAaQBvAG4AIABvAHUAdABwAHUAdAAgAHMAbwByAHQAZQBkACAAaQBuACAAZABlAHMAYwBlAG4AZABpAG4AZwAgAG8AcgBkAGUAcgAgACgAZQAuAGcALgAgAFoALQBBACAAbwByACAAOQAtADEAKQBcAG4AIAAgACAAIAAgACAAIAAgACAAIAAgACAAIAAgACAAIAAgACAAIAAgACAAIAAgACAAIAAgACAAIAAgACAAIAAgACAAIAAgACAAIAAgACAAIAAgACAAIAAgACAAIABUAFIAVQBFACAAIAAgAD0AIABmAHUAbgBjAHQAaQBvAG4AIABvAHUAdABwAHUAdAAgAHMAbwByAHQAZQBkACAAaQBuACAAYQBzAGMAZQBuAGQAaQBuAGcAIABvAHIAZABlAHIAIAAoAGUALgBnAC4AIABBAC0AWgAgAG8AcgAgADEALQA5ACkAXABuACAAIAAgACAAIAAgACAAIAAgACAAIAAgACAAIAAgACAAIAAgACAAIAAgACAAIAAgACAAIAAgACAAIAAgACAAIAAgACAAIAAgACAAIAAgACAAIAAgACAAIAAgACAARgBBAEwAUwBFACAAIAA9ACAAbgBvACAAcwBvAHIAdABpAG4AZwBcAG4AIAAgACAAIAAgACAAIAAgACAAIAAgACAAIAAgACAAIAAgACAAIAAgACAAIAAgACAAIAAgACAAIAAgACAAIAAgACAAIAAgACAAIAAgACAAIAAgACAAIAAgAEkAZgAgAG4AbwAgAGkAbgBwAHUAdAAgAGkAcwAgAHAAcgBvAHYAaQBkAGUAZAAsACAAdwBpAGwAbAAgAGQAZQBmAGEAdQBsAHQAIAB0AG8AIABhAG4AIAB1AG4AcwBvAHIAdABlAGQAIABvAHUAdABwAHUAdAAgACgAMAAvAEYAQQBMAFMARQApAFwAbgAgACAAIAAgACAAIAAgACAAKwAgAHIAZQBwAGwAYQBjAGUAXwBuAGEAIAAgACAAIAAgACAAIAAgACAAIAA9ACAAKABvAHAAdABpAG8AbgBhAGwAKQAgAEEAbABsAG8AdwBzACAAdABoAGUAIAB1AHMAZQByACAAdABvACAAcgBlAHAAbABhAGMAZQAgAGEAbgB5ACAAIwBOAC8AQQAgAHYAYQBsAHUAZQBzACAAaQBuACAAdABoAGUAIABmAHUAbgBjAHQAaQBvAG4AIABvAHUAdABwAHUAdAAgAHQAbwAgAGIAZQAgAHIAZQBwAGwAYQBjAGUAZAAgAHcAaQB0AGgAIABhACAAcAByAG8AdgBpAGQAZQBkACAAdgBhAGwAdQBlACAAbwByACAAYQAgAGIAbABhAG4AawAgAHQAZQB4AHQAIABzAHQAcgBpAG4AZwAgACgAXAAiAFwAIgApAFwAbgAgACAAIAAgACAAIAAgACAAIAAgACAAIAAgACAAIAAgACAAIAAgACAAIAAgACAAIAAgACAAIAAgACAAIAAgACAAIAAgACAAIAAgACAAIAAgACAAIAAgACAAQwBhAG4AIABiAGUAIABpAG4AcAB1AHQAIABhAHMAIABlAGkAdABoAGUAcgAgAGEAIABsAG8AZwBpAGMAYQBsAC8AQgBvAG8AbABlAGEAbgAgAHYAYQBsAHUAZQAgAG8AcgAgAGEAbgB5ACAAbwB0AGgAZQByACAAdgBhAGwAdQBlADoAXABuACAAIAAgACAAIAAgACAAIAAgACAAIAAgACAAIAAgACAAIAAgACAAIAAgACAAIAAgACAAIAAgACAAIAAgACAAIAAgACAAIAAgACAAIAAgACAAIAAgACAAIAAgACAAVABSAFUARQAgACAAIAA9ACAAbgBvACAAcgBlAHAAbABhAGMAZQBtAGUAbgB0ACAAbwBmACAAIwBOAC8AQQAgAHYAYQBsAHUAZQBzAFwAbgAgACAAIAAgACAAIAAgACAAIAAgACAAIAAgACAAIAAgACAAIAAgACAAIAAgACAAIAAgACAAIAAgACAAIAAgACAAIAAgACAAIAAgACAAIAAgACAAIAAgACAAIAAgAEYAQQBMAFMARQAgACAAPQAgAHIAZQBwAGwAYQBjAGkAbgBnACAAIwBOAC8AQQAgAHYAYQBsAHUAZQBzACAAdwBpAHQAaAAgAGEAIABiAGwAYQBuAGsAIAB0AGUAeAB0ACAAcwB0AHIAaQBuAGcAIAAoAFwAIgBcACIAKQBcAG4AIAAgACAAIAAgACAAIAAgACAAIAAgACAAIAAgACAAIAAgACAAIAAgACAAIAAgACAAIAAgACAAIAAgACAAIAAgACAAIAAgACAAIAAgACAAIAAgACAAIAAgACAAWwBvAHQAaABlAHIAXQAgAD0AIAByAGUAcABsAGEAYwBpAG4AZwAgACMATgAvAEEAIAB2AGEAbAB1AGUAcwAgAHcAaQB0AGgAIAB0AGgAZQAgAHYAYQBsAHUAZQAgAHAAcgBvAHYAaQBkAGUAZABcAG4AIAAgACAAIAAgACAAIAAgACAAIAAgACAAIAAgACAAIAAgACAAIAAgACAAIAAgACAAIAAgACAAIAAgACAAIAAgACAAIAAgACAAIAAgACAAIAAgACAAIAAgAEkAZgAgAG4AbwAgAGkAbgBwAHUAdAAgAGkAcwAgAHAAcgBvAHYAaQBkAGUAZAAsACAAdwBpAGwAbAAgAGQAZQBmAGEAdQBsAHQAIAB0AG8AIABuAG8AIAByAGUAcABsAGEAYwBlAG0AZQBuAHQAIAAoAEYAQQBMAFMARQApAFwAbgAgACAAIAAgAEUAcgByAG8AcgAgAGMAbwBkAGUAcwA6AFwAbgAgACAAIAAgACAAIAAgACAAIAAgACAAIAAjAFYAQQBMAFUARQAhACAAIAAgACAAIABSAGUAcQB1AGkAcgBlAGQAIABpAG4AcAB1AHQAIABwAGEAcgBhAG0AZQB0AGUAcgBzACAAKABmAGkAcgBzAHQAXwBhAHIAcgBhAHkALAAgAHMAZQBjAG8AbgBkAF8AYQByAHIAYQB5ACwAIABmAGkAcgBzAHQAXwBtAGEAdABjAGgAXwBpAG4AZABlAHgALAAgAHMAZQBjAG8AbgBkAF8AbQBhAHQAYwBoAF8AaQBuAGQAZQB4ACkAIABoAGEAdgBlACAAbgBvAHQAIABiAGUAZQBuACAAcAByAG8AdgBpAGQAZQBkAFwAbgAgACAAIAAgACAAIAAgACAAIAAgACAAIAAjAEMAQQBMAEMAIQAgACAAIAAgACAAIABUAGgAZQAgAHYAYQBsAHUAZQAoAHMAKQAgAHAAcgBvAHYAaQBkAGUAZAAgAGYAbwByACAAdABoAGUAIABmAGkAcgBzAHQAXwBtAGEAdABjAGgAXwBpAG4AZABlAHgAIABhAG4AZAAvAG8AcgAgAHMAZQBjAG8AbgBkAF8AbQBhAHQAYwBoAF8AaQBuAGQAZQB4ACAAYQByAGUAIABpAG4AdgBhAGwAaQBkACAAKABlAC4AZwAuACAAdABlAHgAdAAgAG8AcgAgAGUAcgByAG8AcgAgAHYAYQBsAHUAZQBzACkAIABvAHIAIABlAHgAYwBlAGUAZAAgAHQAaABlACAAYwBvAHIAcgBlAHMAcABvAG4AZABpAG4AZwAgAGMAbwBsAHUAbQBuACAAaQBuAGQAZQB4ACAAcgBhAG4AZwBlAHMAXABuACAAIAAgACAAIAAgACAAIAAgACAAIAAgACAAIAAgACAAIAAgACAAIAAgACAAIAAgACAAIAAgACAAZQAuAGcALgAgAGEAIABuAHUAbQBiAGUAcgAgAGwAZQBzAHMAIAB0AGgAYQBuACAAMQAgAG8AcgAgAGEAIABuAHUAbQBiAGUAcgAgAGcAcgBlAGEAdABlAHIAIAB0AGgAYQBuACAAdABoAGUAIABuAHUAbQBiAGUAcgAgAG8AZgAgAGMAbwBsAHUAbQBuAHMAIABpAG4AIAB0AGgAZQAgAGYAaQByAHMAdABfAGEAcgByAGEAeQAgAG8AcgAgAHMAZQBjAG8AbgBkAF8AYQByAHIAYQB5AFwAbgAgACAAIAAgACAAIAAgACAAIAAgACAAIAAjAEMAQQBMAEMAIQAgACAAIAAgACAAIABUAGgAZQAgAHYAYQBsAHUAZQAoAHMAKQAgAHAAcgBvAHYAaQBkAGUAZAAgAGkAbgAgAHQAaABlACAAZgBpAHIAcwB0AF8AYQByAHIAYQB5AF8AYwBvAGwAcwAgAGEAbgBkAC8AbwByACAAcwBlAGMAbwBuAGQAXwBhAHIAcgBhAHkAXwBjAG8AbABzACAAYQByAGUAIABpAG4AdgBhAGwAaQBkACAAKABlAC4AZwAuACAAdABlAHgAdAAgAG8AcgAgAGUAcgByAG8AcgAgAHYAYQBsAHUAZQBzACkAIABvAHIAIABlAHgAYwBlAGUAZAAgAHQAaABlACAAYwBvAHIAcgBlAHMAcABvAG4AZABpAG4AZwAgAGMAbwBsAHUAbQBuACAAaQBuAGQAZQB4ACAAcgBhAG4AZwBlAHMAXABuACAAIAAgACAAIAAgACAAIAAgACAAIAAgACAAIAAgACAAIAAgACAAIAAgACAAIAAgACAAIAAgACAAZQAuAGcALgAgAGEAIABuAHUAbQBiAGUAcgAgAGwAZQBzAHMAIAB0AGgAYQBuACAAMQAgAG8AcgAgAGEAIABuAHUAbQBiAGUAcgAgAGcAcgBlAGEAdABlAHIAIAB0AGgAYQBuACAAdABoAGUAIABuAHUAbQBiAGUAcgAgAG8AZgAgAGMAbwBsAHUAbQBuAHMAIABpAG4AIAB0AGgAZQAgAGYAaQByAHMAdABfAGEAcgByAGEAeQAgAG8AcgAgAHMAZQBjAG8AbgBkAF8AYQByAHIAYQB5AFwAbgAgACAAIAAgACAAIAAgACAAIAAgACAAIAAjAFYAQQBMAFUARQAhACAAIAAgACAAIABPAHAAdABpAG8AbgBhAGwAIABpAG4AcAB1AHQAIABwAGEAcgBhAG0AZQB0AGUAcgBzACAAagBvAGkAbgBfAHQAeQBwAGUAIABhAG4AZAAgAHMAbwByAHQAIABoAGEAdgBlACAAaQBuAHYAYQBsAGkAZAAgAGkAbgBwAHUAdAAgAHYAYQBsAHUAZQBzACAAcAByAG8AdgBpAGQAZQBkAFwAbgAgACAAIAAgACAAIAAgACAAIAAgACAAIAAgACAAIAAgACAAIAAgACAAIAAgACAAIAAgACAAIAAgAGUALgBnAC4AIABmAG8AcgAgAGoAbwBpAG4AXwB0AHkAcABlACAAYQAgAG4AdQBtAGIAZQByACAAbwB1AHQAcwBpAGQAZQAgAG8AZgAgAHQAaABlACAAcgBhAG4AZwBlACAAMAAtAHQAbwAtADMAIABvAHIAIABhACAAdABlAHgAdAAgAHMAdAByAGkAbgBnACAAbgBvAHQAIABmAHIAbwBtACAAZQB4AHAAZQBjAHQAZQBkACAAbwBwAHQAaQBvAG4AcwA7ACAAZgBvAHIAIABzAG8AcgB0ACAAYQAgAG4AdQBtAGIAZQByACAAbwB1AHQAcwBpAGQAZQAgAG8AZgAgAHQAaABlACAAcgBhAG4AZwBlACAALQAxAC0AdABvAC0AMQAgAG8AcgAgAGEAIAB2AGEAbAB1AGUAIABvAHQAaABlAHIAIAB0AGgAYQBuACAAVABSAFUARQAvAEYAQQBMAFMARQBcAG4AIAAgACAAIABOAG8AdABlAHMAOgBcAG4AIAAgACAAIAAgACAAIAAgAC0AIABUAGgAZQAgAG0AYQBpAG4ALwBwAHIAaQBtAGEAcgB5ACAAKABsAGUAZgB0ACkAIABhAHIAcgBhAHkAIABpAHMAIABnAGkAdgBlAG4AIABwAHIAZQBmAGUAcgBlAG4AYwBlACAAbwB2AGUAcgAgAHQAaABlACAAcwBlAGMAbwBuAGQAYQByAHkAIAAoAHIAaQBnAGgAdAApACAAYQByAHIAYQB5ACAAdwBpAHQAaAAgAHQAaABlACAAcgBvAHcAIABvAHIAZABlAHIAIABvAGYAIABwAHIAaQBtAGEAcgB5ACAAKABsAGUAZgB0ACkAIABiAGUAaQBuAGcAIAB1AHMAZQBkACAAZgBvAHIAIAB0AGgAZQAgAG0AYQBpAG4AIABmAHUAbgBjAHQAaQBvAG4AIABvAHUAdABwAHUAdAAuACAARgBvAHIAIABlAHgAYQBtAHAAbABlACwAIAB3AGkAdABoACAAdABoAGUAIABGAFUATABMACAALwAgAE8AVQBUAEUAUgAgAEoATwBJAE4AIABzAHQAeQBsAGUAXABuACAAIAAgACAAIAAgACAAIAAgACAAbwB1AHQAcAB1AHQALAAgAHQAaABlACAAcAByAGkAbQBhAHIAeQAgACgAbABlAGYAdAApACAAcgBvAHcAcwAgAGEAcgBlACAAcgBlAHQAdQByAG4AZQBkACAAaQBuACAAdABoAGUAaQByACAAbwByAGkAZwBpAG4AYQBsACAAcgBvAHcAIABvAHIAZABlAHIALAAgAGYAbwBsAGwAbwB3AGUAZAAgAGIAeQAgAGEAbgB5ACAAdQBuAG0AYQB0AGMAaABlAGQAIAByAG8AdwBzACAAZgByAG8AbQAgAHQAaABlACAAcwBlAGMAbwBuAGQAYQByAHkAIAAoAHIAaQBnAGgAdAApACAAYQByAHIAYQB5ACAAbQBhAGkAbgB0AGEAaQBuAGkAbgBnACAAdABoAGUAIABvAHIAaQBnAGkAbgBhAGwAIAByAG8AdwAgAG8AcgBkAGUAcgAgAG8AZgAgAHQAaABlACAAcwBlAGMAbwBuAGQAYQByAHkAIAAoAHIAaQBnAGgAdAApACAAYQByAHIAYQB5AC4AXABuACAAIAAgACAAIAAgACAAIAAtACAAVABoAGUAIABtAGEAdABjAGgAaQBuAGcAIABjAG8AbAB1AG0AbgAgAGkAbgBkAGkAYwBlAHMAIAAoAGYAaQByAHMAdABfAG0AYQB0AGMAaABfAGkAbgBkAGUAeAAsACAAcwBlAGMAbwBuAGQAXwBtAGEAdABjAGgAXwBpAG4AZABlAHgAKQAgAGMAYQBuACAAYgBlACAAcwB1AHAAcABsAGkAZQBkACAAYQBzACAAZQBpAHQAaABlAHIAIABhACAAcwBpAG4AZwBsAGUAIABuAHUAbQBiAGUAcgAgAG8AcgAgAGEAbgAgAGEAcgByAGEAeQAgAG8AZgAgAG4AdQBtAGIAZQByAHMALgAgAFcAaABlAHIAZQAgAGEAbgAgAGEAcgByAGEAeQAgAG8AZgAgAGkAbgBkAGkAYwBlAHMAIABpAHMAIAB1AHMAZQBkACAAdABoAGUAIAByAG8AdwAgAG0AYQB0AGMAaABpAG4AZwAgAHcAaQBsAGwAIABiAGUAIABiAGEAcwBlAGQAIABvAG4AXABuACAAIAAgACAAIAAgACAAIAAgACAAdABoAGUAIABjAG8AbQBiAGkAbgBhAHQAaQBvAG4AIABvAGYAIAB2AGEAbAB1AGUAcwAgAGYAcgBvAG0AIABlAGEAYwBoACAAbwBmACAAdABoAGUAIABzAGUAbABlAGMAdABlAGQAIABpAG4AcAB1AHQAIABhAHIAcgBhAHkAIABjAG8AbAB1AG0AbgBzAC4AIABUAGgAZQAgAGMAaABvAHMAZQBuACAAYwBvAGwAdQBtAG4AcwAgAGMAYQBuACAAZwBiAGUAIABmAHIAbwBtACAAYQBuAHkAIABwAG8AcwBpAHQAaQBvAG4AIABpAG4AIAB0AGgAZQAgAGMAbwByAHIAZQBzAHAAbgBkAGkAbgBnACAAaQBuAHAAdQB0ACAAYQByAHIAYQB5ACAAYQBuAGQAIABkAG8AIABuAG8AdAAgAGgAYQB2AGUAIAB0AG8AIABiAGUAIABhAGQAagBhAGMAZQBuAHQAIAAoAGUALgBnAC4AIABzAGUAbABlAGMAdABpAG4AZwAgAHQAaABlACAAMQBzAHQAIABcAG4AIAAgACAAIAAgACAAIAAgACAAIABhAG4AZAAgADMAcgBkACAAYwBvAGwAdQBtAG4AcwAgAHUAcwBpAG4AZwAgAHsAMQAsADMAfQApAC4AXABuACAAIAAgACAAIAAgACAAIAAtACAASQBmACAAdABoAGUAIABzAG8AcgB0ACAAbwBwAHQAaQBvAG4AIABpAHMAIAB1AHMAZQBkACwAIABzAG8AcgB0AGkAbgBnACAAaQBzACAAYQBwAHAAbABpAGUAZAAgAGEAZgB0AGUAcgAgAHQAaABlACAAbwB1AHQAcAB1AHQAIABoAGEAcwAgAGIAZQBlAG4AIABjAG8AbgBzAHQAcgB1AGMAdABlAGQAIABhAG4AZAAgAGYAaQBsAHQAZQByAGUAZAAgAGEAcwAgAGEAcABwAHIAbwBwAHIAaQBhAHQAZQAsACAAcwBvACAAdABoAGUAIAByAG8AdwAgAG8AcgBkAGUAcgAgAGkAcwAgAHAAdQByAGUAbAB5ACAAYgBhAHMAZQBkACAAbwBuACAAcwBvAHIAdABpAG4AZwAgAG8AZgAgAHQAaABlACAAYwBvAG0AYgBpAG4AZQBkACAAbQBhAHQAYwBoACAAYwBvAGwAdQBtAG4AKABzACkAIAB2AGEAbAB1AGUAcwAgAGYAcgBvAG0AIABiAG8AdABoAFwAbgAgACAAIAAgACAAIAAgACAAIAAgAHQAaABlACAAZgBpAHIAcwB0AF8AYQByAHIAYQB5ACAAYQBuAGQAIABzAGUAYwBvAG4AZABfAGEAcgByAGEAeQAuAFwAbgAgACAAIAAgACAAIAAgACAALQAgAFQAaABlACAAYQByAHIAYQB5ACAAbwB1AHQAcAB1AHQAIABjAG8AbAB1AG0AbgAgAGkAbgBkAGUAeAAgAHYAYQBsAHUAZQBzACAAKABmAGkAcgBzAHQAXwBhAHIAcgBhAHkAXwBjAG8AbABzACwAIABzAGUAYwBvAG4AZABfAGEAcgByAGEAeQBfAGMAbwBsAHMAKQAgAGMAYQBuACAAYgBlACAAZQBuAHQAZQByAGUAZAAgAGkAbgAgAGEAbgB5ACAAbwByAGQAZQByACAAdABvACAAcgBlAC0AYQByAHIAYQBuAGcAZQAgAHQAaABlACAAbwByAGQAZQByACAAdABoAGEAdAAgAHQAaABlAHkAIABhAHIAZQAgAG8AdQB0AHAAdQB0ACAAYgB5ACAAdABoAGUAIABmAHUAbgBjAHQAaQBvAG4ALgAgAEgAbwB3AGUAdgBlAHIALAAgAHQAaABlACAAYwBoAG8AcwBlAG4AIABjAG8AbAB1AG0AbgBzAFwAbgAgACAAIAAgACAAIAAgACAAIAAgAGYAcgBvAG0AIAB0AGgAZQAgAHAAcgBpAG0AYQByAHkAIAAoAGwAZQBmAHQAKQAgAGEAcgByAGEAeQAgAHcAaQBsAGwAIABiAGUAIABvAHUAdABwAHUAdAAgAGYAaQByAHMAdAAgAGYAbwBsAGwAbwB3AGUAZAAgAGIAeQAgAHQAaABlACAAYwBoAG8AcwBlAG4AIABjAG8AbAB1AG0AbgBzACAAZgByAG8AbQAgAHQAaABlACAAcwBlAGMAbwBuAGQAYQByAHkAIAAoAHIAaQBnAGgAdAAgAGEAcgByAGEAeQApAC4AIABUAGgAZQAgAGEAcgByAGEAeQAgAGMAbwBsAHUAbQBuACgAcwApACAAdQBzAGUAZAAgAGYAbwByACAAcgBvAHcAIABtAGEAdABjAGgAaQBuAGcAIABkAG8AIABuAG8AdAAgAGgAYQB2AGUAIAB0AG8AIABiAGUAIABpAG4AYwBsAHUAZABlAGQAIABpAG4AIAB0AGgAZQAgAG8AdQB0AHAAdQB0ACAAYgB1AHQAIABjAGEAbgAgAGIAZQAuAFwAbgAqAC8AXABuAFIAWABMAF8ASgBvAGkAbgAgAD0AIABMAEEATQBCAEQAQQAoAFwAbgAgACAAIAAgAC8ALwAgAFAAYQByAGEAbQBlAHQAZQByACAAZABlAGYAaQBuAGkAdABpAG8AbgBzAFwAbgAgACAAIAAgAGYAaQByAHMAdABfAGEAcgByAGEAeQAsAFwAbgAgACAAIAAgAHMAZQBjAG8AbgBkAF8AYQByAHIAYQB5ACwAXABuACAAIAAgACAAZgBpAHIAcwB0AF8AbQBhAHQAYwBoAF8AaQBuAGQAZQB4ACwAXABuACAAIAAgACAAcwBlAGMAbwBuAGQAXwBtAGEAdABjAGgAXwBpAG4AZABlAHgALABcAG4AIAAgACAAIABbAGoAbwBpAG4AXwB0AHkAcABlAF0ALABcAG4AIAAgACAAIABbAGYAaQByAHMAdABfAGEAcgByAGEAeQBfAGMAbwBsAHMAXQAsAFwAbgAgACAAIAAgAFsAcwBlAGMAbwBuAGQAXwBhAHIAcgBhAHkAXwBjAG8AbABzAF0ALABcAG4AIAAgACAAIABbAHMAbwByAHQAXQAsAFwAbgAgACAAIAAgAFsAcgBlAHAAbABhAGMAZQBfAG4AYQBdACwAXABuACAAIAAgACAALwAvACAATQBhAGkAbgAgAGYAdQBuAGMAdABpAG8AbgAgAGIAbwBkAHkALwBjAGEAbABjAHUAbABhAHQAaQBvAG4AcwBcAG4AIAAgACAAIABMAEUAVAAoAFwAbgAgACAAIAAgACAAIAAgACAAXwBhAHIAcgAxACwAIABmAGkAcgBzAHQAXwBhAHIAcgBhAHkALABcAG4AIAAgACAAIAAgACAAIAAgAF8AYQByAHIAMgAsACAAcwBlAGMAbwBuAGQAXwBhAHIAcgBhAHkALABcAG4AIAAgACAAIAAgACAAIAAgAF8AYwBvAGwAMQAsACAAZgBpAHIAcwB0AF8AbQBhAHQAYwBoAF8AaQBuAGQAZQB4ACwAXABuACAAIAAgACAAIAAgACAAIABfAGMAbwBsADIALAAgAHMAZQBjAG8AbgBkAF8AbQBhAHQAYwBoAF8AaQBuAGQAZQB4ACwAXABuACAAIAAgACAAIAAgACAAIAAvAC8AIABEAGUAYQBsAGkAbgBnACAAdwBpAHQAaAAgAG8AcAB0AGkAbwBuAGEAbAAgAHAAYQByAGEAbQBlAHQAZQByAHMAXABuACAAIAAgACAAIAAgACAAIABfAGkAZAB4ADEALAAgAEkARgAoACAASQBTAE8ATQBJAFQAVABFAEQAKABmAGkAcgBzAHQAXwBhAHIAcgBhAHkAXwBjAG8AbABzACkALAAgAFMARQBRAFUARQBOAEMARQAoADEALAAgAEMATwBMAFUATQBOAFMAKABfAGEAcgByADEAKQApACwAXABuACAAIAAgACAAIAAgACAAIAAgACAAIAAgAEkARgAoACAAUwBVAE0AKAAtAC0ASQBTAEUAUgBSAE8AUgAoAGYAaQByAHMAdABfAGEAcgByAGEAeQBfAGMAbwBsAHMAKQApACAAPgAgADAALAAgADAALAAgAGYAaQByAHMAdABfAGEAcgByAGEAeQBfAGMAbwBsAHMAKQApACwAXABuACAAIAAgACAAIAAgACAAIABfAGkAZAB4ADIALAAgAEkARgAoACAASQBTAE8ATQBJAFQAVABFAEQAKABzAGUAYwBvAG4AZABfAGEAcgByAGEAeQBfAGMAbwBsAHMAKQAsACAAUwBFAFEAVQBFAE4AQwBFACgAMQAsACAAQwBPAEwAVQBNAE4AUwAoAF8AYQByAHIAMgApACkALABcAG4AIAAgACAAIAAgACAAIAAgACAAIAAgACAASQBGACgAIABTAFUATQAoAC0ALQBJAFMARQBSAFIATwBSACgAcwBlAGMAbwBuAGQAXwBhAHIAcgBhAHkAXwBjAG8AbABzACkAKQAgAD4AIAAwACwAIAAwACwAIABzAGUAYwBvAG4AZABfAGEAcgByAGEAeQBfAGMAbwBsAHMAKQApACwAXABuACAAIAAgACAAIAAgACAAIABfAGkAbgBwAFQALAAgAEkARgAoACAASQBTAE8ATQBJAFQAVABFAEQAKABqAG8AaQBuAF8AdAB5AHAAZQApACwAIAAwACwAIABJAE4AVAAoAGoAbwBpAG4AXwB0AHkAcABlACkAKQAsAFwAbgAgACAAIAAgACAAIAAgACAAXwB0AHkAcAAsACAASQBGACgAIABJAFMATgBVAE0AQgBFAFIAKABfAGkAbgBwAFQAKQAsACAAXwBpAG4AcABUACAAKwAgADEALABcAG4AIAAgACAAIAAgACAAIAAgACAAIAAgACAASQBGAE4AQQAoACAATQBBAFQAQwBIACgAIABMAE8AVwBFAFIAKABqAG8AaQBuAF8AdAB5AHAAZQApACwAIAB7AFwAIgBsAGUAZgB0AFwAIgAsAFwAIgByAGkAZwBoAHQAXAAiACwAXAAiAGkAbgBuAGUAcgBcACIALABcACIAZgB1AGwAbABcACIAfQAsACAAMAApACwAIAAtADEAKQBcAG4AIAAgACAAIAAgACAAIAAgACkALABcAG4AIAAgACAAIAAgACAAIAAgAF8AcwByAHQALAAgAEkARgAoACAASQBTAE8ATQBJAFQAVABFAEQAKABzAG8AcgB0ACkALAAgADAALABcAG4AIAAgACAAIAAgACAAIAAgACAAIAAgACAASQBGACgAIABJAFMARQBSAFIATwBSACgAcwBvAHIAdAApACwAIABcACIAXAAiACwAIABJAE4AVAAoAHMAbwByAHQAKQApACkALABcAG4AIAAgACAAIAAgACAAIAAgAF8AaQBuAHAAUgAsACAASQBGACgAIABJAFMATwBNAEkAVABUAEUARAAoAHIAZQBwAGwAYQBjAGUAXwBuAGEAKQAsACAARgBBAEwAUwBFACwAIABJAE4ARABFAFgAKAByAGUAcABsAGEAYwBlAF8AbgBhACwAIAAxACwAIAAxACkAKQAsAFwAbgAgACAAIAAgACAAIAAgACAAXwByAGUAcAAsACAASQBGACgAIABJAFMATABPAEcASQBDAEEATAAoAF8AaQBuAHAAUgApACwAXABuACAAIAAgACAAIAAgACAAIAAgACAAIAAgAEkARgAoAF8AaQBuAHAAUgAsACAAXAAiAFwAIgAsACAATgBBACgAKQApACwAXABuACAAIAAgACAAIAAgACAAIAAgACAAIAAgAF8AaQBuAHAAUgBcAG4AIAAgACAAIAAgACAAIAAgACkALABcAG4AIAAgACAAIAAgACAAIAAgAC8ALwAgAEkAbgBwAHUAdAAgAGMAaABlAGMAawBzACAAZgBvAHIAIAB0AGgAZQAgAG8AcAB0AGkAbwBuAGEAbAAgAHAAYQByAGEAbQBlAHQAZQByAHMAIABhAG4AZAAgAHIAZQBxAHUAaQByAGUAZAAgAHAAYQByAGEAbQBlAHQAZQByAHMALAAgAHIAZQB0AHUAcgBuAGkAbgBnACAAdABoAGUAIABfAGkAbgBwAEMAaABrACAAdgBhAGwAdQBlACAAYQBzACAAMQAtAHQAbwAtADMAXABuACAAIAAgACAAIAAgACAAIABfAGkAbgBwAEMAaABrACwAIABJAEYAKABcAG4AIAAgACAAIAAgACAAIAAgACAAIAAgACAATwBSACgAXABuACAAIAAgACAAIAAgACAAIAAgACAAIAAgACAAIAAgACAATgBPAFQAKABJAFMATgBVAE0AQgBFAFIAKABfAGMAbwBsADEAKQApACwAIABOAE8AVAAoAEkAUwBOAFUATQBCAEUAUgAoAF8AYwBvAGwAMgApACkALABcAG4AIAAgACAAIAAgACAAIAAgACAAIAAgACAAIAAgACAAIABNAEkATgAoAF8AYwBvAGwAMQApACAAPAAgADEALAAgAE0AQQBYACgAXwBjAG8AbAAxACkAIAA+ACAAQwBPAEwAVQBNAE4AUwAoAF8AYQByAHIAMQApACwAXABuACAAIAAgACAAIAAgACAAIAAgACAAIAAgACAAIAAgACAATQBJAE4AKABfAGMAbwBsADIAKQAgADwAIAAxACwAIABNAEEAWAAoAF8AYwBvAGwAMgApACAAPgAgAEMATwBMAFUATQBOAFMAKABfAGEAcgByADIAKQAsAFwAbgAgACAAIAAgACAAIAAgACAAIAAgACAAIAAgACAAIAAgAE4ATwBUACgASQBTAE4AVQBNAEIARQBSACgAXwBpAGQAeAAxACkAKQAsACAATgBPAFQAKABJAFMATgBVAE0AQgBFAFIAKABfAGkAZAB4ADIAKQApACwAXABuACAAIAAgACAAIAAgACAAIAAgACAAIAAgACAAIAAgACAATQBJAE4AKABfAGkAZAB4ADEAKQAgADwAIAAxACwAIABNAEEAWAAoAF8AaQBkAHgAMQApACAAPgAgAEMATwBMAFUATQBOAFMAKABfAGEAcgByADEAKQAsAFwAbgAgACAAIAAgACAAIAAgACAAIAAgACAAIAAgACAAIAAgAE0ASQBOACgAXwBpAGQAeAAyACkAIAA8ACAAMQAsACAATQBBAFgAKABfAGkAZAB4ADIAKQAgAD4AIABDAE8ATABVAE0ATgBTACgAXwBhAHIAcgAyACkAXABuACAAIAAgACAAIAAgACAAIAAgACAAIAAgACkALAAgADIALABcAG4AIAAgACAAIAAgACAAIAAgACAAIAAgACAASQBGACgAIABPAFIAKABcAG4AIAAgACAAIAAgACAAIAAgACAAIAAgACAAIAAgACAAIABfAHQAeQBwACAAPAAgADEALAAgAF8AdAB5AHAAIAA+ACAANAAsAFwAbgAgACAAIAAgACAAIAAgACAAIAAgACAAIAAgACAAIAAgAEkAUwBFAFIAUgBPAFIAKABfAHMAcgB0ACkALAAgAF8AcwByAHQAIAA8ACAALQAxACwAIABfAHMAcgB0ACAAPgAgADEAXABuACAAIAAgACAAIAAgACAAIAAgACAAIAAgACkALAAgADMALABcAG4AIAAgACAAIAAgACAAIAAgACAAIAAgACAAMQApAFwAbgAgACAAIAAgACAAIAAgACAAKQAsAFwAbgAgACAAIAAgACAAIAAgACAALwAvACAAQwByAGUAYQB0AGkAbgBnACAAdABoAGUAIABtAGEAdABjAGgAaQBuAGcAIABjAG8AbAB1AG0AbgBzACAAKABfAHUASQBkACkAIABhAG4AZAAgAHMAZQB0AHQAaQBuAGcAIAB0AGgAZQAgAGMAbwBsAHUAbQBuAHMAIABmAG8AcgAgAGUAYQBjAGgAIABvAHUAdABwAHUAdAAgAGEAcgByAGEAeQAgACgAXwBvAHUAdAApACAAcAByAGkAbwByACAAdABvACAAdABoAGUAIABKAE8ASQBOAFwAbgAgACAAIAAgACAAIAAgACAAXwB1AEkAZAAxACwAIABTAEMAQQBOACgAMAAsACAAUwBFAFEAVQBFAE4AQwBFACgAUgBPAFcAUwAoAF8AYQByAHIAMQApACkALAAgAEwAQQBNAEIARABBACgAXwBhAGMAYwAsAF8AdgBhAGwALAAgAEMATwBOAEMAQQBUACgASQBOAEQARQBYACgAXwBhAHIAcgAxACwAIABfAHYAYQBsACwAIABfAGMAbwBsADEAKQApACkAKQAsAFwAbgAgACAAIAAgACAAIAAgACAAXwB1AEkAZAAyACwAIABTAEMAQQBOACgAMAAsACAAUwBFAFEAVQBFAE4AQwBFACgAUgBPAFcAUwAoAF8AYQByAHIAMgApACkALAAgAEwAQQBNAEIARABBACgAXwBhAGMAYwAsAF8AdgBhAGwALAAgAEMATwBOAEMAQQBUACgASQBOAEQARQBYACgAXwBhAHIAcgAyACwAIABfAHYAYQBsACwAIABfAGMAbwBsADIAKQApACkAKQAsAFwAbgAgACAAIAAgACAAIAAgACAAXwBvAHUAdAAxACwAIABDAEgATwBPAFMARQBDAE8ATABTACgAXwBhAHIAcgAxACwAIABfAGkAZAB4ADEAKQAsAFwAbgAgACAAIAAgACAAIAAgACAAXwBvAHUAdAAyACwAIABDAEgATwBPAFMARQBDAE8ATABTACgAXwBhAHIAcgAyACwAIABfAGkAZAB4ADIAKQAsAFwAbgAgACAAIAAgACAAIAAgACAALwAvACAAQwBhAGwAYwB1AGwAYQB0AGkAbgBnACAAdABoAGUAIABuAHUAbQBiAGUAcgAgAG8AZgAgAGMAbwBsAHUAbQBuAHMAIABpAG4AIABlAGEAYwBoACAAbwBmACAAdABoAGUAIABvAHUAdABwAHUAdAAgAGEAcgByAGEAeQBzACAAKABfAGMAYwApAFwAbgAgACAAIAAgACAAIAAgACAAXwBjAGMAMQAsACAAQwBPAEwAVQBNAE4AUwAoAF8AbwB1AHQAMQApACwAXABuACAAIAAgACAAIAAgACAAIABfAGMAYwAyACwAIABDAE8ATABVAE0ATgBTACgAXwBvAHUAdAAyACkALABcAG4AIAAgACAAIAAgACAAIAAgAF8AYwBjAFMALAAgAF8AYwBjADEAIAArACAASQBGACgAXwBzAHIAdAAgADwAPgAgADAALAAgADEALAAgADAAKQAsAFwAbgAgACAAIAAgACAAIAAgACAALwAvACAAQwBvAG0AcABhAHIAaQBuAGcAIABlAGEAYwBoACAAcgBvAHcAIABvAGYAIAB0AGgAZQAgAGYAaQByAHMAdABfAGEAcgByAGEAeQAgAG0AYQB0AGMAaAAgAGMAbwBsAHUAbQBuACAAKABfAHUASQBkADEAKQAgAGEAZwBhAGkAbgBzAHQAIAB0AGgAZQAgAHMAZQBjAG8AbgBkAF8AYQByAHIAYQB5ACAAbQBhAHQAYwBoACAAYwBvAGwAdQBtAG4AIAAoAF8AdQBJAGQAMgApAFwAbgAgACAAIAAgACAAIAAgACAALwAvACAAYQBuAGQAIABjAHIAZQBhAHQAaQBuAGcAIABhAG4AIABpAG4AZABlAHgAIABvAGYAIABtAGEAdABjAGgAaQBuAGcAIABzAGUAYwBvAG4AZABfAGEAcgByAGEAeQAgAHIAbwB3AHMAIABmAG8AcgAgAHQAaABlACAAZgBpAHIAcwB0AF8AYQByAHIAYQB5ACAAcgBvAHcAIABvAHIAZABlAHIAIAAoAF8AbQB0AGMAaAApAFwAbgAgACAAIAAgACAAIAAgACAALwAvACAAQQBuACAAYQByAHIAYQB5ACAAbwBmACAAbQBhAHQAYwBoAGUAZAAgAHMAZQBjAG8AbgBkAF8AYQByAHIAYQB5ACAAcgBvAHcAcwAgAGkAcwAgAGMAcgBlAGEAdABlAGQAIAAoAF8AYQByAHIATgApACAAaQBuACAAdABoAGUAIABjAG8AcgByAGUAYwB0ACAAbwByAGQAZQByACAAdABvACAAbQBhAHQAYwBoACAAdABoAGUAIABmAGkAcgBzAHQAXwBhAHIAcgBhAHkALABcAG4AIAAgACAAIAAgACAAIAAgAC8ALwAgAHcAaQB0AGgAIAB1AG4AbQBhAHQAYwBoAGUAZAAgAHIAbwB3AHMAIABiAGUAaQBuAGcAIABmAGkAbABsAGUAZAAgAGIAeQAgAGEAIAByAG8AdwAgAG8AZgAgAGIAbABhAG4AawAgAHYAYQBsAHUAZQBzAFwAbgAgACAAIAAgACAAIAAgACAAXwBtAHQAYwBoACwAIABEAFIATwBQACgAUgBFAEQAVQBDAEUAKAAwACwAIABfAHUASQBkADEALAAgAEwAQQBNAEIARABBACgAXwBhAGMAYwAsAF8AdgBhAGwALAAgAFYAUwBUAEEAQwBLACgAXwBhAGMAYwAsACAASQBGAE4AQQAoAE0AQQBUAEMASAAoAF8AdgBhAGwALAAgAF8AdQBJAGQAMgAsACAAMAApACwAIAAwACkAKQApACkALAAgADEAKQAsAFwAbgAgACAAIAAgACAAIAAgACAAXwBiAGwAbgBrACwAIABNAEEASwBFAEEAUgBSAEEAWQAoADEALAAgAF8AYwBjADIALAAgAEwAQQBNAEIARABBACgAXwByACwAXwBjACwAIABOAEEAKAApACkAKQAsAFwAbgAgACAAIAAgACAAIAAgACAAXwBhAHIAcgBOACwAIABEAFIATwBQACgAUgBFAEQAVQBDAEUAKAAwACwAIABfAG0AdABjAGgALAAgAEwAQQBNAEIARABBACgAXwBhAGMAYwAsAF8AdgBhAGwALAAgAFYAUwBUAEEAQwBLACgAXwBhAGMAYwAsACAASQBGACgAXwB2AGEAbAAgAD0AIAAwACwAIABfAGIAbABuAGsALAAgAEkATgBEAEUAWAAoAF8AbwB1AHQAMgAsACAAXwB2AGEAbAAsACAAUwBFAFEAVQBFAE4AQwBFACgAMQAsACAAXwBjAGMAMgApACkAKQApACkAKQAsACAAMQApACwAXABuACAAIAAgACAAIAAgACAAIAAvAC8AIABUAGgAZQAgAHMAZQBjAG8AbgBkAF8AYQByAHIAYQB5ACAAaQBzACAAZgBpAGwAdABlAHIAZQBkACAAdABvACAAbABlAGEAdgBlACAAYQBuAHkAIAB1AG4AbQBhAHQAYwBoAGUAZAAgAHIAbwB3AHMAIAAoAF8AYQByAHIAUgApACAAdABvACAAYgBlACAAYQBkAGQAZQBkACAAdABvACAAdABoAGUAIABlAG4AZAAgAG8AZgAgAHQAaABlACAAbQBhAGkAbgBcAG4AIAAgACAAIAAgACAAIAAgAC8ALwAgAGYAdQBuAGMAdABpAG8AbgAgAG8AdQB0AHAAdQB0AFwAbgAgACAAIAAgACAAIAAgACAAXwBhAHIAcgBSACwAIABMAEUAVAAoAFwAbgAgACAAIAAgACAAIAAgACAAIAAgACAAIABfAGYAbAB0AHIALAAgAFMAQwBBAE4AKAAwACwAIABTAEUAUQBVAEUATgBDAEUAKAAgAFIATwBXAFMAKABfAG8AdQB0ADIAKQAsACAAMQApACwAIABMAEEATQBCAEQAQQAoAF8AYQBjAGMALABfAHYAYQBsACwAIABJAEYAKAAgAEkAUwBOAEEAKABNAEEAVABDAEgAKABfAHYAYQBsACwAIABfAG0AdABjAGgALAAgADAAKQApACwAIAAxACwAIAAwACkAKQApACwAXABuACAAIAAgACAAIAAgACAAIAAgACAAIAAgAF8AYQByAHIALAAgAEYASQBMAFQARQBSACgAXwBvAHUAdAAyACwAIABfAGYAbAB0AHIAIAA9ACAAMQAsACAAXAAiACMAWwBFAG0AcAB0AHkAXQBcACIAKQAsAFwAbgAgACAAIAAgACAAIAAgACAAIAAgACAAIABfAG0AQwBsACwAIABGAEkATABUAEUAUgAoAF8AdQBJAGQAMgAsACAAXwBmAGwAdAByACAAPQAgADEALAAgAE4AQQAoACkAKQAsAFwAbgAgACAAIAAgACAAIAAgACAAIAAgACAAIABfAGIAbABuAGsALAAgAE0AQQBLAEUAQQBSAFIAQQBZACgAIABSAE8AVwBTACgAXwBhAHIAcgApACwAIABfAGMAYwAxACwAIABMAEEATQBCAEQAQQAoAF8AcgAsAF8AYwAsACAATgBBACgAKQApACkALABcAG4AIAAgACAAIAAgACAAIAAgACAAIAAgACAASQBGACgAXwBzAHIAdAAgADwAPgAgADAALABcAG4AIAAgACAAIAAgACAAIAAgACAAIAAgACAAIAAgACAAIABIAFMAVABBAEMASwAoAF8AbQBDAGwALAAgAF8AYgBsAG4AawAsACAAXwBhAHIAcgApACwAXABuACAAIAAgACAAIAAgACAAIAAgACAAIAAgACAAIAAgACAASABTAFQAQQBDAEsAKABfAGIAbABuAGsALAAgAF8AYQByAHIAKQBcAG4AIAAgACAAIAAgACAAIAAgACAAIAAgACAAKQBcAG4AIAAgACAAIAAgACAAIAAgACkALABcAG4AIAAgACAAIAAgACAAIAAgAC8ALwAgAFQAaABlACAAbQBhAGkAbgAgAGoAbwBpAG4AZQBkACAAbwB1AHQAcAB1AHQAIABpAHMAIABjAHIAZQBhAHQAZQBkACAAKABfAGEAcgByAEMAKQAgAHUAcwBpAG4AZwAgAHQAaABlACAAZgBpAHIAcwB0AF8AYQByAHIAYQB5ACAAbwB1AHQAcAB1AHQAIABjAG8AbAB1AG0AbgBzACAAKABfAG8AdQB0ADEAKQAgAGEAbgBkACAAdABoAGUAIABcAG4AIAAgACAAIAAgACAAIAAgAC8ALwAgAG0AYQB0AGMAaABlAGQAIABzAGUAYwBvAG4AZABfAGEAcgByAGEAeQAgAG8AdQB0AHAAdQB0ACAAYwBvAGwAdQBtAG4AcwAgACgAXwBhAHIAcgBSACkAXABuACAAIAAgACAAIAAgACAAIABfAGEAcgByAEMALAAgAEkARgAoAF8AcwByAHQAIAA8AD4AIAAwACwAXABuACAAIAAgACAAIAAgACAAIAAgACAAIAAgAEgAUwBUAEEAQwBLACgAXwB1AEkAZAAxACwAIABfAG8AdQB0ADEALAAgAF8AYQByAHIATgApACwAXABuACAAIAAgACAAIAAgACAAIAAgACAAIAAgAEgAUwBUAEEAQwBLACgAXwBvAHUAdAAxACwAIABfAGEAcgByAE4AKQBcAG4AIAAgACAAIAAgACAAIAAgACkALABcAG4AIAAgACAAIAAgACAAIAAgAC8ALwAgAFQAaABlACAAZgB1AGwAbAAgAGYAaQByAHMAdABfAGEAcgByAGEAeQAgAG8AdQB0AHAAdQB0ACAAYwBvAGwAdQBtAG4AcwAgACgAXwBvAHUAdAAxACkAIAB0AG8AIAByAGUAbQBvAHYAZQAgAGEAbgB5ACAAdQBuAG0AYQB0AGMAaABlAGQAIAByAG8AdwBzACAAYgBhAHMAZQBkACAAbwBuACAAdABoAGUAIABqAG8AaQBuAC0AdAB5AHAAZQAgAGMAaABvAHMAZQBuAFwAbgAgACAAIAAgACAAIAAgACAAXwBhAHIAcgBMACwAIABJAEYAKAAgAE8AUgAoAF8AdAB5AHAAIAA9ACAAMgAsACAAXwB0AHkAcAAgAD0AIAAzACkALABcAG4AIAAgACAAIAAgACAAIAAgACAAIAAgACAARgBJAEwAVABFAFIAKABfAGEAcgByAEMALAAgAF8AbQB0AGMAaAAgADwAPgAgADAALAAgAFwAIgAjAFsARQBtAHAAdAB5AF0AXAAiACkALABcAG4AIAAgACAAIAAgACAAIAAgACAAIAAgACAAXwBhAHIAcgBDAFwAbgAgACAAIAAgACAAIAAgACAAKQAsAFwAbgAgACAAIAAgACAAIAAgACAALwAvACAAVABoAGUAIABmAHUAbgBjAHQAaQBvAG4AIABvAHUAdABwAHUAdAAgAGEAcgByAGEAeQAgAGkAcwAgAGMAcgBlAGEAdABlAGQAIAAoAF8AYwBhAGwAYwApACAAYgBhAHMAZQBkACAAbwBuACAAdABoAGUAIABqAG8AaQBuACAAdAB5AHAAZQAgAGMAaABvAHMAZQBuACAAKABfAHQAeQBwACkAXABuACAAIAAgACAAIAAgACAAIAAvAC8AIABXAGgAZQByAGUAIABvAG4AZQAgAG8AZgAgAHQAaABlACAAYwBvAG4AcwB0AHIAdQBjAHQAZQBkACAAYQBuAGQAIABmAGkAbAB0AGUAcgBlAGQAIABhAHIAcgBhAHkAcwAgAGkAcwAgAGUAbQBwAHQAeQAgAGkAdAAgAGkAcwAgAGUAaQB0AGgAZQByACAAcgBlAHAAbABhAGMAZQBkACAAdwBpAHQAaAAgAGIAbABhAG4AawBzACAAbwByAFwAbgAgACAAIAAgACAAIAAgACAALwAvACAAbgBvAHQAIABpAG4AYwBsAHUAZABlAGQAIABkAGUAcABlAG4AZABpAG4AZwAgAHQAaABlACAAYwBoAG8AcwBlAG4AIABmAHUAbgBjAHQAaQBvAG4AIABvAHUAdABwAHUAdAAgAHQAeQBwAGUAXABuACAAIAAgACAAIAAgACAAIABfAGMAYQBsAGMALAAgAEMASABPAE8AUwBFACgAXwB0AHkAcAAsAFwAbgAgACAAIAAgACAAIAAgACAAIAAgACAAIABfAGEAcgByAEwALABcAG4AIAAgACAAIAAgACAAIAAgACAAIAAgACAASQBGACgAIABJAE4ARABFAFgAKABfAGEAcgByAEwALAAgADEALAAgADEAKQAgAD0AIABcACIAIwBbAEUAbQBwAHQAeQBdAFwAIgAsAFwAbgAgACAAIAAgACAAIAAgACAAIAAgACAAIAAgACAAIAAgAF8AYQByAHIAUgAsAFwAbgAgACAAIAAgACAAIAAgACAAIAAgACAAIAAgACAAIAAgAEkARgAoACAASQBOAEQARQBYACgAXwBhAHIAcgBSACwAIAAxACwAIABfAGMAYwBTACAAKwAgADEAKQAgAD0AIABcACIAIwBbAEUAbQBwAHQAeQBdAFwAIgAsAFwAbgAgACAAIAAgACAAIAAgACAAIAAgACAAIAAgACAAIAAgACAAIAAgACAAXwBhAHIAcgBMACwAXABuACAAIAAgACAAIAAgACAAIAAgACAAIAAgACAAIAAgACAAIAAgACAAIABWAFMAVABBAEMASwAoAF8AYQByAHIATAAsACAAXwBhAHIAcgBSACkAXABuACAAIAAgACAAIAAgACAAIAAgACAAIAAgACAAIAAgACAAKQBcAG4AIAAgACAAIAAgACAAIAAgACAAIAAgACAAKQAsAFwAbgAgACAAIAAgACAAIAAgACAAIAAgACAAIABJAEYAKAAgAEkATgBEAEUAWAAoAF8AYQByAHIATAAsACAAMQAsACAAMQApACAAPQAgAFwAIgAjAFsARQBtAHAAdAB5AF0AXAAiACwAXABuACAAIAAgACAAIAAgACAAIAAgACAAIAAgACAAIAAgACAATQBBAEsARQBBAFIAUgBBAFkAKAAxACwAIABfAGMAYwBTACAAKwAgAF8AYwBjADIALAAgAEwAQQBNAEIARABBACgAXwByACwAXwBjACwAIABOAEEAKAApACkAKQAsAFwAbgAgACAAIAAgACAAIAAgACAAIAAgACAAIAAgACAAIAAgAF8AYQByAHIATABcAG4AIAAgACAAIAAgACAAIAAgACAAIAAgACAAKQAsAFwAbgAgACAAIAAgACAAIAAgACAAIAAgACAAIABJAEYAKAAgAEkATgBEAEUAWAAoAF8AYQByAHIAUgAsACAAMQAsACAAXwBjAGMAUwAgACsAIAAxACkAIAA9ACAAXAAiACMAWwBFAG0AcAB0AHkAXQBcACIALABcAG4AIAAgACAAIAAgACAAIAAgACAAIAAgACAAIAAgACAAIABfAGEAcgByAEwALABcAG4AIAAgACAAIAAgACAAIAAgACAAIAAgACAAIAAgACAAIABWAFMAVABBAEMASwAoAF8AYQByAHIATAAsACAAXwBhAHIAcgBSACkAXABuACAAIAAgACAAIAAgACAAIAAgACAAIAAgACkAXABuACAAIAAgACAAIAAgACAAIAApACwAXABuACAAIAAgACAAIAAgACAAIABfAHIAdABuACwAIABMAEUAVAAoAFwAbgAgACAAIAAgACAAIAAgACAAIAAgACAAIAAvAC8AIABJAGYAIABjAGgAbwBzAGUAbgAgAHQAaABlACAAYwByAGUAYQB0AGUAZAAgAGEAbgBkACAAZgBpAGwAdABlAHIAZQBkACwAIABtAGEAdABjAGgAZQBkACAAbwB1AHQAcAB1AHQAIABhAHIAcgBhAHkAIABpAHMAIABzAG8AcgB0AGUAZAAgACgAXwBzAHIAdAApACAAYgBhAHMAZQBkACAAbwBuACAAdABoAGUAIABjAG8AbQBiAGkAbgBlAGQAIABtAGEAdABjAGgAIABjAG8AbAB1AG0AbgBzACAAKABfAHUASQBkACkAXABuACAAIAAgACAAIAAgACAAIAAgACAAIAAgAF8AYQByAHIAUwAsACAASQBGACgAXwBzAHIAdAAgADwAPgAgADAALABcAG4AIAAgACAAIAAgACAAIAAgACAAIAAgACAAIAAgACAAIABEAFIATwBQACgAIABTAE8AUgBUAEIAWQAoAF8AYwBhAGwAYwAsACAAQwBIAE8ATwBTAEUAQwBPAEwAUwAoAF8AYwBhAGwAYwAsACAAMQApACwAIABfAHMAcgB0ACkALAAgADAALAAgADEAKQAsAFwAbgAgACAAIAAgACAAIAAgACAAIAAgACAAIAAgACAAIAAgAF8AYwBhAGwAYwBcAG4AIAAgACAAIAAgACAAIAAgACAAIAAgACAAKQAsAFwAbgAgACAAIAAgACAAIAAgACAAIAAgACAAIAAvAC8AIABJAGYAIAByAGUAcQB1AGkAcgBlAGQALAAgAGEAbgB5ACAAIwBOAC8AQQAgAHYAYQBsAHUAZQBzACAAaQBuACAAdABoAGUAIABmAHUAbgBjAHQAaQBvAG4AIABvAHUAdABwAHUAdAAgAGEAcgByAGEAeQAgAGEAcgBlACAAcgBlAHAAbABhAGMAZQBkACAAdwBpAHQAaAAgAHQAaABlACAAYwBoAG8AcwBlAG4AIAB2AGEAbAB1AGUALwB0AGUAeAB0ACAAKABfAHIAZQBwACkAXABuACAAIAAgACAAIAAgACAAIAAgACAAIAAgAF8AYQBSAGUAcAAsACAASQBGACgAIABJAFMATgBBACgAXwByAGUAcAApACwAXABuACAAIAAgACAAIAAgACAAIAAgACAAIAAgACAAIAAgACAAXwBhAHIAcgBTACwAXABuACAAIAAgACAAIAAgACAAIAAgACAAIAAgACAAIAAgACAASQBGACgAIABJAFMATgBBACgAXwBhAHIAcgBTACkALAAgAF8AcgBlAHAALAAgAF8AYQByAHIAUwApAFwAbgAgACAAIAAgACAAIAAgACAAIAAgACAAIAApACwAXABuACAAIAAgACAAIAAgACAAIAAgACAAIAAgAF8AYQBSAGUAcABcAG4AIAAgACAAIAAgACAAIAAgACkALABcAG4AIAAgACAAIAAgACAAIAAgAC8ALwAgAEkAZgAgAHQAaABlACAAaQBuAHAAdQB0ACAAYwBoAGUAYwBrAHMAIAAoAF8AaQBuAHAAQwBoAGsAKQAgAGgAYQB2AGUAIABmAGwAYQBnAGcAZQBkACAAdABoAGUAbgAgAHQAaABlACAAcgBlAHEAdQBpAHIAZQBkACAARQB4AGMAZQBsACAAZQByAHIAbwByACAAYwBvAGQAZQAgAGkAcwAgAHIAZQB0AHUAcgBuAGUAZAAsACAAbwB0AGgAZQByAHcAaQBzAGUAIAB0AGgAZQAgAGMAYQBsAGMAdQBsAGEAdABlAGQAIAByAGUAcwB1AGwAdAAgACgAXwByAHQAbgApACAAaQBzACAAcgBlAHQAdQByAG4AZQBkAFwAbgAgACAAIAAgACAAIAAgACAAQwBIAE8ATwBTAEUAKABfAGkAbgBwAEMAaABrACwAIABfAHIAdABuACwAIABMAEEATQBCAEQAQQAoADAAKQAsACAAIwBWAEEATABVAEUAIQApAFwAbgAgACAAIAAgACkAXABuACkAOwAiAH0AXQAsACIAcAByAG8AagBlAGMAdABOAGEAbQBlAHMAIgA6AFsAIgBSAFgATABfAEoAbwBp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ow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EB9E9688-738C-4B11-983D-49107423D7A1}">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Join</vt:lpstr>
      <vt:lpstr>Demo</vt:lpstr>
      <vt:lpstr>VBA</vt:lpstr>
      <vt:lpstr>Lookups</vt:lpstr>
      <vt:lpstr>_OnOff</vt:lpstr>
      <vt:lpstr>_YesNo</vt:lpstr>
    </vt:vector>
  </TitlesOfParts>
  <Company>RXL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RXL Join Lambda Function</dc:title>
  <dc:subject>Excel LAMBDA function development</dc:subject>
  <dc:creator>Robert Silk</dc:creator>
  <cp:keywords>https://excel-bits.net</cp:keywords>
  <cp:lastModifiedBy>Robert Silk</cp:lastModifiedBy>
  <dcterms:created xsi:type="dcterms:W3CDTF">2025-06-30T17:35:37Z</dcterms:created>
  <dcterms:modified xsi:type="dcterms:W3CDTF">2026-05-06T16:08:10Z</dcterms:modified>
  <cp:category>LAMBDA functions</cp:category>
</cp:coreProperties>
</file>