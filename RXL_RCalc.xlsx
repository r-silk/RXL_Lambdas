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_RXL\Development\LAMBDA\"/>
    </mc:Choice>
  </mc:AlternateContent>
  <xr:revisionPtr revIDLastSave="0" documentId="13_ncr:1_{ABC38DCD-8037-49C4-8BDA-E6E73B78AECC}" xr6:coauthVersionLast="47" xr6:coauthVersionMax="47" xr10:uidLastSave="{00000000-0000-0000-0000-000000000000}"/>
  <bookViews>
    <workbookView xWindow="-108" yWindow="-108" windowWidth="23256" windowHeight="12456" xr2:uid="{C29E0D24-0EA8-4D41-8E06-9F040E158B6C}"/>
  </bookViews>
  <sheets>
    <sheet name="RCalc" sheetId="7" r:id="rId1"/>
    <sheet name="Demo" sheetId="14" r:id="rId2"/>
    <sheet name="VBA" sheetId="15" r:id="rId3"/>
    <sheet name="Lookups" sheetId="12" r:id="rId4"/>
  </sheets>
  <definedNames>
    <definedName name="_OnOff">Lookups!$C$6:$C$7</definedName>
    <definedName name="_YesNo">Lookups!$C$3:$C$4</definedName>
    <definedName name="RXL_RCalc" comment="Performs a rolling calculation on a 1D input data array">_xlfn.LAMBDA(_xlpm.array,_xlpm.calculation,_xlop.ignore_blanks,_xlop.ignore_zeros,_xlop.ignore_errors,_xlop.vertical_output, _xlfn.LET(_xlpm._num, IF(ISNUMBER(_xlpm.calculation), _xlpm.calculation, IFERROR(MATCH(LOWER(_xlpm.calculation), {"sum","count","avg","min","max"}, 0), 0)), _xlpm._igB, IF(_xlfn.ISOMITTED(_xlpm.ignore_blanks), 0, _xlpm.ignore_blanks), _xlpm._igZ, IF(_xlfn.ISOMITTED(_xlpm.ignore_zeros), 0, _xlpm.ignore_zeros), _xlpm._igE, IF(_xlfn.ISOMITTED(_xlpm.ignore_errors), 0, _xlpm.ignore_errors), _xlpm._vOut, IF(_xlfn.ISOMITTED(_xlpm.vertical_output), -1, IF(_xlpm.vertical_output, 1, 0)), _xlpm._inpChk, IF(OR(AND(ROWS(_xlpm.array) &gt; 1, COLUMNS(_xlpm.array) &gt; 1), ROWS(_xlpm.array) &lt; 1, COLUMNS(_xlpm.array) &lt; 1), 2, IF(OR(AND(NOT(ISLOGICAL(_xlpm._igB)), NOT(ISNUMBER(_xlpm._igB))), AND(NOT(ISLOGICAL(_xlpm._igZ)), NOT(ISNUMBER(_xlpm._igZ))), AND(NOT(ISLOGICAL(_xlpm._igE)), NOT(ISNUMBER(_xlpm._igE))), _xlpm._num &lt; 1, _xlpm._num &gt; 5), 3, 1)), _xlpm._vrt, ROWS(_xlpm.array) &gt; COLUMNS(_xlpm.array), _xlpm._fltE, IF(_xlpm._igE, IF(ISERROR(_xlpm.array), " ", _xlpm.array), _xlfn.IFNA(_xlpm.array, " ")), _xlpm._fltB, IF(_xlpm._igB, IF(ISBLANK(_xlpm.array), " ", _xlpm._fltE), _xlpm._fltE), _xlpm._fltZ, IF(_xlpm._igZ, IF((--NOT(ISERROR(_xlpm.array)) * --NOT(ISBLANK(_xlpm.array)) * --(IFERROR(_xlpm.array, " ") = 0)), " ", _xlpm._fltB), _xlpm._fltB), _xlpm._fst, INDEX(_xlpm._fltZ, 1, 1), _xlpm._init, IF((--(_xlpm._fst &lt;&gt; " ") * --NOT(ISBLANK(_xlpm._fst)) * --(IFERROR(_xlpm._fst, " ") = 0)), _xlpm._fst, NA()), _xlpm._sum, IF(OR(_xlpm._num = 1, _xlpm._num = 3), _xlfn.SCAN(0, _xlpm._fltZ, _xlfn.LAMBDA(_xlpm._acc,_xlpm._val, _xlpm._acc + IF(ISNUMBER(_xlpm._val), _xlpm._val, 0))), ""), _xlpm._cnt, IF(OR(_xlpm._num = 2, _xlpm._num = 3), _xlfn.SCAN(0, _xlpm._fltZ, _xlfn.LAMBDA(_xlpm._acc,_xlpm._val, _xlpm._acc + IF(ISNUMBER(_xlpm._val), 1, 0))), ""), _xlpm._out, CHOOSE(_xlpm._num, _xlpm._sum, _xlpm._cnt, IF(_xlpm._cnt &lt;&gt; 0, _xlpm._sum / _xlpm._cnt, 0), _xlfn.SCAN(_xlpm._init, _xlpm._fltZ, _xlfn.LAMBDA(_xlpm._acc,_xlpm._val, _xlfn.IFS(AND(ISNA(_xlpm._acc), ISNUMBER(_xlpm._val)), _xlpm._val, ISNUMBER(_xlpm._val), MIN(_xlpm._acc, _xlpm._val), TRUE, _xlpm._acc))), _xlfn.SCAN(_xlpm._init, _xlpm._fltZ, _xlfn.LAMBDA(_xlpm._acc,_xlpm._val, _xlfn.IFS(AND(ISNA(_xlpm._acc), ISNUMBER(_xlpm._val)), _xlpm._val, ISNUMBER(_xlpm._val), MAX(_xlpm._acc, _xlpm._val), TRUE, _xlpm._acc)))), _xlpm._rtn, _xlfn.IFS(_xlpm._vOut &lt; 0, _xlpm._out, OR(AND(_xlpm._vOut, NOT(_xlpm._vrt)), AND(NOT(_xlpm._vOut), _xlpm._vrt)), TRANSPOSE(_xlpm._out), TRUE, _xlpm._out), CHOOSE(_xlpm._inpChk, _xlpm._rtn, _xlfn.LAMBDA(0), #VALUE!)))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15" l="1"/>
  <c r="B2" i="15"/>
  <c r="B2" i="14"/>
  <c r="G74" i="14" a="1"/>
  <c r="D74" i="14" a="1"/>
  <c r="E58" i="14" a="1"/>
  <c r="E54" i="14" a="1"/>
  <c r="E49" i="14" a="1"/>
  <c r="E48" i="14" a="1"/>
  <c r="E47" i="14" a="1"/>
  <c r="E46" i="14" a="1"/>
  <c r="E45" i="14" a="1"/>
  <c r="E39" i="14" a="1"/>
  <c r="E38" i="14" a="1"/>
  <c r="E37" i="14" a="1"/>
  <c r="E36" i="14" a="1"/>
  <c r="E35" i="14" a="1"/>
  <c r="E31" i="14" a="1"/>
  <c r="E30" i="14" a="1"/>
  <c r="E29" i="14" a="1"/>
  <c r="E28" i="14" a="1"/>
  <c r="E27" i="14" a="1"/>
  <c r="H75" i="14"/>
  <c r="E55" i="14"/>
  <c r="E32" i="14"/>
  <c r="E50" i="14"/>
  <c r="E40" i="14"/>
  <c r="F59" i="14"/>
  <c r="D86" i="14"/>
  <c r="E38" i="14" l="1"/>
  <c r="E36" i="14"/>
  <c r="E35" i="14"/>
  <c r="E27" i="14"/>
  <c r="D74" i="14"/>
  <c r="E29" i="14"/>
  <c r="E54" i="14"/>
  <c r="E30" i="14"/>
  <c r="E48" i="14"/>
  <c r="E47" i="14"/>
  <c r="E46" i="14"/>
  <c r="E49" i="14"/>
  <c r="E37" i="14"/>
  <c r="E28" i="14"/>
  <c r="E45" i="14"/>
  <c r="E39" i="14"/>
  <c r="E31" i="14"/>
  <c r="G74" i="14"/>
  <c r="E58" i="14"/>
  <c r="E329" i="7" a="1"/>
  <c r="E329" i="7" s="1"/>
  <c r="E287" i="7" a="1"/>
  <c r="E287" i="7" s="1"/>
  <c r="E267" i="7" a="1"/>
  <c r="E267" i="7" s="1"/>
  <c r="E268" i="7" s="1"/>
  <c r="E254" i="7" a="1"/>
  <c r="E254" i="7" s="1"/>
  <c r="E255" i="7" s="1"/>
  <c r="E247" i="7" a="1"/>
  <c r="E247" i="7" s="1"/>
  <c r="E246" i="7" a="1"/>
  <c r="E246" i="7" s="1"/>
  <c r="I235" i="7"/>
  <c r="E198" i="7" a="1"/>
  <c r="E198" i="7" s="1"/>
  <c r="E215" i="7" a="1"/>
  <c r="E215" i="7" s="1"/>
  <c r="B18" i="7"/>
  <c r="E185" i="7" a="1"/>
  <c r="E185" i="7" s="1"/>
  <c r="E177" i="7" a="1"/>
  <c r="E177" i="7" s="1"/>
  <c r="E169" i="7" a="1"/>
  <c r="E169" i="7" s="1"/>
  <c r="E165" i="7"/>
  <c r="F165" i="7" s="1"/>
  <c r="G165" i="7" s="1"/>
  <c r="H165" i="7" s="1"/>
  <c r="I165" i="7" s="1"/>
  <c r="J165" i="7" s="1"/>
  <c r="K165" i="7" s="1"/>
  <c r="L165" i="7" s="1"/>
  <c r="M165" i="7" s="1"/>
  <c r="N165" i="7" s="1"/>
  <c r="O165" i="7" s="1"/>
  <c r="P165" i="7" s="1"/>
  <c r="Q165" i="7" s="1"/>
  <c r="R165" i="7" s="1"/>
  <c r="S165" i="7" s="1"/>
  <c r="T165" i="7" s="1"/>
  <c r="U165" i="7" s="1"/>
  <c r="V165" i="7" s="1"/>
  <c r="W165" i="7" s="1"/>
  <c r="X165" i="7" s="1"/>
  <c r="Y165" i="7" s="1"/>
  <c r="Z165" i="7" s="1"/>
  <c r="AA165" i="7" s="1"/>
  <c r="AB165" i="7" s="1"/>
  <c r="E164" i="7"/>
  <c r="F164" i="7" s="1"/>
  <c r="G164" i="7" s="1"/>
  <c r="H164" i="7" s="1"/>
  <c r="I164" i="7" s="1"/>
  <c r="J164" i="7" s="1"/>
  <c r="K164" i="7" s="1"/>
  <c r="L164" i="7" s="1"/>
  <c r="M164" i="7" s="1"/>
  <c r="N164" i="7" s="1"/>
  <c r="O164" i="7" s="1"/>
  <c r="P164" i="7" s="1"/>
  <c r="Q164" i="7" s="1"/>
  <c r="R164" i="7" s="1"/>
  <c r="S164" i="7" s="1"/>
  <c r="T164" i="7" s="1"/>
  <c r="U164" i="7" s="1"/>
  <c r="V164" i="7" s="1"/>
  <c r="W164" i="7" s="1"/>
  <c r="X164" i="7" s="1"/>
  <c r="Y164" i="7" s="1"/>
  <c r="Z164" i="7" s="1"/>
  <c r="AA164" i="7" s="1"/>
  <c r="AB164" i="7" s="1"/>
  <c r="E163" i="7"/>
  <c r="F163" i="7" s="1"/>
  <c r="G163" i="7" s="1"/>
  <c r="H163" i="7" s="1"/>
  <c r="I163" i="7" s="1"/>
  <c r="J163" i="7" s="1"/>
  <c r="K163" i="7" s="1"/>
  <c r="L163" i="7" s="1"/>
  <c r="M163" i="7" s="1"/>
  <c r="N163" i="7" s="1"/>
  <c r="O163" i="7" s="1"/>
  <c r="P163" i="7" s="1"/>
  <c r="Q163" i="7" s="1"/>
  <c r="R163" i="7" s="1"/>
  <c r="S163" i="7" s="1"/>
  <c r="T163" i="7" s="1"/>
  <c r="U163" i="7" s="1"/>
  <c r="V163" i="7" s="1"/>
  <c r="W163" i="7" s="1"/>
  <c r="X163" i="7" s="1"/>
  <c r="Y163" i="7" s="1"/>
  <c r="Z163" i="7" s="1"/>
  <c r="AA163" i="7" s="1"/>
  <c r="AB163" i="7" s="1"/>
  <c r="E151" i="7" a="1"/>
  <c r="E151" i="7" s="1"/>
  <c r="E143" i="7" a="1"/>
  <c r="E143" i="7" s="1"/>
  <c r="E135" i="7" a="1"/>
  <c r="E135" i="7" s="1"/>
  <c r="E46" i="7" a="1"/>
  <c r="E46" i="7" s="1"/>
  <c r="E116" i="7" a="1"/>
  <c r="E116" i="7" s="1"/>
  <c r="E98" i="7" a="1"/>
  <c r="E98" i="7" s="1"/>
  <c r="E107" i="7" a="1"/>
  <c r="E107" i="7" s="1"/>
  <c r="E80" i="7" a="1"/>
  <c r="E80" i="7" s="1"/>
  <c r="E72" i="7" a="1"/>
  <c r="E72" i="7" s="1"/>
  <c r="E64" i="7" a="1"/>
  <c r="E64" i="7" s="1"/>
  <c r="E38" i="7" a="1"/>
  <c r="E38" i="7" s="1"/>
  <c r="E30" i="7" a="1"/>
  <c r="E30" i="7" s="1"/>
  <c r="E131" i="7"/>
  <c r="F131" i="7" s="1"/>
  <c r="G131" i="7" s="1"/>
  <c r="H131" i="7" s="1"/>
  <c r="I131" i="7" s="1"/>
  <c r="J131" i="7" s="1"/>
  <c r="K131" i="7" s="1"/>
  <c r="L131" i="7" s="1"/>
  <c r="M131" i="7" s="1"/>
  <c r="N131" i="7" s="1"/>
  <c r="O131" i="7" s="1"/>
  <c r="P131" i="7" s="1"/>
  <c r="Q131" i="7" s="1"/>
  <c r="R131" i="7" s="1"/>
  <c r="S131" i="7" s="1"/>
  <c r="T131" i="7" s="1"/>
  <c r="U131" i="7" s="1"/>
  <c r="V131" i="7" s="1"/>
  <c r="W131" i="7" s="1"/>
  <c r="X131" i="7" s="1"/>
  <c r="Y131" i="7" s="1"/>
  <c r="Z131" i="7" s="1"/>
  <c r="AA131" i="7" s="1"/>
  <c r="AB131" i="7" s="1"/>
  <c r="E130" i="7"/>
  <c r="F130" i="7" s="1"/>
  <c r="G130" i="7" s="1"/>
  <c r="H130" i="7" s="1"/>
  <c r="I130" i="7" s="1"/>
  <c r="J130" i="7" s="1"/>
  <c r="K130" i="7" s="1"/>
  <c r="L130" i="7" s="1"/>
  <c r="M130" i="7" s="1"/>
  <c r="N130" i="7" s="1"/>
  <c r="O130" i="7" s="1"/>
  <c r="P130" i="7" s="1"/>
  <c r="Q130" i="7" s="1"/>
  <c r="R130" i="7" s="1"/>
  <c r="S130" i="7" s="1"/>
  <c r="T130" i="7" s="1"/>
  <c r="U130" i="7" s="1"/>
  <c r="V130" i="7" s="1"/>
  <c r="W130" i="7" s="1"/>
  <c r="X130" i="7" s="1"/>
  <c r="Y130" i="7" s="1"/>
  <c r="Z130" i="7" s="1"/>
  <c r="AA130" i="7" s="1"/>
  <c r="AB130" i="7" s="1"/>
  <c r="E129" i="7"/>
  <c r="F129" i="7" s="1"/>
  <c r="G129" i="7" s="1"/>
  <c r="H129" i="7" s="1"/>
  <c r="I129" i="7" s="1"/>
  <c r="J129" i="7" s="1"/>
  <c r="K129" i="7" s="1"/>
  <c r="L129" i="7" s="1"/>
  <c r="M129" i="7" s="1"/>
  <c r="N129" i="7" s="1"/>
  <c r="O129" i="7" s="1"/>
  <c r="P129" i="7" s="1"/>
  <c r="Q129" i="7" s="1"/>
  <c r="R129" i="7" s="1"/>
  <c r="S129" i="7" s="1"/>
  <c r="T129" i="7" s="1"/>
  <c r="U129" i="7" s="1"/>
  <c r="V129" i="7" s="1"/>
  <c r="W129" i="7" s="1"/>
  <c r="X129" i="7" s="1"/>
  <c r="Y129" i="7" s="1"/>
  <c r="Z129" i="7" s="1"/>
  <c r="AA129" i="7" s="1"/>
  <c r="AB129" i="7" s="1"/>
  <c r="E59" i="7"/>
  <c r="F59" i="7" s="1"/>
  <c r="G59" i="7" s="1"/>
  <c r="H59" i="7" s="1"/>
  <c r="I59" i="7" s="1"/>
  <c r="J59" i="7" s="1"/>
  <c r="K59" i="7" s="1"/>
  <c r="L59" i="7" s="1"/>
  <c r="M59" i="7" s="1"/>
  <c r="N59" i="7" s="1"/>
  <c r="O59" i="7" s="1"/>
  <c r="P59" i="7" s="1"/>
  <c r="Q59" i="7" s="1"/>
  <c r="R59" i="7" s="1"/>
  <c r="S59" i="7" s="1"/>
  <c r="T59" i="7" s="1"/>
  <c r="U59" i="7" s="1"/>
  <c r="V59" i="7" s="1"/>
  <c r="W59" i="7" s="1"/>
  <c r="X59" i="7" s="1"/>
  <c r="Y59" i="7" s="1"/>
  <c r="Z59" i="7" s="1"/>
  <c r="AA59" i="7" s="1"/>
  <c r="AB59" i="7" s="1"/>
  <c r="E60" i="7"/>
  <c r="F60" i="7" s="1"/>
  <c r="G60" i="7" s="1"/>
  <c r="H60" i="7" s="1"/>
  <c r="I60" i="7" s="1"/>
  <c r="J60" i="7" s="1"/>
  <c r="K60" i="7" s="1"/>
  <c r="L60" i="7" s="1"/>
  <c r="M60" i="7" s="1"/>
  <c r="N60" i="7" s="1"/>
  <c r="O60" i="7" s="1"/>
  <c r="P60" i="7" s="1"/>
  <c r="Q60" i="7" s="1"/>
  <c r="R60" i="7" s="1"/>
  <c r="S60" i="7" s="1"/>
  <c r="T60" i="7" s="1"/>
  <c r="U60" i="7" s="1"/>
  <c r="V60" i="7" s="1"/>
  <c r="W60" i="7" s="1"/>
  <c r="X60" i="7" s="1"/>
  <c r="Y60" i="7" s="1"/>
  <c r="Z60" i="7" s="1"/>
  <c r="AA60" i="7" s="1"/>
  <c r="AB60" i="7" s="1"/>
  <c r="E58" i="7"/>
  <c r="E26" i="7"/>
  <c r="E25" i="7"/>
  <c r="F25" i="7" s="1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E24" i="7"/>
  <c r="F24" i="7" s="1"/>
  <c r="G24" i="7" s="1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E170" i="7" a="1"/>
  <c r="E99" i="7" a="1"/>
  <c r="E117" i="7" a="1"/>
  <c r="E47" i="7" a="1"/>
  <c r="F255" i="7" a="1"/>
  <c r="E65" i="7" a="1"/>
  <c r="E144" i="7" a="1"/>
  <c r="F268" i="7" a="1"/>
  <c r="J235" i="7" a="1"/>
  <c r="E203" i="7" a="1"/>
  <c r="E220" i="7" a="1"/>
  <c r="F330" i="7" a="1"/>
  <c r="E136" i="7" a="1"/>
  <c r="E73" i="7" a="1"/>
  <c r="E108" i="7" a="1"/>
  <c r="E31" i="7" a="1"/>
  <c r="E152" i="7" a="1"/>
  <c r="E39" i="7" a="1"/>
  <c r="E178" i="7" a="1"/>
  <c r="E81" i="7" a="1"/>
  <c r="E288" i="7" a="1"/>
  <c r="E186" i="7" a="1"/>
  <c r="B193" i="7" l="1"/>
  <c r="B382" i="7" s="1"/>
  <c r="F330" i="7"/>
  <c r="E288" i="7"/>
  <c r="F268" i="7"/>
  <c r="F255" i="7"/>
  <c r="E203" i="7"/>
  <c r="E65" i="7"/>
  <c r="E136" i="7"/>
  <c r="E220" i="7"/>
  <c r="E178" i="7"/>
  <c r="E186" i="7"/>
  <c r="E31" i="7"/>
  <c r="E73" i="7"/>
  <c r="E144" i="7"/>
  <c r="E99" i="7"/>
  <c r="E81" i="7"/>
  <c r="E152" i="7"/>
  <c r="E108" i="7"/>
  <c r="E39" i="7"/>
  <c r="E117" i="7"/>
  <c r="E47" i="7"/>
  <c r="J235" i="7"/>
  <c r="E170" i="7"/>
  <c r="F26" i="7"/>
  <c r="E94" i="7" a="1"/>
  <c r="E94" i="7" s="1"/>
  <c r="E93" i="7" a="1"/>
  <c r="E93" i="7" s="1"/>
  <c r="F94" i="7" l="1" a="1"/>
  <c r="F94" i="7" s="1"/>
  <c r="G26" i="7"/>
  <c r="F93" i="7" a="1"/>
  <c r="F93" i="7" s="1"/>
  <c r="G94" i="7" l="1" a="1"/>
  <c r="G94" i="7" s="1"/>
  <c r="H26" i="7"/>
  <c r="G93" i="7" a="1"/>
  <c r="G93" i="7" s="1"/>
  <c r="I26" i="7" l="1"/>
  <c r="H94" i="7" a="1"/>
  <c r="H94" i="7" s="1"/>
  <c r="H93" i="7" a="1"/>
  <c r="H93" i="7" s="1"/>
  <c r="I94" i="7" l="1" a="1"/>
  <c r="I94" i="7" s="1"/>
  <c r="J26" i="7"/>
  <c r="I93" i="7" a="1"/>
  <c r="I93" i="7" s="1"/>
  <c r="J94" i="7" l="1" a="1"/>
  <c r="J94" i="7" s="1"/>
  <c r="K26" i="7"/>
  <c r="J93" i="7" a="1"/>
  <c r="J93" i="7" s="1"/>
  <c r="K94" i="7" l="1" a="1"/>
  <c r="K94" i="7" s="1"/>
  <c r="L26" i="7"/>
  <c r="K93" i="7" a="1"/>
  <c r="K93" i="7" s="1"/>
  <c r="L94" i="7" l="1" a="1"/>
  <c r="L94" i="7" s="1"/>
  <c r="M26" i="7"/>
  <c r="L93" i="7" a="1"/>
  <c r="L93" i="7" s="1"/>
  <c r="M94" i="7" l="1" a="1"/>
  <c r="M94" i="7" s="1"/>
  <c r="N26" i="7"/>
  <c r="M93" i="7" a="1"/>
  <c r="M93" i="7" s="1"/>
  <c r="O26" i="7" l="1"/>
  <c r="N94" i="7" a="1"/>
  <c r="N94" i="7" s="1"/>
  <c r="N93" i="7" a="1"/>
  <c r="N93" i="7" s="1"/>
  <c r="P26" i="7" l="1"/>
  <c r="O94" i="7" a="1"/>
  <c r="O94" i="7" s="1"/>
  <c r="O93" i="7" a="1"/>
  <c r="O93" i="7" s="1"/>
  <c r="P94" i="7" l="1" a="1"/>
  <c r="P94" i="7" s="1"/>
  <c r="Q26" i="7"/>
  <c r="P93" i="7" a="1"/>
  <c r="P93" i="7" s="1"/>
  <c r="R26" i="7" l="1"/>
  <c r="Q94" i="7" a="1"/>
  <c r="Q94" i="7" s="1"/>
  <c r="Q93" i="7" a="1"/>
  <c r="Q93" i="7" s="1"/>
  <c r="R94" i="7" l="1" a="1"/>
  <c r="R94" i="7" s="1"/>
  <c r="S26" i="7"/>
  <c r="R93" i="7" a="1"/>
  <c r="R93" i="7" s="1"/>
  <c r="T26" i="7" l="1"/>
  <c r="S94" i="7" a="1"/>
  <c r="S94" i="7" s="1"/>
  <c r="S93" i="7" a="1"/>
  <c r="S93" i="7" s="1"/>
  <c r="U26" i="7" l="1"/>
  <c r="T94" i="7" a="1"/>
  <c r="T94" i="7" s="1"/>
  <c r="T93" i="7" a="1"/>
  <c r="T93" i="7" s="1"/>
  <c r="V26" i="7" l="1"/>
  <c r="U94" i="7" a="1"/>
  <c r="U94" i="7" s="1"/>
  <c r="U93" i="7" a="1"/>
  <c r="U93" i="7" s="1"/>
  <c r="W26" i="7" l="1"/>
  <c r="V94" i="7" a="1"/>
  <c r="V94" i="7" s="1"/>
  <c r="V93" i="7" a="1"/>
  <c r="V93" i="7" s="1"/>
  <c r="W94" i="7" l="1" a="1"/>
  <c r="W94" i="7" s="1"/>
  <c r="X26" i="7"/>
  <c r="W93" i="7" a="1"/>
  <c r="W93" i="7" s="1"/>
  <c r="Y26" i="7" l="1"/>
  <c r="X94" i="7" a="1"/>
  <c r="X94" i="7" s="1"/>
  <c r="X93" i="7" a="1"/>
  <c r="X93" i="7" s="1"/>
  <c r="Z26" i="7" l="1"/>
  <c r="Y94" i="7" a="1"/>
  <c r="Y94" i="7" s="1"/>
  <c r="Y93" i="7" a="1"/>
  <c r="Y93" i="7" s="1"/>
  <c r="AA26" i="7" l="1"/>
  <c r="Z94" i="7" a="1"/>
  <c r="Z94" i="7" s="1"/>
  <c r="Z93" i="7" a="1"/>
  <c r="Z93" i="7" s="1"/>
  <c r="AA94" i="7" l="1" a="1"/>
  <c r="AA94" i="7" s="1"/>
  <c r="AB26" i="7"/>
  <c r="AB94" i="7" s="1" a="1"/>
  <c r="AB94" i="7" s="1"/>
  <c r="AA93" i="7" a="1"/>
  <c r="AA93" i="7" s="1"/>
  <c r="AB93" i="7" a="1"/>
  <c r="AB93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<sst xmlns="http://schemas.openxmlformats.org/spreadsheetml/2006/main" count="335" uniqueCount="251">
  <si>
    <t>End of Sheet</t>
  </si>
  <si>
    <t>Lookup Tables</t>
  </si>
  <si>
    <t>_YesNo</t>
  </si>
  <si>
    <t>_OnOff</t>
  </si>
  <si>
    <t>Development</t>
  </si>
  <si>
    <t>Purpose:</t>
  </si>
  <si>
    <t>Data:</t>
  </si>
  <si>
    <t>Final Version</t>
  </si>
  <si>
    <t>Values</t>
  </si>
  <si>
    <t>Using SCAN() function</t>
  </si>
  <si>
    <t>Using SCAN() function, excluding zeros, blanks, and errors</t>
  </si>
  <si>
    <t>Using SCAN() function, excluding blanks and errors</t>
  </si>
  <si>
    <t>Non-dynamic</t>
  </si>
  <si>
    <t>Dynamic Array</t>
  </si>
  <si>
    <t>Using standard functions for comparison/testing</t>
  </si>
  <si>
    <t>Using 2x SCAN() function</t>
  </si>
  <si>
    <t>Using 2x SCAN() + IF()-AND() functions, excluding blanks and errors</t>
  </si>
  <si>
    <t>Using 2x SCAN() + IF()-AND() functions, excluding zeros, blanks, and errors</t>
  </si>
  <si>
    <t>Using SCAN() + IF()-AND() functions, excluding zeros, blanks, and errors</t>
  </si>
  <si>
    <t>Using SCAN() + IF()-AND() functions, excluding blanks and errors</t>
  </si>
  <si>
    <t>Simple Combination &amp; Output</t>
  </si>
  <si>
    <t>SUM</t>
  </si>
  <si>
    <t>COUNT</t>
  </si>
  <si>
    <t>AVERAGE</t>
  </si>
  <si>
    <t>MIN</t>
  </si>
  <si>
    <t>MAX</t>
  </si>
  <si>
    <t>All outputs -- excluding errors and blanks</t>
  </si>
  <si>
    <t>All outputs -- excluding errors, blanks, and zeros</t>
  </si>
  <si>
    <t>Options</t>
  </si>
  <si>
    <t>sum</t>
  </si>
  <si>
    <t>count</t>
  </si>
  <si>
    <t>min</t>
  </si>
  <si>
    <t>max</t>
  </si>
  <si>
    <t>avg</t>
  </si>
  <si>
    <t>Input:</t>
  </si>
  <si>
    <t>Output:</t>
  </si>
  <si>
    <t>Combining Individual Calculations &amp; Extending Functionality</t>
  </si>
  <si>
    <t>Dealing with Errors, Blanks, and Zeros in Input Array</t>
  </si>
  <si>
    <t xml:space="preserve">Ignore Blanks? </t>
  </si>
  <si>
    <t xml:space="preserve">Ignore Zeros? </t>
  </si>
  <si>
    <t xml:space="preserve">Filtered: </t>
  </si>
  <si>
    <t xml:space="preserve">Input Array: </t>
  </si>
  <si>
    <t xml:space="preserve">COUNT: </t>
  </si>
  <si>
    <t>Number</t>
  </si>
  <si>
    <t>Text</t>
  </si>
  <si>
    <t xml:space="preserve">Exclude Errors? </t>
  </si>
  <si>
    <t xml:space="preserve">Calculation: </t>
  </si>
  <si>
    <t>Completing Full Functionality Formula</t>
  </si>
  <si>
    <t>Combining optional inputs, input checks, and single user selected output</t>
  </si>
  <si>
    <t xml:space="preserve">Vertical output? </t>
  </si>
  <si>
    <t xml:space="preserve">Count: </t>
  </si>
  <si>
    <t xml:space="preserve">Max: </t>
  </si>
  <si>
    <t>Description:</t>
  </si>
  <si>
    <t>Parameters:</t>
  </si>
  <si>
    <t>Function:</t>
  </si>
  <si>
    <t>Minimised version:</t>
  </si>
  <si>
    <t>Error checks:</t>
  </si>
  <si>
    <t>array</t>
  </si>
  <si>
    <t>calcualtion</t>
  </si>
  <si>
    <t>ignore_blanks</t>
  </si>
  <si>
    <t>ignore_zeros</t>
  </si>
  <si>
    <t>vertical_output</t>
  </si>
  <si>
    <t>Adding ability to force output array orientation + conversion to LAMBDA()</t>
  </si>
  <si>
    <t>LET(</t>
  </si>
  <si>
    <t>_num, IF( ISNUMBER(calculation), calculation, IFERROR( MATCH(LOWER(calculation), {"sum","count","avg","min","max"}, 0), 0)),</t>
  </si>
  <si>
    <t>_igB, IF( ISOMITTED(ignore_blanks), 0, ignore_blanks),</t>
  </si>
  <si>
    <t>_igZ, IF( ISOMITTED(ignore_zeros), 0, ignore_zeros),</t>
  </si>
  <si>
    <t>_vOut, IF( ISOMITTED(vertical_output), -1, IF(vertical_output, 1, 0)),</t>
  </si>
  <si>
    <t>_inpChk, IF( OR(</t>
  </si>
  <si>
    <t>AND( ROWS(array) &gt; 1, COLUMNS(array) &gt; 1),</t>
  </si>
  <si>
    <t>AND( NOT(ISLOGICAL(_igB)), NOT(ISNUMBER(_igB))),</t>
  </si>
  <si>
    <t>AND( NOT(ISLOGICAL(_igZ)), NOT(ISNUMBER(_igZ))),</t>
  </si>
  <si>
    <t>_vrt, ROWS(array) &gt; COLUMNS(array),</t>
  </si>
  <si>
    <t>_fltB, IF(_igB, IF( ISBLANK(array), " ", _fltE), _fltE),</t>
  </si>
  <si>
    <t>_fltZ, IF(_igZ, IF((--NOT(ISERROR(array)) * --NOT(ISBLANK(array)) * --(IFERROR(array, " ") = 0)), " ", _fltB), _fltB),</t>
  </si>
  <si>
    <t>_fst, INDEX(_fltZ, 1, 1),</t>
  </si>
  <si>
    <t>_init, IF((--(_fst &lt;&gt; " ") * --NOT(ISBLANK(_fst)) * --(IFERROR(_fst, " ") = 0)), _fst, NA()),</t>
  </si>
  <si>
    <t>_sum, IF( OR(_num = 1, _num = 3),</t>
  </si>
  <si>
    <t>SCAN(0, _fltZ, LAMBDA(_acc,_val, _acc + IF( ISNUMBER(_val), _val, 0))),</t>
  </si>
  <si>
    <t>""</t>
  </si>
  <si>
    <t>),</t>
  </si>
  <si>
    <t>_cnt, IF( OR(_num = 2, _num = 3),</t>
  </si>
  <si>
    <t>SCAN(0, _fltZ, LAMBDA(_acc,_val, _acc + IF( ISNUMBER(_val), 1, 0))),</t>
  </si>
  <si>
    <t>_out, CHOOSE(_num,</t>
  </si>
  <si>
    <t>_sum,</t>
  </si>
  <si>
    <t>_cnt,</t>
  </si>
  <si>
    <t>IF(_cnt &lt;&gt; 0, _sum / _cnt, 0),</t>
  </si>
  <si>
    <t>SCAN(_init, _fltZ, LAMBDA(_acc,_val, IFS( AND( ISNA(_acc), ISNUMBER(_val)), _val, ISNUMBER(_val), MIN(_acc, _val), TRUE, _acc))),</t>
  </si>
  <si>
    <t>SCAN(_init, _fltZ, LAMBDA(_acc,_val, IFS( AND( ISNA(_acc), ISNUMBER(_val)), _val, ISNUMBER(_val), MAX(_acc, _val), TRUE, _acc)))</t>
  </si>
  <si>
    <t>_rtn, IFS(</t>
  </si>
  <si>
    <t>_vOut &lt; 0, _out,</t>
  </si>
  <si>
    <t>OR(</t>
  </si>
  <si>
    <t>AND(_vOut, NOT(_vrt)),</t>
  </si>
  <si>
    <t>AND(NOT(_vOut), _vrt)</t>
  </si>
  <si>
    <t>TRANSPOSE(_out),</t>
  </si>
  <si>
    <t>TRUE, _out</t>
  </si>
  <si>
    <t>)</t>
  </si>
  <si>
    <t>= LAMBDA(</t>
  </si>
  <si>
    <t>array,</t>
  </si>
  <si>
    <t>calculation,</t>
  </si>
  <si>
    <t>[ignore_blanks],</t>
  </si>
  <si>
    <t>[ignore_zeros],</t>
  </si>
  <si>
    <t>[vertical_output],</t>
  </si>
  <si>
    <t>// Parameter declarations</t>
  </si>
  <si>
    <t>// Main function body/calculations</t>
  </si>
  <si>
    <t>By default the function will exclude Error values from calculations, and the user can choose whether to also exclude blank cells (within the input array) or zero (0) values.</t>
  </si>
  <si>
    <t>The input array must be a 1D array, i.e. a single row with 1+ columns, or a single column with 1+ rows.</t>
  </si>
  <si>
    <t>[required]</t>
  </si>
  <si>
    <t>[optional]</t>
  </si>
  <si>
    <t>Valid inputs are a number between 1 and 5 or a valid text string from the list below</t>
  </si>
  <si>
    <r>
      <t xml:space="preserve">The input can be either </t>
    </r>
    <r>
      <rPr>
        <sz val="10"/>
        <color rgb="FF0000FF"/>
        <rFont val="Consolas"/>
        <family val="3"/>
      </rPr>
      <t>TRUE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 xml:space="preserve"> or </t>
    </r>
    <r>
      <rPr>
        <sz val="10"/>
        <color rgb="FF0000FF"/>
        <rFont val="Consolas"/>
        <family val="3"/>
      </rPr>
      <t>1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0</t>
    </r>
  </si>
  <si>
    <r>
      <t xml:space="preserve">If not supplied, will default to </t>
    </r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 xml:space="preserve"> (</t>
    </r>
    <r>
      <rPr>
        <sz val="10"/>
        <color rgb="FF0000FF"/>
        <rFont val="Consolas"/>
        <family val="3"/>
      </rPr>
      <t>0</t>
    </r>
    <r>
      <rPr>
        <sz val="10"/>
        <color rgb="FF002138"/>
        <rFont val="Calibri"/>
        <family val="2"/>
        <scheme val="minor"/>
      </rPr>
      <t>)</t>
    </r>
  </si>
  <si>
    <t>"sum"</t>
  </si>
  <si>
    <t>"count"</t>
  </si>
  <si>
    <t>"avg"</t>
  </si>
  <si>
    <t>"min"</t>
  </si>
  <si>
    <t>"max"</t>
  </si>
  <si>
    <t xml:space="preserve">The array can be supplied as row or column: </t>
  </si>
  <si>
    <t>A True/False value which will force the output of the calculation to be either vertical (TRUE) or horizontal (FALSE)</t>
  </si>
  <si>
    <t>If not supplied, the output will be in the same orientation as the input data array</t>
  </si>
  <si>
    <r>
      <rPr>
        <sz val="10"/>
        <color rgb="FF0065A8"/>
        <rFont val="Consolas"/>
        <family val="3"/>
      </rPr>
      <t>array</t>
    </r>
    <r>
      <rPr>
        <sz val="10"/>
        <color rgb="FF002138"/>
        <rFont val="Calibri"/>
        <family val="2"/>
        <scheme val="minor"/>
      </rPr>
      <t xml:space="preserve"> parameter is invalid -- not a 1D array, e.g. 1+ rows and 1+ columns</t>
    </r>
  </si>
  <si>
    <r>
      <rPr>
        <sz val="10"/>
        <color rgb="FF0065A8"/>
        <rFont val="Consolas"/>
        <family val="3"/>
      </rPr>
      <t>calculation</t>
    </r>
    <r>
      <rPr>
        <sz val="10"/>
        <color rgb="FF002138"/>
        <rFont val="Calibri"/>
        <family val="2"/>
        <scheme val="minor"/>
      </rPr>
      <t xml:space="preserve"> parameter is invalid -- not a number between 1 and 5 or one of the expected/allowed text strings</t>
    </r>
  </si>
  <si>
    <t>// Deal with the calculation parameter input and attempt to match against expected text inputs if the input is not a number</t>
  </si>
  <si>
    <t>// Deal with the optional input parameters and set default values for any omitted parameters</t>
  </si>
  <si>
    <t>// Check input validity</t>
  </si>
  <si>
    <t>//  --&gt; invalid array input (not a 1D array) will give a #CALC! error</t>
  </si>
  <si>
    <t>//  --&gt; invalid calculation, ignore_blanks, or ignore_zeros parameter inputs will give a #VALUE! error</t>
  </si>
  <si>
    <t>// Determine the orientation of the input data array</t>
  </si>
  <si>
    <t>// Filter the input data array for error values, blank cells, and zero (0) values</t>
  </si>
  <si>
    <t>// If the input checks (_inpChk) have flagged then return the required Excel error code, otherwise return the calculated result (_rtn)</t>
  </si>
  <si>
    <t>// Determine whether to force a particular output orientation and transpose the calculated output as required</t>
  </si>
  <si>
    <t>// Calculate the chosen output based on the user selected calculation input parameter</t>
  </si>
  <si>
    <t>ROWS(array) &lt; 1, COLUMNS(array) &lt; 1),</t>
  </si>
  <si>
    <t>2,</t>
  </si>
  <si>
    <t>IF( OR(</t>
  </si>
  <si>
    <t>_num &lt; 1, _num &gt; 5),</t>
  </si>
  <si>
    <t>3, 1</t>
  </si>
  <si>
    <t>CHOOSE(_inpChk, _rtn, LAMBDA(0), #VALUE!)</t>
  </si>
  <si>
    <t>Column</t>
  </si>
  <si>
    <t xml:space="preserve">Column: </t>
  </si>
  <si>
    <t>Filtering input array for Errors, blanks, and zero (0) values</t>
  </si>
  <si>
    <t>//  --&gt; uses the value in the array -- if this is not a number then the #N/A is used instead</t>
  </si>
  <si>
    <t>//  --&gt; for the SUM, COUNT, and AVERAGE calculations, the starting value is 0 (zero)</t>
  </si>
  <si>
    <t>Restricted to 1D input arrays only but with flexibility over orientation of input data array, i.e. single column or single row.</t>
  </si>
  <si>
    <t>Extended to allow for calculated output array to either match the input array orientation or be forced to vertical (column) or horiztonal (row).</t>
  </si>
  <si>
    <t>as such non-numeric values are ignored, and error values are exlcuded from the calculations by default;</t>
  </si>
  <si>
    <t>Demonstrating Function Usage</t>
  </si>
  <si>
    <t xml:space="preserve">Name:  </t>
  </si>
  <si>
    <t>RXL_Rcalc</t>
  </si>
  <si>
    <t xml:space="preserve">Description:  </t>
  </si>
  <si>
    <t>RCalc()</t>
  </si>
  <si>
    <t>Data</t>
  </si>
  <si>
    <t>Basic Data</t>
  </si>
  <si>
    <t>Vertical</t>
  </si>
  <si>
    <t>inc. Errors</t>
  </si>
  <si>
    <t>inc. Zeros</t>
  </si>
  <si>
    <t>inc. Blanks</t>
  </si>
  <si>
    <t>Initial</t>
  </si>
  <si>
    <t>Basic function outputs</t>
  </si>
  <si>
    <t>Basic function outputs -- excludes errors by default</t>
  </si>
  <si>
    <t>Excluding blank cells and/or zero values</t>
  </si>
  <si>
    <t xml:space="preserve">Ignore blanks? </t>
  </si>
  <si>
    <t xml:space="preserve">Ignore zeros? </t>
  </si>
  <si>
    <t>Horizontal input array</t>
  </si>
  <si>
    <t>Vertical input array</t>
  </si>
  <si>
    <t>Vertical output?</t>
  </si>
  <si>
    <t>Lambda function used to simplify rolling calculations for arrays, particularly dynamic arrays, and outputting as a dynamic array.</t>
  </si>
  <si>
    <t>Only providing rolling numeric calculations, namely SUM, COUNT, AVERAGE, MIN, and MAX, with the user choosing which option to output</t>
  </si>
  <si>
    <t>additional options to allow for excluding blank cells (otherwise treated as zero values) and zero (0) values from the rolling calculations.</t>
  </si>
  <si>
    <t>Rolling SUM</t>
  </si>
  <si>
    <t>Rolling COUNT</t>
  </si>
  <si>
    <t>Rolling AVERAGE</t>
  </si>
  <si>
    <t>Rolling MIN</t>
  </si>
  <si>
    <t>Rolling MAX</t>
  </si>
  <si>
    <t>Text or Numeric input parameter &amp; default value</t>
  </si>
  <si>
    <t>Lambda function which helps in creating rolling calculations for arrays including dynamic arrays; function outputs a dynamic array output.</t>
  </si>
  <si>
    <t>The user can choose to output a rolling SUM, rolling COUNT (numeric), rolling AVERAGE, rolling MIN, or rolling MAX for the input array.</t>
  </si>
  <si>
    <t>The rolling calculations (including the COUNT) will only consider numeric values in the input array, and if blank values are not excluded they will be treated as zero (0) values.</t>
  </si>
  <si>
    <t>By default the function will provide the output array (rolling calculation) in the same orientation as the input array, or the output array orientation can be force to horizontal or vertical.</t>
  </si>
  <si>
    <t>An array of valus to be used for the rolling calculation -- must be a 1D array, i.e. single row or single column of data</t>
  </si>
  <si>
    <t>for a row of data the rolling calculation will read from left to right</t>
  </si>
  <si>
    <t>for a column of data the rolling calculation will read from top to bottom</t>
  </si>
  <si>
    <t>A single value (number or text) to set the type of calculation to apply to the array of input data</t>
  </si>
  <si>
    <t>A True/False value to determine whether or not include blank cells from the input array in the rolling calculation</t>
  </si>
  <si>
    <t>A True/False value to determine whether or not include zero (0) values from the input array in the rolling calculation</t>
  </si>
  <si>
    <t>Rolling Calculations Function</t>
  </si>
  <si>
    <t>Performs a rolling calculation (SUM, COUNT, AVERAGE, MIN, MAX) on a 1D input data array, inc. dynamic arrays</t>
  </si>
  <si>
    <t>= rolling SUM calculation</t>
  </si>
  <si>
    <t>= rolling count of numeric values (COUNT)</t>
  </si>
  <si>
    <t>= rolling AVERAGE calculation</t>
  </si>
  <si>
    <t>= rolling MIN calculation</t>
  </si>
  <si>
    <t>= rolling MAX calculation</t>
  </si>
  <si>
    <t>[ignore_errors],</t>
  </si>
  <si>
    <t>_igE, IF( ISOMITTED(ignore_errors), 0, ignore_errors),</t>
  </si>
  <si>
    <t>AND( NOT(ISLOGICAL(_igE)), NOT(ISNUMBER(_igE))),</t>
  </si>
  <si>
    <t>_fltE, IF(_igE, IF( ISERROR(array), " ", array), IFNA(array, " ")),</t>
  </si>
  <si>
    <t>=LAMBDA(array,calculation,[ignore_blanks],[ignore_zeros],[ignore_errors],[vertical_output],LET(_num,IF(ISNUMBER(calculation),calculation,IFERROR(MATCH(LOWER(calculation),{"sum","count","avg","min","max"},0),0)),_igB,IF(ISOMITTED(ignore_blanks),0,ignore_blanks),_igZ,IF(ISOMITTED(ignore_zeros),0,ignore_zeros),_igE,IF(ISOMITTED(ignore_errors),0,ignore_errors),_vOut,IF(ISOMITTED(vertical_output),-1,IF(vertical_output,1,0)),_inpChk,IF(OR(AND(ROWS(array)&gt;1,COLUMNS(array)&gt;1),ROWS(array)&lt;1,COLUMNS(array)&lt;1),2,IF(OR(AND(NOT(ISLOGICAL(_igB)),NOT(ISNUMBER(_igB))),AND(NOT(ISLOGICAL(_igZ)),NOT(ISNUMBER(_igZ))),AND(NOT(ISLOGICAL(_igE)),NOT(ISNUMBER(_igE))),_num&lt;1,_num&gt;5),3,1)),_vrt,ROWS(array)&gt;COLUMNS(array),_fltE,IF(_igE,IF(ISERROR(array)," ",array),IFNA(array," ")),_fltB,IF(_igB,IF(ISBLANK(array)," ",_fltE),_fltE),_fltZ,IF(_igZ,IF((--NOT(ISERROR(array))*--NOT(ISBLANK(array))*--(IFERROR(array," ")=0))," ",_fltB),_fltB),_fst,INDEX(_fltZ,1,1),_init,IF((--(_fst&lt;&gt;" ")*--NOT(ISBLANK(_fst))*--(IFERROR(_fst," ")=0)),_fst,NA()),_sum,IF(OR(_num=1,_num=3),SCAN(0,_fltZ,LAMBDA(_acc,_val,_acc+IF(ISNUMBER(_val),_val,0))),""),_cnt,IF(OR(_num=2,_num=3),SCAN(0,_fltZ,LAMBDA(_acc,_val,_acc+IF(ISNUMBER(_val),1,0))),""),_out,CHOOSE(_num,_sum,_cnt,IF(_cnt&lt;&gt;0,_sum/_cnt,0),SCAN(_init,_fltZ,LAMBDA(_acc,_val,IFS(AND(ISNA(_acc),ISNUMBER(_val)),_val,ISNUMBER(_val),MIN(_acc,_val),TRUE,_acc))),SCAN(_init,_fltZ,LAMBDA(_acc,_val,IFS(AND(ISNA(_acc),ISNUMBER(_val)),_val,ISNUMBER(_val),MAX(_acc,_val),TRUE,_acc)))),_rtn,IFS(_vOut&lt;0,_out,OR(AND(_vOut, NOT(_vrt)),AND(NOT(_vOut),_vrt)),TRANSPOSE(_out),TRUE,_out),CHOOSE(_inpChk,_rtn,LAMBDA(0),#VALUE!)))</t>
  </si>
  <si>
    <t>ignore_errors</t>
  </si>
  <si>
    <t>A True/False value to determine whether or not include errors values ("# values") from the input array in the rolling calculation</t>
  </si>
  <si>
    <r>
      <rPr>
        <sz val="10"/>
        <rFont val="Calibri"/>
        <family val="2"/>
        <scheme val="minor"/>
      </rPr>
      <t xml:space="preserve">Note: </t>
    </r>
    <r>
      <rPr>
        <sz val="10"/>
        <color rgb="FFC00000"/>
        <rFont val="Consolas"/>
        <family val="3"/>
      </rPr>
      <t>#N/A</t>
    </r>
    <r>
      <rPr>
        <sz val="10"/>
        <color rgb="FF002138"/>
        <rFont val="Calibri"/>
        <family val="2"/>
        <scheme val="minor"/>
      </rPr>
      <t xml:space="preserve"> values will be excluded from the calculation regardless of this input parameter; the input applies to non-N/A error values</t>
    </r>
  </si>
  <si>
    <r>
      <rPr>
        <sz val="10"/>
        <color rgb="FF0065A8"/>
        <rFont val="Consolas"/>
        <family val="3"/>
      </rPr>
      <t>ignore_blanks</t>
    </r>
    <r>
      <rPr>
        <sz val="10"/>
        <color rgb="FF002138"/>
        <rFont val="Calibri"/>
        <family val="2"/>
        <scheme val="minor"/>
      </rPr>
      <t xml:space="preserve">, </t>
    </r>
    <r>
      <rPr>
        <sz val="10"/>
        <color rgb="FF0065A8"/>
        <rFont val="Consolas"/>
        <family val="3"/>
      </rPr>
      <t>ignore_zeros</t>
    </r>
    <r>
      <rPr>
        <sz val="10"/>
        <color rgb="FF002138"/>
        <rFont val="Calibri"/>
        <family val="2"/>
        <scheme val="minor"/>
      </rPr>
      <t xml:space="preserve">, and/or </t>
    </r>
    <r>
      <rPr>
        <sz val="10"/>
        <color rgb="FF0065A8"/>
        <rFont val="Consolas"/>
        <family val="3"/>
      </rPr>
      <t>ignore_errors</t>
    </r>
    <r>
      <rPr>
        <sz val="10"/>
        <color rgb="FF002138"/>
        <rFont val="Calibri"/>
        <family val="2"/>
        <scheme val="minor"/>
      </rPr>
      <t xml:space="preserve"> parameters are invalid -- not a number or logical (Boolean) value</t>
    </r>
  </si>
  <si>
    <t>Filtering input array with optional inputs (blanks &amp; zeros), plus example rolling COUNT calculation</t>
  </si>
  <si>
    <t>// Set the initial value for the rolling MIN and MAX calculations</t>
  </si>
  <si>
    <t>// Calculate the rolling SUM and COUNT values to be used for the SUM, COUNT, or AVERAGE outputs</t>
  </si>
  <si>
    <t xml:space="preserve">Gist URL:  </t>
  </si>
  <si>
    <t>https://gist.github.com/r-silk/b124f8468b1615a40b42feda7545bc0a</t>
  </si>
  <si>
    <t>Instructions</t>
  </si>
  <si>
    <t>VBA Code</t>
  </si>
  <si>
    <t>A.</t>
  </si>
  <si>
    <t>Start by ensuring that you have this Workbook and the Workbook you wish to copy the function to open in the same Excel instance</t>
  </si>
  <si>
    <t>B.</t>
  </si>
  <si>
    <t>Open the VB Editor window</t>
  </si>
  <si>
    <t>C.</t>
  </si>
  <si>
    <t>D.</t>
  </si>
  <si>
    <t>In the code window which opens for ThisWorkbook, paste the VBA code from below exactly as written</t>
  </si>
  <si>
    <t>E.</t>
  </si>
  <si>
    <t>After copying the VBA code into code window, update line 11 replacing the text "Example.xlsx" with the name of your Excel Workbook/file</t>
  </si>
  <si>
    <t>F.</t>
  </si>
  <si>
    <t>Run the CopyLambda sub routine in ThisWorkbook module and check the Immediate window for the feedback message</t>
  </si>
  <si>
    <t>In order to copy across the RXL_RCalc() function from this Workbook to your own project you can use the instructions and VBA code below .</t>
  </si>
  <si>
    <t>In the VB Editor Project Explorer window, select this Workbook (RXL_RCalc.xlsx) and double click on the object named "ThisWorkbook"</t>
  </si>
  <si>
    <t>Also check line 7 of the code has the correct name of the function you wish to copy (i.e. "RXL_RCalc")</t>
  </si>
  <si>
    <r>
      <rPr>
        <sz val="10"/>
        <color rgb="FF1E4FA8"/>
        <rFont val="Consolas"/>
        <family val="3"/>
      </rPr>
      <t>Private Sub</t>
    </r>
    <r>
      <rPr>
        <sz val="10"/>
        <color rgb="FF002138"/>
        <rFont val="Consolas"/>
        <family val="3"/>
      </rPr>
      <t xml:space="preserve"> CopyLambda()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</si>
  <si>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color rgb="FF002138"/>
        <rFont val="Consolas"/>
        <family val="3"/>
      </rPr>
      <t xml:space="preserve"> wb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Workbook, nm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Name, fn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Name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</si>
  <si>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color rgb="FF002138"/>
        <rFont val="Consolas"/>
        <family val="3"/>
      </rPr>
      <t xml:space="preserve"> strLambda </t>
    </r>
    <r>
      <rPr>
        <sz val="10"/>
        <color rgb="FF1E4FA8"/>
        <rFont val="Consolas"/>
        <family val="3"/>
      </rPr>
      <t>As String</t>
    </r>
  </si>
  <si>
    <t xml:space="preserve">    </t>
  </si>
  <si>
    <t xml:space="preserve">    'Name of custom Lambda function to copy</t>
  </si>
  <si>
    <t xml:space="preserve">    On Error Resume Next</t>
  </si>
  <si>
    <t xml:space="preserve">        'Update "Example.xlsx" with name of the Workbook you wish to copy the function to</t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</si>
  <si>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wb = Application.Workbooks("Example.xlsx")</t>
    </r>
  </si>
  <si>
    <t xml:space="preserve">    On Error GoTo 0</t>
  </si>
  <si>
    <r>
      <t xml:space="preserve">    </t>
    </r>
    <r>
      <rPr>
        <sz val="10"/>
        <color rgb="FF1E4FA8"/>
        <rFont val="Consolas"/>
        <family val="3"/>
      </rPr>
      <t>If</t>
    </r>
    <r>
      <rPr>
        <sz val="10"/>
        <color rgb="FF002138"/>
        <rFont val="Consolas"/>
        <family val="3"/>
      </rPr>
      <t xml:space="preserve"> wb </t>
    </r>
    <r>
      <rPr>
        <sz val="10"/>
        <color rgb="FF1E4FA8"/>
        <rFont val="Consolas"/>
        <family val="3"/>
      </rPr>
      <t>Is Nothing Then</t>
    </r>
  </si>
  <si>
    <r>
      <t xml:space="preserve">        </t>
    </r>
    <r>
      <rPr>
        <sz val="10"/>
        <color rgb="FF1E4FA8"/>
        <rFont val="Consolas"/>
        <family val="3"/>
      </rPr>
      <t>Debug.Print</t>
    </r>
    <r>
      <rPr>
        <sz val="10"/>
        <color rgb="FF002138"/>
        <rFont val="Consolas"/>
        <family val="3"/>
      </rPr>
      <t xml:space="preserve"> "ERROR: Destination Workbook not found - please ensure it is open"</t>
    </r>
  </si>
  <si>
    <t xml:space="preserve">        Exit Sub</t>
  </si>
  <si>
    <t xml:space="preserve">    End If</t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</si>
  <si>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nm = ThisWorkbook.Names(strLambda)</t>
    </r>
  </si>
  <si>
    <r>
      <t xml:space="preserve">    </t>
    </r>
    <r>
      <rPr>
        <sz val="10"/>
        <color rgb="FF1E4FA8"/>
        <rFont val="Consolas"/>
        <family val="3"/>
      </rPr>
      <t>If Not</t>
    </r>
    <r>
      <rPr>
        <sz val="10"/>
        <color rgb="FF002138"/>
        <rFont val="Consolas"/>
        <family val="3"/>
      </rPr>
      <t xml:space="preserve"> nm </t>
    </r>
    <r>
      <rPr>
        <sz val="10"/>
        <color rgb="FF1E4FA8"/>
        <rFont val="Consolas"/>
        <family val="3"/>
      </rPr>
      <t>Is Nothing Then</t>
    </r>
  </si>
  <si>
    <t xml:space="preserve">        Err.Clear</t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</si>
  <si>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fn = wb.Names.Add(Name:=nm.Name, _</t>
    </r>
  </si>
  <si>
    <t xml:space="preserve">                              RefersTo:=nm.RefersTo, _</t>
  </si>
  <si>
    <t xml:space="preserve">                              Visible:=nm.Visible)</t>
  </si>
  <si>
    <r>
      <t xml:space="preserve">        </t>
    </r>
    <r>
      <rPr>
        <sz val="10"/>
        <color rgb="FF1E4FA8"/>
        <rFont val="Consolas"/>
        <family val="3"/>
      </rPr>
      <t>If</t>
    </r>
    <r>
      <rPr>
        <sz val="10"/>
        <color rgb="FF002138"/>
        <rFont val="Consolas"/>
        <family val="3"/>
      </rPr>
      <t xml:space="preserve"> Err.Number = 0 </t>
    </r>
    <r>
      <rPr>
        <sz val="10"/>
        <color rgb="FF1E4FA8"/>
        <rFont val="Consolas"/>
        <family val="3"/>
      </rPr>
      <t>Then</t>
    </r>
  </si>
  <si>
    <t xml:space="preserve">            fn.Comment = nm.Comment</t>
  </si>
  <si>
    <r>
      <t xml:space="preserve">            </t>
    </r>
    <r>
      <rPr>
        <sz val="10"/>
        <color rgb="FF1E4FA8"/>
        <rFont val="Consolas"/>
        <family val="3"/>
      </rPr>
      <t>Debug.Print</t>
    </r>
    <r>
      <rPr>
        <sz val="10"/>
        <color rgb="FF002138"/>
        <rFont val="Consolas"/>
        <family val="3"/>
      </rPr>
      <t xml:space="preserve"> "Success! -&gt; " &amp; strLambda &amp; " copied to " &amp; wb.Name</t>
    </r>
  </si>
  <si>
    <t xml:space="preserve">        Else</t>
  </si>
  <si>
    <r>
      <t xml:space="preserve">            </t>
    </r>
    <r>
      <rPr>
        <sz val="10"/>
        <color rgb="FF1E4FA8"/>
        <rFont val="Consolas"/>
        <family val="3"/>
      </rPr>
      <t>Debug.Print</t>
    </r>
    <r>
      <rPr>
        <sz val="10"/>
        <color rgb="FF002138"/>
        <rFont val="Consolas"/>
        <family val="3"/>
      </rPr>
      <t xml:space="preserve"> "ERROR: Unable to copy " &amp; strLambda &amp; " to " &amp; wb.Name</t>
    </r>
  </si>
  <si>
    <t xml:space="preserve">        End If</t>
  </si>
  <si>
    <t xml:space="preserve">    Else</t>
  </si>
  <si>
    <r>
      <t xml:space="preserve">        </t>
    </r>
    <r>
      <rPr>
        <sz val="10"/>
        <color rgb="FF1E4FA8"/>
        <rFont val="Consolas"/>
        <family val="3"/>
      </rPr>
      <t>Debug.Print</t>
    </r>
    <r>
      <rPr>
        <sz val="10"/>
        <color rgb="FF002138"/>
        <rFont val="Consolas"/>
        <family val="3"/>
      </rPr>
      <t xml:space="preserve"> "ERROR: " &amp; strLambda &amp; " not found"</t>
    </r>
  </si>
  <si>
    <t>End Sub</t>
  </si>
  <si>
    <t xml:space="preserve">    strLambda = "RXL_RCalc"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</si>
</sst>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_);[Red]\(#,##0\);\ \-_)"/>
    <numFmt numFmtId="165" formatCode="[Red]&quot;CHECK&quot;;[Red]&quot;ERROR&quot;;&quot;OK&quot;"/>
    <numFmt numFmtId="166" formatCode="#,##0_);\(#,##0\);\-_)"/>
    <numFmt numFmtId="167" formatCode="&quot;£&quot;#,##0.0,\ \K_);&quot;£&quot;\(#,##0.0,\ \K\);&quot;£&quot;0_)"/>
    <numFmt numFmtId="168" formatCode="mmm\-yyyy_)"/>
    <numFmt numFmtId="169" formatCode="00\."/>
    <numFmt numFmtId="170" formatCode="#,##0.00_);\(#,##0.00\);\-_)"/>
    <numFmt numFmtId="171" formatCode="&quot;On (1)&quot;;[Red]&quot;Err&quot;;&quot;Off (0)&quot;"/>
    <numFmt numFmtId="172" formatCode="&quot;Yes (1)&quot;;[Red]&quot;Err&quot;;&quot;No (0)&quot;"/>
    <numFmt numFmtId="173" formatCode="#,##0_);\(#,##0\);\ \-_)"/>
    <numFmt numFmtId="174" formatCode="0_);\(0\);\-_)"/>
  </numFmts>
  <fonts count="52" x14ac:knownFonts="1">
    <font>
      <sz val="10"/>
      <color rgb="FF002138"/>
      <name val="Calibri"/>
      <family val="2"/>
      <scheme val="minor"/>
    </font>
    <font>
      <sz val="10"/>
      <color theme="1"/>
      <name val="Calibri"/>
      <family val="2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</font>
    <font>
      <sz val="10"/>
      <color rgb="FF3F9C35"/>
      <name val="Consolas"/>
      <family val="3"/>
    </font>
    <font>
      <sz val="10"/>
      <color theme="1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002138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0"/>
      <color rgb="FF808080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2"/>
      <color rgb="FFFFFFFF"/>
      <name val="Arial"/>
      <family val="2"/>
      <scheme val="major"/>
    </font>
    <font>
      <b/>
      <sz val="11"/>
      <color rgb="FFFFFFFF"/>
      <name val="Arial"/>
      <family val="2"/>
      <scheme val="major"/>
    </font>
    <font>
      <b/>
      <sz val="10"/>
      <color rgb="FF595959"/>
      <name val="Arial"/>
      <family val="2"/>
      <scheme val="major"/>
    </font>
    <font>
      <sz val="10"/>
      <color theme="0" tint="-0.249977111117893"/>
      <name val="Calibri"/>
      <family val="2"/>
      <scheme val="minor"/>
    </font>
    <font>
      <sz val="10"/>
      <color rgb="FF195C89"/>
      <name val="Calibri"/>
      <family val="2"/>
      <scheme val="minor"/>
    </font>
    <font>
      <sz val="12"/>
      <color rgb="FF195C89"/>
      <name val="Arial"/>
      <family val="2"/>
      <scheme val="major"/>
    </font>
    <font>
      <sz val="10"/>
      <color theme="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i/>
      <sz val="10"/>
      <color rgb="FF33B9F2"/>
      <name val="Calibri"/>
      <family val="2"/>
      <scheme val="minor"/>
    </font>
    <font>
      <sz val="10"/>
      <color rgb="FF9C5700"/>
      <name val="Calibri"/>
      <family val="2"/>
      <scheme val="minor"/>
    </font>
    <font>
      <i/>
      <sz val="10"/>
      <color rgb="FFFF8225"/>
      <name val="Calibri"/>
      <family val="2"/>
      <scheme val="minor"/>
    </font>
    <font>
      <sz val="10"/>
      <color rgb="FFB400B4"/>
      <name val="Calibri"/>
      <family val="2"/>
      <scheme val="minor"/>
    </font>
    <font>
      <sz val="10"/>
      <color rgb="FF8C0000"/>
      <name val="Calibri"/>
      <family val="2"/>
      <scheme val="minor"/>
    </font>
    <font>
      <b/>
      <sz val="12"/>
      <color rgb="FF195C89"/>
      <name val="Arial"/>
      <family val="2"/>
      <scheme val="major"/>
    </font>
    <font>
      <b/>
      <sz val="16"/>
      <color rgb="FF0E2550"/>
      <name val="Arial"/>
      <family val="2"/>
      <scheme val="major"/>
    </font>
    <font>
      <sz val="10"/>
      <color rgb="FFB4B4B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FFFF"/>
      <name val="Arial"/>
      <family val="2"/>
      <scheme val="major"/>
    </font>
    <font>
      <b/>
      <i/>
      <sz val="10"/>
      <color rgb="FF002138"/>
      <name val="Calibri"/>
      <family val="2"/>
      <scheme val="minor"/>
    </font>
    <font>
      <b/>
      <sz val="10"/>
      <color rgb="FF002138"/>
      <name val="Calibri"/>
      <family val="2"/>
      <scheme val="minor"/>
    </font>
    <font>
      <sz val="10"/>
      <color rgb="FF0065A8"/>
      <name val="Consolas"/>
      <family val="3"/>
    </font>
    <font>
      <b/>
      <sz val="10"/>
      <color rgb="FF9F5CC0"/>
      <name val="Calibri"/>
      <family val="2"/>
      <scheme val="minor"/>
    </font>
    <font>
      <b/>
      <sz val="10"/>
      <color rgb="FFFC6017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0000FF"/>
      <name val="Consolas"/>
      <family val="3"/>
    </font>
    <font>
      <sz val="10"/>
      <color rgb="FF002138"/>
      <name val="Calibri"/>
      <family val="3"/>
      <scheme val="minor"/>
    </font>
    <font>
      <u/>
      <sz val="10"/>
      <color rgb="FFB75EE1"/>
      <name val="Calibri"/>
      <family val="2"/>
      <scheme val="minor"/>
    </font>
    <font>
      <b/>
      <sz val="10"/>
      <color theme="0"/>
      <name val="Calibri"/>
      <family val="2"/>
    </font>
    <font>
      <b/>
      <i/>
      <sz val="10"/>
      <color rgb="FF195C89"/>
      <name val="Calibri"/>
      <family val="2"/>
      <scheme val="minor"/>
    </font>
    <font>
      <sz val="10"/>
      <color rgb="FFC00000"/>
      <name val="Consolas"/>
      <family val="3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2138"/>
      <name val="Consolas"/>
      <family val="3"/>
    </font>
    <font>
      <sz val="10"/>
      <color rgb="FF1E4FA8"/>
      <name val="Consolas"/>
      <family val="3"/>
    </font>
  </fonts>
  <fills count="4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EE6CE"/>
        <bgColor indexed="64"/>
      </patternFill>
    </fill>
    <fill>
      <patternFill patternType="solid">
        <fgColor theme="4"/>
      </patternFill>
    </fill>
    <fill>
      <patternFill patternType="solid">
        <fgColor rgb="FF198B83"/>
        <bgColor indexed="64"/>
      </patternFill>
    </fill>
    <fill>
      <patternFill patternType="solid">
        <fgColor rgb="FF56BAB8"/>
        <bgColor indexed="64"/>
      </patternFill>
    </fill>
    <fill>
      <patternFill patternType="solid">
        <fgColor rgb="FFE6D3B8"/>
        <bgColor indexed="64"/>
      </patternFill>
    </fill>
    <fill>
      <patternFill patternType="solid">
        <fgColor rgb="FFF7ECDD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9E7FF"/>
        <bgColor indexed="64"/>
      </patternFill>
    </fill>
    <fill>
      <patternFill patternType="solid">
        <fgColor rgb="FFEBFAFA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200"/>
        <bgColor indexed="64"/>
      </patternFill>
    </fill>
    <fill>
      <patternFill patternType="solid">
        <fgColor rgb="FFBEE4E3"/>
        <bgColor indexed="64"/>
      </patternFill>
    </fill>
    <fill>
      <patternFill patternType="lightUp">
        <fgColor theme="0" tint="-0.34998626667073579"/>
        <bgColor auto="1"/>
      </patternFill>
    </fill>
    <fill>
      <patternFill patternType="solid">
        <fgColor rgb="FFE4E6E8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/>
      <right/>
      <top style="medium">
        <color theme="5"/>
      </top>
      <bottom/>
      <diagonal/>
    </border>
    <border>
      <left style="thin">
        <color rgb="FF198B83"/>
      </left>
      <right style="thin">
        <color rgb="FF198B83"/>
      </right>
      <top style="thin">
        <color rgb="FF198B83"/>
      </top>
      <bottom style="thin">
        <color rgb="FF198B83"/>
      </bottom>
      <diagonal/>
    </border>
    <border>
      <left style="thin">
        <color rgb="FF56BAB8"/>
      </left>
      <right style="thin">
        <color rgb="FF56BAB8"/>
      </right>
      <top style="thin">
        <color rgb="FF56BAB8"/>
      </top>
      <bottom style="thin">
        <color rgb="FF56BAB8"/>
      </bottom>
      <diagonal/>
    </border>
    <border>
      <left style="thin">
        <color rgb="FFE6D3B8"/>
      </left>
      <right style="thin">
        <color rgb="FFE6D3B8"/>
      </right>
      <top style="thin">
        <color rgb="FFE6D3B8"/>
      </top>
      <bottom style="thin">
        <color rgb="FFE6D3B8"/>
      </bottom>
      <diagonal/>
    </border>
    <border>
      <left style="thin">
        <color rgb="FFF7ECDD"/>
      </left>
      <right style="thin">
        <color rgb="FFF7ECDD"/>
      </right>
      <top style="thin">
        <color rgb="FFF7ECDD"/>
      </top>
      <bottom style="thin">
        <color rgb="FFF7ECDD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medium">
        <color theme="5"/>
      </bottom>
      <diagonal/>
    </border>
    <border>
      <left style="hair">
        <color rgb="FF0082B3"/>
      </left>
      <right style="hair">
        <color rgb="FF0082B3"/>
      </right>
      <top style="hair">
        <color rgb="FF0082B3"/>
      </top>
      <bottom style="hair">
        <color rgb="FF0082B3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1" tint="0.24994659260841701"/>
      </bottom>
      <diagonal/>
    </border>
  </borders>
  <cellStyleXfs count="95">
    <xf numFmtId="0" fontId="0" fillId="0" borderId="0"/>
    <xf numFmtId="0" fontId="2" fillId="2" borderId="1" applyNumberFormat="0" applyAlignment="0" applyProtection="0"/>
    <xf numFmtId="0" fontId="14" fillId="0" borderId="0" applyNumberFormat="0" applyAlignment="0" applyProtection="0"/>
    <xf numFmtId="0" fontId="14" fillId="0" borderId="0" applyNumberFormat="0" applyAlignment="0" applyProtection="0"/>
    <xf numFmtId="167" fontId="1" fillId="0" borderId="0" applyFont="0" applyFill="0" applyBorder="0" applyAlignment="0" applyProtection="0"/>
    <xf numFmtId="9" fontId="14" fillId="0" borderId="0" applyNumberFormat="0" applyAlignment="0" applyProtection="0"/>
    <xf numFmtId="0" fontId="32" fillId="0" borderId="0" applyAlignment="0" applyProtection="0"/>
    <xf numFmtId="0" fontId="18" fillId="29" borderId="11" applyNumberFormat="0" applyAlignment="0" applyProtection="0"/>
    <xf numFmtId="0" fontId="19" fillId="30" borderId="12" applyNumberFormat="0" applyAlignment="0" applyProtection="0"/>
    <xf numFmtId="0" fontId="20" fillId="31" borderId="13" applyNumberFormat="0" applyAlignment="0" applyProtection="0"/>
    <xf numFmtId="0" fontId="20" fillId="32" borderId="14" applyNumberFormat="0" applyAlignment="0" applyProtection="0"/>
    <xf numFmtId="0" fontId="17" fillId="3" borderId="0" applyNumberFormat="0" applyBorder="0" applyAlignment="0" applyProtection="0"/>
    <xf numFmtId="0" fontId="13" fillId="4" borderId="0" applyNumberFormat="0" applyBorder="0" applyAlignment="0" applyProtection="0"/>
    <xf numFmtId="0" fontId="27" fillId="5" borderId="0" applyNumberFormat="0" applyBorder="0" applyAlignment="0" applyProtection="0"/>
    <xf numFmtId="0" fontId="4" fillId="6" borderId="2" applyNumberFormat="0" applyAlignment="0" applyProtection="0"/>
    <xf numFmtId="0" fontId="5" fillId="6" borderId="1" applyNumberFormat="0" applyAlignment="0" applyProtection="0"/>
    <xf numFmtId="0" fontId="6" fillId="0" borderId="3" applyNumberFormat="0" applyFill="0" applyAlignment="0" applyProtection="0"/>
    <xf numFmtId="0" fontId="7" fillId="7" borderId="4" applyNumberFormat="0" applyAlignment="0" applyProtection="0"/>
    <xf numFmtId="166" fontId="34" fillId="0" borderId="0" applyNumberFormat="0" applyFill="0" applyBorder="0" applyAlignment="0" applyProtection="0"/>
    <xf numFmtId="0" fontId="3" fillId="8" borderId="5" applyNumberFormat="0" applyFont="0" applyAlignment="0" applyProtection="0"/>
    <xf numFmtId="166" fontId="16" fillId="0" borderId="0" applyNumberFormat="0" applyFill="0" applyBorder="0" applyAlignment="0" applyProtection="0"/>
    <xf numFmtId="0" fontId="8" fillId="0" borderId="6" applyNumberFormat="0" applyFill="0" applyAlignment="0" applyProtection="0"/>
    <xf numFmtId="165" fontId="21" fillId="0" borderId="0" applyFill="0">
      <alignment horizontal="center"/>
    </xf>
    <xf numFmtId="0" fontId="15" fillId="35" borderId="7" applyAlignment="0"/>
    <xf numFmtId="166" fontId="24" fillId="36" borderId="0">
      <alignment horizontal="center"/>
    </xf>
    <xf numFmtId="0" fontId="26" fillId="0" borderId="0"/>
    <xf numFmtId="0" fontId="28" fillId="0" borderId="0" applyNumberFormat="0" applyFill="0" applyBorder="0" applyAlignment="0"/>
    <xf numFmtId="0" fontId="25" fillId="40" borderId="17" applyNumberFormat="0" applyBorder="0" applyAlignment="0" applyProtection="0"/>
    <xf numFmtId="166" fontId="12" fillId="41" borderId="7"/>
    <xf numFmtId="166" fontId="12" fillId="41" borderId="9" applyNumberFormat="0"/>
    <xf numFmtId="0" fontId="11" fillId="0" borderId="0" applyFill="0" applyBorder="0" applyAlignment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166" fontId="12" fillId="0" borderId="7" applyAlignment="0"/>
    <xf numFmtId="0" fontId="12" fillId="0" borderId="7" applyAlignment="0"/>
    <xf numFmtId="0" fontId="12" fillId="0" borderId="7" applyAlignment="0"/>
    <xf numFmtId="166" fontId="12" fillId="0" borderId="8" applyNumberFormat="0" applyAlignment="0"/>
    <xf numFmtId="166" fontId="9" fillId="0" borderId="9" applyNumberFormat="0" applyAlignment="0"/>
    <xf numFmtId="0" fontId="15" fillId="27" borderId="7" applyAlignment="0">
      <protection locked="0"/>
    </xf>
    <xf numFmtId="0" fontId="15" fillId="27" borderId="7" applyAlignment="0">
      <protection locked="0"/>
    </xf>
    <xf numFmtId="0" fontId="15" fillId="27" borderId="7" applyAlignment="0">
      <protection locked="0"/>
    </xf>
    <xf numFmtId="0" fontId="15" fillId="27" borderId="7" applyAlignment="0">
      <protection locked="0"/>
    </xf>
    <xf numFmtId="0" fontId="46" fillId="0" borderId="10" applyFill="0">
      <alignment vertical="center"/>
    </xf>
    <xf numFmtId="0" fontId="15" fillId="33" borderId="7" applyAlignment="0">
      <protection locked="0"/>
    </xf>
    <xf numFmtId="0" fontId="15" fillId="33" borderId="7" applyAlignment="0">
      <protection locked="0"/>
    </xf>
    <xf numFmtId="0" fontId="15" fillId="33" borderId="7" applyAlignment="0">
      <protection locked="0"/>
    </xf>
    <xf numFmtId="0" fontId="15" fillId="33" borderId="7" applyAlignment="0">
      <protection locked="0"/>
    </xf>
    <xf numFmtId="0" fontId="23" fillId="0" borderId="0">
      <alignment vertical="center"/>
    </xf>
    <xf numFmtId="166" fontId="25" fillId="38" borderId="0">
      <alignment horizontal="center"/>
    </xf>
    <xf numFmtId="164" fontId="12" fillId="0" borderId="0" applyFill="0" applyAlignment="0"/>
    <xf numFmtId="0" fontId="12" fillId="0" borderId="0" applyFill="0" applyAlignment="0"/>
    <xf numFmtId="168" fontId="12" fillId="0" borderId="0" applyFill="0" applyAlignment="0"/>
    <xf numFmtId="166" fontId="9" fillId="0" borderId="15" applyNumberFormat="0" applyFill="0" applyAlignment="0"/>
    <xf numFmtId="0" fontId="12" fillId="0" borderId="0" applyFill="0" applyAlignment="0"/>
    <xf numFmtId="166" fontId="9" fillId="0" borderId="6" applyNumberFormat="0" applyFill="0" applyAlignment="0"/>
    <xf numFmtId="0" fontId="31" fillId="0" borderId="16"/>
    <xf numFmtId="0" fontId="12" fillId="41" borderId="7"/>
    <xf numFmtId="0" fontId="10" fillId="28" borderId="0" applyNumberFormat="0" applyBorder="0" applyAlignment="0" applyProtection="0"/>
    <xf numFmtId="166" fontId="22" fillId="34" borderId="7" applyAlignment="0">
      <protection locked="0"/>
    </xf>
    <xf numFmtId="166" fontId="24" fillId="37" borderId="0">
      <alignment horizontal="center"/>
    </xf>
    <xf numFmtId="0" fontId="22" fillId="0" borderId="0" applyNumberFormat="0" applyFill="0" applyBorder="0" applyAlignment="0"/>
    <xf numFmtId="0" fontId="29" fillId="0" borderId="7" applyAlignment="0"/>
    <xf numFmtId="0" fontId="29" fillId="0" borderId="7" applyAlignment="0"/>
    <xf numFmtId="0" fontId="29" fillId="0" borderId="7" applyAlignment="0"/>
    <xf numFmtId="0" fontId="29" fillId="0" borderId="8" applyNumberFormat="0" applyAlignment="0"/>
    <xf numFmtId="0" fontId="29" fillId="0" borderId="7" applyAlignment="0"/>
    <xf numFmtId="0" fontId="30" fillId="0" borderId="7" applyAlignment="0"/>
    <xf numFmtId="0" fontId="30" fillId="0" borderId="7" applyAlignment="0"/>
    <xf numFmtId="0" fontId="30" fillId="0" borderId="7" applyAlignment="0"/>
    <xf numFmtId="0" fontId="30" fillId="0" borderId="8" applyNumberFormat="0" applyAlignment="0"/>
    <xf numFmtId="0" fontId="30" fillId="0" borderId="7" applyAlignment="0"/>
    <xf numFmtId="0" fontId="12" fillId="39" borderId="0" applyAlignment="0" applyProtection="0"/>
    <xf numFmtId="0" fontId="33" fillId="0" borderId="0" applyNumberFormat="0" applyFill="0" applyBorder="0">
      <alignment horizontal="center"/>
    </xf>
    <xf numFmtId="166" fontId="12" fillId="41" borderId="8" applyNumberFormat="0"/>
    <xf numFmtId="0" fontId="44" fillId="0" borderId="0" applyNumberFormat="0" applyFill="0" applyBorder="0" applyAlignment="0" applyProtection="0"/>
    <xf numFmtId="173" fontId="15" fillId="33" borderId="7" applyAlignment="0">
      <protection locked="0"/>
    </xf>
    <xf numFmtId="174" fontId="15" fillId="33" borderId="7" applyAlignment="0">
      <protection locked="0"/>
    </xf>
    <xf numFmtId="0" fontId="46" fillId="0" borderId="10" applyFill="0">
      <alignment vertical="center"/>
    </xf>
    <xf numFmtId="0" fontId="49" fillId="0" borderId="0" applyNumberFormat="0" applyFill="0" applyBorder="0" applyAlignment="0" applyProtection="0"/>
  </cellStyleXfs>
  <cellXfs count="65">
    <xf numFmtId="0" fontId="0" fillId="0" borderId="0" xfId="0"/>
    <xf numFmtId="0" fontId="18" fillId="29" borderId="11" xfId="7" applyAlignment="1">
      <alignment vertical="center"/>
    </xf>
    <xf numFmtId="0" fontId="46" fillId="0" borderId="10" xfId="58">
      <alignment vertical="center"/>
    </xf>
    <xf numFmtId="0" fontId="26" fillId="0" borderId="0" xfId="25"/>
    <xf numFmtId="0" fontId="31" fillId="0" borderId="16" xfId="71"/>
    <xf numFmtId="169" fontId="31" fillId="0" borderId="16" xfId="71" applyNumberFormat="1"/>
    <xf numFmtId="171" fontId="15" fillId="35" borderId="7" xfId="23" applyNumberFormat="1"/>
    <xf numFmtId="172" fontId="15" fillId="35" borderId="7" xfId="23" applyNumberFormat="1"/>
    <xf numFmtId="0" fontId="33" fillId="0" borderId="0" xfId="88" applyAlignment="1"/>
    <xf numFmtId="0" fontId="35" fillId="29" borderId="11" xfId="7" applyFont="1" applyAlignment="1">
      <alignment horizontal="left" vertical="center" indent="1"/>
    </xf>
    <xf numFmtId="0" fontId="20" fillId="32" borderId="14" xfId="10"/>
    <xf numFmtId="0" fontId="20" fillId="32" borderId="14" xfId="10" applyAlignment="1">
      <alignment horizontal="left" indent="1"/>
    </xf>
    <xf numFmtId="0" fontId="36" fillId="0" borderId="0" xfId="0" applyFont="1"/>
    <xf numFmtId="0" fontId="15" fillId="33" borderId="7" xfId="59">
      <protection locked="0"/>
    </xf>
    <xf numFmtId="0" fontId="10" fillId="28" borderId="18" xfId="73" applyBorder="1" applyAlignment="1">
      <alignment horizontal="center"/>
    </xf>
    <xf numFmtId="0" fontId="15" fillId="27" borderId="7" xfId="54">
      <protection locked="0"/>
    </xf>
    <xf numFmtId="166" fontId="12" fillId="0" borderId="7" xfId="49"/>
    <xf numFmtId="0" fontId="11" fillId="0" borderId="0" xfId="30"/>
    <xf numFmtId="170" fontId="12" fillId="0" borderId="7" xfId="49" applyNumberFormat="1"/>
    <xf numFmtId="166" fontId="25" fillId="40" borderId="7" xfId="27" applyNumberFormat="1" applyBorder="1"/>
    <xf numFmtId="0" fontId="10" fillId="28" borderId="19" xfId="73" applyBorder="1"/>
    <xf numFmtId="0" fontId="0" fillId="0" borderId="0" xfId="0" applyAlignment="1">
      <alignment horizontal="right"/>
    </xf>
    <xf numFmtId="172" fontId="15" fillId="33" borderId="7" xfId="59" applyNumberFormat="1" applyAlignment="1">
      <alignment horizontal="center"/>
      <protection locked="0"/>
    </xf>
    <xf numFmtId="0" fontId="29" fillId="0" borderId="7" xfId="77"/>
    <xf numFmtId="0" fontId="10" fillId="28" borderId="19" xfId="73" applyBorder="1" applyAlignment="1">
      <alignment horizontal="center"/>
    </xf>
    <xf numFmtId="0" fontId="15" fillId="27" borderId="7" xfId="54" applyAlignment="1">
      <alignment horizontal="center"/>
      <protection locked="0"/>
    </xf>
    <xf numFmtId="0" fontId="15" fillId="27" borderId="7" xfId="57" applyAlignment="1">
      <alignment horizontal="center"/>
      <protection locked="0"/>
    </xf>
    <xf numFmtId="0" fontId="15" fillId="33" borderId="7" xfId="62">
      <protection locked="0"/>
    </xf>
    <xf numFmtId="0" fontId="37" fillId="0" borderId="0" xfId="0" applyFont="1"/>
    <xf numFmtId="0" fontId="38" fillId="0" borderId="0" xfId="30" applyFont="1"/>
    <xf numFmtId="0" fontId="41" fillId="0" borderId="0" xfId="0" applyFont="1"/>
    <xf numFmtId="0" fontId="38" fillId="0" borderId="0" xfId="30" quotePrefix="1" applyFont="1"/>
    <xf numFmtId="0" fontId="38" fillId="0" borderId="0" xfId="30" applyFont="1" applyAlignment="1">
      <alignment horizontal="left" indent="2"/>
    </xf>
    <xf numFmtId="0" fontId="38" fillId="0" borderId="0" xfId="30" applyFont="1" applyAlignment="1">
      <alignment horizontal="left" indent="4"/>
    </xf>
    <xf numFmtId="0" fontId="38" fillId="0" borderId="0" xfId="30" applyFont="1" applyAlignment="1">
      <alignment horizontal="left" indent="6"/>
    </xf>
    <xf numFmtId="0" fontId="38" fillId="0" borderId="0" xfId="30" applyFont="1" applyAlignment="1">
      <alignment horizontal="left" indent="8"/>
    </xf>
    <xf numFmtId="0" fontId="38" fillId="0" borderId="0" xfId="30" quotePrefix="1" applyFont="1" applyAlignment="1">
      <alignment horizontal="left" indent="2"/>
    </xf>
    <xf numFmtId="0" fontId="11" fillId="0" borderId="0" xfId="30" quotePrefix="1" applyAlignment="1">
      <alignment horizontal="left" indent="2"/>
    </xf>
    <xf numFmtId="0" fontId="11" fillId="0" borderId="0" xfId="30" quotePrefix="1" applyAlignment="1">
      <alignment horizontal="left" indent="4"/>
    </xf>
    <xf numFmtId="0" fontId="39" fillId="0" borderId="0" xfId="0" applyFont="1"/>
    <xf numFmtId="0" fontId="40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8" fillId="0" borderId="0" xfId="30" applyFont="1" applyBorder="1"/>
    <xf numFmtId="0" fontId="0" fillId="0" borderId="0" xfId="0" quotePrefix="1"/>
    <xf numFmtId="0" fontId="42" fillId="0" borderId="0" xfId="0" applyFont="1"/>
    <xf numFmtId="0" fontId="42" fillId="0" borderId="0" xfId="0" applyFont="1" applyAlignment="1">
      <alignment horizontal="center"/>
    </xf>
    <xf numFmtId="0" fontId="43" fillId="0" borderId="0" xfId="0" applyFont="1"/>
    <xf numFmtId="0" fontId="18" fillId="29" borderId="11" xfId="7"/>
    <xf numFmtId="0" fontId="18" fillId="29" borderId="11" xfId="7" quotePrefix="1"/>
    <xf numFmtId="0" fontId="37" fillId="0" borderId="0" xfId="0" applyFont="1" applyAlignment="1">
      <alignment horizontal="right"/>
    </xf>
    <xf numFmtId="0" fontId="45" fillId="28" borderId="18" xfId="73" applyFont="1" applyBorder="1"/>
    <xf numFmtId="173" fontId="15" fillId="33" borderId="20" xfId="91" applyBorder="1">
      <protection locked="0"/>
    </xf>
    <xf numFmtId="173" fontId="15" fillId="33" borderId="7" xfId="91">
      <protection locked="0"/>
    </xf>
    <xf numFmtId="0" fontId="45" fillId="28" borderId="19" xfId="73" applyFont="1" applyBorder="1" applyAlignment="1">
      <alignment horizontal="center"/>
    </xf>
    <xf numFmtId="173" fontId="15" fillId="33" borderId="21" xfId="91" applyBorder="1">
      <protection locked="0"/>
    </xf>
    <xf numFmtId="174" fontId="15" fillId="33" borderId="7" xfId="92">
      <protection locked="0"/>
    </xf>
    <xf numFmtId="0" fontId="46" fillId="0" borderId="10" xfId="93">
      <alignment vertical="center"/>
    </xf>
    <xf numFmtId="166" fontId="12" fillId="42" borderId="7" xfId="49" applyFill="1"/>
    <xf numFmtId="170" fontId="12" fillId="42" borderId="7" xfId="49" applyNumberFormat="1" applyFill="1"/>
    <xf numFmtId="0" fontId="29" fillId="42" borderId="7" xfId="77" applyFill="1"/>
    <xf numFmtId="0" fontId="49" fillId="0" borderId="0" xfId="94"/>
    <xf numFmtId="0" fontId="50" fillId="0" borderId="0" xfId="0" applyFont="1"/>
    <xf numFmtId="0" fontId="11" fillId="0" borderId="0" xfId="0" applyFont="1"/>
    <xf numFmtId="0" fontId="51" fillId="0" borderId="0" xfId="0" applyFont="1"/>
  </cellXfs>
  <cellStyles count="95">
    <cellStyle name="20% - Accent1" xfId="31" builtinId="30" customBuiltin="1"/>
    <cellStyle name="20% - Accent2" xfId="34" builtinId="34" customBuiltin="1"/>
    <cellStyle name="20% - Accent3" xfId="37" builtinId="38" customBuiltin="1"/>
    <cellStyle name="20% - Accent4" xfId="40" builtinId="42" customBuiltin="1"/>
    <cellStyle name="20% - Accent5" xfId="43" builtinId="46" customBuiltin="1"/>
    <cellStyle name="20% - Accent6" xfId="46" builtinId="50" customBuiltin="1"/>
    <cellStyle name="40% - Accent1" xfId="32" builtinId="31" customBuiltin="1"/>
    <cellStyle name="40% - Accent2" xfId="35" builtinId="35" customBuiltin="1"/>
    <cellStyle name="40% - Accent3" xfId="38" builtinId="39" customBuiltin="1"/>
    <cellStyle name="40% - Accent4" xfId="41" builtinId="43" customBuiltin="1"/>
    <cellStyle name="40% - Accent5" xfId="44" builtinId="47" customBuiltin="1"/>
    <cellStyle name="40% - Accent6" xfId="47" builtinId="51" customBuiltin="1"/>
    <cellStyle name="60% - Accent1" xfId="33" builtinId="32" customBuiltin="1"/>
    <cellStyle name="60% - Accent2" xfId="36" builtinId="36" customBuiltin="1"/>
    <cellStyle name="60% - Accent3" xfId="39" builtinId="40" customBuiltin="1"/>
    <cellStyle name="60% - Accent4" xfId="42" builtinId="44" customBuiltin="1"/>
    <cellStyle name="60% - Accent5" xfId="45" builtinId="48" customBuiltin="1"/>
    <cellStyle name="60% - Accent6" xfId="48" builtinId="52" customBuiltin="1"/>
    <cellStyle name="Accent1" xfId="73" builtinId="29"/>
    <cellStyle name="Bad" xfId="12" builtinId="27" customBuiltin="1"/>
    <cellStyle name="Calc - #" xfId="49" xr:uid="{2495CDAB-90FF-4C3D-BA81-740AFFEAE34F}"/>
    <cellStyle name="Calc - %" xfId="50" xr:uid="{3071A072-FD64-4371-A892-8083BC06D80E}"/>
    <cellStyle name="Calc - Date" xfId="51" xr:uid="{8C138BAE-026B-464A-A8F7-0959008204C5}"/>
    <cellStyle name="Calc - SubTotal" xfId="52" xr:uid="{03F67E89-A370-4CA2-8ED5-E04EED92D31A}"/>
    <cellStyle name="Calc - Total" xfId="53" xr:uid="{66EDCBE4-B269-4428-9460-4A665606A11C}"/>
    <cellStyle name="Calculation" xfId="15" builtinId="22" hidden="1"/>
    <cellStyle name="Check Cell" xfId="17" builtinId="23" hidden="1"/>
    <cellStyle name="Code" xfId="30" xr:uid="{B8FCD659-3DFB-42D6-8526-A2BCC03606B5}"/>
    <cellStyle name="Comma" xfId="2" builtinId="3" customBuiltin="1"/>
    <cellStyle name="Const - #" xfId="54" xr:uid="{FC61DC0C-5CE2-4480-A5B9-156C1F382B6D}"/>
    <cellStyle name="Const - %" xfId="55" xr:uid="{FD8D9826-1E51-49FC-BCBE-58EBB480029D}"/>
    <cellStyle name="Const - Date" xfId="56" xr:uid="{21ED30E5-899D-4676-981F-49908B1827B4}"/>
    <cellStyle name="Const - Text" xfId="57" xr:uid="{DB0E7607-F53D-41E5-B4DA-A2761ECD479C}"/>
    <cellStyle name="Currency" xfId="3" builtinId="4" customBuiltin="1"/>
    <cellStyle name="Currency [0]" xfId="4" builtinId="7" customBuiltin="1"/>
    <cellStyle name="Explanatory Text" xfId="20" builtinId="53" customBuiltin="1"/>
    <cellStyle name="Footer" xfId="58" xr:uid="{79781C6A-EB78-482F-AF81-80226C3882E1}"/>
    <cellStyle name="Footer 2" xfId="93" xr:uid="{0B8909B1-9BD7-41B3-9397-DEA352371113}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" xfId="94" builtinId="8"/>
    <cellStyle name="Hyperlink 2" xfId="90" xr:uid="{131D54A7-FFEA-42A6-BBDA-C3DDA18F8C7B}"/>
    <cellStyle name="Inline Check" xfId="22" xr:uid="{E7FD4D4C-BE0C-4C66-90EF-C5205204C60E}"/>
    <cellStyle name="Input" xfId="1" builtinId="20" hidden="1"/>
    <cellStyle name="Input - #" xfId="59" xr:uid="{B8E537EE-A566-440F-A007-AA2FB5F9A9FB}"/>
    <cellStyle name="Input - # 2" xfId="91" xr:uid="{000ED2B4-D509-4A29-959D-1213432DD0FA}"/>
    <cellStyle name="Input - %" xfId="60" xr:uid="{976D63A3-80C6-4567-AE8F-0D3E16350EF8}"/>
    <cellStyle name="Input - Date" xfId="61" xr:uid="{61CD4EAE-32D8-4878-9CCC-BC4A561495C9}"/>
    <cellStyle name="Input - Text" xfId="62" xr:uid="{9BAD8F5A-8782-4831-9E5C-ADE825F5200E}"/>
    <cellStyle name="Input - Text 2" xfId="92" xr:uid="{AE1D4D42-B6D7-49B6-A4AD-D1A5C0D5760E}"/>
    <cellStyle name="Linked Cell" xfId="16" builtinId="24" hidden="1"/>
    <cellStyle name="Macro Paste" xfId="74" xr:uid="{1000E711-9A4B-4033-ABCB-F84674AB40C2}"/>
    <cellStyle name="Message Bar" xfId="63" xr:uid="{3B0D17CD-633D-4591-9C53-704178FD419A}"/>
    <cellStyle name="Model Author Input" xfId="23" xr:uid="{22313D04-CEE3-4C6D-A73A-0922D389E627}"/>
    <cellStyle name="Model Error" xfId="24" xr:uid="{7DF8A411-A2F6-49EF-86E9-1FBCD7E034D7}"/>
    <cellStyle name="Model Input Error" xfId="75" xr:uid="{7D99D1AE-92CD-4463-8418-B9E6F8BF45AB}"/>
    <cellStyle name="Model Warning" xfId="64" xr:uid="{84E6CA98-0C35-47A7-A1AA-48EE78A8551D}"/>
    <cellStyle name="Named Range" xfId="25" xr:uid="{E1999A07-DF06-4E2D-9D12-B5FF5AB39725}"/>
    <cellStyle name="Neutral" xfId="13" builtinId="28" customBuiltin="1"/>
    <cellStyle name="Normal" xfId="0" builtinId="0" customBuiltin="1"/>
    <cellStyle name="Note" xfId="19" builtinId="10" hidden="1"/>
    <cellStyle name="Notes" xfId="26" xr:uid="{A5B30873-7290-4B84-88CF-F6942C7113B4}"/>
    <cellStyle name="Notes - Alt Text" xfId="76" xr:uid="{1AFDE9E8-47BA-478A-8962-E6E2D2490C34}"/>
    <cellStyle name="Output" xfId="14" builtinId="21" hidden="1"/>
    <cellStyle name="Output - #" xfId="65" xr:uid="{7370FC14-4D4E-4017-ABB2-53D819BCD0F2}"/>
    <cellStyle name="Output - %" xfId="66" xr:uid="{6C044CA3-3915-4D8A-BEF7-C461B38069AA}"/>
    <cellStyle name="Output - Date" xfId="67" xr:uid="{0DAFC17A-95FB-4984-99CB-3F1F041A33E4}"/>
    <cellStyle name="Output - SubTotal" xfId="68" xr:uid="{3944BA35-D861-48C8-BF5E-3B5A261E1A76}"/>
    <cellStyle name="Output - Text" xfId="69" xr:uid="{D8AED5B9-3D8F-49BF-8E7D-B2C435B0B345}"/>
    <cellStyle name="Output - Total" xfId="70" xr:uid="{4535EB24-0E67-4CEB-99CB-25A662CC9E57}"/>
    <cellStyle name="Per cent" xfId="5" builtinId="5" customBuiltin="1"/>
    <cellStyle name="Ref.In - #" xfId="77" xr:uid="{559C5B78-8ABA-490F-9260-E150F46D7C2E}"/>
    <cellStyle name="Ref.In - %" xfId="78" xr:uid="{9969ACD6-D439-497E-923B-8A61EE2BE01D}"/>
    <cellStyle name="Ref.In - Date" xfId="79" xr:uid="{45F8383B-AD4B-47DA-8A10-4D43E8A4D81C}"/>
    <cellStyle name="Ref.In - SubTotal" xfId="80" xr:uid="{F3A8A690-F3AB-4BF5-8604-7FCA83CD4F8C}"/>
    <cellStyle name="Ref.In - Text" xfId="81" xr:uid="{67ABDDEF-124F-4051-AD5A-937AD120608A}"/>
    <cellStyle name="Ref.Out - #" xfId="82" xr:uid="{A93D7AAA-9F9E-4847-B11C-9BAE5A0EE5E5}"/>
    <cellStyle name="Ref.Out - %" xfId="83" xr:uid="{33C48677-A0A2-421A-B7FE-AC4D2C6AC9C9}"/>
    <cellStyle name="Ref.Out - Date" xfId="84" xr:uid="{D67336E2-5303-473A-8EAA-DE6649D9996B}"/>
    <cellStyle name="Ref.Out - SubTotal" xfId="85" xr:uid="{AAB5652F-846C-459C-A5B5-1CD844150C1C}"/>
    <cellStyle name="Ref.Out - Text" xfId="86" xr:uid="{F4719FA4-4BFE-48B4-9FFA-2818DE372F20}"/>
    <cellStyle name="SubTitle" xfId="71" xr:uid="{81F4C8C1-EA43-481A-9676-DC23C4FA3B53}"/>
    <cellStyle name="Time Line" xfId="87" xr:uid="{A9FF8B53-9FCE-4E90-946A-9682FA87AB13}"/>
    <cellStyle name="Title" xfId="6" builtinId="15" customBuiltin="1"/>
    <cellStyle name="Total" xfId="21" builtinId="25" hidden="1"/>
    <cellStyle name="Units Label" xfId="88" xr:uid="{09028BDB-8726-4263-B76A-8D93C19881BA}"/>
    <cellStyle name="Unused" xfId="27" xr:uid="{41FDAA62-0CFA-4ECE-8536-2FE4DDCF7B47}"/>
    <cellStyle name="Variance - #" xfId="28" xr:uid="{C6E31070-8FD9-44FE-9156-8DC91AE2C02C}"/>
    <cellStyle name="Variance - %" xfId="72" xr:uid="{0B45C513-E93C-425C-9EA0-C12C16E6E00D}"/>
    <cellStyle name="Variance - SubTotal" xfId="89" xr:uid="{9D95C208-80FD-452F-A8E0-D1DB3C5B75CF}"/>
    <cellStyle name="Variance - Total" xfId="29" xr:uid="{4F69F40F-674C-4CBD-B34C-2FD1E42EDEB8}"/>
    <cellStyle name="Warning Text" xfId="18" builtinId="11" customBuiltin="1"/>
  </cellStyles>
  <dxfs count="0"/>
  <tableStyles count="0" defaultTableStyle="TableStyleMedium2" defaultPivotStyle="PivotStyleLight16"/>
  <colors>
    <mruColors>
      <color rgb="FF0065A8"/>
      <color rgb="FF0000FF"/>
      <color rgb="FFFC6017"/>
      <color rgb="FF9F5CC0"/>
      <color rgb="FFB75EE1"/>
      <color rgb="FF1E4FA8"/>
      <color rgb="FFF88D24"/>
      <color rgb="FF00153D"/>
      <color rgb="FF009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FD5B8741-3BB5-4582-8DD6-91B1F6C94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594360" cy="3174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38100</xdr:rowOff>
    </xdr:from>
    <xdr:to>
      <xdr:col>2</xdr:col>
      <xdr:colOff>43815</xdr:colOff>
      <xdr:row>0</xdr:row>
      <xdr:rowOff>355542</xdr:rowOff>
    </xdr:to>
    <xdr:pic>
      <xdr:nvPicPr>
        <xdr:cNvPr id="2" name="Logo_Small" descr="A black and white logo&#10;&#10;AI-generated content may be incorrect.">
          <a:extLst>
            <a:ext uri="{FF2B5EF4-FFF2-40B4-BE49-F238E27FC236}">
              <a16:creationId xmlns:a16="http://schemas.microsoft.com/office/drawing/2014/main" id="{01DA8CC0-3420-48CE-B3F1-0E165237C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8100"/>
          <a:ext cx="609600" cy="3174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734B7B8F-368F-47AC-81E7-F3F4CC7CA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609600" cy="3174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53340</xdr:rowOff>
    </xdr:from>
    <xdr:to>
      <xdr:col>8</xdr:col>
      <xdr:colOff>511122</xdr:colOff>
      <xdr:row>36</xdr:row>
      <xdr:rowOff>23321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96FDEF-237C-6422-D675-15DE9A670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60" y="3268980"/>
          <a:ext cx="4168722" cy="32999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45720</xdr:rowOff>
    </xdr:from>
    <xdr:to>
      <xdr:col>10</xdr:col>
      <xdr:colOff>549110</xdr:colOff>
      <xdr:row>15</xdr:row>
      <xdr:rowOff>45842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F6CE29-D177-3D7D-A274-A27F0916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0" y="1508760"/>
          <a:ext cx="5425910" cy="1402202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40</xdr:row>
      <xdr:rowOff>60960</xdr:rowOff>
    </xdr:from>
    <xdr:to>
      <xdr:col>17</xdr:col>
      <xdr:colOff>435678</xdr:colOff>
      <xdr:row>62</xdr:row>
      <xdr:rowOff>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F26D2C-D9F2-A3FD-6B7E-C1A7D59D6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61" y="7307580"/>
          <a:ext cx="9579677" cy="38257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30480</xdr:rowOff>
    </xdr:from>
    <xdr:to>
      <xdr:col>8</xdr:col>
      <xdr:colOff>366109</xdr:colOff>
      <xdr:row>69</xdr:row>
      <xdr:rowOff>45797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37CD7D3-4247-FDCB-9A69-B4F8EE8CE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360" y="11483340"/>
          <a:ext cx="4023709" cy="8916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38100</xdr:rowOff>
    </xdr:from>
    <xdr:to>
      <xdr:col>2</xdr:col>
      <xdr:colOff>45720</xdr:colOff>
      <xdr:row>0</xdr:row>
      <xdr:rowOff>355542</xdr:rowOff>
    </xdr:to>
    <xdr:pic>
      <xdr:nvPicPr>
        <xdr:cNvPr id="2" name="Picture 1" descr="A black and white logo&#10;&#10;AI-generated content may be incorrect.">
          <a:extLst>
            <a:ext uri="{FF2B5EF4-FFF2-40B4-BE49-F238E27FC236}">
              <a16:creationId xmlns:a16="http://schemas.microsoft.com/office/drawing/2014/main" id="{EBA0BDF0-2C2A-4391-9095-467E4C666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38100"/>
          <a:ext cx="594360" cy="317442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RXL Custom Theme">
  <a:themeElements>
    <a:clrScheme name="RXL Custom Theme">
      <a:dk1>
        <a:srgbClr val="002138"/>
      </a:dk1>
      <a:lt1>
        <a:sysClr val="window" lastClr="FFFFFF"/>
      </a:lt1>
      <a:dk2>
        <a:srgbClr val="002138"/>
      </a:dk2>
      <a:lt2>
        <a:srgbClr val="F8F8F8"/>
      </a:lt2>
      <a:accent1>
        <a:srgbClr val="198B83"/>
      </a:accent1>
      <a:accent2>
        <a:srgbClr val="56BAB8"/>
      </a:accent2>
      <a:accent3>
        <a:srgbClr val="FC6017"/>
      </a:accent3>
      <a:accent4>
        <a:srgbClr val="F88D24"/>
      </a:accent4>
      <a:accent5>
        <a:srgbClr val="E6D3B8"/>
      </a:accent5>
      <a:accent6>
        <a:srgbClr val="FF4F4F"/>
      </a:accent6>
      <a:hlink>
        <a:srgbClr val="467886"/>
      </a:hlink>
      <a:folHlink>
        <a:srgbClr val="96607D"/>
      </a:folHlink>
    </a:clrScheme>
    <a:fontScheme name="RXL Custom Them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3"/>
        </a:solidFill>
        <a:ln w="28575">
          <a:solidFill>
            <a:schemeClr val="accent3">
              <a:lumMod val="7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a:spPr>
      <a:bodyPr vertOverflow="clip" horzOverflow="clip" rtlCol="0" anchor="ctr"/>
      <a:lstStyle>
        <a:defPPr algn="ctr">
          <a:defRPr sz="1200" kern="1200">
            <a:solidFill>
              <a:schemeClr val="bg1"/>
            </a:solidFill>
            <a:latin typeface="+mj-lt"/>
            <a:cs typeface="Arial" panose="020B0604020202020204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898898-00B4-4C03-BA06-A0F23E263CD4}">
  <we:reference id="wa200003696" version="1.3.0.0" store="en-GB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E868B07E-8E73-453F-8EDC-C5D00DFF7CD9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gist.github.com/r-silk/b124f8468b1615a40b42feda7545bc0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DDC6-BC3B-4F1D-AEDE-0C506C7B8343}">
  <sheetPr codeName="Sheet2"/>
  <dimension ref="B1:AC502"/>
  <sheetViews>
    <sheetView showGridLines="0" tabSelected="1" workbookViewId="0">
      <pane ySplit="1" topLeftCell="A2" activePane="bottomLeft" state="frozen"/>
      <selection pane="bottomLeft"/>
    </sheetView>
  </sheetViews>
  <sheetFormatPr defaultRowHeight="13.8" x14ac:dyDescent="0.3"/>
  <cols>
    <col min="1" max="3" width="4.33203125" customWidth="1"/>
    <col min="4" max="5" width="9.109375" customWidth="1"/>
    <col min="8" max="8" width="9.109375" customWidth="1"/>
  </cols>
  <sheetData>
    <row r="1" spans="3:28" s="1" customFormat="1" ht="30" customHeight="1" x14ac:dyDescent="0.3">
      <c r="C1" s="9" t="s">
        <v>185</v>
      </c>
    </row>
    <row r="3" spans="3:28" x14ac:dyDescent="0.3">
      <c r="C3" s="12" t="s">
        <v>5</v>
      </c>
    </row>
    <row r="4" spans="3:28" x14ac:dyDescent="0.3">
      <c r="D4" t="s">
        <v>166</v>
      </c>
    </row>
    <row r="5" spans="3:28" x14ac:dyDescent="0.3">
      <c r="D5" t="s">
        <v>167</v>
      </c>
    </row>
    <row r="6" spans="3:28" x14ac:dyDescent="0.3">
      <c r="D6" s="42" t="s">
        <v>145</v>
      </c>
    </row>
    <row r="7" spans="3:28" x14ac:dyDescent="0.3">
      <c r="D7" s="42" t="s">
        <v>168</v>
      </c>
    </row>
    <row r="8" spans="3:28" x14ac:dyDescent="0.3">
      <c r="D8" t="s">
        <v>143</v>
      </c>
    </row>
    <row r="9" spans="3:28" x14ac:dyDescent="0.3">
      <c r="D9" t="s">
        <v>144</v>
      </c>
    </row>
    <row r="11" spans="3:28" x14ac:dyDescent="0.3">
      <c r="C11" s="12" t="s">
        <v>6</v>
      </c>
    </row>
    <row r="12" spans="3:28" x14ac:dyDescent="0.3">
      <c r="D12" s="14" t="s">
        <v>138</v>
      </c>
      <c r="E12" s="15">
        <v>1</v>
      </c>
      <c r="F12" s="15">
        <v>2</v>
      </c>
      <c r="G12" s="15">
        <v>3</v>
      </c>
      <c r="H12" s="15">
        <v>4</v>
      </c>
      <c r="I12" s="15">
        <v>5</v>
      </c>
      <c r="J12" s="15">
        <v>6</v>
      </c>
      <c r="K12" s="15">
        <v>7</v>
      </c>
      <c r="L12" s="15">
        <v>8</v>
      </c>
      <c r="M12" s="15">
        <v>9</v>
      </c>
      <c r="N12" s="15">
        <v>10</v>
      </c>
      <c r="O12" s="15">
        <v>11</v>
      </c>
      <c r="P12" s="15">
        <v>12</v>
      </c>
      <c r="Q12" s="15">
        <v>13</v>
      </c>
      <c r="R12" s="15">
        <v>14</v>
      </c>
      <c r="S12" s="15">
        <v>15</v>
      </c>
      <c r="T12" s="15">
        <v>16</v>
      </c>
      <c r="U12" s="15">
        <v>17</v>
      </c>
      <c r="V12" s="15">
        <v>18</v>
      </c>
      <c r="W12" s="15">
        <v>19</v>
      </c>
      <c r="X12" s="15">
        <v>20</v>
      </c>
      <c r="Y12" s="15">
        <v>21</v>
      </c>
      <c r="Z12" s="15">
        <v>22</v>
      </c>
      <c r="AA12" s="15">
        <v>23</v>
      </c>
      <c r="AB12" s="15">
        <v>24</v>
      </c>
    </row>
    <row r="13" spans="3:28" x14ac:dyDescent="0.3">
      <c r="D13" s="14" t="s">
        <v>8</v>
      </c>
      <c r="E13" s="13">
        <v>25</v>
      </c>
      <c r="F13" s="13">
        <v>75</v>
      </c>
      <c r="G13" s="13">
        <v>39</v>
      </c>
      <c r="H13" s="13">
        <v>46</v>
      </c>
      <c r="I13" s="13">
        <v>65</v>
      </c>
      <c r="J13" s="13">
        <v>41</v>
      </c>
      <c r="K13" s="13">
        <v>39</v>
      </c>
      <c r="L13" s="13">
        <v>35</v>
      </c>
      <c r="M13" s="13">
        <v>72</v>
      </c>
      <c r="N13" s="13">
        <v>9</v>
      </c>
      <c r="O13" s="13">
        <v>57</v>
      </c>
      <c r="P13" s="13">
        <v>65</v>
      </c>
      <c r="Q13" s="13">
        <v>64</v>
      </c>
      <c r="R13" s="13">
        <v>98</v>
      </c>
      <c r="S13" s="13">
        <v>10</v>
      </c>
      <c r="T13" s="13">
        <v>8</v>
      </c>
      <c r="U13" s="13">
        <v>92</v>
      </c>
      <c r="V13" s="13">
        <v>78</v>
      </c>
      <c r="W13" s="13">
        <v>47</v>
      </c>
      <c r="X13" s="13">
        <v>9</v>
      </c>
      <c r="Y13" s="13">
        <v>63</v>
      </c>
      <c r="Z13" s="13">
        <v>71</v>
      </c>
      <c r="AA13" s="13">
        <v>52</v>
      </c>
      <c r="AB13" s="13">
        <v>100</v>
      </c>
    </row>
    <row r="14" spans="3:28" x14ac:dyDescent="0.3">
      <c r="D14" s="14"/>
      <c r="E14" s="13">
        <v>25</v>
      </c>
      <c r="F14" s="13">
        <v>75</v>
      </c>
      <c r="G14" s="13">
        <v>0</v>
      </c>
      <c r="H14" s="13">
        <v>46</v>
      </c>
      <c r="I14" s="13">
        <v>65</v>
      </c>
      <c r="J14" s="13">
        <v>41</v>
      </c>
      <c r="K14" s="13">
        <v>39</v>
      </c>
      <c r="L14" s="13"/>
      <c r="M14" s="13">
        <v>72</v>
      </c>
      <c r="N14" s="13">
        <v>9</v>
      </c>
      <c r="O14" s="13">
        <v>57</v>
      </c>
      <c r="P14" s="13" t="e">
        <v>#N/A</v>
      </c>
      <c r="Q14" s="13">
        <v>64</v>
      </c>
      <c r="R14" s="13">
        <v>98</v>
      </c>
      <c r="S14" s="13">
        <v>10</v>
      </c>
      <c r="T14" s="13">
        <v>0</v>
      </c>
      <c r="U14" s="13">
        <v>92</v>
      </c>
      <c r="V14" s="13">
        <v>78</v>
      </c>
      <c r="W14" s="13"/>
      <c r="X14" s="13">
        <v>9</v>
      </c>
      <c r="Y14" s="13">
        <v>63</v>
      </c>
      <c r="Z14" s="13" t="e">
        <v>#VALUE!</v>
      </c>
      <c r="AA14" s="13">
        <v>52</v>
      </c>
      <c r="AB14" s="13">
        <v>100</v>
      </c>
    </row>
    <row r="15" spans="3:28" x14ac:dyDescent="0.3">
      <c r="D15" s="14"/>
      <c r="E15" s="13">
        <v>25</v>
      </c>
      <c r="F15" s="13">
        <v>75</v>
      </c>
      <c r="G15" s="13">
        <v>0</v>
      </c>
      <c r="H15" s="13">
        <v>46</v>
      </c>
      <c r="I15" s="13">
        <v>65</v>
      </c>
      <c r="J15" s="13">
        <v>41</v>
      </c>
      <c r="K15" s="13">
        <v>39</v>
      </c>
      <c r="L15" s="13"/>
      <c r="M15" s="13">
        <v>72</v>
      </c>
      <c r="N15" s="13">
        <v>9</v>
      </c>
      <c r="O15" s="13">
        <v>57</v>
      </c>
      <c r="P15" s="13" t="e">
        <v>#N/A</v>
      </c>
      <c r="Q15" s="13">
        <v>64</v>
      </c>
      <c r="R15" s="13">
        <v>98</v>
      </c>
      <c r="S15" s="13">
        <v>10</v>
      </c>
      <c r="T15" s="13">
        <v>0</v>
      </c>
      <c r="U15" s="13">
        <v>92</v>
      </c>
      <c r="V15" s="13">
        <v>78</v>
      </c>
      <c r="W15" s="13"/>
      <c r="X15" s="13">
        <v>9</v>
      </c>
      <c r="Y15" s="13">
        <v>63</v>
      </c>
      <c r="Z15" s="13" t="e">
        <v>#VALUE!</v>
      </c>
      <c r="AA15" s="13">
        <v>52</v>
      </c>
      <c r="AB15" s="13">
        <v>100</v>
      </c>
    </row>
    <row r="18" spans="2:29" s="4" customFormat="1" ht="16.2" thickBot="1" x14ac:dyDescent="0.35">
      <c r="B18" s="5">
        <f xml:space="preserve"> MAX(B$1:B17) + 1</f>
        <v>1</v>
      </c>
      <c r="C18" s="4" t="s">
        <v>4</v>
      </c>
    </row>
    <row r="20" spans="2:29" x14ac:dyDescent="0.3">
      <c r="B20" s="11" t="s">
        <v>169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2" spans="2:29" x14ac:dyDescent="0.3">
      <c r="C22" s="12" t="s">
        <v>12</v>
      </c>
    </row>
    <row r="23" spans="2:29" x14ac:dyDescent="0.3">
      <c r="D23" t="s">
        <v>14</v>
      </c>
    </row>
    <row r="24" spans="2:29" x14ac:dyDescent="0.3">
      <c r="D24" s="19"/>
      <c r="E24" s="16">
        <f xml:space="preserve"> D24 + E$13</f>
        <v>25</v>
      </c>
      <c r="F24" s="16">
        <f t="shared" ref="F24:AB24" si="0" xml:space="preserve"> E24 + F$13</f>
        <v>100</v>
      </c>
      <c r="G24" s="16">
        <f t="shared" si="0"/>
        <v>139</v>
      </c>
      <c r="H24" s="16">
        <f t="shared" si="0"/>
        <v>185</v>
      </c>
      <c r="I24" s="16">
        <f t="shared" si="0"/>
        <v>250</v>
      </c>
      <c r="J24" s="16">
        <f t="shared" si="0"/>
        <v>291</v>
      </c>
      <c r="K24" s="16">
        <f t="shared" si="0"/>
        <v>330</v>
      </c>
      <c r="L24" s="16">
        <f t="shared" si="0"/>
        <v>365</v>
      </c>
      <c r="M24" s="16">
        <f t="shared" si="0"/>
        <v>437</v>
      </c>
      <c r="N24" s="16">
        <f t="shared" si="0"/>
        <v>446</v>
      </c>
      <c r="O24" s="16">
        <f t="shared" si="0"/>
        <v>503</v>
      </c>
      <c r="P24" s="16">
        <f t="shared" si="0"/>
        <v>568</v>
      </c>
      <c r="Q24" s="16">
        <f t="shared" si="0"/>
        <v>632</v>
      </c>
      <c r="R24" s="16">
        <f t="shared" si="0"/>
        <v>730</v>
      </c>
      <c r="S24" s="16">
        <f t="shared" si="0"/>
        <v>740</v>
      </c>
      <c r="T24" s="16">
        <f t="shared" si="0"/>
        <v>748</v>
      </c>
      <c r="U24" s="16">
        <f t="shared" si="0"/>
        <v>840</v>
      </c>
      <c r="V24" s="16">
        <f t="shared" si="0"/>
        <v>918</v>
      </c>
      <c r="W24" s="16">
        <f t="shared" si="0"/>
        <v>965</v>
      </c>
      <c r="X24" s="16">
        <f t="shared" si="0"/>
        <v>974</v>
      </c>
      <c r="Y24" s="16">
        <f t="shared" si="0"/>
        <v>1037</v>
      </c>
      <c r="Z24" s="16">
        <f t="shared" si="0"/>
        <v>1108</v>
      </c>
      <c r="AA24" s="16">
        <f t="shared" si="0"/>
        <v>1160</v>
      </c>
      <c r="AB24" s="16">
        <f t="shared" si="0"/>
        <v>1260</v>
      </c>
    </row>
    <row r="25" spans="2:29" x14ac:dyDescent="0.3">
      <c r="D25" s="19"/>
      <c r="E25" s="16">
        <f xml:space="preserve"> D25 + IF( OR( ISERROR(E$14), ISBLANK(E$14)), 0, E$14)</f>
        <v>25</v>
      </c>
      <c r="F25" s="16">
        <f t="shared" ref="F25:AB25" si="1" xml:space="preserve"> E25 + IF( OR( ISERROR(F$14), ISBLANK(F$14)), 0, F$14)</f>
        <v>100</v>
      </c>
      <c r="G25" s="16">
        <f t="shared" si="1"/>
        <v>100</v>
      </c>
      <c r="H25" s="16">
        <f t="shared" si="1"/>
        <v>146</v>
      </c>
      <c r="I25" s="16">
        <f t="shared" si="1"/>
        <v>211</v>
      </c>
      <c r="J25" s="16">
        <f t="shared" si="1"/>
        <v>252</v>
      </c>
      <c r="K25" s="16">
        <f t="shared" si="1"/>
        <v>291</v>
      </c>
      <c r="L25" s="16">
        <f t="shared" si="1"/>
        <v>291</v>
      </c>
      <c r="M25" s="16">
        <f t="shared" si="1"/>
        <v>363</v>
      </c>
      <c r="N25" s="16">
        <f t="shared" si="1"/>
        <v>372</v>
      </c>
      <c r="O25" s="16">
        <f t="shared" si="1"/>
        <v>429</v>
      </c>
      <c r="P25" s="16">
        <f t="shared" si="1"/>
        <v>429</v>
      </c>
      <c r="Q25" s="16">
        <f t="shared" si="1"/>
        <v>493</v>
      </c>
      <c r="R25" s="16">
        <f t="shared" si="1"/>
        <v>591</v>
      </c>
      <c r="S25" s="16">
        <f t="shared" si="1"/>
        <v>601</v>
      </c>
      <c r="T25" s="16">
        <f t="shared" si="1"/>
        <v>601</v>
      </c>
      <c r="U25" s="16">
        <f t="shared" si="1"/>
        <v>693</v>
      </c>
      <c r="V25" s="16">
        <f t="shared" si="1"/>
        <v>771</v>
      </c>
      <c r="W25" s="16">
        <f t="shared" si="1"/>
        <v>771</v>
      </c>
      <c r="X25" s="16">
        <f t="shared" si="1"/>
        <v>780</v>
      </c>
      <c r="Y25" s="16">
        <f t="shared" si="1"/>
        <v>843</v>
      </c>
      <c r="Z25" s="16">
        <f t="shared" si="1"/>
        <v>843</v>
      </c>
      <c r="AA25" s="16">
        <f t="shared" si="1"/>
        <v>895</v>
      </c>
      <c r="AB25" s="16">
        <f t="shared" si="1"/>
        <v>995</v>
      </c>
    </row>
    <row r="26" spans="2:29" x14ac:dyDescent="0.3">
      <c r="D26" s="19"/>
      <c r="E26" s="16">
        <f xml:space="preserve"> D26 + IF( OR( ISERROR(E$15), ISBLANK(E$15)), 0, E$15)</f>
        <v>25</v>
      </c>
      <c r="F26" s="16">
        <f t="shared" ref="F26:AB26" si="2" xml:space="preserve"> E26 + IF( OR( ISERROR(F$15), ISBLANK(F$15)), 0, F$15)</f>
        <v>100</v>
      </c>
      <c r="G26" s="16">
        <f t="shared" si="2"/>
        <v>100</v>
      </c>
      <c r="H26" s="16">
        <f t="shared" si="2"/>
        <v>146</v>
      </c>
      <c r="I26" s="16">
        <f t="shared" si="2"/>
        <v>211</v>
      </c>
      <c r="J26" s="16">
        <f t="shared" si="2"/>
        <v>252</v>
      </c>
      <c r="K26" s="16">
        <f t="shared" si="2"/>
        <v>291</v>
      </c>
      <c r="L26" s="16">
        <f t="shared" si="2"/>
        <v>291</v>
      </c>
      <c r="M26" s="16">
        <f t="shared" si="2"/>
        <v>363</v>
      </c>
      <c r="N26" s="16">
        <f t="shared" si="2"/>
        <v>372</v>
      </c>
      <c r="O26" s="16">
        <f t="shared" si="2"/>
        <v>429</v>
      </c>
      <c r="P26" s="16">
        <f t="shared" si="2"/>
        <v>429</v>
      </c>
      <c r="Q26" s="16">
        <f t="shared" si="2"/>
        <v>493</v>
      </c>
      <c r="R26" s="16">
        <f t="shared" si="2"/>
        <v>591</v>
      </c>
      <c r="S26" s="16">
        <f t="shared" si="2"/>
        <v>601</v>
      </c>
      <c r="T26" s="16">
        <f t="shared" si="2"/>
        <v>601</v>
      </c>
      <c r="U26" s="16">
        <f t="shared" si="2"/>
        <v>693</v>
      </c>
      <c r="V26" s="16">
        <f t="shared" si="2"/>
        <v>771</v>
      </c>
      <c r="W26" s="16">
        <f t="shared" si="2"/>
        <v>771</v>
      </c>
      <c r="X26" s="16">
        <f t="shared" si="2"/>
        <v>780</v>
      </c>
      <c r="Y26" s="16">
        <f t="shared" si="2"/>
        <v>843</v>
      </c>
      <c r="Z26" s="16">
        <f t="shared" si="2"/>
        <v>843</v>
      </c>
      <c r="AA26" s="16">
        <f t="shared" si="2"/>
        <v>895</v>
      </c>
      <c r="AB26" s="16">
        <f t="shared" si="2"/>
        <v>995</v>
      </c>
    </row>
    <row r="28" spans="2:29" x14ac:dyDescent="0.3">
      <c r="C28" s="12" t="s">
        <v>13</v>
      </c>
    </row>
    <row r="29" spans="2:29" x14ac:dyDescent="0.3">
      <c r="D29" t="s">
        <v>9</v>
      </c>
    </row>
    <row r="30" spans="2:29" x14ac:dyDescent="0.3">
      <c r="E30" s="58" cm="1">
        <f t="array" ref="E30:AB30" xml:space="preserve"> _xlfn.LET(
  _xlpm._arr, E$13:AB$13,
  _xlpm._sum, _xlfn.SCAN(0, _xlpm._arr, _xlfn.LAMBDA(_xlpm._acc,_xlpm._val, _xlpm._acc + _xlpm._val)),
  _xlpm._sum
)</f>
        <v>25</v>
      </c>
      <c r="F30" s="16">
        <v>100</v>
      </c>
      <c r="G30" s="16">
        <v>139</v>
      </c>
      <c r="H30" s="16">
        <v>185</v>
      </c>
      <c r="I30" s="16">
        <v>250</v>
      </c>
      <c r="J30" s="16">
        <v>291</v>
      </c>
      <c r="K30" s="16">
        <v>330</v>
      </c>
      <c r="L30" s="16">
        <v>365</v>
      </c>
      <c r="M30" s="16">
        <v>437</v>
      </c>
      <c r="N30" s="16">
        <v>446</v>
      </c>
      <c r="O30" s="16">
        <v>503</v>
      </c>
      <c r="P30" s="16">
        <v>568</v>
      </c>
      <c r="Q30" s="16">
        <v>632</v>
      </c>
      <c r="R30" s="16">
        <v>730</v>
      </c>
      <c r="S30" s="16">
        <v>740</v>
      </c>
      <c r="T30" s="16">
        <v>748</v>
      </c>
      <c r="U30" s="16">
        <v>840</v>
      </c>
      <c r="V30" s="16">
        <v>918</v>
      </c>
      <c r="W30" s="16">
        <v>965</v>
      </c>
      <c r="X30" s="16">
        <v>974</v>
      </c>
      <c r="Y30" s="16">
        <v>1037</v>
      </c>
      <c r="Z30" s="16">
        <v>1108</v>
      </c>
      <c r="AA30" s="16">
        <v>1160</v>
      </c>
      <c r="AB30" s="16">
        <v>1260</v>
      </c>
    </row>
    <row r="31" spans="2:29" x14ac:dyDescent="0.3">
      <c r="E31" s="17" t="str" cm="1">
        <f t="array" aca="1" ref="E31:E35" ca="1" xml:space="preserve"> _xlfn.TEXTSPLIT( _xlfn.FORMULATEXT(E30), , CHAR(10))</f>
        <v>= LET(</v>
      </c>
    </row>
    <row r="32" spans="2:29" x14ac:dyDescent="0.3">
      <c r="E32" s="17" t="str">
        <f ca="1"/>
        <v xml:space="preserve">  _arr, E$13:AB$13,</v>
      </c>
    </row>
    <row r="33" spans="4:28" x14ac:dyDescent="0.3">
      <c r="E33" s="17" t="str">
        <f ca="1"/>
        <v xml:space="preserve">  _sum, SCAN(0, _arr, LAMBDA(_acc,_val, _acc + _val)),</v>
      </c>
    </row>
    <row r="34" spans="4:28" x14ac:dyDescent="0.3">
      <c r="E34" s="17" t="str">
        <f ca="1"/>
        <v xml:space="preserve">  _sum</v>
      </c>
    </row>
    <row r="35" spans="4:28" x14ac:dyDescent="0.3">
      <c r="E35" s="17" t="str">
        <f ca="1"/>
        <v>)</v>
      </c>
    </row>
    <row r="37" spans="4:28" x14ac:dyDescent="0.3">
      <c r="D37" t="s">
        <v>11</v>
      </c>
    </row>
    <row r="38" spans="4:28" x14ac:dyDescent="0.3">
      <c r="E38" s="58" cm="1">
        <f t="array" ref="E38:AB38" xml:space="preserve"> _xlfn.LET(
  _xlpm._arr, E$14:AB$14,
  _xlpm._sum, _xlfn.SCAN(0, _xlpm._arr, _xlfn.LAMBDA(_xlpm._acc,_xlpm._val, _xlpm._acc + IF( OR( ISERROR(_xlpm._val), ISBLANK(_xlpm._val)), 0, _xlpm._val))),
  _xlpm._sum
)</f>
        <v>25</v>
      </c>
      <c r="F38" s="16">
        <v>100</v>
      </c>
      <c r="G38" s="16">
        <v>100</v>
      </c>
      <c r="H38" s="16">
        <v>146</v>
      </c>
      <c r="I38" s="16">
        <v>211</v>
      </c>
      <c r="J38" s="16">
        <v>252</v>
      </c>
      <c r="K38" s="16">
        <v>291</v>
      </c>
      <c r="L38" s="16">
        <v>291</v>
      </c>
      <c r="M38" s="16">
        <v>363</v>
      </c>
      <c r="N38" s="16">
        <v>372</v>
      </c>
      <c r="O38" s="16">
        <v>429</v>
      </c>
      <c r="P38" s="16">
        <v>429</v>
      </c>
      <c r="Q38" s="16">
        <v>493</v>
      </c>
      <c r="R38" s="16">
        <v>591</v>
      </c>
      <c r="S38" s="16">
        <v>601</v>
      </c>
      <c r="T38" s="16">
        <v>601</v>
      </c>
      <c r="U38" s="16">
        <v>693</v>
      </c>
      <c r="V38" s="16">
        <v>771</v>
      </c>
      <c r="W38" s="16">
        <v>771</v>
      </c>
      <c r="X38" s="16">
        <v>780</v>
      </c>
      <c r="Y38" s="16">
        <v>843</v>
      </c>
      <c r="Z38" s="16">
        <v>843</v>
      </c>
      <c r="AA38" s="16">
        <v>895</v>
      </c>
      <c r="AB38" s="16">
        <v>995</v>
      </c>
    </row>
    <row r="39" spans="4:28" x14ac:dyDescent="0.3">
      <c r="E39" s="17" t="str" cm="1">
        <f t="array" aca="1" ref="E39:E43" ca="1" xml:space="preserve"> _xlfn.TEXTSPLIT( _xlfn.FORMULATEXT(E38), , CHAR(10))</f>
        <v>= LET(</v>
      </c>
    </row>
    <row r="40" spans="4:28" x14ac:dyDescent="0.3">
      <c r="E40" s="17" t="str">
        <f ca="1"/>
        <v xml:space="preserve">  _arr, E$14:AB$14,</v>
      </c>
    </row>
    <row r="41" spans="4:28" x14ac:dyDescent="0.3">
      <c r="E41" s="17" t="str">
        <f ca="1"/>
        <v xml:space="preserve">  _sum, SCAN(0, _arr, LAMBDA(_acc,_val, _acc + IF( OR( ISERROR(_val), ISBLANK(_val)), 0, _val))),</v>
      </c>
    </row>
    <row r="42" spans="4:28" x14ac:dyDescent="0.3">
      <c r="E42" s="17" t="str">
        <f ca="1"/>
        <v xml:space="preserve">  _sum</v>
      </c>
    </row>
    <row r="43" spans="4:28" x14ac:dyDescent="0.3">
      <c r="E43" s="17" t="str">
        <f ca="1"/>
        <v>)</v>
      </c>
    </row>
    <row r="45" spans="4:28" x14ac:dyDescent="0.3">
      <c r="D45" t="s">
        <v>10</v>
      </c>
    </row>
    <row r="46" spans="4:28" x14ac:dyDescent="0.3">
      <c r="E46" s="58" cm="1">
        <f t="array" ref="E46:AB46" xml:space="preserve"> _xlfn.LET(
  _xlpm._arr, E$15:AB$15,
  _xlpm._sum, _xlfn.SCAN(0, _xlpm._arr, _xlfn.LAMBDA(_xlpm._acc,_xlpm._val, _xlpm._acc + IF( OR( ISERROR(_xlpm._val), ISBLANK(_xlpm._val)), 0, _xlpm._val))),
  _xlpm._sum
)</f>
        <v>25</v>
      </c>
      <c r="F46" s="16">
        <v>100</v>
      </c>
      <c r="G46" s="16">
        <v>100</v>
      </c>
      <c r="H46" s="16">
        <v>146</v>
      </c>
      <c r="I46" s="16">
        <v>211</v>
      </c>
      <c r="J46" s="16">
        <v>252</v>
      </c>
      <c r="K46" s="16">
        <v>291</v>
      </c>
      <c r="L46" s="16">
        <v>291</v>
      </c>
      <c r="M46" s="16">
        <v>363</v>
      </c>
      <c r="N46" s="16">
        <v>372</v>
      </c>
      <c r="O46" s="16">
        <v>429</v>
      </c>
      <c r="P46" s="16">
        <v>429</v>
      </c>
      <c r="Q46" s="16">
        <v>493</v>
      </c>
      <c r="R46" s="16">
        <v>591</v>
      </c>
      <c r="S46" s="16">
        <v>601</v>
      </c>
      <c r="T46" s="16">
        <v>601</v>
      </c>
      <c r="U46" s="16">
        <v>693</v>
      </c>
      <c r="V46" s="16">
        <v>771</v>
      </c>
      <c r="W46" s="16">
        <v>771</v>
      </c>
      <c r="X46" s="16">
        <v>780</v>
      </c>
      <c r="Y46" s="16">
        <v>843</v>
      </c>
      <c r="Z46" s="16">
        <v>843</v>
      </c>
      <c r="AA46" s="16">
        <v>895</v>
      </c>
      <c r="AB46" s="16">
        <v>995</v>
      </c>
    </row>
    <row r="47" spans="4:28" x14ac:dyDescent="0.3">
      <c r="E47" s="17" t="str" cm="1">
        <f t="array" aca="1" ref="E47:E51" ca="1" xml:space="preserve"> _xlfn.TEXTSPLIT( _xlfn.FORMULATEXT(E46), , CHAR(10))</f>
        <v>= LET(</v>
      </c>
    </row>
    <row r="48" spans="4:28" x14ac:dyDescent="0.3">
      <c r="E48" s="17" t="str">
        <f ca="1"/>
        <v xml:space="preserve">  _arr, E$15:AB$15,</v>
      </c>
    </row>
    <row r="49" spans="2:29" x14ac:dyDescent="0.3">
      <c r="E49" s="17" t="str">
        <f ca="1"/>
        <v xml:space="preserve">  _sum, SCAN(0, _arr, LAMBDA(_acc,_val, _acc + IF( OR( ISERROR(_val), ISBLANK(_val)), 0, _val))),</v>
      </c>
    </row>
    <row r="50" spans="2:29" x14ac:dyDescent="0.3">
      <c r="E50" s="17" t="str">
        <f ca="1"/>
        <v xml:space="preserve">  _sum</v>
      </c>
    </row>
    <row r="51" spans="2:29" x14ac:dyDescent="0.3">
      <c r="E51" s="17" t="str">
        <f ca="1"/>
        <v>)</v>
      </c>
    </row>
    <row r="54" spans="2:29" x14ac:dyDescent="0.3">
      <c r="B54" s="11" t="s">
        <v>170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6" spans="2:29" x14ac:dyDescent="0.3">
      <c r="C56" s="12" t="s">
        <v>12</v>
      </c>
    </row>
    <row r="57" spans="2:29" x14ac:dyDescent="0.3">
      <c r="D57" t="s">
        <v>14</v>
      </c>
    </row>
    <row r="58" spans="2:29" x14ac:dyDescent="0.3">
      <c r="E58" s="16">
        <f xml:space="preserve"> COUNT($E$13:E$13)</f>
        <v>1</v>
      </c>
      <c r="F58" s="16">
        <f xml:space="preserve"> COUNT($E$13:F$13)</f>
        <v>2</v>
      </c>
      <c r="G58" s="16">
        <f xml:space="preserve"> COUNT($E$13:G$13)</f>
        <v>3</v>
      </c>
      <c r="H58" s="16">
        <f xml:space="preserve"> COUNT($E$13:H$13)</f>
        <v>4</v>
      </c>
      <c r="I58" s="16">
        <f xml:space="preserve"> COUNT($E$13:I$13)</f>
        <v>5</v>
      </c>
      <c r="J58" s="16">
        <f xml:space="preserve"> COUNT($E$13:J$13)</f>
        <v>6</v>
      </c>
      <c r="K58" s="16">
        <f xml:space="preserve"> COUNT($E$13:K$13)</f>
        <v>7</v>
      </c>
      <c r="L58" s="16">
        <f xml:space="preserve"> COUNT($E$13:L$13)</f>
        <v>8</v>
      </c>
      <c r="M58" s="16">
        <f xml:space="preserve"> COUNT($E$13:M$13)</f>
        <v>9</v>
      </c>
      <c r="N58" s="16">
        <f xml:space="preserve"> COUNT($E$13:N$13)</f>
        <v>10</v>
      </c>
      <c r="O58" s="16">
        <f xml:space="preserve"> COUNT($E$13:O$13)</f>
        <v>11</v>
      </c>
      <c r="P58" s="16">
        <f xml:space="preserve"> COUNT($E$13:P$13)</f>
        <v>12</v>
      </c>
      <c r="Q58" s="16">
        <f xml:space="preserve"> COUNT($E$13:Q$13)</f>
        <v>13</v>
      </c>
      <c r="R58" s="16">
        <f xml:space="preserve"> COUNT($E$13:R$13)</f>
        <v>14</v>
      </c>
      <c r="S58" s="16">
        <f xml:space="preserve"> COUNT($E$13:S$13)</f>
        <v>15</v>
      </c>
      <c r="T58" s="16">
        <f xml:space="preserve"> COUNT($E$13:T$13)</f>
        <v>16</v>
      </c>
      <c r="U58" s="16">
        <f xml:space="preserve"> COUNT($E$13:U$13)</f>
        <v>17</v>
      </c>
      <c r="V58" s="16">
        <f xml:space="preserve"> COUNT($E$13:V$13)</f>
        <v>18</v>
      </c>
      <c r="W58" s="16">
        <f xml:space="preserve"> COUNT($E$13:W$13)</f>
        <v>19</v>
      </c>
      <c r="X58" s="16">
        <f xml:space="preserve"> COUNT($E$13:X$13)</f>
        <v>20</v>
      </c>
      <c r="Y58" s="16">
        <f xml:space="preserve"> COUNT($E$13:Y$13)</f>
        <v>21</v>
      </c>
      <c r="Z58" s="16">
        <f xml:space="preserve"> COUNT($E$13:Z$13)</f>
        <v>22</v>
      </c>
      <c r="AA58" s="16">
        <f xml:space="preserve"> COUNT($E$13:AA$13)</f>
        <v>23</v>
      </c>
      <c r="AB58" s="16">
        <f xml:space="preserve"> COUNT($E$13:AB$13)</f>
        <v>24</v>
      </c>
    </row>
    <row r="59" spans="2:29" x14ac:dyDescent="0.3">
      <c r="D59" s="19"/>
      <c r="E59" s="16">
        <f xml:space="preserve"> D59 + IF( AND( NOT(ISERROR(E$14)), NOT(ISBLANK(E$14))), 1, 0)</f>
        <v>1</v>
      </c>
      <c r="F59" s="16">
        <f t="shared" ref="F59:AB59" si="3" xml:space="preserve"> E59 + IF( AND( NOT(ISERROR(F$14)), NOT(ISBLANK(F$14))), 1, 0)</f>
        <v>2</v>
      </c>
      <c r="G59" s="16">
        <f t="shared" si="3"/>
        <v>3</v>
      </c>
      <c r="H59" s="16">
        <f t="shared" si="3"/>
        <v>4</v>
      </c>
      <c r="I59" s="16">
        <f t="shared" si="3"/>
        <v>5</v>
      </c>
      <c r="J59" s="16">
        <f t="shared" si="3"/>
        <v>6</v>
      </c>
      <c r="K59" s="16">
        <f t="shared" si="3"/>
        <v>7</v>
      </c>
      <c r="L59" s="16">
        <f t="shared" si="3"/>
        <v>7</v>
      </c>
      <c r="M59" s="16">
        <f t="shared" si="3"/>
        <v>8</v>
      </c>
      <c r="N59" s="16">
        <f t="shared" si="3"/>
        <v>9</v>
      </c>
      <c r="O59" s="16">
        <f t="shared" si="3"/>
        <v>10</v>
      </c>
      <c r="P59" s="16">
        <f t="shared" si="3"/>
        <v>10</v>
      </c>
      <c r="Q59" s="16">
        <f t="shared" si="3"/>
        <v>11</v>
      </c>
      <c r="R59" s="16">
        <f t="shared" si="3"/>
        <v>12</v>
      </c>
      <c r="S59" s="16">
        <f t="shared" si="3"/>
        <v>13</v>
      </c>
      <c r="T59" s="16">
        <f t="shared" si="3"/>
        <v>14</v>
      </c>
      <c r="U59" s="16">
        <f t="shared" si="3"/>
        <v>15</v>
      </c>
      <c r="V59" s="16">
        <f t="shared" si="3"/>
        <v>16</v>
      </c>
      <c r="W59" s="16">
        <f t="shared" si="3"/>
        <v>16</v>
      </c>
      <c r="X59" s="16">
        <f t="shared" si="3"/>
        <v>17</v>
      </c>
      <c r="Y59" s="16">
        <f t="shared" si="3"/>
        <v>18</v>
      </c>
      <c r="Z59" s="16">
        <f t="shared" si="3"/>
        <v>18</v>
      </c>
      <c r="AA59" s="16">
        <f t="shared" si="3"/>
        <v>19</v>
      </c>
      <c r="AB59" s="16">
        <f t="shared" si="3"/>
        <v>20</v>
      </c>
    </row>
    <row r="60" spans="2:29" x14ac:dyDescent="0.3">
      <c r="D60" s="19"/>
      <c r="E60" s="16">
        <f xml:space="preserve"> D60 + IF( AND( NOT(ISERROR(E$15)), NOT(ISBLANK(E$15)), IFERROR(E$15, 0) &lt;&gt; 0), 1, 0)</f>
        <v>1</v>
      </c>
      <c r="F60" s="16">
        <f t="shared" ref="F60:AB60" si="4" xml:space="preserve"> E60 + IF( AND( NOT(ISERROR(F$15)), NOT(ISBLANK(F$15)), IFERROR(F$15, 0) &lt;&gt; 0), 1, 0)</f>
        <v>2</v>
      </c>
      <c r="G60" s="16">
        <f t="shared" si="4"/>
        <v>2</v>
      </c>
      <c r="H60" s="16">
        <f t="shared" si="4"/>
        <v>3</v>
      </c>
      <c r="I60" s="16">
        <f t="shared" si="4"/>
        <v>4</v>
      </c>
      <c r="J60" s="16">
        <f t="shared" si="4"/>
        <v>5</v>
      </c>
      <c r="K60" s="16">
        <f t="shared" si="4"/>
        <v>6</v>
      </c>
      <c r="L60" s="16">
        <f t="shared" si="4"/>
        <v>6</v>
      </c>
      <c r="M60" s="16">
        <f t="shared" si="4"/>
        <v>7</v>
      </c>
      <c r="N60" s="16">
        <f t="shared" si="4"/>
        <v>8</v>
      </c>
      <c r="O60" s="16">
        <f t="shared" si="4"/>
        <v>9</v>
      </c>
      <c r="P60" s="16">
        <f t="shared" si="4"/>
        <v>9</v>
      </c>
      <c r="Q60" s="16">
        <f t="shared" si="4"/>
        <v>10</v>
      </c>
      <c r="R60" s="16">
        <f t="shared" si="4"/>
        <v>11</v>
      </c>
      <c r="S60" s="16">
        <f t="shared" si="4"/>
        <v>12</v>
      </c>
      <c r="T60" s="16">
        <f t="shared" si="4"/>
        <v>12</v>
      </c>
      <c r="U60" s="16">
        <f t="shared" si="4"/>
        <v>13</v>
      </c>
      <c r="V60" s="16">
        <f t="shared" si="4"/>
        <v>14</v>
      </c>
      <c r="W60" s="16">
        <f t="shared" si="4"/>
        <v>14</v>
      </c>
      <c r="X60" s="16">
        <f t="shared" si="4"/>
        <v>15</v>
      </c>
      <c r="Y60" s="16">
        <f t="shared" si="4"/>
        <v>16</v>
      </c>
      <c r="Z60" s="16">
        <f t="shared" si="4"/>
        <v>16</v>
      </c>
      <c r="AA60" s="16">
        <f t="shared" si="4"/>
        <v>17</v>
      </c>
      <c r="AB60" s="16">
        <f t="shared" si="4"/>
        <v>18</v>
      </c>
    </row>
    <row r="62" spans="2:29" x14ac:dyDescent="0.3">
      <c r="C62" s="12" t="s">
        <v>13</v>
      </c>
    </row>
    <row r="63" spans="2:29" x14ac:dyDescent="0.3">
      <c r="D63" t="s">
        <v>9</v>
      </c>
    </row>
    <row r="64" spans="2:29" x14ac:dyDescent="0.3">
      <c r="E64" s="58" cm="1">
        <f t="array" ref="E64:AB64" xml:space="preserve"> _xlfn.LET(
  _xlpm._arr, E$13:AB$13,
  _xlpm._cnt, _xlfn.SCAN(0, _xlpm._arr, _xlfn.LAMBDA(_xlpm._acc,_xlpm._val, _xlpm._acc + 1)),
  _xlpm._cnt
)</f>
        <v>1</v>
      </c>
      <c r="F64" s="16">
        <v>2</v>
      </c>
      <c r="G64" s="16">
        <v>3</v>
      </c>
      <c r="H64" s="16">
        <v>4</v>
      </c>
      <c r="I64" s="16">
        <v>5</v>
      </c>
      <c r="J64" s="16">
        <v>6</v>
      </c>
      <c r="K64" s="16">
        <v>7</v>
      </c>
      <c r="L64" s="16">
        <v>8</v>
      </c>
      <c r="M64" s="16">
        <v>9</v>
      </c>
      <c r="N64" s="16">
        <v>10</v>
      </c>
      <c r="O64" s="16">
        <v>11</v>
      </c>
      <c r="P64" s="16">
        <v>12</v>
      </c>
      <c r="Q64" s="16">
        <v>13</v>
      </c>
      <c r="R64" s="16">
        <v>14</v>
      </c>
      <c r="S64" s="16">
        <v>15</v>
      </c>
      <c r="T64" s="16">
        <v>16</v>
      </c>
      <c r="U64" s="16">
        <v>17</v>
      </c>
      <c r="V64" s="16">
        <v>18</v>
      </c>
      <c r="W64" s="16">
        <v>19</v>
      </c>
      <c r="X64" s="16">
        <v>20</v>
      </c>
      <c r="Y64" s="16">
        <v>21</v>
      </c>
      <c r="Z64" s="16">
        <v>22</v>
      </c>
      <c r="AA64" s="16">
        <v>23</v>
      </c>
      <c r="AB64" s="16">
        <v>24</v>
      </c>
    </row>
    <row r="65" spans="4:28" x14ac:dyDescent="0.3">
      <c r="E65" s="17" t="str" cm="1">
        <f t="array" aca="1" ref="E65:E69" ca="1" xml:space="preserve"> _xlfn.TEXTSPLIT( _xlfn.FORMULATEXT(E64), , CHAR(10))</f>
        <v>= LET(</v>
      </c>
    </row>
    <row r="66" spans="4:28" x14ac:dyDescent="0.3">
      <c r="E66" s="17" t="str">
        <f ca="1"/>
        <v xml:space="preserve">  _arr, E$13:AB$13,</v>
      </c>
    </row>
    <row r="67" spans="4:28" x14ac:dyDescent="0.3">
      <c r="E67" s="17" t="str">
        <f ca="1"/>
        <v xml:space="preserve">  _cnt, SCAN(0, _arr, LAMBDA(_acc,_val, _acc + 1)),</v>
      </c>
    </row>
    <row r="68" spans="4:28" x14ac:dyDescent="0.3">
      <c r="E68" s="17" t="str">
        <f ca="1"/>
        <v xml:space="preserve">  _cnt</v>
      </c>
    </row>
    <row r="69" spans="4:28" x14ac:dyDescent="0.3">
      <c r="E69" s="17" t="str">
        <f ca="1"/>
        <v>)</v>
      </c>
    </row>
    <row r="71" spans="4:28" x14ac:dyDescent="0.3">
      <c r="D71" t="s">
        <v>19</v>
      </c>
    </row>
    <row r="72" spans="4:28" x14ac:dyDescent="0.3">
      <c r="E72" s="58" cm="1">
        <f t="array" ref="E72:AB72" xml:space="preserve"> _xlfn.LET(
  _xlpm._arr, E$14:AB$14,
  _xlpm._cnt, _xlfn.SCAN(0, _xlpm._arr, _xlfn.LAMBDA(_xlpm._acc,_xlpm._val, _xlpm._acc + IF( AND( NOT(ISERROR(_xlpm._val)), NOT(ISBLANK(_xlpm._val))), 1, 0))),
  _xlpm._cnt
)</f>
        <v>1</v>
      </c>
      <c r="F72" s="16">
        <v>2</v>
      </c>
      <c r="G72" s="16">
        <v>3</v>
      </c>
      <c r="H72" s="16">
        <v>4</v>
      </c>
      <c r="I72" s="16">
        <v>5</v>
      </c>
      <c r="J72" s="16">
        <v>6</v>
      </c>
      <c r="K72" s="16">
        <v>7</v>
      </c>
      <c r="L72" s="16">
        <v>7</v>
      </c>
      <c r="M72" s="16">
        <v>8</v>
      </c>
      <c r="N72" s="16">
        <v>9</v>
      </c>
      <c r="O72" s="16">
        <v>10</v>
      </c>
      <c r="P72" s="16">
        <v>10</v>
      </c>
      <c r="Q72" s="16">
        <v>11</v>
      </c>
      <c r="R72" s="16">
        <v>12</v>
      </c>
      <c r="S72" s="16">
        <v>13</v>
      </c>
      <c r="T72" s="16">
        <v>14</v>
      </c>
      <c r="U72" s="16">
        <v>15</v>
      </c>
      <c r="V72" s="16">
        <v>16</v>
      </c>
      <c r="W72" s="16">
        <v>16</v>
      </c>
      <c r="X72" s="16">
        <v>17</v>
      </c>
      <c r="Y72" s="16">
        <v>18</v>
      </c>
      <c r="Z72" s="16">
        <v>18</v>
      </c>
      <c r="AA72" s="16">
        <v>19</v>
      </c>
      <c r="AB72" s="16">
        <v>20</v>
      </c>
    </row>
    <row r="73" spans="4:28" x14ac:dyDescent="0.3">
      <c r="E73" s="17" t="str" cm="1">
        <f t="array" aca="1" ref="E73:E77" ca="1" xml:space="preserve"> _xlfn.TEXTSPLIT( _xlfn.FORMULATEXT(E72), , CHAR(10))</f>
        <v>= LET(</v>
      </c>
    </row>
    <row r="74" spans="4:28" x14ac:dyDescent="0.3">
      <c r="E74" s="17" t="str">
        <f ca="1"/>
        <v xml:space="preserve">  _arr, E$14:AB$14,</v>
      </c>
    </row>
    <row r="75" spans="4:28" x14ac:dyDescent="0.3">
      <c r="E75" s="17" t="str">
        <f ca="1"/>
        <v xml:space="preserve">  _cnt, SCAN(0, _arr, LAMBDA(_acc,_val, _acc + IF( AND( NOT(ISERROR(_val)), NOT(ISBLANK(_val))), 1, 0))),</v>
      </c>
    </row>
    <row r="76" spans="4:28" x14ac:dyDescent="0.3">
      <c r="E76" s="17" t="str">
        <f ca="1"/>
        <v xml:space="preserve">  _cnt</v>
      </c>
    </row>
    <row r="77" spans="4:28" x14ac:dyDescent="0.3">
      <c r="E77" s="17" t="str">
        <f ca="1"/>
        <v>)</v>
      </c>
    </row>
    <row r="79" spans="4:28" x14ac:dyDescent="0.3">
      <c r="D79" t="s">
        <v>18</v>
      </c>
    </row>
    <row r="80" spans="4:28" x14ac:dyDescent="0.3">
      <c r="E80" s="58" cm="1">
        <f t="array" ref="E80:AB80" xml:space="preserve"> _xlfn.LET(
  _xlpm._arr, E$15:AB$15,
  _xlpm._cnt, _xlfn.SCAN(0, _xlpm._arr, _xlfn.LAMBDA(_xlpm._acc,_xlpm._val, _xlpm._acc + IF( AND( NOT(ISERROR(_xlpm._val)), NOT(ISBLANK(_xlpm._val)), IFERROR(_xlpm._val, 0) &lt;&gt; 0), 1, 0))),
  _xlpm._cnt
)</f>
        <v>1</v>
      </c>
      <c r="F80" s="16">
        <v>2</v>
      </c>
      <c r="G80" s="16">
        <v>2</v>
      </c>
      <c r="H80" s="16">
        <v>3</v>
      </c>
      <c r="I80" s="16">
        <v>4</v>
      </c>
      <c r="J80" s="16">
        <v>5</v>
      </c>
      <c r="K80" s="16">
        <v>6</v>
      </c>
      <c r="L80" s="16">
        <v>6</v>
      </c>
      <c r="M80" s="16">
        <v>7</v>
      </c>
      <c r="N80" s="16">
        <v>8</v>
      </c>
      <c r="O80" s="16">
        <v>9</v>
      </c>
      <c r="P80" s="16">
        <v>9</v>
      </c>
      <c r="Q80" s="16">
        <v>10</v>
      </c>
      <c r="R80" s="16">
        <v>11</v>
      </c>
      <c r="S80" s="16">
        <v>12</v>
      </c>
      <c r="T80" s="16">
        <v>12</v>
      </c>
      <c r="U80" s="16">
        <v>13</v>
      </c>
      <c r="V80" s="16">
        <v>14</v>
      </c>
      <c r="W80" s="16">
        <v>14</v>
      </c>
      <c r="X80" s="16">
        <v>15</v>
      </c>
      <c r="Y80" s="16">
        <v>16</v>
      </c>
      <c r="Z80" s="16">
        <v>16</v>
      </c>
      <c r="AA80" s="16">
        <v>17</v>
      </c>
      <c r="AB80" s="16">
        <v>18</v>
      </c>
    </row>
    <row r="81" spans="2:29" x14ac:dyDescent="0.3">
      <c r="E81" s="17" t="str" cm="1">
        <f t="array" aca="1" ref="E81:E85" ca="1" xml:space="preserve"> _xlfn.TEXTSPLIT( _xlfn.FORMULATEXT(E80), , CHAR(10))</f>
        <v>= LET(</v>
      </c>
    </row>
    <row r="82" spans="2:29" x14ac:dyDescent="0.3">
      <c r="E82" s="17" t="str">
        <f ca="1"/>
        <v xml:space="preserve">  _arr, E$15:AB$15,</v>
      </c>
    </row>
    <row r="83" spans="2:29" x14ac:dyDescent="0.3">
      <c r="E83" s="17" t="str">
        <f ca="1"/>
        <v xml:space="preserve">  _cnt, SCAN(0, _arr, LAMBDA(_acc,_val, _acc + IF( AND( NOT(ISERROR(_val)), NOT(ISBLANK(_val)), IFERROR(_val, 0) &lt;&gt; 0), 1, 0))),</v>
      </c>
    </row>
    <row r="84" spans="2:29" x14ac:dyDescent="0.3">
      <c r="E84" s="17" t="str">
        <f ca="1"/>
        <v xml:space="preserve">  _cnt</v>
      </c>
    </row>
    <row r="85" spans="2:29" x14ac:dyDescent="0.3">
      <c r="E85" s="17" t="str">
        <f ca="1"/>
        <v>)</v>
      </c>
    </row>
    <row r="88" spans="2:29" x14ac:dyDescent="0.3">
      <c r="B88" s="11" t="s">
        <v>171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90" spans="2:29" x14ac:dyDescent="0.3">
      <c r="C90" s="12" t="s">
        <v>12</v>
      </c>
    </row>
    <row r="91" spans="2:29" x14ac:dyDescent="0.3">
      <c r="D91" t="s">
        <v>14</v>
      </c>
    </row>
    <row r="92" spans="2:29" x14ac:dyDescent="0.3">
      <c r="E92" s="18">
        <f xml:space="preserve"> AVERAGE($E$13:E$13)</f>
        <v>25</v>
      </c>
      <c r="F92" s="18">
        <f xml:space="preserve"> AVERAGE($E$13:F$13)</f>
        <v>50</v>
      </c>
      <c r="G92" s="18">
        <f xml:space="preserve"> AVERAGE($E$13:G$13)</f>
        <v>46.333333333333336</v>
      </c>
      <c r="H92" s="18">
        <f xml:space="preserve"> AVERAGE($E$13:H$13)</f>
        <v>46.25</v>
      </c>
      <c r="I92" s="18">
        <f xml:space="preserve"> AVERAGE($E$13:I$13)</f>
        <v>50</v>
      </c>
      <c r="J92" s="18">
        <f xml:space="preserve"> AVERAGE($E$13:J$13)</f>
        <v>48.5</v>
      </c>
      <c r="K92" s="18">
        <f xml:space="preserve"> AVERAGE($E$13:K$13)</f>
        <v>47.142857142857146</v>
      </c>
      <c r="L92" s="18">
        <f xml:space="preserve"> AVERAGE($E$13:L$13)</f>
        <v>45.625</v>
      </c>
      <c r="M92" s="18">
        <f xml:space="preserve"> AVERAGE($E$13:M$13)</f>
        <v>48.555555555555557</v>
      </c>
      <c r="N92" s="18">
        <f xml:space="preserve"> AVERAGE($E$13:N$13)</f>
        <v>44.6</v>
      </c>
      <c r="O92" s="18">
        <f xml:space="preserve"> AVERAGE($E$13:O$13)</f>
        <v>45.727272727272727</v>
      </c>
      <c r="P92" s="18">
        <f xml:space="preserve"> AVERAGE($E$13:P$13)</f>
        <v>47.333333333333336</v>
      </c>
      <c r="Q92" s="18">
        <f xml:space="preserve"> AVERAGE($E$13:Q$13)</f>
        <v>48.615384615384613</v>
      </c>
      <c r="R92" s="18">
        <f xml:space="preserve"> AVERAGE($E$13:R$13)</f>
        <v>52.142857142857146</v>
      </c>
      <c r="S92" s="18">
        <f xml:space="preserve"> AVERAGE($E$13:S$13)</f>
        <v>49.333333333333336</v>
      </c>
      <c r="T92" s="18">
        <f xml:space="preserve"> AVERAGE($E$13:T$13)</f>
        <v>46.75</v>
      </c>
      <c r="U92" s="18">
        <f xml:space="preserve"> AVERAGE($E$13:U$13)</f>
        <v>49.411764705882355</v>
      </c>
      <c r="V92" s="18">
        <f xml:space="preserve"> AVERAGE($E$13:V$13)</f>
        <v>51</v>
      </c>
      <c r="W92" s="18">
        <f xml:space="preserve"> AVERAGE($E$13:W$13)</f>
        <v>50.789473684210527</v>
      </c>
      <c r="X92" s="18">
        <f xml:space="preserve"> AVERAGE($E$13:X$13)</f>
        <v>48.7</v>
      </c>
      <c r="Y92" s="18">
        <f xml:space="preserve"> AVERAGE($E$13:Y$13)</f>
        <v>49.38095238095238</v>
      </c>
      <c r="Z92" s="18">
        <f xml:space="preserve"> AVERAGE($E$13:Z$13)</f>
        <v>50.363636363636367</v>
      </c>
      <c r="AA92" s="18">
        <f xml:space="preserve"> AVERAGE($E$13:AA$13)</f>
        <v>50.434782608695649</v>
      </c>
      <c r="AB92" s="18">
        <f xml:space="preserve"> AVERAGE($E$13:AB$13)</f>
        <v>52.5</v>
      </c>
    </row>
    <row r="93" spans="2:29" x14ac:dyDescent="0.3">
      <c r="E93" s="18" cm="1">
        <f t="array" ref="E93" xml:space="preserve"> E25 / SUMPRODUCT(--NOT(ISERROR($E$14:E$14)) * --NOT(ISBLANK($E$14:E$14)))</f>
        <v>25</v>
      </c>
      <c r="F93" s="18" cm="1">
        <f t="array" ref="F93" xml:space="preserve"> F25 / SUMPRODUCT(--NOT(ISERROR($E$14:F$14)) * --NOT(ISBLANK($E$14:F$14)))</f>
        <v>50</v>
      </c>
      <c r="G93" s="18" cm="1">
        <f t="array" ref="G93" xml:space="preserve"> G25 / SUMPRODUCT(--NOT(ISERROR($E$14:G$14)) * --NOT(ISBLANK($E$14:G$14)))</f>
        <v>33.333333333333336</v>
      </c>
      <c r="H93" s="18" cm="1">
        <f t="array" ref="H93" xml:space="preserve"> H25 / SUMPRODUCT(--NOT(ISERROR($E$14:H$14)) * --NOT(ISBLANK($E$14:H$14)))</f>
        <v>36.5</v>
      </c>
      <c r="I93" s="18" cm="1">
        <f t="array" ref="I93" xml:space="preserve"> I25 / SUMPRODUCT(--NOT(ISERROR($E$14:I$14)) * --NOT(ISBLANK($E$14:I$14)))</f>
        <v>42.2</v>
      </c>
      <c r="J93" s="18" cm="1">
        <f t="array" ref="J93" xml:space="preserve"> J25 / SUMPRODUCT(--NOT(ISERROR($E$14:J$14)) * --NOT(ISBLANK($E$14:J$14)))</f>
        <v>42</v>
      </c>
      <c r="K93" s="18" cm="1">
        <f t="array" ref="K93" xml:space="preserve"> K25 / SUMPRODUCT(--NOT(ISERROR($E$14:K$14)) * --NOT(ISBLANK($E$14:K$14)))</f>
        <v>41.571428571428569</v>
      </c>
      <c r="L93" s="18" cm="1">
        <f t="array" ref="L93" xml:space="preserve"> L25 / SUMPRODUCT(--NOT(ISERROR($E$14:L$14)) * --NOT(ISBLANK($E$14:L$14)))</f>
        <v>41.571428571428569</v>
      </c>
      <c r="M93" s="18" cm="1">
        <f t="array" ref="M93" xml:space="preserve"> M25 / SUMPRODUCT(--NOT(ISERROR($E$14:M$14)) * --NOT(ISBLANK($E$14:M$14)))</f>
        <v>45.375</v>
      </c>
      <c r="N93" s="18" cm="1">
        <f t="array" ref="N93" xml:space="preserve"> N25 / SUMPRODUCT(--NOT(ISERROR($E$14:N$14)) * --NOT(ISBLANK($E$14:N$14)))</f>
        <v>41.333333333333336</v>
      </c>
      <c r="O93" s="18" cm="1">
        <f t="array" ref="O93" xml:space="preserve"> O25 / SUMPRODUCT(--NOT(ISERROR($E$14:O$14)) * --NOT(ISBLANK($E$14:O$14)))</f>
        <v>42.9</v>
      </c>
      <c r="P93" s="18" cm="1">
        <f t="array" ref="P93" xml:space="preserve"> P25 / SUMPRODUCT(--NOT(ISERROR($E$14:P$14)) * --NOT(ISBLANK($E$14:P$14)))</f>
        <v>42.9</v>
      </c>
      <c r="Q93" s="18" cm="1">
        <f t="array" ref="Q93" xml:space="preserve"> Q25 / SUMPRODUCT(--NOT(ISERROR($E$14:Q$14)) * --NOT(ISBLANK($E$14:Q$14)))</f>
        <v>44.81818181818182</v>
      </c>
      <c r="R93" s="18" cm="1">
        <f t="array" ref="R93" xml:space="preserve"> R25 / SUMPRODUCT(--NOT(ISERROR($E$14:R$14)) * --NOT(ISBLANK($E$14:R$14)))</f>
        <v>49.25</v>
      </c>
      <c r="S93" s="18" cm="1">
        <f t="array" ref="S93" xml:space="preserve"> S25 / SUMPRODUCT(--NOT(ISERROR($E$14:S$14)) * --NOT(ISBLANK($E$14:S$14)))</f>
        <v>46.230769230769234</v>
      </c>
      <c r="T93" s="18" cm="1">
        <f t="array" ref="T93" xml:space="preserve"> T25 / SUMPRODUCT(--NOT(ISERROR($E$14:T$14)) * --NOT(ISBLANK($E$14:T$14)))</f>
        <v>42.928571428571431</v>
      </c>
      <c r="U93" s="18" cm="1">
        <f t="array" ref="U93" xml:space="preserve"> U25 / SUMPRODUCT(--NOT(ISERROR($E$14:U$14)) * --NOT(ISBLANK($E$14:U$14)))</f>
        <v>46.2</v>
      </c>
      <c r="V93" s="18" cm="1">
        <f t="array" ref="V93" xml:space="preserve"> V25 / SUMPRODUCT(--NOT(ISERROR($E$14:V$14)) * --NOT(ISBLANK($E$14:V$14)))</f>
        <v>48.1875</v>
      </c>
      <c r="W93" s="18" cm="1">
        <f t="array" ref="W93" xml:space="preserve"> W25 / SUMPRODUCT(--NOT(ISERROR($E$14:W$14)) * --NOT(ISBLANK($E$14:W$14)))</f>
        <v>48.1875</v>
      </c>
      <c r="X93" s="18" cm="1">
        <f t="array" ref="X93" xml:space="preserve"> X25 / SUMPRODUCT(--NOT(ISERROR($E$14:X$14)) * --NOT(ISBLANK($E$14:X$14)))</f>
        <v>45.882352941176471</v>
      </c>
      <c r="Y93" s="18" cm="1">
        <f t="array" ref="Y93" xml:space="preserve"> Y25 / SUMPRODUCT(--NOT(ISERROR($E$14:Y$14)) * --NOT(ISBLANK($E$14:Y$14)))</f>
        <v>46.833333333333336</v>
      </c>
      <c r="Z93" s="18" cm="1">
        <f t="array" ref="Z93" xml:space="preserve"> Z25 / SUMPRODUCT(--NOT(ISERROR($E$14:Z$14)) * --NOT(ISBLANK($E$14:Z$14)))</f>
        <v>46.833333333333336</v>
      </c>
      <c r="AA93" s="18" cm="1">
        <f t="array" ref="AA93" xml:space="preserve"> AA25 / SUMPRODUCT(--NOT(ISERROR($E$14:AA$14)) * --NOT(ISBLANK($E$14:AA$14)))</f>
        <v>47.10526315789474</v>
      </c>
      <c r="AB93" s="18" cm="1">
        <f t="array" ref="AB93" xml:space="preserve"> AB25 / SUMPRODUCT(--NOT(ISERROR($E$14:AB$14)) * --NOT(ISBLANK($E$14:AB$14)))</f>
        <v>49.75</v>
      </c>
    </row>
    <row r="94" spans="2:29" x14ac:dyDescent="0.3">
      <c r="E94" s="18" cm="1">
        <f t="array" ref="E94" xml:space="preserve"> _xlfn.LET(_xlpm._arr, $E$15:E$15, E26 / SUMPRODUCT(--NOT(ISERROR(_xlpm._arr)) * --NOT(ISBLANK(_xlpm._arr)) * --(IFERROR($E$15:E$15, 0) &lt;&gt; 0)))</f>
        <v>25</v>
      </c>
      <c r="F94" s="18" cm="1">
        <f t="array" ref="F94" xml:space="preserve"> _xlfn.LET(_xlpm._arr, $E$15:F$15, F26 / SUMPRODUCT(--NOT(ISERROR(_xlpm._arr)) * --NOT(ISBLANK(_xlpm._arr)) * --(IFERROR($E$15:F$15, 0) &lt;&gt; 0)))</f>
        <v>50</v>
      </c>
      <c r="G94" s="18" cm="1">
        <f t="array" ref="G94" xml:space="preserve"> _xlfn.LET(_xlpm._arr, $E$15:G$15, G26 / SUMPRODUCT(--NOT(ISERROR(_xlpm._arr)) * --NOT(ISBLANK(_xlpm._arr)) * --(IFERROR($E$15:G$15, 0) &lt;&gt; 0)))</f>
        <v>50</v>
      </c>
      <c r="H94" s="18" cm="1">
        <f t="array" ref="H94" xml:space="preserve"> _xlfn.LET(_xlpm._arr, $E$15:H$15, H26 / SUMPRODUCT(--NOT(ISERROR(_xlpm._arr)) * --NOT(ISBLANK(_xlpm._arr)) * --(IFERROR($E$15:H$15, 0) &lt;&gt; 0)))</f>
        <v>48.666666666666664</v>
      </c>
      <c r="I94" s="18" cm="1">
        <f t="array" ref="I94" xml:space="preserve"> _xlfn.LET(_xlpm._arr, $E$15:I$15, I26 / SUMPRODUCT(--NOT(ISERROR(_xlpm._arr)) * --NOT(ISBLANK(_xlpm._arr)) * --(IFERROR($E$15:I$15, 0) &lt;&gt; 0)))</f>
        <v>52.75</v>
      </c>
      <c r="J94" s="18" cm="1">
        <f t="array" ref="J94" xml:space="preserve"> _xlfn.LET(_xlpm._arr, $E$15:J$15, J26 / SUMPRODUCT(--NOT(ISERROR(_xlpm._arr)) * --NOT(ISBLANK(_xlpm._arr)) * --(IFERROR($E$15:J$15, 0) &lt;&gt; 0)))</f>
        <v>50.4</v>
      </c>
      <c r="K94" s="18" cm="1">
        <f t="array" ref="K94" xml:space="preserve"> _xlfn.LET(_xlpm._arr, $E$15:K$15, K26 / SUMPRODUCT(--NOT(ISERROR(_xlpm._arr)) * --NOT(ISBLANK(_xlpm._arr)) * --(IFERROR($E$15:K$15, 0) &lt;&gt; 0)))</f>
        <v>48.5</v>
      </c>
      <c r="L94" s="18" cm="1">
        <f t="array" ref="L94" xml:space="preserve"> _xlfn.LET(_xlpm._arr, $E$15:L$15, L26 / SUMPRODUCT(--NOT(ISERROR(_xlpm._arr)) * --NOT(ISBLANK(_xlpm._arr)) * --(IFERROR($E$15:L$15, 0) &lt;&gt; 0)))</f>
        <v>48.5</v>
      </c>
      <c r="M94" s="18" cm="1">
        <f t="array" ref="M94" xml:space="preserve"> _xlfn.LET(_xlpm._arr, $E$15:M$15, M26 / SUMPRODUCT(--NOT(ISERROR(_xlpm._arr)) * --NOT(ISBLANK(_xlpm._arr)) * --(IFERROR($E$15:M$15, 0) &lt;&gt; 0)))</f>
        <v>51.857142857142854</v>
      </c>
      <c r="N94" s="18" cm="1">
        <f t="array" ref="N94" xml:space="preserve"> _xlfn.LET(_xlpm._arr, $E$15:N$15, N26 / SUMPRODUCT(--NOT(ISERROR(_xlpm._arr)) * --NOT(ISBLANK(_xlpm._arr)) * --(IFERROR($E$15:N$15, 0) &lt;&gt; 0)))</f>
        <v>46.5</v>
      </c>
      <c r="O94" s="18" cm="1">
        <f t="array" ref="O94" xml:space="preserve"> _xlfn.LET(_xlpm._arr, $E$15:O$15, O26 / SUMPRODUCT(--NOT(ISERROR(_xlpm._arr)) * --NOT(ISBLANK(_xlpm._arr)) * --(IFERROR($E$15:O$15, 0) &lt;&gt; 0)))</f>
        <v>47.666666666666664</v>
      </c>
      <c r="P94" s="18" cm="1">
        <f t="array" ref="P94" xml:space="preserve"> _xlfn.LET(_xlpm._arr, $E$15:P$15, P26 / SUMPRODUCT(--NOT(ISERROR(_xlpm._arr)) * --NOT(ISBLANK(_xlpm._arr)) * --(IFERROR($E$15:P$15, 0) &lt;&gt; 0)))</f>
        <v>47.666666666666664</v>
      </c>
      <c r="Q94" s="18" cm="1">
        <f t="array" ref="Q94" xml:space="preserve"> _xlfn.LET(_xlpm._arr, $E$15:Q$15, Q26 / SUMPRODUCT(--NOT(ISERROR(_xlpm._arr)) * --NOT(ISBLANK(_xlpm._arr)) * --(IFERROR($E$15:Q$15, 0) &lt;&gt; 0)))</f>
        <v>49.3</v>
      </c>
      <c r="R94" s="18" cm="1">
        <f t="array" ref="R94" xml:space="preserve"> _xlfn.LET(_xlpm._arr, $E$15:R$15, R26 / SUMPRODUCT(--NOT(ISERROR(_xlpm._arr)) * --NOT(ISBLANK(_xlpm._arr)) * --(IFERROR($E$15:R$15, 0) &lt;&gt; 0)))</f>
        <v>53.727272727272727</v>
      </c>
      <c r="S94" s="18" cm="1">
        <f t="array" ref="S94" xml:space="preserve"> _xlfn.LET(_xlpm._arr, $E$15:S$15, S26 / SUMPRODUCT(--NOT(ISERROR(_xlpm._arr)) * --NOT(ISBLANK(_xlpm._arr)) * --(IFERROR($E$15:S$15, 0) &lt;&gt; 0)))</f>
        <v>50.083333333333336</v>
      </c>
      <c r="T94" s="18" cm="1">
        <f t="array" ref="T94" xml:space="preserve"> _xlfn.LET(_xlpm._arr, $E$15:T$15, T26 / SUMPRODUCT(--NOT(ISERROR(_xlpm._arr)) * --NOT(ISBLANK(_xlpm._arr)) * --(IFERROR($E$15:T$15, 0) &lt;&gt; 0)))</f>
        <v>50.083333333333336</v>
      </c>
      <c r="U94" s="18" cm="1">
        <f t="array" ref="U94" xml:space="preserve"> _xlfn.LET(_xlpm._arr, $E$15:U$15, U26 / SUMPRODUCT(--NOT(ISERROR(_xlpm._arr)) * --NOT(ISBLANK(_xlpm._arr)) * --(IFERROR($E$15:U$15, 0) &lt;&gt; 0)))</f>
        <v>53.307692307692307</v>
      </c>
      <c r="V94" s="18" cm="1">
        <f t="array" ref="V94" xml:space="preserve"> _xlfn.LET(_xlpm._arr, $E$15:V$15, V26 / SUMPRODUCT(--NOT(ISERROR(_xlpm._arr)) * --NOT(ISBLANK(_xlpm._arr)) * --(IFERROR($E$15:V$15, 0) &lt;&gt; 0)))</f>
        <v>55.071428571428569</v>
      </c>
      <c r="W94" s="18" cm="1">
        <f t="array" ref="W94" xml:space="preserve"> _xlfn.LET(_xlpm._arr, $E$15:W$15, W26 / SUMPRODUCT(--NOT(ISERROR(_xlpm._arr)) * --NOT(ISBLANK(_xlpm._arr)) * --(IFERROR($E$15:W$15, 0) &lt;&gt; 0)))</f>
        <v>55.071428571428569</v>
      </c>
      <c r="X94" s="18" cm="1">
        <f t="array" ref="X94" xml:space="preserve"> _xlfn.LET(_xlpm._arr, $E$15:X$15, X26 / SUMPRODUCT(--NOT(ISERROR(_xlpm._arr)) * --NOT(ISBLANK(_xlpm._arr)) * --(IFERROR($E$15:X$15, 0) &lt;&gt; 0)))</f>
        <v>52</v>
      </c>
      <c r="Y94" s="18" cm="1">
        <f t="array" ref="Y94" xml:space="preserve"> _xlfn.LET(_xlpm._arr, $E$15:Y$15, Y26 / SUMPRODUCT(--NOT(ISERROR(_xlpm._arr)) * --NOT(ISBLANK(_xlpm._arr)) * --(IFERROR($E$15:Y$15, 0) &lt;&gt; 0)))</f>
        <v>52.6875</v>
      </c>
      <c r="Z94" s="18" cm="1">
        <f t="array" ref="Z94" xml:space="preserve"> _xlfn.LET(_xlpm._arr, $E$15:Z$15, Z26 / SUMPRODUCT(--NOT(ISERROR(_xlpm._arr)) * --NOT(ISBLANK(_xlpm._arr)) * --(IFERROR($E$15:Z$15, 0) &lt;&gt; 0)))</f>
        <v>52.6875</v>
      </c>
      <c r="AA94" s="18" cm="1">
        <f t="array" ref="AA94" xml:space="preserve"> _xlfn.LET(_xlpm._arr, $E$15:AA$15, AA26 / SUMPRODUCT(--NOT(ISERROR(_xlpm._arr)) * --NOT(ISBLANK(_xlpm._arr)) * --(IFERROR($E$15:AA$15, 0) &lt;&gt; 0)))</f>
        <v>52.647058823529413</v>
      </c>
      <c r="AB94" s="18" cm="1">
        <f t="array" ref="AB94" xml:space="preserve"> _xlfn.LET(_xlpm._arr, $E$15:AB$15, AB26 / SUMPRODUCT(--NOT(ISERROR(_xlpm._arr)) * --NOT(ISBLANK(_xlpm._arr)) * --(IFERROR($E$15:AB$15, 0) &lt;&gt; 0)))</f>
        <v>55.277777777777779</v>
      </c>
    </row>
    <row r="96" spans="2:29" x14ac:dyDescent="0.3">
      <c r="C96" s="12" t="s">
        <v>13</v>
      </c>
    </row>
    <row r="97" spans="4:28" x14ac:dyDescent="0.3">
      <c r="D97" t="s">
        <v>15</v>
      </c>
    </row>
    <row r="98" spans="4:28" x14ac:dyDescent="0.3">
      <c r="E98" s="59" cm="1">
        <f t="array" ref="E98:AB98" xml:space="preserve"> _xlfn.LET(
  _xlpm._arr, E$13:AB$13,
  _xlpm._sum, _xlfn.SCAN(0, _xlpm._arr, _xlfn.LAMBDA(_xlpm._acc,_xlpm._val, _xlpm._acc + _xlpm._val)),
  _xlpm._cnt, _xlfn.SCAN(0, _xlpm._arr, _xlfn.LAMBDA(_xlpm._acc,_xlpm._val, _xlpm._acc + 1)),
  IF(_xlpm._cnt &lt;&gt; 0, _xlpm._sum / _xlpm._cnt, 0)
)</f>
        <v>25</v>
      </c>
      <c r="F98" s="18">
        <v>50</v>
      </c>
      <c r="G98" s="18">
        <v>46.333333333333336</v>
      </c>
      <c r="H98" s="18">
        <v>46.25</v>
      </c>
      <c r="I98" s="18">
        <v>50</v>
      </c>
      <c r="J98" s="18">
        <v>48.5</v>
      </c>
      <c r="K98" s="18">
        <v>47.142857142857146</v>
      </c>
      <c r="L98" s="18">
        <v>45.625</v>
      </c>
      <c r="M98" s="18">
        <v>48.555555555555557</v>
      </c>
      <c r="N98" s="18">
        <v>44.6</v>
      </c>
      <c r="O98" s="18">
        <v>45.727272727272727</v>
      </c>
      <c r="P98" s="18">
        <v>47.333333333333336</v>
      </c>
      <c r="Q98" s="18">
        <v>48.615384615384613</v>
      </c>
      <c r="R98" s="18">
        <v>52.142857142857146</v>
      </c>
      <c r="S98" s="18">
        <v>49.333333333333336</v>
      </c>
      <c r="T98" s="18">
        <v>46.75</v>
      </c>
      <c r="U98" s="18">
        <v>49.411764705882355</v>
      </c>
      <c r="V98" s="18">
        <v>51</v>
      </c>
      <c r="W98" s="18">
        <v>50.789473684210527</v>
      </c>
      <c r="X98" s="18">
        <v>48.7</v>
      </c>
      <c r="Y98" s="18">
        <v>49.38095238095238</v>
      </c>
      <c r="Z98" s="18">
        <v>50.363636363636367</v>
      </c>
      <c r="AA98" s="18">
        <v>50.434782608695649</v>
      </c>
      <c r="AB98" s="18">
        <v>52.5</v>
      </c>
    </row>
    <row r="99" spans="4:28" x14ac:dyDescent="0.3">
      <c r="E99" s="17" t="str" cm="1">
        <f t="array" aca="1" ref="E99:E104" ca="1" xml:space="preserve"> _xlfn.TEXTSPLIT( _xlfn.FORMULATEXT(E98), , CHAR(10))</f>
        <v>= LET(</v>
      </c>
    </row>
    <row r="100" spans="4:28" x14ac:dyDescent="0.3">
      <c r="E100" s="17" t="str">
        <f ca="1"/>
        <v xml:space="preserve">  _arr, E$13:AB$13,</v>
      </c>
    </row>
    <row r="101" spans="4:28" x14ac:dyDescent="0.3">
      <c r="E101" s="17" t="str">
        <f ca="1"/>
        <v xml:space="preserve">  _sum, SCAN(0, _arr, LAMBDA(_acc,_val, _acc + _val)),</v>
      </c>
    </row>
    <row r="102" spans="4:28" x14ac:dyDescent="0.3">
      <c r="E102" s="17" t="str">
        <f ca="1"/>
        <v xml:space="preserve">  _cnt, SCAN(0, _arr, LAMBDA(_acc,_val, _acc + 1)),</v>
      </c>
    </row>
    <row r="103" spans="4:28" x14ac:dyDescent="0.3">
      <c r="E103" s="17" t="str">
        <f ca="1"/>
        <v xml:space="preserve">  IF(_cnt &lt;&gt; 0, _sum / _cnt, 0)</v>
      </c>
    </row>
    <row r="104" spans="4:28" x14ac:dyDescent="0.3">
      <c r="E104" s="17" t="str">
        <f ca="1"/>
        <v>)</v>
      </c>
    </row>
    <row r="106" spans="4:28" x14ac:dyDescent="0.3">
      <c r="D106" t="s">
        <v>16</v>
      </c>
    </row>
    <row r="107" spans="4:28" x14ac:dyDescent="0.3">
      <c r="E107" s="59" cm="1">
        <f t="array" ref="E107:AB107" xml:space="preserve"> _xlfn.LET(
  _xlpm._arr, E$14:AB$14,
  _xlpm._sum, _xlfn.SCAN(0, _xlpm._arr, _xlfn.LAMBDA(_xlpm._acc,_xlpm._val, _xlpm._acc + IF(AND(NOT(ISERROR(_xlpm._val)), NOT(ISBLANK(_xlpm._val))), _xlpm._val, 0))),
  _xlpm._cnt, _xlfn.SCAN(0, _xlpm._arr, _xlfn.LAMBDA(_xlpm._acc,_xlpm._val, _xlpm._acc + IF(AND(NOT(ISERROR(_xlpm._val)), NOT(ISBLANK(_xlpm._val))), 1, 0))),
  IF(_xlpm._cnt &lt;&gt; 0, _xlpm._sum / _xlpm._cnt, 0)
)</f>
        <v>25</v>
      </c>
      <c r="F107" s="18">
        <v>50</v>
      </c>
      <c r="G107" s="18">
        <v>33.333333333333336</v>
      </c>
      <c r="H107" s="18">
        <v>36.5</v>
      </c>
      <c r="I107" s="18">
        <v>42.2</v>
      </c>
      <c r="J107" s="18">
        <v>42</v>
      </c>
      <c r="K107" s="18">
        <v>41.571428571428569</v>
      </c>
      <c r="L107" s="18">
        <v>41.571428571428569</v>
      </c>
      <c r="M107" s="18">
        <v>45.375</v>
      </c>
      <c r="N107" s="18">
        <v>41.333333333333336</v>
      </c>
      <c r="O107" s="18">
        <v>42.9</v>
      </c>
      <c r="P107" s="18">
        <v>42.9</v>
      </c>
      <c r="Q107" s="18">
        <v>44.81818181818182</v>
      </c>
      <c r="R107" s="18">
        <v>49.25</v>
      </c>
      <c r="S107" s="18">
        <v>46.230769230769234</v>
      </c>
      <c r="T107" s="18">
        <v>42.928571428571431</v>
      </c>
      <c r="U107" s="18">
        <v>46.2</v>
      </c>
      <c r="V107" s="18">
        <v>48.1875</v>
      </c>
      <c r="W107" s="18">
        <v>48.1875</v>
      </c>
      <c r="X107" s="18">
        <v>45.882352941176471</v>
      </c>
      <c r="Y107" s="18">
        <v>46.833333333333336</v>
      </c>
      <c r="Z107" s="18">
        <v>46.833333333333336</v>
      </c>
      <c r="AA107" s="18">
        <v>47.10526315789474</v>
      </c>
      <c r="AB107" s="18">
        <v>49.75</v>
      </c>
    </row>
    <row r="108" spans="4:28" x14ac:dyDescent="0.3">
      <c r="E108" s="17" t="str" cm="1">
        <f t="array" aca="1" ref="E108:E113" ca="1" xml:space="preserve"> _xlfn.TEXTSPLIT( _xlfn.FORMULATEXT(E107), , CHAR(10))</f>
        <v>= LET(</v>
      </c>
    </row>
    <row r="109" spans="4:28" x14ac:dyDescent="0.3">
      <c r="E109" s="17" t="str">
        <f ca="1"/>
        <v xml:space="preserve">  _arr, E$14:AB$14,</v>
      </c>
    </row>
    <row r="110" spans="4:28" x14ac:dyDescent="0.3">
      <c r="E110" s="17" t="str">
        <f ca="1"/>
        <v xml:space="preserve">  _sum, SCAN(0, _arr, LAMBDA(_acc,_val, _acc + IF(AND(NOT(ISERROR(_val)), NOT(ISBLANK(_val))), _val, 0))),</v>
      </c>
    </row>
    <row r="111" spans="4:28" x14ac:dyDescent="0.3">
      <c r="E111" s="17" t="str">
        <f ca="1"/>
        <v xml:space="preserve">  _cnt, SCAN(0, _arr, LAMBDA(_acc,_val, _acc + IF(AND(NOT(ISERROR(_val)), NOT(ISBLANK(_val))), 1, 0))),</v>
      </c>
    </row>
    <row r="112" spans="4:28" x14ac:dyDescent="0.3">
      <c r="E112" s="17" t="str">
        <f ca="1"/>
        <v xml:space="preserve">  IF(_cnt &lt;&gt; 0, _sum / _cnt, 0)</v>
      </c>
    </row>
    <row r="113" spans="2:29" x14ac:dyDescent="0.3">
      <c r="E113" s="17" t="str">
        <f ca="1"/>
        <v>)</v>
      </c>
    </row>
    <row r="115" spans="2:29" x14ac:dyDescent="0.3">
      <c r="D115" t="s">
        <v>17</v>
      </c>
    </row>
    <row r="116" spans="2:29" x14ac:dyDescent="0.3">
      <c r="E116" s="59" cm="1">
        <f t="array" ref="E116:AB116" xml:space="preserve"> _xlfn.LET(
  _xlpm._arr, E$15:AB$15,
  _xlpm._sum, _xlfn.SCAN(0, _xlpm._arr, _xlfn.LAMBDA(_xlpm._acc,_xlpm._val, _xlpm._acc + IF(AND(NOT(ISERROR(_xlpm._val)), NOT(ISBLANK(_xlpm._val)), IFERROR(_xlpm._val, 0) &lt;&gt; 0), _xlpm._val, 0))),
  _xlpm._cnt, _xlfn.SCAN(0, _xlpm._arr, _xlfn.LAMBDA(_xlpm._acc,_xlpm._val, _xlpm._acc + IF(AND(NOT(ISERROR(_xlpm._val)), NOT(ISBLANK(_xlpm._val)), IFERROR(_xlpm._val, 0) &lt;&gt; 0), 1, 0))),
  IF(_xlpm._cnt &lt;&gt; 0, _xlpm._sum / _xlpm._cnt, 0)
)</f>
        <v>25</v>
      </c>
      <c r="F116" s="18">
        <v>50</v>
      </c>
      <c r="G116" s="18">
        <v>50</v>
      </c>
      <c r="H116" s="18">
        <v>48.666666666666664</v>
      </c>
      <c r="I116" s="18">
        <v>52.75</v>
      </c>
      <c r="J116" s="18">
        <v>50.4</v>
      </c>
      <c r="K116" s="18">
        <v>48.5</v>
      </c>
      <c r="L116" s="18">
        <v>48.5</v>
      </c>
      <c r="M116" s="18">
        <v>51.857142857142854</v>
      </c>
      <c r="N116" s="18">
        <v>46.5</v>
      </c>
      <c r="O116" s="18">
        <v>47.666666666666664</v>
      </c>
      <c r="P116" s="18">
        <v>47.666666666666664</v>
      </c>
      <c r="Q116" s="18">
        <v>49.3</v>
      </c>
      <c r="R116" s="18">
        <v>53.727272727272727</v>
      </c>
      <c r="S116" s="18">
        <v>50.083333333333336</v>
      </c>
      <c r="T116" s="18">
        <v>50.083333333333336</v>
      </c>
      <c r="U116" s="18">
        <v>53.307692307692307</v>
      </c>
      <c r="V116" s="18">
        <v>55.071428571428569</v>
      </c>
      <c r="W116" s="18">
        <v>55.071428571428569</v>
      </c>
      <c r="X116" s="18">
        <v>52</v>
      </c>
      <c r="Y116" s="18">
        <v>52.6875</v>
      </c>
      <c r="Z116" s="18">
        <v>52.6875</v>
      </c>
      <c r="AA116" s="18">
        <v>52.647058823529413</v>
      </c>
      <c r="AB116" s="18">
        <v>55.277777777777779</v>
      </c>
    </row>
    <row r="117" spans="2:29" x14ac:dyDescent="0.3">
      <c r="E117" s="17" t="str" cm="1">
        <f t="array" aca="1" ref="E117:E122" ca="1" xml:space="preserve"> _xlfn.TEXTSPLIT( _xlfn.FORMULATEXT(E116), , CHAR(10))</f>
        <v>= LET(</v>
      </c>
    </row>
    <row r="118" spans="2:29" x14ac:dyDescent="0.3">
      <c r="E118" s="17" t="str">
        <f ca="1"/>
        <v xml:space="preserve">  _arr, E$15:AB$15,</v>
      </c>
    </row>
    <row r="119" spans="2:29" x14ac:dyDescent="0.3">
      <c r="E119" s="17" t="str">
        <f ca="1"/>
        <v xml:space="preserve">  _sum, SCAN(0, _arr, LAMBDA(_acc,_val, _acc + IF(AND(NOT(ISERROR(_val)), NOT(ISBLANK(_val)), IFERROR(_val, 0) &lt;&gt; 0), _val, 0))),</v>
      </c>
    </row>
    <row r="120" spans="2:29" x14ac:dyDescent="0.3">
      <c r="E120" s="17" t="str">
        <f ca="1"/>
        <v xml:space="preserve">  _cnt, SCAN(0, _arr, LAMBDA(_acc,_val, _acc + IF(AND(NOT(ISERROR(_val)), NOT(ISBLANK(_val)), IFERROR(_val, 0) &lt;&gt; 0), 1, 0))),</v>
      </c>
    </row>
    <row r="121" spans="2:29" x14ac:dyDescent="0.3">
      <c r="E121" s="17" t="str">
        <f ca="1"/>
        <v xml:space="preserve">  IF(_cnt &lt;&gt; 0, _sum / _cnt, 0)</v>
      </c>
    </row>
    <row r="122" spans="2:29" x14ac:dyDescent="0.3">
      <c r="E122" s="17" t="str">
        <f ca="1"/>
        <v>)</v>
      </c>
    </row>
    <row r="125" spans="2:29" x14ac:dyDescent="0.3">
      <c r="B125" s="11" t="s">
        <v>172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7" spans="2:29" x14ac:dyDescent="0.3">
      <c r="C127" s="12" t="s">
        <v>12</v>
      </c>
    </row>
    <row r="128" spans="2:29" x14ac:dyDescent="0.3">
      <c r="D128" t="s">
        <v>14</v>
      </c>
    </row>
    <row r="129" spans="3:28" x14ac:dyDescent="0.3">
      <c r="D129" s="19"/>
      <c r="E129" s="16">
        <f xml:space="preserve"> IF(E$12 = 1, E$13, MIN(E$13, D129))</f>
        <v>25</v>
      </c>
      <c r="F129" s="16">
        <f t="shared" ref="F129:AB129" si="5" xml:space="preserve"> IF(F$12 = 1, F$13, MIN(F$13, E129))</f>
        <v>25</v>
      </c>
      <c r="G129" s="16">
        <f t="shared" si="5"/>
        <v>25</v>
      </c>
      <c r="H129" s="16">
        <f t="shared" si="5"/>
        <v>25</v>
      </c>
      <c r="I129" s="16">
        <f t="shared" si="5"/>
        <v>25</v>
      </c>
      <c r="J129" s="16">
        <f t="shared" si="5"/>
        <v>25</v>
      </c>
      <c r="K129" s="16">
        <f t="shared" si="5"/>
        <v>25</v>
      </c>
      <c r="L129" s="16">
        <f t="shared" si="5"/>
        <v>25</v>
      </c>
      <c r="M129" s="16">
        <f t="shared" si="5"/>
        <v>25</v>
      </c>
      <c r="N129" s="16">
        <f t="shared" si="5"/>
        <v>9</v>
      </c>
      <c r="O129" s="16">
        <f t="shared" si="5"/>
        <v>9</v>
      </c>
      <c r="P129" s="16">
        <f t="shared" si="5"/>
        <v>9</v>
      </c>
      <c r="Q129" s="16">
        <f t="shared" si="5"/>
        <v>9</v>
      </c>
      <c r="R129" s="16">
        <f t="shared" si="5"/>
        <v>9</v>
      </c>
      <c r="S129" s="16">
        <f t="shared" si="5"/>
        <v>9</v>
      </c>
      <c r="T129" s="16">
        <f t="shared" si="5"/>
        <v>8</v>
      </c>
      <c r="U129" s="16">
        <f t="shared" si="5"/>
        <v>8</v>
      </c>
      <c r="V129" s="16">
        <f t="shared" si="5"/>
        <v>8</v>
      </c>
      <c r="W129" s="16">
        <f t="shared" si="5"/>
        <v>8</v>
      </c>
      <c r="X129" s="16">
        <f t="shared" si="5"/>
        <v>8</v>
      </c>
      <c r="Y129" s="16">
        <f t="shared" si="5"/>
        <v>8</v>
      </c>
      <c r="Z129" s="16">
        <f t="shared" si="5"/>
        <v>8</v>
      </c>
      <c r="AA129" s="16">
        <f t="shared" si="5"/>
        <v>8</v>
      </c>
      <c r="AB129" s="16">
        <f t="shared" si="5"/>
        <v>8</v>
      </c>
    </row>
    <row r="130" spans="3:28" x14ac:dyDescent="0.3">
      <c r="D130" s="19"/>
      <c r="E130" s="16">
        <f xml:space="preserve"> IF(E$12 = 1, E$14, IF( AND( NOT(ISERROR(E$14)), NOT(ISBLANK(E$14))), MIN(E$14, D130), D130))</f>
        <v>25</v>
      </c>
      <c r="F130" s="16">
        <f t="shared" ref="F130:AB130" si="6" xml:space="preserve"> IF(F$12 = 1, F$14, IF( AND( NOT(ISERROR(F$14)), NOT(ISBLANK(F$14))), MIN(F$14, E130), E130))</f>
        <v>25</v>
      </c>
      <c r="G130" s="16">
        <f t="shared" si="6"/>
        <v>0</v>
      </c>
      <c r="H130" s="16">
        <f t="shared" si="6"/>
        <v>0</v>
      </c>
      <c r="I130" s="16">
        <f t="shared" si="6"/>
        <v>0</v>
      </c>
      <c r="J130" s="16">
        <f t="shared" si="6"/>
        <v>0</v>
      </c>
      <c r="K130" s="16">
        <f t="shared" si="6"/>
        <v>0</v>
      </c>
      <c r="L130" s="16">
        <f t="shared" si="6"/>
        <v>0</v>
      </c>
      <c r="M130" s="16">
        <f t="shared" si="6"/>
        <v>0</v>
      </c>
      <c r="N130" s="16">
        <f t="shared" si="6"/>
        <v>0</v>
      </c>
      <c r="O130" s="16">
        <f t="shared" si="6"/>
        <v>0</v>
      </c>
      <c r="P130" s="16">
        <f t="shared" si="6"/>
        <v>0</v>
      </c>
      <c r="Q130" s="16">
        <f t="shared" si="6"/>
        <v>0</v>
      </c>
      <c r="R130" s="16">
        <f t="shared" si="6"/>
        <v>0</v>
      </c>
      <c r="S130" s="16">
        <f t="shared" si="6"/>
        <v>0</v>
      </c>
      <c r="T130" s="16">
        <f t="shared" si="6"/>
        <v>0</v>
      </c>
      <c r="U130" s="16">
        <f t="shared" si="6"/>
        <v>0</v>
      </c>
      <c r="V130" s="16">
        <f t="shared" si="6"/>
        <v>0</v>
      </c>
      <c r="W130" s="16">
        <f t="shared" si="6"/>
        <v>0</v>
      </c>
      <c r="X130" s="16">
        <f t="shared" si="6"/>
        <v>0</v>
      </c>
      <c r="Y130" s="16">
        <f t="shared" si="6"/>
        <v>0</v>
      </c>
      <c r="Z130" s="16">
        <f t="shared" si="6"/>
        <v>0</v>
      </c>
      <c r="AA130" s="16">
        <f t="shared" si="6"/>
        <v>0</v>
      </c>
      <c r="AB130" s="16">
        <f t="shared" si="6"/>
        <v>0</v>
      </c>
    </row>
    <row r="131" spans="3:28" x14ac:dyDescent="0.3">
      <c r="D131" s="19"/>
      <c r="E131" s="16">
        <f xml:space="preserve"> IF(E$12 = 1, E$15, IF( AND( NOT(ISERROR(E$15)), NOT(ISBLANK(E$15)), IFERROR(E$15, 0) &lt;&gt; 0), MIN(E$15, D131), D131))</f>
        <v>25</v>
      </c>
      <c r="F131" s="16">
        <f t="shared" ref="F131:AB131" si="7" xml:space="preserve"> IF(F$12 = 1, F$15, IF( AND( NOT(ISERROR(F$15)), NOT(ISBLANK(F$15)), IFERROR(F$15, 0) &lt;&gt; 0), MIN(F$15, E131), E131))</f>
        <v>25</v>
      </c>
      <c r="G131" s="16">
        <f t="shared" si="7"/>
        <v>25</v>
      </c>
      <c r="H131" s="16">
        <f t="shared" si="7"/>
        <v>25</v>
      </c>
      <c r="I131" s="16">
        <f t="shared" si="7"/>
        <v>25</v>
      </c>
      <c r="J131" s="16">
        <f t="shared" si="7"/>
        <v>25</v>
      </c>
      <c r="K131" s="16">
        <f t="shared" si="7"/>
        <v>25</v>
      </c>
      <c r="L131" s="16">
        <f t="shared" si="7"/>
        <v>25</v>
      </c>
      <c r="M131" s="16">
        <f t="shared" si="7"/>
        <v>25</v>
      </c>
      <c r="N131" s="16">
        <f t="shared" si="7"/>
        <v>9</v>
      </c>
      <c r="O131" s="16">
        <f t="shared" si="7"/>
        <v>9</v>
      </c>
      <c r="P131" s="16">
        <f t="shared" si="7"/>
        <v>9</v>
      </c>
      <c r="Q131" s="16">
        <f t="shared" si="7"/>
        <v>9</v>
      </c>
      <c r="R131" s="16">
        <f t="shared" si="7"/>
        <v>9</v>
      </c>
      <c r="S131" s="16">
        <f t="shared" si="7"/>
        <v>9</v>
      </c>
      <c r="T131" s="16">
        <f t="shared" si="7"/>
        <v>9</v>
      </c>
      <c r="U131" s="16">
        <f t="shared" si="7"/>
        <v>9</v>
      </c>
      <c r="V131" s="16">
        <f t="shared" si="7"/>
        <v>9</v>
      </c>
      <c r="W131" s="16">
        <f t="shared" si="7"/>
        <v>9</v>
      </c>
      <c r="X131" s="16">
        <f t="shared" si="7"/>
        <v>9</v>
      </c>
      <c r="Y131" s="16">
        <f t="shared" si="7"/>
        <v>9</v>
      </c>
      <c r="Z131" s="16">
        <f t="shared" si="7"/>
        <v>9</v>
      </c>
      <c r="AA131" s="16">
        <f t="shared" si="7"/>
        <v>9</v>
      </c>
      <c r="AB131" s="16">
        <f t="shared" si="7"/>
        <v>9</v>
      </c>
    </row>
    <row r="133" spans="3:28" x14ac:dyDescent="0.3">
      <c r="C133" s="12" t="s">
        <v>13</v>
      </c>
    </row>
    <row r="134" spans="3:28" x14ac:dyDescent="0.3">
      <c r="D134" t="s">
        <v>9</v>
      </c>
    </row>
    <row r="135" spans="3:28" x14ac:dyDescent="0.3">
      <c r="E135" s="58" cm="1">
        <f t="array" ref="E135:AB135" xml:space="preserve"> _xlfn.LET(
  _xlpm._arr, E$13:AB$13,
  _xlpm._min, _xlfn.SCAN( INDEX(_xlpm._arr, 1, 1), _xlpm._arr, _xlfn.LAMBDA(_xlpm._acc,_xlpm._val, MIN(_xlpm._acc, _xlpm._val))),
  _xlpm._min
)</f>
        <v>25</v>
      </c>
      <c r="F135" s="16">
        <v>25</v>
      </c>
      <c r="G135" s="16">
        <v>25</v>
      </c>
      <c r="H135" s="16">
        <v>25</v>
      </c>
      <c r="I135" s="16">
        <v>25</v>
      </c>
      <c r="J135" s="16">
        <v>25</v>
      </c>
      <c r="K135" s="16">
        <v>25</v>
      </c>
      <c r="L135" s="16">
        <v>25</v>
      </c>
      <c r="M135" s="16">
        <v>25</v>
      </c>
      <c r="N135" s="16">
        <v>9</v>
      </c>
      <c r="O135" s="16">
        <v>9</v>
      </c>
      <c r="P135" s="16">
        <v>9</v>
      </c>
      <c r="Q135" s="16">
        <v>9</v>
      </c>
      <c r="R135" s="16">
        <v>9</v>
      </c>
      <c r="S135" s="16">
        <v>9</v>
      </c>
      <c r="T135" s="16">
        <v>8</v>
      </c>
      <c r="U135" s="16">
        <v>8</v>
      </c>
      <c r="V135" s="16">
        <v>8</v>
      </c>
      <c r="W135" s="16">
        <v>8</v>
      </c>
      <c r="X135" s="16">
        <v>8</v>
      </c>
      <c r="Y135" s="16">
        <v>8</v>
      </c>
      <c r="Z135" s="16">
        <v>8</v>
      </c>
      <c r="AA135" s="16">
        <v>8</v>
      </c>
      <c r="AB135" s="16">
        <v>8</v>
      </c>
    </row>
    <row r="136" spans="3:28" x14ac:dyDescent="0.3">
      <c r="E136" s="17" t="str" cm="1">
        <f t="array" aca="1" ref="E136:E140" ca="1" xml:space="preserve"> _xlfn.TEXTSPLIT( _xlfn.FORMULATEXT(E135), , CHAR(10))</f>
        <v>= LET(</v>
      </c>
    </row>
    <row r="137" spans="3:28" x14ac:dyDescent="0.3">
      <c r="E137" s="17" t="str">
        <f ca="1"/>
        <v xml:space="preserve">  _arr, E$13:AB$13,</v>
      </c>
    </row>
    <row r="138" spans="3:28" x14ac:dyDescent="0.3">
      <c r="E138" s="17" t="str">
        <f ca="1"/>
        <v xml:space="preserve">  _min, SCAN( INDEX(_arr, 1, 1), _arr, LAMBDA(_acc,_val, MIN(_acc, _val))),</v>
      </c>
    </row>
    <row r="139" spans="3:28" x14ac:dyDescent="0.3">
      <c r="E139" s="17" t="str">
        <f ca="1"/>
        <v xml:space="preserve">  _min</v>
      </c>
    </row>
    <row r="140" spans="3:28" x14ac:dyDescent="0.3">
      <c r="E140" s="17" t="str">
        <f ca="1"/>
        <v>)</v>
      </c>
    </row>
    <row r="142" spans="3:28" x14ac:dyDescent="0.3">
      <c r="D142" t="s">
        <v>19</v>
      </c>
    </row>
    <row r="143" spans="3:28" x14ac:dyDescent="0.3">
      <c r="E143" s="58" cm="1">
        <f t="array" ref="E143:AB143" xml:space="preserve"> _xlfn.LET(
  _xlpm._arr, E$14:AB$14,
  _xlpm._min, _xlfn.SCAN( INDEX(_xlpm._arr, 1, 1), _xlpm._arr, _xlfn.LAMBDA(_xlpm._acc,_xlpm._val, IF( AND( NOT(ISERROR(_xlpm._val)), NOT(ISBLANK(_xlpm._val))), MIN(_xlpm._acc, _xlpm._val), _xlpm._acc))),
  _xlpm._min
)</f>
        <v>25</v>
      </c>
      <c r="F143" s="16">
        <v>25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</row>
    <row r="144" spans="3:28" x14ac:dyDescent="0.3">
      <c r="E144" s="17" t="str" cm="1">
        <f t="array" aca="1" ref="E144:E148" ca="1" xml:space="preserve"> _xlfn.TEXTSPLIT( _xlfn.FORMULATEXT(E143), , CHAR(10))</f>
        <v>= LET(</v>
      </c>
    </row>
    <row r="145" spans="2:29" x14ac:dyDescent="0.3">
      <c r="E145" s="17" t="str">
        <f ca="1"/>
        <v xml:space="preserve">  _arr, E$14:AB$14,</v>
      </c>
    </row>
    <row r="146" spans="2:29" x14ac:dyDescent="0.3">
      <c r="E146" s="17" t="str">
        <f ca="1"/>
        <v xml:space="preserve">  _min, SCAN( INDEX(_arr, 1, 1), _arr, LAMBDA(_acc,_val, IF( AND( NOT(ISERROR(_val)), NOT(ISBLANK(_val))), MIN(_acc, _val), _acc))),</v>
      </c>
    </row>
    <row r="147" spans="2:29" x14ac:dyDescent="0.3">
      <c r="E147" s="17" t="str">
        <f ca="1"/>
        <v xml:space="preserve">  _min</v>
      </c>
    </row>
    <row r="148" spans="2:29" x14ac:dyDescent="0.3">
      <c r="E148" s="17" t="str">
        <f ca="1"/>
        <v>)</v>
      </c>
    </row>
    <row r="150" spans="2:29" x14ac:dyDescent="0.3">
      <c r="D150" t="s">
        <v>18</v>
      </c>
    </row>
    <row r="151" spans="2:29" x14ac:dyDescent="0.3">
      <c r="E151" s="58" cm="1">
        <f t="array" ref="E151:AB151" xml:space="preserve"> _xlfn.LET(
  _xlpm._arr, E$15:AB$15,
  _xlpm._min, _xlfn.SCAN( INDEX(_xlpm._arr, 1, 1), _xlpm._arr, _xlfn.LAMBDA(_xlpm._acc,_xlpm._val, IF( AND( NOT(ISERROR(_xlpm._val)), NOT(ISBLANK(_xlpm._val)), IFERROR(_xlpm._val, 0) &lt;&gt; 0), MIN(_xlpm._acc, _xlpm._val), _xlpm._acc))),
  _xlpm._min
)</f>
        <v>25</v>
      </c>
      <c r="F151" s="16">
        <v>25</v>
      </c>
      <c r="G151" s="16">
        <v>25</v>
      </c>
      <c r="H151" s="16">
        <v>25</v>
      </c>
      <c r="I151" s="16">
        <v>25</v>
      </c>
      <c r="J151" s="16">
        <v>25</v>
      </c>
      <c r="K151" s="16">
        <v>25</v>
      </c>
      <c r="L151" s="16">
        <v>25</v>
      </c>
      <c r="M151" s="16">
        <v>25</v>
      </c>
      <c r="N151" s="16">
        <v>9</v>
      </c>
      <c r="O151" s="16">
        <v>9</v>
      </c>
      <c r="P151" s="16">
        <v>9</v>
      </c>
      <c r="Q151" s="16">
        <v>9</v>
      </c>
      <c r="R151" s="16">
        <v>9</v>
      </c>
      <c r="S151" s="16">
        <v>9</v>
      </c>
      <c r="T151" s="16">
        <v>9</v>
      </c>
      <c r="U151" s="16">
        <v>9</v>
      </c>
      <c r="V151" s="16">
        <v>9</v>
      </c>
      <c r="W151" s="16">
        <v>9</v>
      </c>
      <c r="X151" s="16">
        <v>9</v>
      </c>
      <c r="Y151" s="16">
        <v>9</v>
      </c>
      <c r="Z151" s="16">
        <v>9</v>
      </c>
      <c r="AA151" s="16">
        <v>9</v>
      </c>
      <c r="AB151" s="16">
        <v>9</v>
      </c>
    </row>
    <row r="152" spans="2:29" x14ac:dyDescent="0.3">
      <c r="E152" s="17" t="str" cm="1">
        <f t="array" aca="1" ref="E152:E156" ca="1" xml:space="preserve"> _xlfn.TEXTSPLIT( _xlfn.FORMULATEXT(E151), , CHAR(10))</f>
        <v>= LET(</v>
      </c>
    </row>
    <row r="153" spans="2:29" x14ac:dyDescent="0.3">
      <c r="E153" s="17" t="str">
        <f ca="1"/>
        <v xml:space="preserve">  _arr, E$15:AB$15,</v>
      </c>
    </row>
    <row r="154" spans="2:29" x14ac:dyDescent="0.3">
      <c r="E154" s="17" t="str">
        <f ca="1"/>
        <v xml:space="preserve">  _min, SCAN( INDEX(_arr, 1, 1), _arr, LAMBDA(_acc,_val, IF( AND( NOT(ISERROR(_val)), NOT(ISBLANK(_val)), IFERROR(_val, 0) &lt;&gt; 0), MIN(_acc, _val), _acc))),</v>
      </c>
    </row>
    <row r="155" spans="2:29" x14ac:dyDescent="0.3">
      <c r="E155" s="17" t="str">
        <f ca="1"/>
        <v xml:space="preserve">  _min</v>
      </c>
    </row>
    <row r="156" spans="2:29" x14ac:dyDescent="0.3">
      <c r="E156" s="17" t="str">
        <f ca="1"/>
        <v>)</v>
      </c>
    </row>
    <row r="159" spans="2:29" x14ac:dyDescent="0.3">
      <c r="B159" s="11" t="s">
        <v>173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1" spans="3:28" x14ac:dyDescent="0.3">
      <c r="C161" s="12" t="s">
        <v>12</v>
      </c>
    </row>
    <row r="162" spans="3:28" x14ac:dyDescent="0.3">
      <c r="D162" t="s">
        <v>14</v>
      </c>
    </row>
    <row r="163" spans="3:28" x14ac:dyDescent="0.3">
      <c r="D163" s="19"/>
      <c r="E163" s="16">
        <f xml:space="preserve"> IF(E$12 = 1, E$13, MAX(E$13, D163))</f>
        <v>25</v>
      </c>
      <c r="F163" s="16">
        <f t="shared" ref="F163:AB163" si="8" xml:space="preserve"> IF(F$12 = 1, F$13, MAX(F$13, E163))</f>
        <v>75</v>
      </c>
      <c r="G163" s="16">
        <f t="shared" si="8"/>
        <v>75</v>
      </c>
      <c r="H163" s="16">
        <f t="shared" si="8"/>
        <v>75</v>
      </c>
      <c r="I163" s="16">
        <f t="shared" si="8"/>
        <v>75</v>
      </c>
      <c r="J163" s="16">
        <f t="shared" si="8"/>
        <v>75</v>
      </c>
      <c r="K163" s="16">
        <f t="shared" si="8"/>
        <v>75</v>
      </c>
      <c r="L163" s="16">
        <f t="shared" si="8"/>
        <v>75</v>
      </c>
      <c r="M163" s="16">
        <f t="shared" si="8"/>
        <v>75</v>
      </c>
      <c r="N163" s="16">
        <f t="shared" si="8"/>
        <v>75</v>
      </c>
      <c r="O163" s="16">
        <f t="shared" si="8"/>
        <v>75</v>
      </c>
      <c r="P163" s="16">
        <f t="shared" si="8"/>
        <v>75</v>
      </c>
      <c r="Q163" s="16">
        <f t="shared" si="8"/>
        <v>75</v>
      </c>
      <c r="R163" s="16">
        <f t="shared" si="8"/>
        <v>98</v>
      </c>
      <c r="S163" s="16">
        <f t="shared" si="8"/>
        <v>98</v>
      </c>
      <c r="T163" s="16">
        <f t="shared" si="8"/>
        <v>98</v>
      </c>
      <c r="U163" s="16">
        <f t="shared" si="8"/>
        <v>98</v>
      </c>
      <c r="V163" s="16">
        <f t="shared" si="8"/>
        <v>98</v>
      </c>
      <c r="W163" s="16">
        <f t="shared" si="8"/>
        <v>98</v>
      </c>
      <c r="X163" s="16">
        <f t="shared" si="8"/>
        <v>98</v>
      </c>
      <c r="Y163" s="16">
        <f t="shared" si="8"/>
        <v>98</v>
      </c>
      <c r="Z163" s="16">
        <f t="shared" si="8"/>
        <v>98</v>
      </c>
      <c r="AA163" s="16">
        <f t="shared" si="8"/>
        <v>98</v>
      </c>
      <c r="AB163" s="16">
        <f t="shared" si="8"/>
        <v>100</v>
      </c>
    </row>
    <row r="164" spans="3:28" x14ac:dyDescent="0.3">
      <c r="D164" s="19"/>
      <c r="E164" s="16">
        <f xml:space="preserve"> IF(E$12 = 1, E$14, IF( AND( NOT(ISERROR(E$14)), NOT(ISBLANK(E$14))), MAX(E$14, D164), D164))</f>
        <v>25</v>
      </c>
      <c r="F164" s="16">
        <f t="shared" ref="F164:AB164" si="9" xml:space="preserve"> IF(F$12 = 1, F$14, IF( AND( NOT(ISERROR(F$14)), NOT(ISBLANK(F$14))), MAX(F$14, E164), E164))</f>
        <v>75</v>
      </c>
      <c r="G164" s="16">
        <f t="shared" si="9"/>
        <v>75</v>
      </c>
      <c r="H164" s="16">
        <f t="shared" si="9"/>
        <v>75</v>
      </c>
      <c r="I164" s="16">
        <f t="shared" si="9"/>
        <v>75</v>
      </c>
      <c r="J164" s="16">
        <f t="shared" si="9"/>
        <v>75</v>
      </c>
      <c r="K164" s="16">
        <f t="shared" si="9"/>
        <v>75</v>
      </c>
      <c r="L164" s="16">
        <f t="shared" si="9"/>
        <v>75</v>
      </c>
      <c r="M164" s="16">
        <f t="shared" si="9"/>
        <v>75</v>
      </c>
      <c r="N164" s="16">
        <f t="shared" si="9"/>
        <v>75</v>
      </c>
      <c r="O164" s="16">
        <f t="shared" si="9"/>
        <v>75</v>
      </c>
      <c r="P164" s="16">
        <f t="shared" si="9"/>
        <v>75</v>
      </c>
      <c r="Q164" s="16">
        <f t="shared" si="9"/>
        <v>75</v>
      </c>
      <c r="R164" s="16">
        <f t="shared" si="9"/>
        <v>98</v>
      </c>
      <c r="S164" s="16">
        <f t="shared" si="9"/>
        <v>98</v>
      </c>
      <c r="T164" s="16">
        <f t="shared" si="9"/>
        <v>98</v>
      </c>
      <c r="U164" s="16">
        <f t="shared" si="9"/>
        <v>98</v>
      </c>
      <c r="V164" s="16">
        <f t="shared" si="9"/>
        <v>98</v>
      </c>
      <c r="W164" s="16">
        <f t="shared" si="9"/>
        <v>98</v>
      </c>
      <c r="X164" s="16">
        <f t="shared" si="9"/>
        <v>98</v>
      </c>
      <c r="Y164" s="16">
        <f t="shared" si="9"/>
        <v>98</v>
      </c>
      <c r="Z164" s="16">
        <f t="shared" si="9"/>
        <v>98</v>
      </c>
      <c r="AA164" s="16">
        <f t="shared" si="9"/>
        <v>98</v>
      </c>
      <c r="AB164" s="16">
        <f t="shared" si="9"/>
        <v>100</v>
      </c>
    </row>
    <row r="165" spans="3:28" x14ac:dyDescent="0.3">
      <c r="D165" s="19"/>
      <c r="E165" s="16">
        <f xml:space="preserve"> IF(E$12 = 1, E$15, IF( AND( NOT(ISERROR(E$15)), NOT(ISBLANK(E$15)), IFERROR(E$15, 0) &lt;&gt; 0), MAX(E$15, D165), D165))</f>
        <v>25</v>
      </c>
      <c r="F165" s="16">
        <f t="shared" ref="F165:AB165" si="10" xml:space="preserve"> IF(F$12 = 1, F$15, IF( AND( NOT(ISERROR(F$15)), NOT(ISBLANK(F$15)), IFERROR(F$15, 0) &lt;&gt; 0), MAX(F$15, E165), E165))</f>
        <v>75</v>
      </c>
      <c r="G165" s="16">
        <f t="shared" si="10"/>
        <v>75</v>
      </c>
      <c r="H165" s="16">
        <f t="shared" si="10"/>
        <v>75</v>
      </c>
      <c r="I165" s="16">
        <f t="shared" si="10"/>
        <v>75</v>
      </c>
      <c r="J165" s="16">
        <f t="shared" si="10"/>
        <v>75</v>
      </c>
      <c r="K165" s="16">
        <f t="shared" si="10"/>
        <v>75</v>
      </c>
      <c r="L165" s="16">
        <f t="shared" si="10"/>
        <v>75</v>
      </c>
      <c r="M165" s="16">
        <f t="shared" si="10"/>
        <v>75</v>
      </c>
      <c r="N165" s="16">
        <f t="shared" si="10"/>
        <v>75</v>
      </c>
      <c r="O165" s="16">
        <f t="shared" si="10"/>
        <v>75</v>
      </c>
      <c r="P165" s="16">
        <f t="shared" si="10"/>
        <v>75</v>
      </c>
      <c r="Q165" s="16">
        <f t="shared" si="10"/>
        <v>75</v>
      </c>
      <c r="R165" s="16">
        <f t="shared" si="10"/>
        <v>98</v>
      </c>
      <c r="S165" s="16">
        <f t="shared" si="10"/>
        <v>98</v>
      </c>
      <c r="T165" s="16">
        <f t="shared" si="10"/>
        <v>98</v>
      </c>
      <c r="U165" s="16">
        <f t="shared" si="10"/>
        <v>98</v>
      </c>
      <c r="V165" s="16">
        <f t="shared" si="10"/>
        <v>98</v>
      </c>
      <c r="W165" s="16">
        <f t="shared" si="10"/>
        <v>98</v>
      </c>
      <c r="X165" s="16">
        <f t="shared" si="10"/>
        <v>98</v>
      </c>
      <c r="Y165" s="16">
        <f t="shared" si="10"/>
        <v>98</v>
      </c>
      <c r="Z165" s="16">
        <f t="shared" si="10"/>
        <v>98</v>
      </c>
      <c r="AA165" s="16">
        <f t="shared" si="10"/>
        <v>98</v>
      </c>
      <c r="AB165" s="16">
        <f t="shared" si="10"/>
        <v>100</v>
      </c>
    </row>
    <row r="167" spans="3:28" x14ac:dyDescent="0.3">
      <c r="C167" s="12" t="s">
        <v>13</v>
      </c>
    </row>
    <row r="168" spans="3:28" x14ac:dyDescent="0.3">
      <c r="D168" t="s">
        <v>9</v>
      </c>
    </row>
    <row r="169" spans="3:28" x14ac:dyDescent="0.3">
      <c r="E169" s="58" cm="1">
        <f t="array" ref="E169:AB169" xml:space="preserve"> _xlfn.LET(
  _xlpm._arr, E$13:AB$13,
  _xlpm._max, _xlfn.SCAN( INDEX(_xlpm._arr, 1, 1), _xlpm._arr, _xlfn.LAMBDA(_xlpm._acc,_xlpm._val, MAX(_xlpm._acc, _xlpm._val))),
  _xlpm._max
)</f>
        <v>25</v>
      </c>
      <c r="F169" s="16">
        <v>75</v>
      </c>
      <c r="G169" s="16">
        <v>75</v>
      </c>
      <c r="H169" s="16">
        <v>75</v>
      </c>
      <c r="I169" s="16">
        <v>75</v>
      </c>
      <c r="J169" s="16">
        <v>75</v>
      </c>
      <c r="K169" s="16">
        <v>75</v>
      </c>
      <c r="L169" s="16">
        <v>75</v>
      </c>
      <c r="M169" s="16">
        <v>75</v>
      </c>
      <c r="N169" s="16">
        <v>75</v>
      </c>
      <c r="O169" s="16">
        <v>75</v>
      </c>
      <c r="P169" s="16">
        <v>75</v>
      </c>
      <c r="Q169" s="16">
        <v>75</v>
      </c>
      <c r="R169" s="16">
        <v>98</v>
      </c>
      <c r="S169" s="16">
        <v>98</v>
      </c>
      <c r="T169" s="16">
        <v>98</v>
      </c>
      <c r="U169" s="16">
        <v>98</v>
      </c>
      <c r="V169" s="16">
        <v>98</v>
      </c>
      <c r="W169" s="16">
        <v>98</v>
      </c>
      <c r="X169" s="16">
        <v>98</v>
      </c>
      <c r="Y169" s="16">
        <v>98</v>
      </c>
      <c r="Z169" s="16">
        <v>98</v>
      </c>
      <c r="AA169" s="16">
        <v>98</v>
      </c>
      <c r="AB169" s="16">
        <v>100</v>
      </c>
    </row>
    <row r="170" spans="3:28" x14ac:dyDescent="0.3">
      <c r="E170" s="17" t="str" cm="1">
        <f t="array" aca="1" ref="E170:E174" ca="1" xml:space="preserve"> _xlfn.TEXTSPLIT( _xlfn.FORMULATEXT(E169), , CHAR(10))</f>
        <v>= LET(</v>
      </c>
    </row>
    <row r="171" spans="3:28" x14ac:dyDescent="0.3">
      <c r="E171" s="17" t="str">
        <f ca="1"/>
        <v xml:space="preserve">  _arr, E$13:AB$13,</v>
      </c>
    </row>
    <row r="172" spans="3:28" x14ac:dyDescent="0.3">
      <c r="E172" s="17" t="str">
        <f ca="1"/>
        <v xml:space="preserve">  _max, SCAN( INDEX(_arr, 1, 1), _arr, LAMBDA(_acc,_val, MAX(_acc, _val))),</v>
      </c>
    </row>
    <row r="173" spans="3:28" x14ac:dyDescent="0.3">
      <c r="E173" s="17" t="str">
        <f ca="1"/>
        <v xml:space="preserve">  _max</v>
      </c>
    </row>
    <row r="174" spans="3:28" x14ac:dyDescent="0.3">
      <c r="E174" s="17" t="str">
        <f ca="1"/>
        <v>)</v>
      </c>
    </row>
    <row r="176" spans="3:28" x14ac:dyDescent="0.3">
      <c r="D176" t="s">
        <v>19</v>
      </c>
    </row>
    <row r="177" spans="4:28" x14ac:dyDescent="0.3">
      <c r="E177" s="58" cm="1">
        <f t="array" ref="E177:AB177" xml:space="preserve"> _xlfn.LET(
  _xlpm._arr, E$14:AB$14,
  _xlpm._max, _xlfn.SCAN( INDEX(_xlpm._arr, 1, 1), _xlpm._arr, _xlfn.LAMBDA(_xlpm._acc,_xlpm._val, IF( AND( NOT(ISERROR(_xlpm._val)), NOT(ISBLANK(_xlpm._val))), MAX(_xlpm._acc, _xlpm._val), _xlpm._acc))),
  _xlpm._max
)</f>
        <v>25</v>
      </c>
      <c r="F177" s="16">
        <v>75</v>
      </c>
      <c r="G177" s="16">
        <v>75</v>
      </c>
      <c r="H177" s="16">
        <v>75</v>
      </c>
      <c r="I177" s="16">
        <v>75</v>
      </c>
      <c r="J177" s="16">
        <v>75</v>
      </c>
      <c r="K177" s="16">
        <v>75</v>
      </c>
      <c r="L177" s="16">
        <v>75</v>
      </c>
      <c r="M177" s="16">
        <v>75</v>
      </c>
      <c r="N177" s="16">
        <v>75</v>
      </c>
      <c r="O177" s="16">
        <v>75</v>
      </c>
      <c r="P177" s="16">
        <v>75</v>
      </c>
      <c r="Q177" s="16">
        <v>75</v>
      </c>
      <c r="R177" s="16">
        <v>98</v>
      </c>
      <c r="S177" s="16">
        <v>98</v>
      </c>
      <c r="T177" s="16">
        <v>98</v>
      </c>
      <c r="U177" s="16">
        <v>98</v>
      </c>
      <c r="V177" s="16">
        <v>98</v>
      </c>
      <c r="W177" s="16">
        <v>98</v>
      </c>
      <c r="X177" s="16">
        <v>98</v>
      </c>
      <c r="Y177" s="16">
        <v>98</v>
      </c>
      <c r="Z177" s="16">
        <v>98</v>
      </c>
      <c r="AA177" s="16">
        <v>98</v>
      </c>
      <c r="AB177" s="16">
        <v>100</v>
      </c>
    </row>
    <row r="178" spans="4:28" x14ac:dyDescent="0.3">
      <c r="E178" s="17" t="str" cm="1">
        <f t="array" aca="1" ref="E178:E182" ca="1" xml:space="preserve"> _xlfn.TEXTSPLIT( _xlfn.FORMULATEXT(E177), , CHAR(10))</f>
        <v>= LET(</v>
      </c>
    </row>
    <row r="179" spans="4:28" x14ac:dyDescent="0.3">
      <c r="E179" s="17" t="str">
        <f ca="1"/>
        <v xml:space="preserve">  _arr, E$14:AB$14,</v>
      </c>
    </row>
    <row r="180" spans="4:28" x14ac:dyDescent="0.3">
      <c r="E180" s="17" t="str">
        <f ca="1"/>
        <v xml:space="preserve">  _max, SCAN( INDEX(_arr, 1, 1), _arr, LAMBDA(_acc,_val, IF( AND( NOT(ISERROR(_val)), NOT(ISBLANK(_val))), MAX(_acc, _val), _acc))),</v>
      </c>
    </row>
    <row r="181" spans="4:28" x14ac:dyDescent="0.3">
      <c r="E181" s="17" t="str">
        <f ca="1"/>
        <v xml:space="preserve">  _max</v>
      </c>
    </row>
    <row r="182" spans="4:28" x14ac:dyDescent="0.3">
      <c r="E182" s="17" t="str">
        <f ca="1"/>
        <v>)</v>
      </c>
    </row>
    <row r="184" spans="4:28" x14ac:dyDescent="0.3">
      <c r="D184" t="s">
        <v>18</v>
      </c>
    </row>
    <row r="185" spans="4:28" x14ac:dyDescent="0.3">
      <c r="E185" s="58" cm="1">
        <f t="array" ref="E185:AB185" xml:space="preserve"> _xlfn.LET(
  _xlpm._arr, E$15:AB$15,
  _xlpm._max, _xlfn.SCAN( INDEX(_xlpm._arr, 1, 1), _xlpm._arr, _xlfn.LAMBDA(_xlpm._acc,_xlpm._val, IF( AND( NOT(ISERROR(_xlpm._val)), NOT(ISBLANK(_xlpm._val)), IFERROR(_xlpm._val, 0) &lt;&gt; 0), MAX(_xlpm._acc, _xlpm._val), _xlpm._acc))),
  _xlpm._max
)</f>
        <v>25</v>
      </c>
      <c r="F185" s="16">
        <v>75</v>
      </c>
      <c r="G185" s="16">
        <v>75</v>
      </c>
      <c r="H185" s="16">
        <v>75</v>
      </c>
      <c r="I185" s="16">
        <v>75</v>
      </c>
      <c r="J185" s="16">
        <v>75</v>
      </c>
      <c r="K185" s="16">
        <v>75</v>
      </c>
      <c r="L185" s="16">
        <v>75</v>
      </c>
      <c r="M185" s="16">
        <v>75</v>
      </c>
      <c r="N185" s="16">
        <v>75</v>
      </c>
      <c r="O185" s="16">
        <v>75</v>
      </c>
      <c r="P185" s="16">
        <v>75</v>
      </c>
      <c r="Q185" s="16">
        <v>75</v>
      </c>
      <c r="R185" s="16">
        <v>98</v>
      </c>
      <c r="S185" s="16">
        <v>98</v>
      </c>
      <c r="T185" s="16">
        <v>98</v>
      </c>
      <c r="U185" s="16">
        <v>98</v>
      </c>
      <c r="V185" s="16">
        <v>98</v>
      </c>
      <c r="W185" s="16">
        <v>98</v>
      </c>
      <c r="X185" s="16">
        <v>98</v>
      </c>
      <c r="Y185" s="16">
        <v>98</v>
      </c>
      <c r="Z185" s="16">
        <v>98</v>
      </c>
      <c r="AA185" s="16">
        <v>98</v>
      </c>
      <c r="AB185" s="16">
        <v>100</v>
      </c>
    </row>
    <row r="186" spans="4:28" x14ac:dyDescent="0.3">
      <c r="E186" s="17" t="str" cm="1">
        <f t="array" aca="1" ref="E186:E190" ca="1" xml:space="preserve"> _xlfn.TEXTSPLIT( _xlfn.FORMULATEXT(E185), , CHAR(10))</f>
        <v>= LET(</v>
      </c>
    </row>
    <row r="187" spans="4:28" x14ac:dyDescent="0.3">
      <c r="E187" s="17" t="str">
        <f ca="1"/>
        <v xml:space="preserve">  _arr, E$15:AB$15,</v>
      </c>
    </row>
    <row r="188" spans="4:28" x14ac:dyDescent="0.3">
      <c r="E188" s="17" t="str">
        <f ca="1"/>
        <v xml:space="preserve">  _max, SCAN( INDEX(_arr, 1, 1), _arr, LAMBDA(_acc,_val, IF( AND( NOT(ISERROR(_val)), NOT(ISBLANK(_val)), IFERROR(_val, 0) &lt;&gt; 0), MAX(_acc, _val), _acc))),</v>
      </c>
    </row>
    <row r="189" spans="4:28" x14ac:dyDescent="0.3">
      <c r="E189" s="17" t="str">
        <f ca="1"/>
        <v xml:space="preserve">  _max</v>
      </c>
    </row>
    <row r="190" spans="4:28" x14ac:dyDescent="0.3">
      <c r="E190" s="17" t="str">
        <f ca="1"/>
        <v>)</v>
      </c>
    </row>
    <row r="193" spans="2:29" s="4" customFormat="1" ht="16.2" thickBot="1" x14ac:dyDescent="0.35">
      <c r="B193" s="5">
        <f xml:space="preserve"> MAX(B$1:B192) + 1</f>
        <v>2</v>
      </c>
      <c r="C193" s="4" t="s">
        <v>36</v>
      </c>
    </row>
    <row r="195" spans="2:29" x14ac:dyDescent="0.3">
      <c r="B195" s="11" t="s">
        <v>20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7" spans="2:29" x14ac:dyDescent="0.3">
      <c r="C197" s="12" t="s">
        <v>26</v>
      </c>
    </row>
    <row r="198" spans="2:29" x14ac:dyDescent="0.3">
      <c r="D198" t="s">
        <v>21</v>
      </c>
      <c r="E198" s="58" cm="1">
        <f t="array" ref="E198:AB202" xml:space="preserve"> _xlfn.LET(
  _xlpm._arr, E14:AB14,
  _xlpm._init, INDEX(_xlpm._arr, 1, 1),
  _xlpm._sum, _xlfn.SCAN(0, _xlpm._arr, _xlfn.LAMBDA(_xlpm._acc,_xlpm._val, _xlpm._acc + IF( OR( ISERROR(_xlpm._val), ISBLANK(_xlpm._val)), 0, _xlpm._val))),
  _xlpm._cnt, _xlfn.SCAN(0, _xlpm._arr, _xlfn.LAMBDA(_xlpm._acc,_xlpm._val, _xlpm._acc + IF( AND( NOT(ISERROR(_xlpm._val)), NOT(ISBLANK(_xlpm._val))), 1, 0))),
  _xlpm._min, _xlfn.SCAN(_xlpm._init, _xlpm._arr, _xlfn.LAMBDA(_xlpm._acc,_xlpm._val, IF( AND( NOT(ISERROR(_xlpm._val)), NOT(ISBLANK(_xlpm._val))), MIN(_xlpm._acc, _xlpm._val), _xlpm._acc))),
  _xlpm._max, _xlfn.SCAN(_xlpm._init, _xlpm._arr, _xlfn.LAMBDA(_xlpm._acc,_xlpm._val, IF( AND( NOT(ISERROR(_xlpm._val)), NOT(ISBLANK(_xlpm._val))), MAX(_xlpm._acc, _xlpm._val), _xlpm._acc))),
  _xlpm._avg, IF(_xlpm._cnt &lt;&gt; 0, _xlpm._sum / _xlpm._cnt, 0),
  _xlfn.VSTACK(_xlpm._sum, _xlpm._cnt, _xlpm._avg, _xlpm._min, _xlpm._max)
)</f>
        <v>25</v>
      </c>
      <c r="F198" s="16">
        <v>100</v>
      </c>
      <c r="G198" s="16">
        <v>100</v>
      </c>
      <c r="H198" s="16">
        <v>146</v>
      </c>
      <c r="I198" s="16">
        <v>211</v>
      </c>
      <c r="J198" s="16">
        <v>252</v>
      </c>
      <c r="K198" s="16">
        <v>291</v>
      </c>
      <c r="L198" s="16">
        <v>291</v>
      </c>
      <c r="M198" s="16">
        <v>363</v>
      </c>
      <c r="N198" s="16">
        <v>372</v>
      </c>
      <c r="O198" s="16">
        <v>429</v>
      </c>
      <c r="P198" s="16">
        <v>429</v>
      </c>
      <c r="Q198" s="16">
        <v>493</v>
      </c>
      <c r="R198" s="16">
        <v>591</v>
      </c>
      <c r="S198" s="16">
        <v>601</v>
      </c>
      <c r="T198" s="16">
        <v>601</v>
      </c>
      <c r="U198" s="16">
        <v>693</v>
      </c>
      <c r="V198" s="16">
        <v>771</v>
      </c>
      <c r="W198" s="16">
        <v>771</v>
      </c>
      <c r="X198" s="16">
        <v>780</v>
      </c>
      <c r="Y198" s="16">
        <v>843</v>
      </c>
      <c r="Z198" s="16">
        <v>843</v>
      </c>
      <c r="AA198" s="16">
        <v>895</v>
      </c>
      <c r="AB198" s="16">
        <v>995</v>
      </c>
    </row>
    <row r="199" spans="2:29" x14ac:dyDescent="0.3">
      <c r="D199" t="s">
        <v>22</v>
      </c>
      <c r="E199" s="16">
        <v>1</v>
      </c>
      <c r="F199" s="16">
        <v>2</v>
      </c>
      <c r="G199" s="16">
        <v>3</v>
      </c>
      <c r="H199" s="16">
        <v>4</v>
      </c>
      <c r="I199" s="16">
        <v>5</v>
      </c>
      <c r="J199" s="16">
        <v>6</v>
      </c>
      <c r="K199" s="16">
        <v>7</v>
      </c>
      <c r="L199" s="16">
        <v>7</v>
      </c>
      <c r="M199" s="16">
        <v>8</v>
      </c>
      <c r="N199" s="16">
        <v>9</v>
      </c>
      <c r="O199" s="16">
        <v>10</v>
      </c>
      <c r="P199" s="16">
        <v>10</v>
      </c>
      <c r="Q199" s="16">
        <v>11</v>
      </c>
      <c r="R199" s="16">
        <v>12</v>
      </c>
      <c r="S199" s="16">
        <v>13</v>
      </c>
      <c r="T199" s="16">
        <v>14</v>
      </c>
      <c r="U199" s="16">
        <v>15</v>
      </c>
      <c r="V199" s="16">
        <v>16</v>
      </c>
      <c r="W199" s="16">
        <v>16</v>
      </c>
      <c r="X199" s="16">
        <v>17</v>
      </c>
      <c r="Y199" s="16">
        <v>18</v>
      </c>
      <c r="Z199" s="16">
        <v>18</v>
      </c>
      <c r="AA199" s="16">
        <v>19</v>
      </c>
      <c r="AB199" s="16">
        <v>20</v>
      </c>
    </row>
    <row r="200" spans="2:29" x14ac:dyDescent="0.3">
      <c r="D200" t="s">
        <v>23</v>
      </c>
      <c r="E200" s="18">
        <v>25</v>
      </c>
      <c r="F200" s="18">
        <v>50</v>
      </c>
      <c r="G200" s="18">
        <v>33.333333333333336</v>
      </c>
      <c r="H200" s="18">
        <v>36.5</v>
      </c>
      <c r="I200" s="18">
        <v>42.2</v>
      </c>
      <c r="J200" s="18">
        <v>42</v>
      </c>
      <c r="K200" s="18">
        <v>41.571428571428569</v>
      </c>
      <c r="L200" s="18">
        <v>41.571428571428569</v>
      </c>
      <c r="M200" s="18">
        <v>45.375</v>
      </c>
      <c r="N200" s="18">
        <v>41.333333333333336</v>
      </c>
      <c r="O200" s="18">
        <v>42.9</v>
      </c>
      <c r="P200" s="18">
        <v>42.9</v>
      </c>
      <c r="Q200" s="18">
        <v>44.81818181818182</v>
      </c>
      <c r="R200" s="18">
        <v>49.25</v>
      </c>
      <c r="S200" s="18">
        <v>46.230769230769234</v>
      </c>
      <c r="T200" s="18">
        <v>42.928571428571431</v>
      </c>
      <c r="U200" s="18">
        <v>46.2</v>
      </c>
      <c r="V200" s="18">
        <v>48.1875</v>
      </c>
      <c r="W200" s="18">
        <v>48.1875</v>
      </c>
      <c r="X200" s="18">
        <v>45.882352941176471</v>
      </c>
      <c r="Y200" s="18">
        <v>46.833333333333336</v>
      </c>
      <c r="Z200" s="18">
        <v>46.833333333333336</v>
      </c>
      <c r="AA200" s="18">
        <v>47.10526315789474</v>
      </c>
      <c r="AB200" s="18">
        <v>49.75</v>
      </c>
    </row>
    <row r="201" spans="2:29" x14ac:dyDescent="0.3">
      <c r="D201" t="s">
        <v>24</v>
      </c>
      <c r="E201" s="16">
        <v>25</v>
      </c>
      <c r="F201" s="16">
        <v>25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2:29" x14ac:dyDescent="0.3">
      <c r="D202" t="s">
        <v>25</v>
      </c>
      <c r="E202" s="16">
        <v>25</v>
      </c>
      <c r="F202" s="16">
        <v>75</v>
      </c>
      <c r="G202" s="16">
        <v>75</v>
      </c>
      <c r="H202" s="16">
        <v>75</v>
      </c>
      <c r="I202" s="16">
        <v>75</v>
      </c>
      <c r="J202" s="16">
        <v>75</v>
      </c>
      <c r="K202" s="16">
        <v>75</v>
      </c>
      <c r="L202" s="16">
        <v>75</v>
      </c>
      <c r="M202" s="16">
        <v>75</v>
      </c>
      <c r="N202" s="16">
        <v>75</v>
      </c>
      <c r="O202" s="16">
        <v>75</v>
      </c>
      <c r="P202" s="16">
        <v>75</v>
      </c>
      <c r="Q202" s="16">
        <v>75</v>
      </c>
      <c r="R202" s="16">
        <v>98</v>
      </c>
      <c r="S202" s="16">
        <v>98</v>
      </c>
      <c r="T202" s="16">
        <v>98</v>
      </c>
      <c r="U202" s="16">
        <v>98</v>
      </c>
      <c r="V202" s="16">
        <v>98</v>
      </c>
      <c r="W202" s="16">
        <v>98</v>
      </c>
      <c r="X202" s="16">
        <v>98</v>
      </c>
      <c r="Y202" s="16">
        <v>98</v>
      </c>
      <c r="Z202" s="16">
        <v>98</v>
      </c>
      <c r="AA202" s="16">
        <v>98</v>
      </c>
      <c r="AB202" s="16">
        <v>100</v>
      </c>
    </row>
    <row r="203" spans="2:29" x14ac:dyDescent="0.3">
      <c r="E203" s="17" t="str" cm="1">
        <f t="array" aca="1" ref="E203:E212" ca="1" xml:space="preserve"> _xlfn.TEXTSPLIT( _xlfn.FORMULATEXT(E198), , CHAR(10))</f>
        <v>= LET(</v>
      </c>
    </row>
    <row r="204" spans="2:29" x14ac:dyDescent="0.3">
      <c r="E204" s="17" t="str">
        <f ca="1"/>
        <v xml:space="preserve">  _arr, E14:AB14,</v>
      </c>
    </row>
    <row r="205" spans="2:29" x14ac:dyDescent="0.3">
      <c r="E205" s="17" t="str">
        <f ca="1"/>
        <v xml:space="preserve">  _init, INDEX(_arr, 1, 1),</v>
      </c>
    </row>
    <row r="206" spans="2:29" x14ac:dyDescent="0.3">
      <c r="E206" s="17" t="str">
        <f ca="1"/>
        <v xml:space="preserve">  _sum, SCAN(0, _arr, LAMBDA(_acc,_val, _acc + IF( OR( ISERROR(_val), ISBLANK(_val)), 0, _val))),</v>
      </c>
    </row>
    <row r="207" spans="2:29" x14ac:dyDescent="0.3">
      <c r="E207" s="17" t="str">
        <f ca="1"/>
        <v xml:space="preserve">  _cnt, SCAN(0, _arr, LAMBDA(_acc,_val, _acc + IF( AND( NOT(ISERROR(_val)), NOT(ISBLANK(_val))), 1, 0))),</v>
      </c>
    </row>
    <row r="208" spans="2:29" x14ac:dyDescent="0.3">
      <c r="E208" s="17" t="str">
        <f ca="1"/>
        <v xml:space="preserve">  _min, SCAN(_init, _arr, LAMBDA(_acc,_val, IF( AND( NOT(ISERROR(_val)), NOT(ISBLANK(_val))), MIN(_acc, _val), _acc))),</v>
      </c>
    </row>
    <row r="209" spans="3:28" x14ac:dyDescent="0.3">
      <c r="E209" s="17" t="str">
        <f ca="1"/>
        <v xml:space="preserve">  _max, SCAN(_init, _arr, LAMBDA(_acc,_val, IF( AND( NOT(ISERROR(_val)), NOT(ISBLANK(_val))), MAX(_acc, _val), _acc))),</v>
      </c>
    </row>
    <row r="210" spans="3:28" x14ac:dyDescent="0.3">
      <c r="E210" s="17" t="str">
        <f ca="1"/>
        <v xml:space="preserve">  _avg, IF(_cnt &lt;&gt; 0, _sum / _cnt, 0),</v>
      </c>
    </row>
    <row r="211" spans="3:28" x14ac:dyDescent="0.3">
      <c r="E211" s="17" t="str">
        <f ca="1"/>
        <v xml:space="preserve">  VSTACK(_sum, _cnt, _avg, _min, _max)</v>
      </c>
    </row>
    <row r="212" spans="3:28" x14ac:dyDescent="0.3">
      <c r="E212" s="17" t="str">
        <f ca="1"/>
        <v>)</v>
      </c>
    </row>
    <row r="214" spans="3:28" x14ac:dyDescent="0.3">
      <c r="C214" s="12" t="s">
        <v>27</v>
      </c>
    </row>
    <row r="215" spans="3:28" x14ac:dyDescent="0.3">
      <c r="D215" t="s">
        <v>21</v>
      </c>
      <c r="E215" s="58" cm="1">
        <f t="array" ref="E215:AB219" xml:space="preserve"> _xlfn.LET(
  _xlpm._arr, E15:AB15,
  _xlpm._init, INDEX(_xlpm._arr, 1, 1),
  _xlpm._sum, _xlfn.SCAN(0, _xlpm._arr, _xlfn.LAMBDA(_xlpm._acc,_xlpm._val, _xlpm._acc + IF( OR( ISERROR(_xlpm._val), ISBLANK(_xlpm._val)), 0, _xlpm._val))),
  _xlpm._cnt, _xlfn.SCAN(0, _xlpm._arr, _xlfn.LAMBDA(_xlpm._acc,_xlpm._val, _xlpm._acc + IF( AND( NOT(ISERROR(_xlpm._val)), NOT(ISBLANK(_xlpm._val)), IFERROR(_xlpm._val, 0) &lt;&gt; 0), 1, 0))),
  _xlpm._min, _xlfn.SCAN(_xlpm._init, _xlpm._arr, _xlfn.LAMBDA(_xlpm._acc,_xlpm._val, IF( AND( NOT(ISERROR(_xlpm._val)), NOT(ISBLANK(_xlpm._val)), IFERROR(_xlpm._val, 0) &lt;&gt; 0), MIN(_xlpm._acc, _xlpm._val), _xlpm._acc))),
  _xlpm._max, _xlfn.SCAN(_xlpm._init, _xlpm._arr, _xlfn.LAMBDA(_xlpm._acc,_xlpm._val, IF( AND( NOT(ISERROR(_xlpm._val)), NOT(ISBLANK(_xlpm._val)), IFERROR(_xlpm._val, 0) &lt;&gt; 0), MAX(_xlpm._acc, _xlpm._val), _xlpm._acc))),
  _xlpm._avg, IF(_xlpm._cnt &lt;&gt; 0, _xlpm._sum / _xlpm._cnt, 0),
  _xlfn.VSTACK(_xlpm._sum, _xlpm._cnt, _xlpm._avg, _xlpm._min, _xlpm._max)
)</f>
        <v>25</v>
      </c>
      <c r="F215" s="16">
        <v>100</v>
      </c>
      <c r="G215" s="16">
        <v>100</v>
      </c>
      <c r="H215" s="16">
        <v>146</v>
      </c>
      <c r="I215" s="16">
        <v>211</v>
      </c>
      <c r="J215" s="16">
        <v>252</v>
      </c>
      <c r="K215" s="16">
        <v>291</v>
      </c>
      <c r="L215" s="16">
        <v>291</v>
      </c>
      <c r="M215" s="16">
        <v>363</v>
      </c>
      <c r="N215" s="16">
        <v>372</v>
      </c>
      <c r="O215" s="16">
        <v>429</v>
      </c>
      <c r="P215" s="16">
        <v>429</v>
      </c>
      <c r="Q215" s="16">
        <v>493</v>
      </c>
      <c r="R215" s="16">
        <v>591</v>
      </c>
      <c r="S215" s="16">
        <v>601</v>
      </c>
      <c r="T215" s="16">
        <v>601</v>
      </c>
      <c r="U215" s="16">
        <v>693</v>
      </c>
      <c r="V215" s="16">
        <v>771</v>
      </c>
      <c r="W215" s="16">
        <v>771</v>
      </c>
      <c r="X215" s="16">
        <v>780</v>
      </c>
      <c r="Y215" s="16">
        <v>843</v>
      </c>
      <c r="Z215" s="16">
        <v>843</v>
      </c>
      <c r="AA215" s="16">
        <v>895</v>
      </c>
      <c r="AB215" s="16">
        <v>995</v>
      </c>
    </row>
    <row r="216" spans="3:28" x14ac:dyDescent="0.3">
      <c r="D216" t="s">
        <v>22</v>
      </c>
      <c r="E216" s="16">
        <v>1</v>
      </c>
      <c r="F216" s="16">
        <v>2</v>
      </c>
      <c r="G216" s="16">
        <v>2</v>
      </c>
      <c r="H216" s="16">
        <v>3</v>
      </c>
      <c r="I216" s="16">
        <v>4</v>
      </c>
      <c r="J216" s="16">
        <v>5</v>
      </c>
      <c r="K216" s="16">
        <v>6</v>
      </c>
      <c r="L216" s="16">
        <v>6</v>
      </c>
      <c r="M216" s="16">
        <v>7</v>
      </c>
      <c r="N216" s="16">
        <v>8</v>
      </c>
      <c r="O216" s="16">
        <v>9</v>
      </c>
      <c r="P216" s="16">
        <v>9</v>
      </c>
      <c r="Q216" s="16">
        <v>10</v>
      </c>
      <c r="R216" s="16">
        <v>11</v>
      </c>
      <c r="S216" s="16">
        <v>12</v>
      </c>
      <c r="T216" s="16">
        <v>12</v>
      </c>
      <c r="U216" s="16">
        <v>13</v>
      </c>
      <c r="V216" s="16">
        <v>14</v>
      </c>
      <c r="W216" s="16">
        <v>14</v>
      </c>
      <c r="X216" s="16">
        <v>15</v>
      </c>
      <c r="Y216" s="16">
        <v>16</v>
      </c>
      <c r="Z216" s="16">
        <v>16</v>
      </c>
      <c r="AA216" s="16">
        <v>17</v>
      </c>
      <c r="AB216" s="16">
        <v>18</v>
      </c>
    </row>
    <row r="217" spans="3:28" x14ac:dyDescent="0.3">
      <c r="D217" t="s">
        <v>23</v>
      </c>
      <c r="E217" s="18">
        <v>25</v>
      </c>
      <c r="F217" s="18">
        <v>50</v>
      </c>
      <c r="G217" s="18">
        <v>50</v>
      </c>
      <c r="H217" s="18">
        <v>48.666666666666664</v>
      </c>
      <c r="I217" s="18">
        <v>52.75</v>
      </c>
      <c r="J217" s="18">
        <v>50.4</v>
      </c>
      <c r="K217" s="18">
        <v>48.5</v>
      </c>
      <c r="L217" s="18">
        <v>48.5</v>
      </c>
      <c r="M217" s="18">
        <v>51.857142857142854</v>
      </c>
      <c r="N217" s="18">
        <v>46.5</v>
      </c>
      <c r="O217" s="18">
        <v>47.666666666666664</v>
      </c>
      <c r="P217" s="18">
        <v>47.666666666666664</v>
      </c>
      <c r="Q217" s="18">
        <v>49.3</v>
      </c>
      <c r="R217" s="18">
        <v>53.727272727272727</v>
      </c>
      <c r="S217" s="18">
        <v>50.083333333333336</v>
      </c>
      <c r="T217" s="18">
        <v>50.083333333333336</v>
      </c>
      <c r="U217" s="18">
        <v>53.307692307692307</v>
      </c>
      <c r="V217" s="18">
        <v>55.071428571428569</v>
      </c>
      <c r="W217" s="18">
        <v>55.071428571428569</v>
      </c>
      <c r="X217" s="18">
        <v>52</v>
      </c>
      <c r="Y217" s="18">
        <v>52.6875</v>
      </c>
      <c r="Z217" s="18">
        <v>52.6875</v>
      </c>
      <c r="AA217" s="18">
        <v>52.647058823529413</v>
      </c>
      <c r="AB217" s="18">
        <v>55.277777777777779</v>
      </c>
    </row>
    <row r="218" spans="3:28" x14ac:dyDescent="0.3">
      <c r="D218" t="s">
        <v>24</v>
      </c>
      <c r="E218" s="16">
        <v>25</v>
      </c>
      <c r="F218" s="16">
        <v>25</v>
      </c>
      <c r="G218" s="16">
        <v>25</v>
      </c>
      <c r="H218" s="16">
        <v>25</v>
      </c>
      <c r="I218" s="16">
        <v>25</v>
      </c>
      <c r="J218" s="16">
        <v>25</v>
      </c>
      <c r="K218" s="16">
        <v>25</v>
      </c>
      <c r="L218" s="16">
        <v>25</v>
      </c>
      <c r="M218" s="16">
        <v>25</v>
      </c>
      <c r="N218" s="16">
        <v>9</v>
      </c>
      <c r="O218" s="16">
        <v>9</v>
      </c>
      <c r="P218" s="16">
        <v>9</v>
      </c>
      <c r="Q218" s="16">
        <v>9</v>
      </c>
      <c r="R218" s="16">
        <v>9</v>
      </c>
      <c r="S218" s="16">
        <v>9</v>
      </c>
      <c r="T218" s="16">
        <v>9</v>
      </c>
      <c r="U218" s="16">
        <v>9</v>
      </c>
      <c r="V218" s="16">
        <v>9</v>
      </c>
      <c r="W218" s="16">
        <v>9</v>
      </c>
      <c r="X218" s="16">
        <v>9</v>
      </c>
      <c r="Y218" s="16">
        <v>9</v>
      </c>
      <c r="Z218" s="16">
        <v>9</v>
      </c>
      <c r="AA218" s="16">
        <v>9</v>
      </c>
      <c r="AB218" s="16">
        <v>9</v>
      </c>
    </row>
    <row r="219" spans="3:28" x14ac:dyDescent="0.3">
      <c r="D219" t="s">
        <v>25</v>
      </c>
      <c r="E219" s="16">
        <v>25</v>
      </c>
      <c r="F219" s="16">
        <v>75</v>
      </c>
      <c r="G219" s="16">
        <v>75</v>
      </c>
      <c r="H219" s="16">
        <v>75</v>
      </c>
      <c r="I219" s="16">
        <v>75</v>
      </c>
      <c r="J219" s="16">
        <v>75</v>
      </c>
      <c r="K219" s="16">
        <v>75</v>
      </c>
      <c r="L219" s="16">
        <v>75</v>
      </c>
      <c r="M219" s="16">
        <v>75</v>
      </c>
      <c r="N219" s="16">
        <v>75</v>
      </c>
      <c r="O219" s="16">
        <v>75</v>
      </c>
      <c r="P219" s="16">
        <v>75</v>
      </c>
      <c r="Q219" s="16">
        <v>75</v>
      </c>
      <c r="R219" s="16">
        <v>98</v>
      </c>
      <c r="S219" s="16">
        <v>98</v>
      </c>
      <c r="T219" s="16">
        <v>98</v>
      </c>
      <c r="U219" s="16">
        <v>98</v>
      </c>
      <c r="V219" s="16">
        <v>98</v>
      </c>
      <c r="W219" s="16">
        <v>98</v>
      </c>
      <c r="X219" s="16">
        <v>98</v>
      </c>
      <c r="Y219" s="16">
        <v>98</v>
      </c>
      <c r="Z219" s="16">
        <v>98</v>
      </c>
      <c r="AA219" s="16">
        <v>98</v>
      </c>
      <c r="AB219" s="16">
        <v>100</v>
      </c>
    </row>
    <row r="220" spans="3:28" x14ac:dyDescent="0.3">
      <c r="E220" s="17" t="str" cm="1">
        <f t="array" aca="1" ref="E220:E229" ca="1" xml:space="preserve"> _xlfn.TEXTSPLIT( _xlfn.FORMULATEXT(E215), , CHAR(10))</f>
        <v>= LET(</v>
      </c>
    </row>
    <row r="221" spans="3:28" x14ac:dyDescent="0.3">
      <c r="E221" s="17" t="str">
        <f ca="1"/>
        <v xml:space="preserve">  _arr, E15:AB15,</v>
      </c>
    </row>
    <row r="222" spans="3:28" x14ac:dyDescent="0.3">
      <c r="E222" s="17" t="str">
        <f ca="1"/>
        <v xml:space="preserve">  _init, INDEX(_arr, 1, 1),</v>
      </c>
    </row>
    <row r="223" spans="3:28" x14ac:dyDescent="0.3">
      <c r="E223" s="17" t="str">
        <f ca="1"/>
        <v xml:space="preserve">  _sum, SCAN(0, _arr, LAMBDA(_acc,_val, _acc + IF( OR( ISERROR(_val), ISBLANK(_val)), 0, _val))),</v>
      </c>
    </row>
    <row r="224" spans="3:28" x14ac:dyDescent="0.3">
      <c r="E224" s="17" t="str">
        <f ca="1"/>
        <v xml:space="preserve">  _cnt, SCAN(0, _arr, LAMBDA(_acc,_val, _acc + IF( AND( NOT(ISERROR(_val)), NOT(ISBLANK(_val)), IFERROR(_val, 0) &lt;&gt; 0), 1, 0))),</v>
      </c>
    </row>
    <row r="225" spans="2:29" x14ac:dyDescent="0.3">
      <c r="E225" s="17" t="str">
        <f ca="1"/>
        <v xml:space="preserve">  _min, SCAN(_init, _arr, LAMBDA(_acc,_val, IF( AND( NOT(ISERROR(_val)), NOT(ISBLANK(_val)), IFERROR(_val, 0) &lt;&gt; 0), MIN(_acc, _val), _acc))),</v>
      </c>
    </row>
    <row r="226" spans="2:29" x14ac:dyDescent="0.3">
      <c r="E226" s="17" t="str">
        <f ca="1"/>
        <v xml:space="preserve">  _max, SCAN(_init, _arr, LAMBDA(_acc,_val, IF( AND( NOT(ISERROR(_val)), NOT(ISBLANK(_val)), IFERROR(_val, 0) &lt;&gt; 0), MAX(_acc, _val), _acc))),</v>
      </c>
    </row>
    <row r="227" spans="2:29" x14ac:dyDescent="0.3">
      <c r="E227" s="17" t="str">
        <f ca="1"/>
        <v xml:space="preserve">  _avg, IF(_cnt &lt;&gt; 0, _sum / _cnt, 0),</v>
      </c>
    </row>
    <row r="228" spans="2:29" x14ac:dyDescent="0.3">
      <c r="E228" s="17" t="str">
        <f ca="1"/>
        <v xml:space="preserve">  VSTACK(_sum, _cnt, _avg, _min, _max)</v>
      </c>
    </row>
    <row r="229" spans="2:29" x14ac:dyDescent="0.3">
      <c r="E229" s="17" t="str">
        <f ca="1"/>
        <v>)</v>
      </c>
    </row>
    <row r="231" spans="2:29" x14ac:dyDescent="0.3">
      <c r="B231" s="11" t="s">
        <v>174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3" spans="2:29" ht="14.4" thickBot="1" x14ac:dyDescent="0.35">
      <c r="D233" s="20" t="s">
        <v>28</v>
      </c>
      <c r="E233" s="24" t="s">
        <v>43</v>
      </c>
      <c r="F233" s="24" t="s">
        <v>44</v>
      </c>
    </row>
    <row r="234" spans="2:29" x14ac:dyDescent="0.3">
      <c r="D234" t="s">
        <v>21</v>
      </c>
      <c r="E234" s="25">
        <v>1</v>
      </c>
      <c r="F234" s="26" t="s">
        <v>29</v>
      </c>
      <c r="H234" t="s">
        <v>34</v>
      </c>
      <c r="I234" s="13">
        <v>1</v>
      </c>
    </row>
    <row r="235" spans="2:29" x14ac:dyDescent="0.3">
      <c r="D235" t="s">
        <v>22</v>
      </c>
      <c r="E235" s="25">
        <v>2</v>
      </c>
      <c r="F235" s="26" t="s">
        <v>30</v>
      </c>
      <c r="H235" t="s">
        <v>35</v>
      </c>
      <c r="I235" s="16" t="str">
        <f xml:space="preserve"> _xlfn.LET(
  _xlpm.parameter, I234,
  _xlpm._inp, IF( ISBLANK(_xlpm.parameter), 1, _xlpm.parameter),
  _xlpm._num, IF( ISNUMBER(_xlpm._inp), _xlpm._inp, IFERROR( MATCH(LOWER(_xlpm._inp), {"sum","count","avg","min","max"}, 0), 0)),
  _xlpm._inpChk, IF( OR(_xlpm._num &lt; 1, _xlpm._num &gt; 5), 1, 2),
  _xlpm._rtn, CHOOSE(_xlpm._num, "SUM", "COUNT", "AVERAGE", "MIN", "MAX"),
  CHOOSE(_xlpm._inpChk, #VALUE!, _xlpm._rtn)
)</f>
        <v>SUM</v>
      </c>
      <c r="J235" s="17" t="str" cm="1">
        <f t="array" aca="1" ref="J235:J242" ca="1" xml:space="preserve"> _xlfn.TEXTSPLIT( _xlfn.FORMULATEXT(I235), , CHAR(10))</f>
        <v>= LET(</v>
      </c>
    </row>
    <row r="236" spans="2:29" x14ac:dyDescent="0.3">
      <c r="D236" t="s">
        <v>23</v>
      </c>
      <c r="E236" s="25">
        <v>3</v>
      </c>
      <c r="F236" s="26" t="s">
        <v>33</v>
      </c>
      <c r="J236" s="17" t="str">
        <f ca="1"/>
        <v xml:space="preserve">  parameter, I234,</v>
      </c>
    </row>
    <row r="237" spans="2:29" x14ac:dyDescent="0.3">
      <c r="D237" t="s">
        <v>24</v>
      </c>
      <c r="E237" s="25">
        <v>4</v>
      </c>
      <c r="F237" s="26" t="s">
        <v>31</v>
      </c>
      <c r="J237" s="17" t="str">
        <f ca="1"/>
        <v xml:space="preserve">  _inp, IF( ISBLANK(parameter), 1, parameter),</v>
      </c>
    </row>
    <row r="238" spans="2:29" x14ac:dyDescent="0.3">
      <c r="D238" t="s">
        <v>25</v>
      </c>
      <c r="E238" s="25">
        <v>5</v>
      </c>
      <c r="F238" s="26" t="s">
        <v>32</v>
      </c>
      <c r="J238" s="17" t="str">
        <f ca="1"/>
        <v xml:space="preserve">  _num, IF( ISNUMBER(_inp), _inp, IFERROR( MATCH(LOWER(_inp), {"sum","count","avg","min","max"}, 0), 0)),</v>
      </c>
    </row>
    <row r="239" spans="2:29" x14ac:dyDescent="0.3">
      <c r="J239" s="17" t="str">
        <f ca="1"/>
        <v xml:space="preserve">  _inpChk, IF( OR(_num &lt; 1, _num &gt; 5), 1, 2),</v>
      </c>
    </row>
    <row r="240" spans="2:29" x14ac:dyDescent="0.3">
      <c r="J240" s="17" t="str">
        <f ca="1"/>
        <v xml:space="preserve">  _rtn, CHOOSE(_num, "SUM", "COUNT", "AVERAGE", "MIN", "MAX"),</v>
      </c>
    </row>
    <row r="241" spans="2:29" x14ac:dyDescent="0.3">
      <c r="J241" s="17" t="str">
        <f ca="1"/>
        <v xml:space="preserve">  CHOOSE(_inpChk, #VALUE!, _rtn)</v>
      </c>
    </row>
    <row r="242" spans="2:29" x14ac:dyDescent="0.3">
      <c r="J242" s="17" t="str">
        <f ca="1"/>
        <v>)</v>
      </c>
    </row>
    <row r="244" spans="2:29" x14ac:dyDescent="0.3">
      <c r="B244" s="11" t="s">
        <v>37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6" spans="2:29" x14ac:dyDescent="0.3">
      <c r="D246" s="21" t="s">
        <v>139</v>
      </c>
      <c r="E246" s="60" cm="1">
        <f t="array" ref="E246:AB246" xml:space="preserve"> E12:AB12</f>
        <v>1</v>
      </c>
      <c r="F246" s="23">
        <v>2</v>
      </c>
      <c r="G246" s="23">
        <v>3</v>
      </c>
      <c r="H246" s="23">
        <v>4</v>
      </c>
      <c r="I246" s="23">
        <v>5</v>
      </c>
      <c r="J246" s="23">
        <v>6</v>
      </c>
      <c r="K246" s="23">
        <v>7</v>
      </c>
      <c r="L246" s="23">
        <v>8</v>
      </c>
      <c r="M246" s="23">
        <v>9</v>
      </c>
      <c r="N246" s="23">
        <v>10</v>
      </c>
      <c r="O246" s="23">
        <v>11</v>
      </c>
      <c r="P246" s="23">
        <v>12</v>
      </c>
      <c r="Q246" s="23">
        <v>13</v>
      </c>
      <c r="R246" s="23">
        <v>14</v>
      </c>
      <c r="S246" s="23">
        <v>15</v>
      </c>
      <c r="T246" s="23">
        <v>16</v>
      </c>
      <c r="U246" s="23">
        <v>17</v>
      </c>
      <c r="V246" s="23">
        <v>18</v>
      </c>
      <c r="W246" s="23">
        <v>19</v>
      </c>
      <c r="X246" s="23">
        <v>20</v>
      </c>
      <c r="Y246" s="23">
        <v>21</v>
      </c>
      <c r="Z246" s="23">
        <v>22</v>
      </c>
      <c r="AA246" s="23">
        <v>23</v>
      </c>
      <c r="AB246" s="23">
        <v>24</v>
      </c>
    </row>
    <row r="247" spans="2:29" x14ac:dyDescent="0.3">
      <c r="D247" s="21" t="s">
        <v>41</v>
      </c>
      <c r="E247" s="60" cm="1">
        <f t="array" ref="E247:AB247" xml:space="preserve"> IF( ISBLANK(E$15:AB$15), "", E$15:AB$15)</f>
        <v>25</v>
      </c>
      <c r="F247" s="23">
        <v>75</v>
      </c>
      <c r="G247" s="23">
        <v>0</v>
      </c>
      <c r="H247" s="23">
        <v>46</v>
      </c>
      <c r="I247" s="23">
        <v>65</v>
      </c>
      <c r="J247" s="23">
        <v>41</v>
      </c>
      <c r="K247" s="23">
        <v>39</v>
      </c>
      <c r="L247" s="23" t="str">
        <v/>
      </c>
      <c r="M247" s="23">
        <v>72</v>
      </c>
      <c r="N247" s="23">
        <v>9</v>
      </c>
      <c r="O247" s="23">
        <v>57</v>
      </c>
      <c r="P247" s="23" t="e">
        <v>#N/A</v>
      </c>
      <c r="Q247" s="23">
        <v>64</v>
      </c>
      <c r="R247" s="23">
        <v>98</v>
      </c>
      <c r="S247" s="23">
        <v>10</v>
      </c>
      <c r="T247" s="23">
        <v>0</v>
      </c>
      <c r="U247" s="23">
        <v>92</v>
      </c>
      <c r="V247" s="23">
        <v>78</v>
      </c>
      <c r="W247" s="23" t="str">
        <v/>
      </c>
      <c r="X247" s="23">
        <v>9</v>
      </c>
      <c r="Y247" s="23">
        <v>63</v>
      </c>
      <c r="Z247" s="23" t="e">
        <v>#VALUE!</v>
      </c>
      <c r="AA247" s="23">
        <v>52</v>
      </c>
      <c r="AB247" s="23">
        <v>100</v>
      </c>
    </row>
    <row r="249" spans="2:29" x14ac:dyDescent="0.3">
      <c r="C249" s="12" t="s">
        <v>140</v>
      </c>
    </row>
    <row r="250" spans="2:29" x14ac:dyDescent="0.3">
      <c r="D250" s="21" t="s">
        <v>45</v>
      </c>
      <c r="E250" s="22">
        <v>1</v>
      </c>
    </row>
    <row r="251" spans="2:29" x14ac:dyDescent="0.3">
      <c r="D251" s="21" t="s">
        <v>38</v>
      </c>
      <c r="E251" s="22">
        <v>1</v>
      </c>
    </row>
    <row r="252" spans="2:29" x14ac:dyDescent="0.3">
      <c r="D252" s="21" t="s">
        <v>39</v>
      </c>
      <c r="E252" s="22">
        <v>1</v>
      </c>
    </row>
    <row r="254" spans="2:29" x14ac:dyDescent="0.3">
      <c r="D254" s="21" t="s">
        <v>40</v>
      </c>
      <c r="E254" s="58" cm="1">
        <f t="array" ref="E254:AB254" xml:space="preserve"> _xlfn.LET(
  _xlpm._arr, E$15:AB$15,
  _xlpm._igE, IF(E250, IF( ISERROR(_xlpm._arr), "", _xlpm._arr), _xlpm._arr),
  _xlpm._igB, IF(E251, IF( ISBLANK(_xlpm._arr), "", _xlpm._igE), _xlpm._igE),
  _xlpm._igZ, IF(E252, IF(_xlpm._igB = 0, "", _xlpm._igB), _xlpm._igB),
  _xlpm._igZ
)</f>
        <v>25</v>
      </c>
      <c r="F254" s="16">
        <v>75</v>
      </c>
      <c r="G254" s="16" t="str">
        <v/>
      </c>
      <c r="H254" s="16">
        <v>46</v>
      </c>
      <c r="I254" s="16">
        <v>65</v>
      </c>
      <c r="J254" s="16">
        <v>41</v>
      </c>
      <c r="K254" s="16">
        <v>39</v>
      </c>
      <c r="L254" s="16" t="str">
        <v/>
      </c>
      <c r="M254" s="16">
        <v>72</v>
      </c>
      <c r="N254" s="16">
        <v>9</v>
      </c>
      <c r="O254" s="16">
        <v>57</v>
      </c>
      <c r="P254" s="16" t="str">
        <v/>
      </c>
      <c r="Q254" s="16">
        <v>64</v>
      </c>
      <c r="R254" s="16">
        <v>98</v>
      </c>
      <c r="S254" s="16">
        <v>10</v>
      </c>
      <c r="T254" s="16" t="str">
        <v/>
      </c>
      <c r="U254" s="16">
        <v>92</v>
      </c>
      <c r="V254" s="16">
        <v>78</v>
      </c>
      <c r="W254" s="16" t="str">
        <v/>
      </c>
      <c r="X254" s="16">
        <v>9</v>
      </c>
      <c r="Y254" s="16">
        <v>63</v>
      </c>
      <c r="Z254" s="16" t="str">
        <v/>
      </c>
      <c r="AA254" s="16">
        <v>52</v>
      </c>
      <c r="AB254" s="16">
        <v>100</v>
      </c>
    </row>
    <row r="255" spans="2:29" x14ac:dyDescent="0.3">
      <c r="D255" s="21" t="s">
        <v>50</v>
      </c>
      <c r="E255" s="16">
        <f xml:space="preserve"> COUNT(_xlfn.ANCHORARRAY(E254))</f>
        <v>18</v>
      </c>
      <c r="F255" s="17" t="str" cm="1">
        <f t="array" aca="1" ref="F255:F261" ca="1" xml:space="preserve"> _xlfn.TEXTSPLIT( _xlfn.FORMULATEXT(E254), , CHAR(10))</f>
        <v>= LET(</v>
      </c>
    </row>
    <row r="256" spans="2:29" x14ac:dyDescent="0.3">
      <c r="F256" s="17" t="str">
        <f ca="1"/>
        <v xml:space="preserve">  _arr, E$15:AB$15,</v>
      </c>
    </row>
    <row r="257" spans="3:28" x14ac:dyDescent="0.3">
      <c r="F257" s="17" t="str">
        <f ca="1"/>
        <v xml:space="preserve">  _igE, IF(E250, IF( ISERROR(_arr), "", _arr), _arr),</v>
      </c>
    </row>
    <row r="258" spans="3:28" x14ac:dyDescent="0.3">
      <c r="F258" s="17" t="str">
        <f ca="1"/>
        <v xml:space="preserve">  _igB, IF(E251, IF( ISBLANK(_arr), "", _igE), _igE),</v>
      </c>
    </row>
    <row r="259" spans="3:28" x14ac:dyDescent="0.3">
      <c r="F259" s="17" t="str">
        <f ca="1"/>
        <v xml:space="preserve">  _igZ, IF(E252, IF(_igB = 0, "", _igB), _igB),</v>
      </c>
    </row>
    <row r="260" spans="3:28" x14ac:dyDescent="0.3">
      <c r="F260" s="17" t="str">
        <f ca="1"/>
        <v xml:space="preserve">  _igZ</v>
      </c>
    </row>
    <row r="261" spans="3:28" x14ac:dyDescent="0.3">
      <c r="F261" s="17" t="str">
        <f ca="1"/>
        <v>)</v>
      </c>
    </row>
    <row r="263" spans="3:28" x14ac:dyDescent="0.3">
      <c r="C263" s="12" t="s">
        <v>201</v>
      </c>
    </row>
    <row r="264" spans="3:28" x14ac:dyDescent="0.3">
      <c r="D264" s="21" t="s">
        <v>38</v>
      </c>
      <c r="E264" s="22">
        <v>1</v>
      </c>
    </row>
    <row r="265" spans="3:28" x14ac:dyDescent="0.3">
      <c r="D265" s="21" t="s">
        <v>39</v>
      </c>
      <c r="E265" s="22">
        <v>1</v>
      </c>
    </row>
    <row r="267" spans="3:28" x14ac:dyDescent="0.3">
      <c r="D267" s="21" t="s">
        <v>42</v>
      </c>
      <c r="E267" s="58" cm="1">
        <f t="array" ref="E267:AB267" xml:space="preserve"> _xlfn.LET(
  _xlpm._arr, E$15:AB$15,
  _xlpm._igB, E264,
  _xlpm._igZ, E265,
  _xlpm._fltE, IF( ISERROR(_xlpm._arr), " ", _xlpm._arr),
  _xlpm._fltB, IF(_xlpm._igB, IF( ISBLANK(_xlpm._arr), " ", _xlpm._fltE), _xlpm._fltE),
  _xlpm._fltZ, IF(_xlpm._igZ, IF((--NOT(ISERROR(_xlpm._arr)) * --NOT(ISBLANK(_xlpm._arr)) * --(IFERROR(_xlpm._arr, " ") = 0)), " ", _xlpm._fltB), _xlpm._fltB),
  _xlpm._cnt, _xlfn.SCAN(0, _xlpm._fltZ, _xlfn.LAMBDA(_xlpm._acc,_xlpm._val, _xlpm._acc + IF( ISNUMBER(_xlpm._val), 1, 0))),
  _xlpm._cnt
)</f>
        <v>1</v>
      </c>
      <c r="F267" s="16">
        <v>2</v>
      </c>
      <c r="G267" s="16">
        <v>2</v>
      </c>
      <c r="H267" s="16">
        <v>3</v>
      </c>
      <c r="I267" s="16">
        <v>4</v>
      </c>
      <c r="J267" s="16">
        <v>5</v>
      </c>
      <c r="K267" s="16">
        <v>6</v>
      </c>
      <c r="L267" s="16">
        <v>6</v>
      </c>
      <c r="M267" s="16">
        <v>7</v>
      </c>
      <c r="N267" s="16">
        <v>8</v>
      </c>
      <c r="O267" s="16">
        <v>9</v>
      </c>
      <c r="P267" s="16">
        <v>9</v>
      </c>
      <c r="Q267" s="16">
        <v>10</v>
      </c>
      <c r="R267" s="16">
        <v>11</v>
      </c>
      <c r="S267" s="16">
        <v>12</v>
      </c>
      <c r="T267" s="16">
        <v>12</v>
      </c>
      <c r="U267" s="16">
        <v>13</v>
      </c>
      <c r="V267" s="16">
        <v>14</v>
      </c>
      <c r="W267" s="16">
        <v>14</v>
      </c>
      <c r="X267" s="16">
        <v>15</v>
      </c>
      <c r="Y267" s="16">
        <v>16</v>
      </c>
      <c r="Z267" s="16">
        <v>16</v>
      </c>
      <c r="AA267" s="16">
        <v>17</v>
      </c>
      <c r="AB267" s="16">
        <v>18</v>
      </c>
    </row>
    <row r="268" spans="3:28" x14ac:dyDescent="0.3">
      <c r="D268" s="21" t="s">
        <v>51</v>
      </c>
      <c r="E268" s="16">
        <f xml:space="preserve"> MAX(_xlfn.ANCHORARRAY(E267))</f>
        <v>18</v>
      </c>
      <c r="F268" s="17" t="str" cm="1">
        <f t="array" aca="1" ref="F268:F277" ca="1" xml:space="preserve"> _xlfn.TEXTSPLIT( _xlfn.FORMULATEXT(E267), , CHAR(10))</f>
        <v>= LET(</v>
      </c>
    </row>
    <row r="269" spans="3:28" x14ac:dyDescent="0.3">
      <c r="F269" s="17" t="str">
        <f ca="1"/>
        <v xml:space="preserve">  _arr, E$15:AB$15,</v>
      </c>
    </row>
    <row r="270" spans="3:28" x14ac:dyDescent="0.3">
      <c r="F270" s="17" t="str">
        <f ca="1"/>
        <v xml:space="preserve">  _igB, E264,</v>
      </c>
    </row>
    <row r="271" spans="3:28" x14ac:dyDescent="0.3">
      <c r="F271" s="17" t="str">
        <f ca="1"/>
        <v xml:space="preserve">  _igZ, E265,</v>
      </c>
    </row>
    <row r="272" spans="3:28" x14ac:dyDescent="0.3">
      <c r="F272" s="17" t="str">
        <f ca="1"/>
        <v xml:space="preserve">  _fltE, IF( ISERROR(_arr), " ", _arr),</v>
      </c>
    </row>
    <row r="273" spans="2:29" x14ac:dyDescent="0.3">
      <c r="F273" s="17" t="str">
        <f ca="1"/>
        <v xml:space="preserve">  _fltB, IF(_igB, IF( ISBLANK(_arr), " ", _fltE), _fltE),</v>
      </c>
    </row>
    <row r="274" spans="2:29" x14ac:dyDescent="0.3">
      <c r="F274" s="17" t="str">
        <f ca="1"/>
        <v xml:space="preserve">  _fltZ, IF(_igZ, IF((--NOT(ISERROR(_arr)) * --NOT(ISBLANK(_arr)) * --(IFERROR(_arr, " ") = 0)), " ", _fltB), _fltB),</v>
      </c>
    </row>
    <row r="275" spans="2:29" x14ac:dyDescent="0.3">
      <c r="F275" s="17" t="str">
        <f ca="1"/>
        <v xml:space="preserve">  _cnt, SCAN(0, _fltZ, LAMBDA(_acc,_val, _acc + IF( ISNUMBER(_val), 1, 0))),</v>
      </c>
    </row>
    <row r="276" spans="2:29" x14ac:dyDescent="0.3">
      <c r="F276" s="17" t="str">
        <f ca="1"/>
        <v xml:space="preserve">  _cnt</v>
      </c>
    </row>
    <row r="277" spans="2:29" x14ac:dyDescent="0.3">
      <c r="F277" s="17" t="str">
        <f ca="1"/>
        <v>)</v>
      </c>
    </row>
    <row r="279" spans="2:29" x14ac:dyDescent="0.3">
      <c r="B279" s="11" t="s">
        <v>47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1" spans="2:29" x14ac:dyDescent="0.3">
      <c r="C281" s="12" t="s">
        <v>48</v>
      </c>
    </row>
    <row r="283" spans="2:29" x14ac:dyDescent="0.3">
      <c r="D283" s="21" t="s">
        <v>46</v>
      </c>
      <c r="E283" s="27"/>
    </row>
    <row r="284" spans="2:29" x14ac:dyDescent="0.3">
      <c r="D284" s="21" t="s">
        <v>38</v>
      </c>
      <c r="E284" s="22">
        <v>1</v>
      </c>
    </row>
    <row r="285" spans="2:29" x14ac:dyDescent="0.3">
      <c r="D285" s="21" t="s">
        <v>39</v>
      </c>
      <c r="E285" s="22">
        <v>1</v>
      </c>
    </row>
    <row r="287" spans="2:29" x14ac:dyDescent="0.3">
      <c r="E287" s="58" cm="1">
        <f t="array" ref="E287:AB287" xml:space="preserve"> _xlfn.LET(
  _xlpm._arr, E$15:AB$15,
  _xlpm._calc, IF( ISBLANK(E283), 1, E283),
  _xlpm._num, IF( ISNUMBER(_xlpm._calc), _xlpm._calc, IFERROR( MATCH(LOWER(_xlpm._calc), {"sum","count","avg","min","max"}, 0), 0)),
  _xlpm._igB, IF( ISBLANK(E284), 0, E284),
  _xlpm._igZ, IF( ISBLANK(E285), 0, E285),
  _xlpm._inpChk, IF( OR(
    AND( ROWS(_xlpm._arr) &gt; 1, COLUMNS(_xlpm._arr) &gt; 1),
    ROWS(_xlpm._arr) &lt; 1, COLUMNS(_xlpm._arr) &lt; 1,
    _xlpm._num &lt; 1, _xlpm._num &gt; 5
  ), 2, 1),
  _xlpm._fltE, IF( ISERROR(_xlpm._arr), " ", _xlpm._arr),
  _xlpm._fltB, IF(_xlpm._igB, IF( ISBLANK(_xlpm._arr), " ", _xlpm._fltE), _xlpm._fltE),
  _xlpm._fltZ, IF(_xlpm._igZ, IF((--NOT(ISERROR(_xlpm._arr)) * --NOT(ISBLANK(_xlpm._arr)) * --(IFERROR(_xlpm._arr, " ") = 0)), " ", _xlpm._fltB), _xlpm._fltB),
  _xlpm._fst, INDEX(_xlpm._fltZ, 1, 1),
  _xlpm._init, IF((--(_xlpm._fst &lt;&gt; " ") * --NOT(ISBLANK(_xlpm._fst)) * --(IFERROR(_xlpm._fst, " ") = 0)), _xlpm._fst, NA()),
  _xlpm._sum, IF( OR(_xlpm._num = 1, _xlpm._num = 3),
    _xlfn.SCAN(0, _xlpm._fltZ, _xlfn.LAMBDA(_xlpm._acc,_xlpm._val, _xlpm._acc + IF( ISNUMBER(_xlpm._val), _xlpm._val, 0))),
    ""
  ),
  _xlpm._cnt, IF( OR(_xlpm._num = 2, _xlpm._num = 3),
    _xlfn.SCAN(0, _xlpm._fltZ, _xlfn.LAMBDA(_xlpm._acc,_xlpm._val, _xlpm._acc + IF( ISNUMBER(_xlpm._val), 1, 0))),
    ""
  ),
  _xlpm._out, CHOOSE(_xlpm._num,
    _xlpm._sum,
    _xlpm._cnt,
    IF(_xlpm._cnt &lt;&gt; 0, _xlpm._sum / _xlpm._cnt, 0),
    _xlfn.SCAN(_xlpm._init, _xlpm._fltZ, _xlfn.LAMBDA(_xlpm._acc,_xlpm._val, _xlfn.IFS( AND( ISNA(_xlpm._acc), ISNUMBER(_xlpm._val)), _xlpm._val, ISNUMBER(_xlpm._val), MIN(_xlpm._acc, _xlpm._val), TRUE, _xlpm._acc))),
    _xlfn.SCAN(_xlpm._init, _xlpm._fltZ, _xlfn.LAMBDA(_xlpm._acc,_xlpm._val, _xlfn.IFS( AND( ISNA(_xlpm._acc), ISNUMBER(_xlpm._val)), _xlpm._val, ISNUMBER(_xlpm._val), MAX(_xlpm._acc, _xlpm._val), TRUE, _xlpm._acc)))
  ),
  CHOOSE(_xlpm._inpChk, _xlpm._out, #VALUE!)
)</f>
        <v>25</v>
      </c>
      <c r="F287" s="16">
        <v>100</v>
      </c>
      <c r="G287" s="16">
        <v>100</v>
      </c>
      <c r="H287" s="16">
        <v>146</v>
      </c>
      <c r="I287" s="16">
        <v>211</v>
      </c>
      <c r="J287" s="16">
        <v>252</v>
      </c>
      <c r="K287" s="16">
        <v>291</v>
      </c>
      <c r="L287" s="16">
        <v>291</v>
      </c>
      <c r="M287" s="16">
        <v>363</v>
      </c>
      <c r="N287" s="16">
        <v>372</v>
      </c>
      <c r="O287" s="16">
        <v>429</v>
      </c>
      <c r="P287" s="16">
        <v>429</v>
      </c>
      <c r="Q287" s="16">
        <v>493</v>
      </c>
      <c r="R287" s="16">
        <v>591</v>
      </c>
      <c r="S287" s="16">
        <v>601</v>
      </c>
      <c r="T287" s="16">
        <v>601</v>
      </c>
      <c r="U287" s="16">
        <v>693</v>
      </c>
      <c r="V287" s="16">
        <v>771</v>
      </c>
      <c r="W287" s="16">
        <v>771</v>
      </c>
      <c r="X287" s="16">
        <v>780</v>
      </c>
      <c r="Y287" s="16">
        <v>843</v>
      </c>
      <c r="Z287" s="16">
        <v>843</v>
      </c>
      <c r="AA287" s="16">
        <v>895</v>
      </c>
      <c r="AB287" s="16">
        <v>995</v>
      </c>
    </row>
    <row r="288" spans="2:29" x14ac:dyDescent="0.3">
      <c r="E288" s="17" t="str" cm="1">
        <f t="array" aca="1" ref="E288:E320" ca="1" xml:space="preserve"> _xlfn.TEXTSPLIT( _xlfn.FORMULATEXT(E287), , CHAR(10))</f>
        <v>= LET(</v>
      </c>
    </row>
    <row r="289" spans="5:5" x14ac:dyDescent="0.3">
      <c r="E289" s="17" t="str">
        <f ca="1"/>
        <v xml:space="preserve">  _arr, E$15:AB$15,</v>
      </c>
    </row>
    <row r="290" spans="5:5" x14ac:dyDescent="0.3">
      <c r="E290" s="17" t="str">
        <f ca="1"/>
        <v xml:space="preserve">  _calc, IF( ISBLANK(E283), 1, E283),</v>
      </c>
    </row>
    <row r="291" spans="5:5" x14ac:dyDescent="0.3">
      <c r="E291" s="17" t="str">
        <f ca="1"/>
        <v xml:space="preserve">  _num, IF( ISNUMBER(_calc), _calc, IFERROR( MATCH(LOWER(_calc), {"sum","count","avg","min","max"}, 0), 0)),</v>
      </c>
    </row>
    <row r="292" spans="5:5" x14ac:dyDescent="0.3">
      <c r="E292" s="17" t="str">
        <f ca="1"/>
        <v xml:space="preserve">  _igB, IF( ISBLANK(E284), 0, E284),</v>
      </c>
    </row>
    <row r="293" spans="5:5" x14ac:dyDescent="0.3">
      <c r="E293" s="17" t="str">
        <f ca="1"/>
        <v xml:space="preserve">  _igZ, IF( ISBLANK(E285), 0, E285),</v>
      </c>
    </row>
    <row r="294" spans="5:5" x14ac:dyDescent="0.3">
      <c r="E294" s="17" t="str">
        <f ca="1"/>
        <v xml:space="preserve">  _inpChk, IF( OR(</v>
      </c>
    </row>
    <row r="295" spans="5:5" x14ac:dyDescent="0.3">
      <c r="E295" s="17" t="str">
        <f ca="1"/>
        <v xml:space="preserve">    AND( ROWS(_arr) &gt; 1, COLUMNS(_arr) &gt; 1),</v>
      </c>
    </row>
    <row r="296" spans="5:5" x14ac:dyDescent="0.3">
      <c r="E296" s="17" t="str">
        <f ca="1"/>
        <v xml:space="preserve">    ROWS(_arr) &lt; 1, COLUMNS(_arr) &lt; 1,</v>
      </c>
    </row>
    <row r="297" spans="5:5" x14ac:dyDescent="0.3">
      <c r="E297" s="17" t="str">
        <f ca="1"/>
        <v xml:space="preserve">    _num &lt; 1, _num &gt; 5</v>
      </c>
    </row>
    <row r="298" spans="5:5" x14ac:dyDescent="0.3">
      <c r="E298" s="17" t="str">
        <f ca="1"/>
        <v xml:space="preserve">  ), 2, 1),</v>
      </c>
    </row>
    <row r="299" spans="5:5" x14ac:dyDescent="0.3">
      <c r="E299" s="17" t="str">
        <f ca="1"/>
        <v xml:space="preserve">  _fltE, IF( ISERROR(_arr), " ", _arr),</v>
      </c>
    </row>
    <row r="300" spans="5:5" x14ac:dyDescent="0.3">
      <c r="E300" s="17" t="str">
        <f ca="1"/>
        <v xml:space="preserve">  _fltB, IF(_igB, IF( ISBLANK(_arr), " ", _fltE), _fltE),</v>
      </c>
    </row>
    <row r="301" spans="5:5" x14ac:dyDescent="0.3">
      <c r="E301" s="17" t="str">
        <f ca="1"/>
        <v xml:space="preserve">  _fltZ, IF(_igZ, IF((--NOT(ISERROR(_arr)) * --NOT(ISBLANK(_arr)) * --(IFERROR(_arr, " ") = 0)), " ", _fltB), _fltB),</v>
      </c>
    </row>
    <row r="302" spans="5:5" x14ac:dyDescent="0.3">
      <c r="E302" s="17" t="str">
        <f ca="1"/>
        <v xml:space="preserve">  _fst, INDEX(_fltZ, 1, 1),</v>
      </c>
    </row>
    <row r="303" spans="5:5" x14ac:dyDescent="0.3">
      <c r="E303" s="17" t="str">
        <f ca="1"/>
        <v xml:space="preserve">  _init, IF((--(_fst &lt;&gt; " ") * --NOT(ISBLANK(_fst)) * --(IFERROR(_fst, " ") = 0)), _fst, NA()),</v>
      </c>
    </row>
    <row r="304" spans="5:5" x14ac:dyDescent="0.3">
      <c r="E304" s="17" t="str">
        <f ca="1"/>
        <v xml:space="preserve">  _sum, IF( OR(_num = 1, _num = 3),</v>
      </c>
    </row>
    <row r="305" spans="5:5" x14ac:dyDescent="0.3">
      <c r="E305" s="17" t="str">
        <f ca="1"/>
        <v xml:space="preserve">    SCAN(0, _fltZ, LAMBDA(_acc,_val, _acc + IF( ISNUMBER(_val), _val, 0))),</v>
      </c>
    </row>
    <row r="306" spans="5:5" x14ac:dyDescent="0.3">
      <c r="E306" s="17" t="str">
        <f ca="1"/>
        <v xml:space="preserve">    ""</v>
      </c>
    </row>
    <row r="307" spans="5:5" x14ac:dyDescent="0.3">
      <c r="E307" s="17" t="str">
        <f ca="1"/>
        <v xml:space="preserve">  ),</v>
      </c>
    </row>
    <row r="308" spans="5:5" x14ac:dyDescent="0.3">
      <c r="E308" s="17" t="str">
        <f ca="1"/>
        <v xml:space="preserve">  _cnt, IF( OR(_num = 2, _num = 3),</v>
      </c>
    </row>
    <row r="309" spans="5:5" x14ac:dyDescent="0.3">
      <c r="E309" s="17" t="str">
        <f ca="1"/>
        <v xml:space="preserve">    SCAN(0, _fltZ, LAMBDA(_acc,_val, _acc + IF( ISNUMBER(_val), 1, 0))),</v>
      </c>
    </row>
    <row r="310" spans="5:5" x14ac:dyDescent="0.3">
      <c r="E310" s="17" t="str">
        <f ca="1"/>
        <v xml:space="preserve">    ""</v>
      </c>
    </row>
    <row r="311" spans="5:5" x14ac:dyDescent="0.3">
      <c r="E311" s="17" t="str">
        <f ca="1"/>
        <v xml:space="preserve">  ),</v>
      </c>
    </row>
    <row r="312" spans="5:5" x14ac:dyDescent="0.3">
      <c r="E312" s="17" t="str">
        <f ca="1"/>
        <v xml:space="preserve">  _out, CHOOSE(_num,</v>
      </c>
    </row>
    <row r="313" spans="5:5" x14ac:dyDescent="0.3">
      <c r="E313" s="17" t="str">
        <f ca="1"/>
        <v xml:space="preserve">    _sum,</v>
      </c>
    </row>
    <row r="314" spans="5:5" x14ac:dyDescent="0.3">
      <c r="E314" s="17" t="str">
        <f ca="1"/>
        <v xml:space="preserve">    _cnt,</v>
      </c>
    </row>
    <row r="315" spans="5:5" x14ac:dyDescent="0.3">
      <c r="E315" s="17" t="str">
        <f ca="1"/>
        <v xml:space="preserve">    IF(_cnt &lt;&gt; 0, _sum / _cnt, 0),</v>
      </c>
    </row>
    <row r="316" spans="5:5" x14ac:dyDescent="0.3">
      <c r="E316" s="17" t="str">
        <f ca="1"/>
        <v xml:space="preserve">    SCAN(_init, _fltZ, LAMBDA(_acc,_val, IFS( AND( ISNA(_acc), ISNUMBER(_val)), _val, ISNUMBER(_val), MIN(_acc, _val), TRUE, _acc))),</v>
      </c>
    </row>
    <row r="317" spans="5:5" x14ac:dyDescent="0.3">
      <c r="E317" s="17" t="str">
        <f ca="1"/>
        <v xml:space="preserve">    SCAN(_init, _fltZ, LAMBDA(_acc,_val, IFS( AND( ISNA(_acc), ISNUMBER(_val)), _val, ISNUMBER(_val), MAX(_acc, _val), TRUE, _acc)))</v>
      </c>
    </row>
    <row r="318" spans="5:5" x14ac:dyDescent="0.3">
      <c r="E318" s="17" t="str">
        <f ca="1"/>
        <v xml:space="preserve">  ),</v>
      </c>
    </row>
    <row r="319" spans="5:5" x14ac:dyDescent="0.3">
      <c r="E319" s="17" t="str">
        <f ca="1"/>
        <v xml:space="preserve">  CHOOSE(_inpChk, _out, #VALUE!)</v>
      </c>
    </row>
    <row r="320" spans="5:5" x14ac:dyDescent="0.3">
      <c r="E320" s="17" t="str">
        <f ca="1"/>
        <v>)</v>
      </c>
    </row>
    <row r="321" spans="3:28" x14ac:dyDescent="0.3">
      <c r="E321" s="17"/>
    </row>
    <row r="322" spans="3:28" x14ac:dyDescent="0.3">
      <c r="C322" s="12" t="s">
        <v>62</v>
      </c>
    </row>
    <row r="324" spans="3:28" x14ac:dyDescent="0.3">
      <c r="D324" s="21" t="s">
        <v>46</v>
      </c>
      <c r="E324" s="27">
        <v>1</v>
      </c>
    </row>
    <row r="325" spans="3:28" x14ac:dyDescent="0.3">
      <c r="D325" s="21" t="s">
        <v>38</v>
      </c>
      <c r="E325" s="22">
        <v>1</v>
      </c>
    </row>
    <row r="326" spans="3:28" x14ac:dyDescent="0.3">
      <c r="D326" s="21" t="s">
        <v>39</v>
      </c>
      <c r="E326" s="22">
        <v>1</v>
      </c>
    </row>
    <row r="327" spans="3:28" x14ac:dyDescent="0.3">
      <c r="D327" s="21" t="s">
        <v>49</v>
      </c>
      <c r="E327" s="22">
        <v>0</v>
      </c>
    </row>
    <row r="329" spans="3:28" x14ac:dyDescent="0.3">
      <c r="E329" s="58" cm="1">
        <f t="array" ref="E329:AB329" xml:space="preserve"> _xlfn.LAMBDA(_xlpm.array,_xlpm.calculation,_xlop.ignore_blanks,_xlop.ignore_zeros,_xlop.vertical_output,
  _xlfn.LET(
    _xlpm._num, IF( ISNUMBER(_xlpm.calculation), _xlpm.calculation, IFERROR( MATCH(LOWER(_xlpm.calculation), {"sum","count","avg","min","max"}, 0), 0)),
    _xlpm._igB, IF( _xlfn.ISOMITTED(_xlpm.ignore_blanks), 0, _xlpm.ignore_blanks),
    _xlpm._igZ, IF( _xlfn.ISOMITTED(_xlpm.ignore_zeros), 0, _xlpm.ignore_zeros),
    _xlpm._vOut, IF( _xlfn.ISOMITTED(_xlpm.vertical_output), -1, IF(_xlpm.vertical_output, 1, 0)),
    _xlpm._inpChk, IF( OR(
      AND( ROWS(_xlpm.array) &gt; 1, COLUMNS(_xlpm.array) &gt; 1),
      ROWS(_xlpm.array) &lt; 1, COLUMNS(_xlpm.array) &lt; 1),
      2,
      IF( OR(
        AND( NOT(ISLOGICAL(_xlpm._igB)), NOT(ISNUMBER(_xlpm._igB))),
        AND( NOT(ISLOGICAL(_xlpm._igZ)), NOT(ISNUMBER(_xlpm._igZ))),
        _xlpm._num &lt; 1, _xlpm._num &gt; 5),
        3, 1
      )
    ),
    _xlpm._vrt, ROWS(_xlpm.array) &gt; COLUMNS(_xlpm.array),
    _xlpm._fltE, IF( ISERROR(_xlpm.array), " ", _xlpm.array),
    _xlpm._fltB, IF(_xlpm._igB, IF( ISBLANK(_xlpm.array), " ", _xlpm._fltE), _xlpm._fltE),
    _xlpm._fltZ, IF(_xlpm._igZ, IF((--NOT(ISERROR(_xlpm.array)) * --NOT(ISBLANK(_xlpm.array)) * --(IFERROR(_xlpm.array, " ") = 0)), " ", _xlpm._fltB), _xlpm._fltB),
    _xlpm._fst, INDEX(_xlpm._fltZ, 1, 1),
    _xlpm._init, IF((--(_xlpm._fst &lt;&gt; " ") * --NOT(ISBLANK(_xlpm._fst)) * --(IFERROR(_xlpm._fst, " ") = 0)), _xlpm._fst, NA()),
    _xlpm._sum, IF( OR(_xlpm._num = 1, _xlpm._num = 3),
      _xlfn.SCAN(0, _xlpm._fltZ, _xlfn.LAMBDA(_xlpm._acc,_xlpm._val, _xlpm._acc + IF( ISNUMBER(_xlpm._val), _xlpm._val, 0))),
      ""
    ),
    _xlpm._cnt, IF( OR(_xlpm._num = 2, _xlpm._num = 3),
      _xlfn.SCAN(0, _xlpm._fltZ, _xlfn.LAMBDA(_xlpm._acc,_xlpm._val, _xlpm._acc + IF( ISNUMBER(_xlpm._val), 1, 0))),
      ""
    ),
    _xlpm._out, CHOOSE(_xlpm._num,
      _xlpm._sum,
      _xlpm._cnt,
      IF(_xlpm._cnt &lt;&gt; 0, _xlpm._sum / _xlpm._cnt, 0),
      _xlfn.SCAN(_xlpm._init, _xlpm._fltZ, _xlfn.LAMBDA(_xlpm._acc,_xlpm._val, _xlfn.IFS( AND( ISNA(_xlpm._acc), ISNUMBER(_xlpm._val)), _xlpm._val, ISNUMBER(_xlpm._val), MIN(_xlpm._acc, _xlpm._val), TRUE, _xlpm._acc))),
      _xlfn.SCAN(_xlpm._init, _xlpm._fltZ, _xlfn.LAMBDA(_xlpm._acc,_xlpm._val, _xlfn.IFS( AND( ISNA(_xlpm._acc), ISNUMBER(_xlpm._val)), _xlpm._val, ISNUMBER(_xlpm._val), MAX(_xlpm._acc, _xlpm._val), TRUE, _xlpm._acc)))
    ),
    _xlpm._rtn, _xlfn.IFS(
      _xlpm._vOut &lt; 0, _xlpm._out,
      OR(
        AND(_xlpm._vOut, NOT(_xlpm._vrt)),
        AND(NOT(_xlpm._vOut), _xlpm._vrt)
      ),
      TRANSPOSE(_xlpm._out),
      TRUE, _xlpm._out
    ),
    CHOOSE(_xlpm._inpChk, _xlpm._rtn, _xlfn.LAMBDA(0), #VALUE!)
  )
)(E$15:AB$15, E324, E325, E326, E327)</f>
        <v>25</v>
      </c>
      <c r="F329" s="16">
        <v>100</v>
      </c>
      <c r="G329" s="16">
        <v>100</v>
      </c>
      <c r="H329" s="16">
        <v>146</v>
      </c>
      <c r="I329" s="16">
        <v>211</v>
      </c>
      <c r="J329" s="16">
        <v>252</v>
      </c>
      <c r="K329" s="16">
        <v>291</v>
      </c>
      <c r="L329" s="16">
        <v>291</v>
      </c>
      <c r="M329" s="16">
        <v>363</v>
      </c>
      <c r="N329" s="16">
        <v>372</v>
      </c>
      <c r="O329" s="16">
        <v>429</v>
      </c>
      <c r="P329" s="16">
        <v>429</v>
      </c>
      <c r="Q329" s="16">
        <v>493</v>
      </c>
      <c r="R329" s="16">
        <v>591</v>
      </c>
      <c r="S329" s="16">
        <v>601</v>
      </c>
      <c r="T329" s="16">
        <v>601</v>
      </c>
      <c r="U329" s="16">
        <v>693</v>
      </c>
      <c r="V329" s="16">
        <v>771</v>
      </c>
      <c r="W329" s="16">
        <v>771</v>
      </c>
      <c r="X329" s="16">
        <v>780</v>
      </c>
      <c r="Y329" s="16">
        <v>843</v>
      </c>
      <c r="Z329" s="16">
        <v>843</v>
      </c>
      <c r="AA329" s="16">
        <v>895</v>
      </c>
      <c r="AB329" s="16">
        <v>995</v>
      </c>
    </row>
    <row r="330" spans="3:28" x14ac:dyDescent="0.3">
      <c r="E330" s="16"/>
      <c r="F330" s="17" t="str" cm="1">
        <f t="array" aca="1" ref="F330:F379" ca="1" xml:space="preserve"> _xlfn.TEXTSPLIT( _xlfn.FORMULATEXT(E329), , CHAR(10))</f>
        <v>= LAMBDA(array,calculation,[ignore_blanks],[ignore_zeros],[vertical_output],</v>
      </c>
    </row>
    <row r="331" spans="3:28" x14ac:dyDescent="0.3">
      <c r="E331" s="16"/>
      <c r="F331" s="17" t="str">
        <f ca="1"/>
        <v xml:space="preserve">  LET(</v>
      </c>
    </row>
    <row r="332" spans="3:28" x14ac:dyDescent="0.3">
      <c r="E332" s="16"/>
      <c r="F332" s="17" t="str">
        <f ca="1"/>
        <v xml:space="preserve">    _num, IF( ISNUMBER(calculation), calculation, IFERROR( MATCH(LOWER(calculation), {"sum","count","avg","min","max"}, 0), 0)),</v>
      </c>
    </row>
    <row r="333" spans="3:28" x14ac:dyDescent="0.3">
      <c r="E333" s="16"/>
      <c r="F333" s="17" t="str">
        <f ca="1"/>
        <v xml:space="preserve">    _igB, IF( ISOMITTED(ignore_blanks), 0, ignore_blanks),</v>
      </c>
    </row>
    <row r="334" spans="3:28" x14ac:dyDescent="0.3">
      <c r="E334" s="16"/>
      <c r="F334" s="17" t="str">
        <f ca="1"/>
        <v xml:space="preserve">    _igZ, IF( ISOMITTED(ignore_zeros), 0, ignore_zeros),</v>
      </c>
    </row>
    <row r="335" spans="3:28" x14ac:dyDescent="0.3">
      <c r="E335" s="16"/>
      <c r="F335" s="17" t="str">
        <f ca="1"/>
        <v xml:space="preserve">    _vOut, IF( ISOMITTED(vertical_output), -1, IF(vertical_output, 1, 0)),</v>
      </c>
    </row>
    <row r="336" spans="3:28" x14ac:dyDescent="0.3">
      <c r="E336" s="16"/>
      <c r="F336" s="17" t="str">
        <f ca="1"/>
        <v xml:space="preserve">    _inpChk, IF( OR(</v>
      </c>
    </row>
    <row r="337" spans="5:6" x14ac:dyDescent="0.3">
      <c r="E337" s="16"/>
      <c r="F337" s="17" t="str">
        <f ca="1"/>
        <v xml:space="preserve">      AND( ROWS(array) &gt; 1, COLUMNS(array) &gt; 1),</v>
      </c>
    </row>
    <row r="338" spans="5:6" x14ac:dyDescent="0.3">
      <c r="E338" s="16"/>
      <c r="F338" s="17" t="str">
        <f ca="1"/>
        <v xml:space="preserve">      ROWS(array) &lt; 1, COLUMNS(array) &lt; 1),</v>
      </c>
    </row>
    <row r="339" spans="5:6" x14ac:dyDescent="0.3">
      <c r="E339" s="16"/>
      <c r="F339" s="17" t="str">
        <f ca="1"/>
        <v xml:space="preserve">      2,</v>
      </c>
    </row>
    <row r="340" spans="5:6" x14ac:dyDescent="0.3">
      <c r="E340" s="16"/>
      <c r="F340" s="17" t="str">
        <f ca="1"/>
        <v xml:space="preserve">      IF( OR(</v>
      </c>
    </row>
    <row r="341" spans="5:6" x14ac:dyDescent="0.3">
      <c r="E341" s="16"/>
      <c r="F341" s="17" t="str">
        <f ca="1"/>
        <v xml:space="preserve">        AND( NOT(ISLOGICAL(_igB)), NOT(ISNUMBER(_igB))),</v>
      </c>
    </row>
    <row r="342" spans="5:6" x14ac:dyDescent="0.3">
      <c r="E342" s="16"/>
      <c r="F342" s="17" t="str">
        <f ca="1"/>
        <v xml:space="preserve">        AND( NOT(ISLOGICAL(_igZ)), NOT(ISNUMBER(_igZ))),</v>
      </c>
    </row>
    <row r="343" spans="5:6" x14ac:dyDescent="0.3">
      <c r="E343" s="16"/>
      <c r="F343" s="17" t="str">
        <f ca="1"/>
        <v xml:space="preserve">        _num &lt; 1, _num &gt; 5),</v>
      </c>
    </row>
    <row r="344" spans="5:6" x14ac:dyDescent="0.3">
      <c r="E344" s="16"/>
      <c r="F344" s="17" t="str">
        <f ca="1"/>
        <v xml:space="preserve">        3, 1</v>
      </c>
    </row>
    <row r="345" spans="5:6" x14ac:dyDescent="0.3">
      <c r="E345" s="16"/>
      <c r="F345" s="17" t="str">
        <f ca="1"/>
        <v xml:space="preserve">      )</v>
      </c>
    </row>
    <row r="346" spans="5:6" x14ac:dyDescent="0.3">
      <c r="E346" s="16"/>
      <c r="F346" s="17" t="str">
        <f ca="1"/>
        <v xml:space="preserve">    ),</v>
      </c>
    </row>
    <row r="347" spans="5:6" x14ac:dyDescent="0.3">
      <c r="E347" s="16"/>
      <c r="F347" s="17" t="str">
        <f ca="1"/>
        <v xml:space="preserve">    _vrt, ROWS(array) &gt; COLUMNS(array),</v>
      </c>
    </row>
    <row r="348" spans="5:6" x14ac:dyDescent="0.3">
      <c r="E348" s="16"/>
      <c r="F348" s="17" t="str">
        <f ca="1"/>
        <v xml:space="preserve">    _fltE, IF( ISERROR(array), " ", array),</v>
      </c>
    </row>
    <row r="349" spans="5:6" x14ac:dyDescent="0.3">
      <c r="E349" s="16"/>
      <c r="F349" s="17" t="str">
        <f ca="1"/>
        <v xml:space="preserve">    _fltB, IF(_igB, IF( ISBLANK(array), " ", _fltE), _fltE),</v>
      </c>
    </row>
    <row r="350" spans="5:6" x14ac:dyDescent="0.3">
      <c r="E350" s="16"/>
      <c r="F350" s="17" t="str">
        <f ca="1"/>
        <v xml:space="preserve">    _fltZ, IF(_igZ, IF((--NOT(ISERROR(array)) * --NOT(ISBLANK(array)) * --(IFERROR(array, " ") = 0)), " ", _fltB), _fltB),</v>
      </c>
    </row>
    <row r="351" spans="5:6" x14ac:dyDescent="0.3">
      <c r="E351" s="16"/>
      <c r="F351" s="17" t="str">
        <f ca="1"/>
        <v xml:space="preserve">    _fst, INDEX(_fltZ, 1, 1),</v>
      </c>
    </row>
    <row r="352" spans="5:6" x14ac:dyDescent="0.3">
      <c r="E352" s="16"/>
      <c r="F352" s="17" t="str">
        <f ca="1"/>
        <v xml:space="preserve">    _init, IF((--(_fst &lt;&gt; " ") * --NOT(ISBLANK(_fst)) * --(IFERROR(_fst, " ") = 0)), _fst, NA()),</v>
      </c>
    </row>
    <row r="353" spans="6:6" x14ac:dyDescent="0.3">
      <c r="F353" s="17" t="str">
        <f ca="1"/>
        <v xml:space="preserve">    _sum, IF( OR(_num = 1, _num = 3),</v>
      </c>
    </row>
    <row r="354" spans="6:6" x14ac:dyDescent="0.3">
      <c r="F354" s="17" t="str">
        <f ca="1"/>
        <v xml:space="preserve">      SCAN(0, _fltZ, LAMBDA(_acc,_val, _acc + IF( ISNUMBER(_val), _val, 0))),</v>
      </c>
    </row>
    <row r="355" spans="6:6" x14ac:dyDescent="0.3">
      <c r="F355" s="17" t="str">
        <f ca="1"/>
        <v xml:space="preserve">      ""</v>
      </c>
    </row>
    <row r="356" spans="6:6" x14ac:dyDescent="0.3">
      <c r="F356" s="17" t="str">
        <f ca="1"/>
        <v xml:space="preserve">    ),</v>
      </c>
    </row>
    <row r="357" spans="6:6" x14ac:dyDescent="0.3">
      <c r="F357" s="17" t="str">
        <f ca="1"/>
        <v xml:space="preserve">    _cnt, IF( OR(_num = 2, _num = 3),</v>
      </c>
    </row>
    <row r="358" spans="6:6" x14ac:dyDescent="0.3">
      <c r="F358" s="17" t="str">
        <f ca="1"/>
        <v xml:space="preserve">      SCAN(0, _fltZ, LAMBDA(_acc,_val, _acc + IF( ISNUMBER(_val), 1, 0))),</v>
      </c>
    </row>
    <row r="359" spans="6:6" x14ac:dyDescent="0.3">
      <c r="F359" s="17" t="str">
        <f ca="1"/>
        <v xml:space="preserve">      ""</v>
      </c>
    </row>
    <row r="360" spans="6:6" x14ac:dyDescent="0.3">
      <c r="F360" s="17" t="str">
        <f ca="1"/>
        <v xml:space="preserve">    ),</v>
      </c>
    </row>
    <row r="361" spans="6:6" x14ac:dyDescent="0.3">
      <c r="F361" s="17" t="str">
        <f ca="1"/>
        <v xml:space="preserve">    _out, CHOOSE(_num,</v>
      </c>
    </row>
    <row r="362" spans="6:6" x14ac:dyDescent="0.3">
      <c r="F362" s="17" t="str">
        <f ca="1"/>
        <v xml:space="preserve">      _sum,</v>
      </c>
    </row>
    <row r="363" spans="6:6" x14ac:dyDescent="0.3">
      <c r="F363" s="17" t="str">
        <f ca="1"/>
        <v xml:space="preserve">      _cnt,</v>
      </c>
    </row>
    <row r="364" spans="6:6" x14ac:dyDescent="0.3">
      <c r="F364" s="17" t="str">
        <f ca="1"/>
        <v xml:space="preserve">      IF(_cnt &lt;&gt; 0, _sum / _cnt, 0),</v>
      </c>
    </row>
    <row r="365" spans="6:6" x14ac:dyDescent="0.3">
      <c r="F365" s="17" t="str">
        <f ca="1"/>
        <v xml:space="preserve">      SCAN(_init, _fltZ, LAMBDA(_acc,_val, IFS( AND( ISNA(_acc), ISNUMBER(_val)), _val, ISNUMBER(_val), MIN(_acc, _val), TRUE, _acc))),</v>
      </c>
    </row>
    <row r="366" spans="6:6" x14ac:dyDescent="0.3">
      <c r="F366" s="17" t="str">
        <f ca="1"/>
        <v xml:space="preserve">      SCAN(_init, _fltZ, LAMBDA(_acc,_val, IFS( AND( ISNA(_acc), ISNUMBER(_val)), _val, ISNUMBER(_val), MAX(_acc, _val), TRUE, _acc)))</v>
      </c>
    </row>
    <row r="367" spans="6:6" x14ac:dyDescent="0.3">
      <c r="F367" s="17" t="str">
        <f ca="1"/>
        <v xml:space="preserve">    ),</v>
      </c>
    </row>
    <row r="368" spans="6:6" x14ac:dyDescent="0.3">
      <c r="F368" s="17" t="str">
        <f ca="1"/>
        <v xml:space="preserve">    _rtn, IFS(</v>
      </c>
    </row>
    <row r="369" spans="2:6" x14ac:dyDescent="0.3">
      <c r="F369" s="17" t="str">
        <f ca="1"/>
        <v xml:space="preserve">      _vOut &lt; 0, _out,</v>
      </c>
    </row>
    <row r="370" spans="2:6" x14ac:dyDescent="0.3">
      <c r="F370" s="17" t="str">
        <f ca="1"/>
        <v xml:space="preserve">      OR(</v>
      </c>
    </row>
    <row r="371" spans="2:6" x14ac:dyDescent="0.3">
      <c r="F371" s="17" t="str">
        <f ca="1"/>
        <v xml:space="preserve">        AND(_vOut, NOT(_vrt)),</v>
      </c>
    </row>
    <row r="372" spans="2:6" x14ac:dyDescent="0.3">
      <c r="F372" s="17" t="str">
        <f ca="1"/>
        <v xml:space="preserve">        AND(NOT(_vOut), _vrt)</v>
      </c>
    </row>
    <row r="373" spans="2:6" x14ac:dyDescent="0.3">
      <c r="F373" s="17" t="str">
        <f ca="1"/>
        <v xml:space="preserve">      ),</v>
      </c>
    </row>
    <row r="374" spans="2:6" x14ac:dyDescent="0.3">
      <c r="F374" s="17" t="str">
        <f ca="1"/>
        <v xml:space="preserve">      TRANSPOSE(_out),</v>
      </c>
    </row>
    <row r="375" spans="2:6" x14ac:dyDescent="0.3">
      <c r="F375" s="17" t="str">
        <f ca="1"/>
        <v xml:space="preserve">      TRUE, _out</v>
      </c>
    </row>
    <row r="376" spans="2:6" x14ac:dyDescent="0.3">
      <c r="F376" s="17" t="str">
        <f ca="1"/>
        <v xml:space="preserve">    ),</v>
      </c>
    </row>
    <row r="377" spans="2:6" x14ac:dyDescent="0.3">
      <c r="F377" s="17" t="str">
        <f ca="1"/>
        <v xml:space="preserve">    CHOOSE(_inpChk, _rtn, LAMBDA(0), #VALUE!)</v>
      </c>
    </row>
    <row r="378" spans="2:6" x14ac:dyDescent="0.3">
      <c r="F378" s="17" t="str">
        <f ca="1"/>
        <v xml:space="preserve">  )</v>
      </c>
    </row>
    <row r="379" spans="2:6" x14ac:dyDescent="0.3">
      <c r="F379" s="17" t="str">
        <f ca="1"/>
        <v>)(E$15:AB$15, E324, E325, E326, E327)</v>
      </c>
    </row>
    <row r="382" spans="2:6" s="4" customFormat="1" ht="16.2" thickBot="1" x14ac:dyDescent="0.35">
      <c r="B382" s="5">
        <f xml:space="preserve"> MAX(B$1:B381) + 1</f>
        <v>3</v>
      </c>
      <c r="C382" s="4" t="s">
        <v>7</v>
      </c>
    </row>
    <row r="384" spans="2:6" x14ac:dyDescent="0.3">
      <c r="C384" s="28" t="s">
        <v>52</v>
      </c>
    </row>
    <row r="385" spans="3:11" x14ac:dyDescent="0.3">
      <c r="D385" t="s">
        <v>175</v>
      </c>
    </row>
    <row r="386" spans="3:11" x14ac:dyDescent="0.3">
      <c r="D386" s="42" t="s">
        <v>106</v>
      </c>
    </row>
    <row r="387" spans="3:11" x14ac:dyDescent="0.3">
      <c r="D387" t="s">
        <v>176</v>
      </c>
    </row>
    <row r="388" spans="3:11" x14ac:dyDescent="0.3">
      <c r="D388" t="s">
        <v>105</v>
      </c>
    </row>
    <row r="389" spans="3:11" x14ac:dyDescent="0.3">
      <c r="D389" s="42" t="s">
        <v>177</v>
      </c>
    </row>
    <row r="390" spans="3:11" x14ac:dyDescent="0.3">
      <c r="D390" t="s">
        <v>178</v>
      </c>
    </row>
    <row r="392" spans="3:11" x14ac:dyDescent="0.3">
      <c r="C392" s="28" t="s">
        <v>53</v>
      </c>
    </row>
    <row r="393" spans="3:11" x14ac:dyDescent="0.3">
      <c r="D393" s="29" t="s">
        <v>57</v>
      </c>
      <c r="F393" s="39" t="s">
        <v>107</v>
      </c>
      <c r="G393" t="s">
        <v>179</v>
      </c>
    </row>
    <row r="394" spans="3:11" x14ac:dyDescent="0.3">
      <c r="G394" s="41" t="s">
        <v>117</v>
      </c>
      <c r="K394" s="41" t="s">
        <v>180</v>
      </c>
    </row>
    <row r="395" spans="3:11" x14ac:dyDescent="0.3">
      <c r="K395" s="41" t="s">
        <v>181</v>
      </c>
    </row>
    <row r="396" spans="3:11" x14ac:dyDescent="0.3">
      <c r="D396" s="29" t="s">
        <v>58</v>
      </c>
      <c r="F396" s="39" t="s">
        <v>107</v>
      </c>
      <c r="G396" t="s">
        <v>182</v>
      </c>
    </row>
    <row r="397" spans="3:11" x14ac:dyDescent="0.3">
      <c r="G397" s="42" t="s">
        <v>109</v>
      </c>
    </row>
    <row r="398" spans="3:11" x14ac:dyDescent="0.3">
      <c r="G398" s="45">
        <v>1</v>
      </c>
      <c r="H398" s="46" t="s">
        <v>112</v>
      </c>
      <c r="I398" s="44" t="s">
        <v>187</v>
      </c>
    </row>
    <row r="399" spans="3:11" x14ac:dyDescent="0.3">
      <c r="G399" s="45">
        <v>2</v>
      </c>
      <c r="H399" s="46" t="s">
        <v>113</v>
      </c>
      <c r="I399" s="44" t="s">
        <v>188</v>
      </c>
    </row>
    <row r="400" spans="3:11" x14ac:dyDescent="0.3">
      <c r="G400" s="45">
        <v>3</v>
      </c>
      <c r="H400" s="46" t="s">
        <v>114</v>
      </c>
      <c r="I400" s="44" t="s">
        <v>189</v>
      </c>
    </row>
    <row r="401" spans="4:9" x14ac:dyDescent="0.3">
      <c r="G401" s="45">
        <v>4</v>
      </c>
      <c r="H401" s="46" t="s">
        <v>115</v>
      </c>
      <c r="I401" s="44" t="s">
        <v>190</v>
      </c>
    </row>
    <row r="402" spans="4:9" x14ac:dyDescent="0.3">
      <c r="G402" s="45">
        <v>5</v>
      </c>
      <c r="H402" s="46" t="s">
        <v>116</v>
      </c>
      <c r="I402" s="44" t="s">
        <v>191</v>
      </c>
    </row>
    <row r="403" spans="4:9" x14ac:dyDescent="0.3">
      <c r="D403" s="43" t="s">
        <v>59</v>
      </c>
      <c r="F403" s="40" t="s">
        <v>108</v>
      </c>
      <c r="G403" t="s">
        <v>183</v>
      </c>
    </row>
    <row r="404" spans="4:9" x14ac:dyDescent="0.3">
      <c r="G404" s="42" t="s">
        <v>110</v>
      </c>
    </row>
    <row r="405" spans="4:9" x14ac:dyDescent="0.3">
      <c r="G405" s="42" t="s">
        <v>111</v>
      </c>
    </row>
    <row r="406" spans="4:9" x14ac:dyDescent="0.3">
      <c r="D406" s="29" t="s">
        <v>60</v>
      </c>
      <c r="F406" s="40" t="s">
        <v>108</v>
      </c>
      <c r="G406" t="s">
        <v>184</v>
      </c>
    </row>
    <row r="407" spans="4:9" x14ac:dyDescent="0.3">
      <c r="G407" s="42" t="s">
        <v>110</v>
      </c>
    </row>
    <row r="408" spans="4:9" x14ac:dyDescent="0.3">
      <c r="G408" s="42" t="s">
        <v>111</v>
      </c>
    </row>
    <row r="409" spans="4:9" x14ac:dyDescent="0.3">
      <c r="D409" s="29" t="s">
        <v>197</v>
      </c>
      <c r="F409" s="40" t="s">
        <v>108</v>
      </c>
      <c r="G409" t="s">
        <v>198</v>
      </c>
    </row>
    <row r="410" spans="4:9" x14ac:dyDescent="0.3">
      <c r="G410" s="42" t="s">
        <v>110</v>
      </c>
    </row>
    <row r="411" spans="4:9" x14ac:dyDescent="0.3">
      <c r="G411" s="42" t="s">
        <v>111</v>
      </c>
    </row>
    <row r="412" spans="4:9" x14ac:dyDescent="0.3">
      <c r="D412" s="29"/>
      <c r="F412" s="40"/>
      <c r="G412" s="42" t="s">
        <v>199</v>
      </c>
    </row>
    <row r="413" spans="4:9" x14ac:dyDescent="0.3">
      <c r="D413" s="29" t="s">
        <v>61</v>
      </c>
      <c r="F413" s="40" t="s">
        <v>108</v>
      </c>
      <c r="G413" t="s">
        <v>118</v>
      </c>
    </row>
    <row r="414" spans="4:9" x14ac:dyDescent="0.3">
      <c r="G414" s="42" t="s">
        <v>110</v>
      </c>
    </row>
    <row r="415" spans="4:9" x14ac:dyDescent="0.3">
      <c r="G415" s="42" t="s">
        <v>119</v>
      </c>
    </row>
    <row r="417" spans="3:6" x14ac:dyDescent="0.3">
      <c r="C417" s="28" t="s">
        <v>56</v>
      </c>
    </row>
    <row r="418" spans="3:6" x14ac:dyDescent="0.3">
      <c r="D418" s="30" t="e" vm="1">
        <v>#VALUE!</v>
      </c>
      <c r="F418" s="47" t="s">
        <v>120</v>
      </c>
    </row>
    <row r="419" spans="3:6" x14ac:dyDescent="0.3">
      <c r="D419" s="30" t="e">
        <v>#VALUE!</v>
      </c>
      <c r="F419" s="47" t="s">
        <v>121</v>
      </c>
    </row>
    <row r="420" spans="3:6" x14ac:dyDescent="0.3">
      <c r="D420" s="30" t="e">
        <v>#VALUE!</v>
      </c>
      <c r="F420" s="47" t="s">
        <v>200</v>
      </c>
    </row>
    <row r="422" spans="3:6" x14ac:dyDescent="0.3">
      <c r="C422" s="28" t="s">
        <v>54</v>
      </c>
    </row>
    <row r="423" spans="3:6" x14ac:dyDescent="0.3">
      <c r="D423" s="31" t="s">
        <v>97</v>
      </c>
    </row>
    <row r="424" spans="3:6" x14ac:dyDescent="0.3">
      <c r="D424" s="37" t="s">
        <v>103</v>
      </c>
    </row>
    <row r="425" spans="3:6" x14ac:dyDescent="0.3">
      <c r="D425" s="36" t="s">
        <v>98</v>
      </c>
    </row>
    <row r="426" spans="3:6" x14ac:dyDescent="0.3">
      <c r="D426" s="36" t="s">
        <v>99</v>
      </c>
    </row>
    <row r="427" spans="3:6" x14ac:dyDescent="0.3">
      <c r="D427" s="36" t="s">
        <v>100</v>
      </c>
    </row>
    <row r="428" spans="3:6" x14ac:dyDescent="0.3">
      <c r="D428" s="36" t="s">
        <v>101</v>
      </c>
    </row>
    <row r="429" spans="3:6" x14ac:dyDescent="0.3">
      <c r="D429" s="36" t="s">
        <v>192</v>
      </c>
    </row>
    <row r="430" spans="3:6" x14ac:dyDescent="0.3">
      <c r="D430" s="36" t="s">
        <v>102</v>
      </c>
    </row>
    <row r="431" spans="3:6" x14ac:dyDescent="0.3">
      <c r="D431" s="37" t="s">
        <v>104</v>
      </c>
    </row>
    <row r="432" spans="3:6" x14ac:dyDescent="0.3">
      <c r="D432" s="32" t="s">
        <v>63</v>
      </c>
    </row>
    <row r="433" spans="4:4" x14ac:dyDescent="0.3">
      <c r="D433" s="38" t="s">
        <v>122</v>
      </c>
    </row>
    <row r="434" spans="4:4" x14ac:dyDescent="0.3">
      <c r="D434" s="33" t="s">
        <v>64</v>
      </c>
    </row>
    <row r="435" spans="4:4" x14ac:dyDescent="0.3">
      <c r="D435" s="38" t="s">
        <v>123</v>
      </c>
    </row>
    <row r="436" spans="4:4" x14ac:dyDescent="0.3">
      <c r="D436" s="33" t="s">
        <v>65</v>
      </c>
    </row>
    <row r="437" spans="4:4" x14ac:dyDescent="0.3">
      <c r="D437" s="33" t="s">
        <v>66</v>
      </c>
    </row>
    <row r="438" spans="4:4" x14ac:dyDescent="0.3">
      <c r="D438" s="33" t="s">
        <v>193</v>
      </c>
    </row>
    <row r="439" spans="4:4" x14ac:dyDescent="0.3">
      <c r="D439" s="33" t="s">
        <v>67</v>
      </c>
    </row>
    <row r="440" spans="4:4" x14ac:dyDescent="0.3">
      <c r="D440" s="38" t="s">
        <v>124</v>
      </c>
    </row>
    <row r="441" spans="4:4" x14ac:dyDescent="0.3">
      <c r="D441" s="38" t="s">
        <v>125</v>
      </c>
    </row>
    <row r="442" spans="4:4" x14ac:dyDescent="0.3">
      <c r="D442" s="38" t="s">
        <v>126</v>
      </c>
    </row>
    <row r="443" spans="4:4" x14ac:dyDescent="0.3">
      <c r="D443" s="33" t="s">
        <v>68</v>
      </c>
    </row>
    <row r="444" spans="4:4" x14ac:dyDescent="0.3">
      <c r="D444" s="34" t="s">
        <v>69</v>
      </c>
    </row>
    <row r="445" spans="4:4" x14ac:dyDescent="0.3">
      <c r="D445" s="34" t="s">
        <v>132</v>
      </c>
    </row>
    <row r="446" spans="4:4" x14ac:dyDescent="0.3">
      <c r="D446" s="34" t="s">
        <v>133</v>
      </c>
    </row>
    <row r="447" spans="4:4" x14ac:dyDescent="0.3">
      <c r="D447" s="34" t="s">
        <v>134</v>
      </c>
    </row>
    <row r="448" spans="4:4" x14ac:dyDescent="0.3">
      <c r="D448" s="35" t="s">
        <v>70</v>
      </c>
    </row>
    <row r="449" spans="4:4" x14ac:dyDescent="0.3">
      <c r="D449" s="35" t="s">
        <v>71</v>
      </c>
    </row>
    <row r="450" spans="4:4" x14ac:dyDescent="0.3">
      <c r="D450" s="35" t="s">
        <v>194</v>
      </c>
    </row>
    <row r="451" spans="4:4" x14ac:dyDescent="0.3">
      <c r="D451" s="35" t="s">
        <v>135</v>
      </c>
    </row>
    <row r="452" spans="4:4" x14ac:dyDescent="0.3">
      <c r="D452" s="35" t="s">
        <v>136</v>
      </c>
    </row>
    <row r="453" spans="4:4" x14ac:dyDescent="0.3">
      <c r="D453" s="34" t="s">
        <v>96</v>
      </c>
    </row>
    <row r="454" spans="4:4" x14ac:dyDescent="0.3">
      <c r="D454" s="33" t="s">
        <v>80</v>
      </c>
    </row>
    <row r="455" spans="4:4" x14ac:dyDescent="0.3">
      <c r="D455" s="38" t="s">
        <v>127</v>
      </c>
    </row>
    <row r="456" spans="4:4" x14ac:dyDescent="0.3">
      <c r="D456" s="33" t="s">
        <v>72</v>
      </c>
    </row>
    <row r="457" spans="4:4" x14ac:dyDescent="0.3">
      <c r="D457" s="38" t="s">
        <v>128</v>
      </c>
    </row>
    <row r="458" spans="4:4" x14ac:dyDescent="0.3">
      <c r="D458" s="33" t="s">
        <v>195</v>
      </c>
    </row>
    <row r="459" spans="4:4" x14ac:dyDescent="0.3">
      <c r="D459" s="33" t="s">
        <v>73</v>
      </c>
    </row>
    <row r="460" spans="4:4" x14ac:dyDescent="0.3">
      <c r="D460" s="33" t="s">
        <v>74</v>
      </c>
    </row>
    <row r="461" spans="4:4" x14ac:dyDescent="0.3">
      <c r="D461" s="38" t="s">
        <v>202</v>
      </c>
    </row>
    <row r="462" spans="4:4" x14ac:dyDescent="0.3">
      <c r="D462" s="38" t="s">
        <v>141</v>
      </c>
    </row>
    <row r="463" spans="4:4" x14ac:dyDescent="0.3">
      <c r="D463" s="38" t="s">
        <v>142</v>
      </c>
    </row>
    <row r="464" spans="4:4" x14ac:dyDescent="0.3">
      <c r="D464" s="33" t="s">
        <v>75</v>
      </c>
    </row>
    <row r="465" spans="4:4" x14ac:dyDescent="0.3">
      <c r="D465" s="33" t="s">
        <v>76</v>
      </c>
    </row>
    <row r="466" spans="4:4" x14ac:dyDescent="0.3">
      <c r="D466" s="38" t="s">
        <v>203</v>
      </c>
    </row>
    <row r="467" spans="4:4" x14ac:dyDescent="0.3">
      <c r="D467" s="33" t="s">
        <v>77</v>
      </c>
    </row>
    <row r="468" spans="4:4" x14ac:dyDescent="0.3">
      <c r="D468" s="34" t="s">
        <v>78</v>
      </c>
    </row>
    <row r="469" spans="4:4" x14ac:dyDescent="0.3">
      <c r="D469" s="34" t="s">
        <v>79</v>
      </c>
    </row>
    <row r="470" spans="4:4" x14ac:dyDescent="0.3">
      <c r="D470" s="33" t="s">
        <v>80</v>
      </c>
    </row>
    <row r="471" spans="4:4" x14ac:dyDescent="0.3">
      <c r="D471" s="33" t="s">
        <v>81</v>
      </c>
    </row>
    <row r="472" spans="4:4" x14ac:dyDescent="0.3">
      <c r="D472" s="34" t="s">
        <v>82</v>
      </c>
    </row>
    <row r="473" spans="4:4" x14ac:dyDescent="0.3">
      <c r="D473" s="34" t="s">
        <v>79</v>
      </c>
    </row>
    <row r="474" spans="4:4" x14ac:dyDescent="0.3">
      <c r="D474" s="33" t="s">
        <v>80</v>
      </c>
    </row>
    <row r="475" spans="4:4" x14ac:dyDescent="0.3">
      <c r="D475" s="38" t="s">
        <v>131</v>
      </c>
    </row>
    <row r="476" spans="4:4" x14ac:dyDescent="0.3">
      <c r="D476" s="33" t="s">
        <v>83</v>
      </c>
    </row>
    <row r="477" spans="4:4" x14ac:dyDescent="0.3">
      <c r="D477" s="34" t="s">
        <v>84</v>
      </c>
    </row>
    <row r="478" spans="4:4" x14ac:dyDescent="0.3">
      <c r="D478" s="34" t="s">
        <v>85</v>
      </c>
    </row>
    <row r="479" spans="4:4" x14ac:dyDescent="0.3">
      <c r="D479" s="34" t="s">
        <v>86</v>
      </c>
    </row>
    <row r="480" spans="4:4" x14ac:dyDescent="0.3">
      <c r="D480" s="34" t="s">
        <v>87</v>
      </c>
    </row>
    <row r="481" spans="4:4" x14ac:dyDescent="0.3">
      <c r="D481" s="34" t="s">
        <v>88</v>
      </c>
    </row>
    <row r="482" spans="4:4" x14ac:dyDescent="0.3">
      <c r="D482" s="33" t="s">
        <v>80</v>
      </c>
    </row>
    <row r="483" spans="4:4" x14ac:dyDescent="0.3">
      <c r="D483" s="38" t="s">
        <v>130</v>
      </c>
    </row>
    <row r="484" spans="4:4" x14ac:dyDescent="0.3">
      <c r="D484" s="33" t="s">
        <v>89</v>
      </c>
    </row>
    <row r="485" spans="4:4" x14ac:dyDescent="0.3">
      <c r="D485" s="34" t="s">
        <v>90</v>
      </c>
    </row>
    <row r="486" spans="4:4" x14ac:dyDescent="0.3">
      <c r="D486" s="34" t="s">
        <v>91</v>
      </c>
    </row>
    <row r="487" spans="4:4" x14ac:dyDescent="0.3">
      <c r="D487" s="35" t="s">
        <v>92</v>
      </c>
    </row>
    <row r="488" spans="4:4" x14ac:dyDescent="0.3">
      <c r="D488" s="35" t="s">
        <v>93</v>
      </c>
    </row>
    <row r="489" spans="4:4" x14ac:dyDescent="0.3">
      <c r="D489" s="34" t="s">
        <v>80</v>
      </c>
    </row>
    <row r="490" spans="4:4" x14ac:dyDescent="0.3">
      <c r="D490" s="34" t="s">
        <v>94</v>
      </c>
    </row>
    <row r="491" spans="4:4" x14ac:dyDescent="0.3">
      <c r="D491" s="34" t="s">
        <v>95</v>
      </c>
    </row>
    <row r="492" spans="4:4" x14ac:dyDescent="0.3">
      <c r="D492" s="33" t="s">
        <v>80</v>
      </c>
    </row>
    <row r="493" spans="4:4" x14ac:dyDescent="0.3">
      <c r="D493" s="38" t="s">
        <v>129</v>
      </c>
    </row>
    <row r="494" spans="4:4" x14ac:dyDescent="0.3">
      <c r="D494" s="33" t="s">
        <v>137</v>
      </c>
    </row>
    <row r="495" spans="4:4" x14ac:dyDescent="0.3">
      <c r="D495" s="32" t="s">
        <v>96</v>
      </c>
    </row>
    <row r="496" spans="4:4" x14ac:dyDescent="0.3">
      <c r="D496" s="29" t="s">
        <v>96</v>
      </c>
    </row>
    <row r="498" spans="2:4" x14ac:dyDescent="0.3">
      <c r="C498" s="28" t="s">
        <v>55</v>
      </c>
    </row>
    <row r="499" spans="2:4" x14ac:dyDescent="0.3">
      <c r="D499" s="31" t="s">
        <v>196</v>
      </c>
    </row>
    <row r="501" spans="2:4" ht="14.4" thickBot="1" x14ac:dyDescent="0.35"/>
    <row r="502" spans="2:4" s="2" customFormat="1" x14ac:dyDescent="0.3">
      <c r="B502" s="2" t="s">
        <v>0</v>
      </c>
    </row>
  </sheetData>
  <dataValidations disablePrompts="1" count="1">
    <dataValidation type="list" allowBlank="1" showInputMessage="1" showErrorMessage="1" sqref="E325:E327 E250:E252 E284:E285 E264:E265" xr:uid="{19324CB6-7AFF-4159-8341-F37A56423AF8}">
      <formula1>_YesNo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E05A-0CD4-4205-96D0-265E6C54E31B}">
  <sheetPr codeName="Sheet1"/>
  <dimension ref="A1:S89"/>
  <sheetViews>
    <sheetView showGridLines="0" workbookViewId="0">
      <pane ySplit="2" topLeftCell="A3" activePane="bottomLeft" state="frozen"/>
      <selection pane="bottomLeft"/>
    </sheetView>
  </sheetViews>
  <sheetFormatPr defaultRowHeight="13.8" x14ac:dyDescent="0.3"/>
  <cols>
    <col min="1" max="2" width="4.33203125" customWidth="1"/>
    <col min="3" max="3" width="4.6640625" customWidth="1"/>
  </cols>
  <sheetData>
    <row r="1" spans="1:19" s="48" customFormat="1" ht="30" customHeight="1" x14ac:dyDescent="0.3">
      <c r="A1" s="49"/>
      <c r="C1" s="9" t="s">
        <v>185</v>
      </c>
    </row>
    <row r="2" spans="1:19" s="4" customFormat="1" ht="16.2" thickBot="1" x14ac:dyDescent="0.35">
      <c r="B2" s="5">
        <f xml:space="preserve"> MAX(B1:B1) + 1</f>
        <v>1</v>
      </c>
      <c r="C2" s="4" t="s">
        <v>146</v>
      </c>
    </row>
    <row r="4" spans="1:19" x14ac:dyDescent="0.3">
      <c r="D4" s="50" t="s">
        <v>147</v>
      </c>
      <c r="E4" t="s">
        <v>148</v>
      </c>
      <c r="Q4" s="44"/>
    </row>
    <row r="5" spans="1:19" x14ac:dyDescent="0.3">
      <c r="D5" s="50" t="s">
        <v>149</v>
      </c>
      <c r="E5" t="s">
        <v>186</v>
      </c>
    </row>
    <row r="6" spans="1:19" x14ac:dyDescent="0.3">
      <c r="D6" s="50" t="s">
        <v>204</v>
      </c>
      <c r="E6" s="61" t="s">
        <v>205</v>
      </c>
    </row>
    <row r="9" spans="1:19" x14ac:dyDescent="0.3">
      <c r="B9" s="11" t="s">
        <v>150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1" spans="1:19" x14ac:dyDescent="0.3">
      <c r="C11" s="12" t="s">
        <v>151</v>
      </c>
    </row>
    <row r="12" spans="1:19" ht="14.4" thickBot="1" x14ac:dyDescent="0.35">
      <c r="D12" s="51" t="s">
        <v>152</v>
      </c>
      <c r="E12" s="52">
        <v>6</v>
      </c>
      <c r="F12" s="53">
        <v>9</v>
      </c>
      <c r="G12" s="53">
        <v>11</v>
      </c>
      <c r="H12" s="53">
        <v>2</v>
      </c>
      <c r="I12" s="53">
        <v>14</v>
      </c>
      <c r="J12" s="53">
        <v>3</v>
      </c>
      <c r="K12" s="53">
        <v>7</v>
      </c>
      <c r="L12" s="53">
        <v>11</v>
      </c>
      <c r="M12" s="53">
        <v>10</v>
      </c>
      <c r="N12" s="53">
        <v>19</v>
      </c>
      <c r="O12" s="53">
        <v>2</v>
      </c>
      <c r="P12" s="53">
        <v>16</v>
      </c>
      <c r="R12" s="54" t="s">
        <v>153</v>
      </c>
    </row>
    <row r="13" spans="1:19" x14ac:dyDescent="0.3">
      <c r="D13" s="51" t="s">
        <v>154</v>
      </c>
      <c r="E13" s="52">
        <v>6</v>
      </c>
      <c r="F13" s="53">
        <v>9</v>
      </c>
      <c r="G13" s="53" t="e">
        <v>#N/A</v>
      </c>
      <c r="H13" s="53">
        <v>2</v>
      </c>
      <c r="I13" s="53">
        <v>14</v>
      </c>
      <c r="J13" s="53">
        <v>3</v>
      </c>
      <c r="K13" s="53">
        <v>7</v>
      </c>
      <c r="L13" s="53">
        <v>11</v>
      </c>
      <c r="M13" s="53">
        <v>10</v>
      </c>
      <c r="N13" s="53">
        <v>19</v>
      </c>
      <c r="O13" s="53">
        <v>2</v>
      </c>
      <c r="P13" s="53">
        <v>16</v>
      </c>
      <c r="R13" s="55">
        <v>6</v>
      </c>
    </row>
    <row r="14" spans="1:19" x14ac:dyDescent="0.3">
      <c r="D14" s="51" t="s">
        <v>155</v>
      </c>
      <c r="E14" s="52">
        <v>6</v>
      </c>
      <c r="F14" s="53">
        <v>9</v>
      </c>
      <c r="G14" s="53" t="e">
        <v>#N/A</v>
      </c>
      <c r="H14" s="53">
        <v>2</v>
      </c>
      <c r="I14" s="53">
        <v>14</v>
      </c>
      <c r="J14" s="53">
        <v>3</v>
      </c>
      <c r="K14" s="53">
        <v>7</v>
      </c>
      <c r="L14" s="53">
        <v>0</v>
      </c>
      <c r="M14" s="53">
        <v>10</v>
      </c>
      <c r="N14" s="53">
        <v>19</v>
      </c>
      <c r="O14" s="53">
        <v>2</v>
      </c>
      <c r="P14" s="53">
        <v>16</v>
      </c>
      <c r="R14" s="53">
        <v>9</v>
      </c>
    </row>
    <row r="15" spans="1:19" x14ac:dyDescent="0.3">
      <c r="D15" s="51" t="s">
        <v>156</v>
      </c>
      <c r="E15" s="52">
        <v>6</v>
      </c>
      <c r="F15" s="53">
        <v>9</v>
      </c>
      <c r="G15" s="53" t="e">
        <v>#N/A</v>
      </c>
      <c r="H15" s="53"/>
      <c r="I15" s="53">
        <v>14</v>
      </c>
      <c r="J15" s="53"/>
      <c r="K15" s="53">
        <v>7</v>
      </c>
      <c r="L15" s="53">
        <v>0</v>
      </c>
      <c r="M15" s="53">
        <v>10</v>
      </c>
      <c r="N15" s="53">
        <v>19</v>
      </c>
      <c r="O15" s="53">
        <v>2</v>
      </c>
      <c r="P15" s="53">
        <v>16</v>
      </c>
      <c r="R15" s="53">
        <v>11</v>
      </c>
    </row>
    <row r="16" spans="1:19" x14ac:dyDescent="0.3">
      <c r="R16" s="53">
        <v>2</v>
      </c>
    </row>
    <row r="17" spans="3:18" x14ac:dyDescent="0.3">
      <c r="D17" s="51" t="s">
        <v>157</v>
      </c>
      <c r="E17" s="52"/>
      <c r="F17" s="53"/>
      <c r="G17" s="53">
        <v>0</v>
      </c>
      <c r="H17" s="53">
        <v>2</v>
      </c>
      <c r="I17" s="53">
        <v>14</v>
      </c>
      <c r="J17" s="53">
        <v>3</v>
      </c>
      <c r="K17" s="53">
        <v>7</v>
      </c>
      <c r="L17" s="53">
        <v>11</v>
      </c>
      <c r="M17" s="53">
        <v>10</v>
      </c>
      <c r="N17" s="53">
        <v>19</v>
      </c>
      <c r="O17" s="53">
        <v>2</v>
      </c>
      <c r="P17" s="53">
        <v>16</v>
      </c>
      <c r="R17" s="53">
        <v>14</v>
      </c>
    </row>
    <row r="18" spans="3:18" x14ac:dyDescent="0.3">
      <c r="D18" s="51" t="s">
        <v>8</v>
      </c>
      <c r="E18" s="52" t="e">
        <v>#DIV/0!</v>
      </c>
      <c r="F18" s="52" t="e">
        <v>#DIV/0!</v>
      </c>
      <c r="G18" s="52" t="e">
        <v>#DIV/0!</v>
      </c>
      <c r="H18" s="53">
        <v>2</v>
      </c>
      <c r="I18" s="53">
        <v>14</v>
      </c>
      <c r="J18" s="53">
        <v>3</v>
      </c>
      <c r="K18" s="53">
        <v>7</v>
      </c>
      <c r="L18" s="53">
        <v>11</v>
      </c>
      <c r="M18" s="53">
        <v>10</v>
      </c>
      <c r="N18" s="53">
        <v>19</v>
      </c>
      <c r="O18" s="53">
        <v>2</v>
      </c>
      <c r="P18" s="53">
        <v>16</v>
      </c>
      <c r="R18" s="53">
        <v>3</v>
      </c>
    </row>
    <row r="19" spans="3:18" x14ac:dyDescent="0.3">
      <c r="R19" s="53">
        <v>7</v>
      </c>
    </row>
    <row r="20" spans="3:18" x14ac:dyDescent="0.3">
      <c r="R20" s="53">
        <v>11</v>
      </c>
    </row>
    <row r="21" spans="3:18" x14ac:dyDescent="0.3">
      <c r="R21" s="53">
        <v>10</v>
      </c>
    </row>
    <row r="22" spans="3:18" x14ac:dyDescent="0.3">
      <c r="R22" s="53">
        <v>19</v>
      </c>
    </row>
    <row r="23" spans="3:18" x14ac:dyDescent="0.3">
      <c r="R23" s="53">
        <v>2</v>
      </c>
    </row>
    <row r="24" spans="3:18" x14ac:dyDescent="0.3">
      <c r="R24" s="53">
        <v>16</v>
      </c>
    </row>
    <row r="26" spans="3:18" x14ac:dyDescent="0.3">
      <c r="C26" s="12" t="s">
        <v>158</v>
      </c>
    </row>
    <row r="27" spans="3:18" x14ac:dyDescent="0.3">
      <c r="C27" s="53">
        <v>1</v>
      </c>
      <c r="D27" s="56" t="s">
        <v>29</v>
      </c>
      <c r="E27" s="58" cm="1">
        <f t="array" ref="E27:P27" xml:space="preserve"> RXL_RCalc(E$12:P$12, C27)</f>
        <v>6</v>
      </c>
      <c r="F27" s="16">
        <v>15</v>
      </c>
      <c r="G27" s="16">
        <v>26</v>
      </c>
      <c r="H27" s="16">
        <v>28</v>
      </c>
      <c r="I27" s="16">
        <v>42</v>
      </c>
      <c r="J27" s="16">
        <v>45</v>
      </c>
      <c r="K27" s="16">
        <v>52</v>
      </c>
      <c r="L27" s="16">
        <v>63</v>
      </c>
      <c r="M27" s="16">
        <v>73</v>
      </c>
      <c r="N27" s="16">
        <v>92</v>
      </c>
      <c r="O27" s="16">
        <v>94</v>
      </c>
      <c r="P27" s="16">
        <v>110</v>
      </c>
    </row>
    <row r="28" spans="3:18" x14ac:dyDescent="0.3">
      <c r="C28" s="53">
        <v>2</v>
      </c>
      <c r="D28" s="56" t="s">
        <v>30</v>
      </c>
      <c r="E28" s="58" cm="1">
        <f t="array" ref="E28:P28" xml:space="preserve"> RXL_RCalc(E$12:P$12, C28)</f>
        <v>1</v>
      </c>
      <c r="F28" s="16">
        <v>2</v>
      </c>
      <c r="G28" s="16">
        <v>3</v>
      </c>
      <c r="H28" s="16">
        <v>4</v>
      </c>
      <c r="I28" s="16">
        <v>5</v>
      </c>
      <c r="J28" s="16">
        <v>6</v>
      </c>
      <c r="K28" s="16">
        <v>7</v>
      </c>
      <c r="L28" s="16">
        <v>8</v>
      </c>
      <c r="M28" s="16">
        <v>9</v>
      </c>
      <c r="N28" s="16">
        <v>10</v>
      </c>
      <c r="O28" s="16">
        <v>11</v>
      </c>
      <c r="P28" s="16">
        <v>12</v>
      </c>
    </row>
    <row r="29" spans="3:18" x14ac:dyDescent="0.3">
      <c r="C29" s="53">
        <v>3</v>
      </c>
      <c r="D29" s="56" t="s">
        <v>33</v>
      </c>
      <c r="E29" s="58" cm="1">
        <f t="array" ref="E29:P29" xml:space="preserve"> RXL_RCalc(E$12:P$12, C29)</f>
        <v>6</v>
      </c>
      <c r="F29" s="16">
        <v>7.5</v>
      </c>
      <c r="G29" s="16">
        <v>8.6666666666666661</v>
      </c>
      <c r="H29" s="16">
        <v>7</v>
      </c>
      <c r="I29" s="16">
        <v>8.4</v>
      </c>
      <c r="J29" s="16">
        <v>7.5</v>
      </c>
      <c r="K29" s="16">
        <v>7.4285714285714288</v>
      </c>
      <c r="L29" s="16">
        <v>7.875</v>
      </c>
      <c r="M29" s="16">
        <v>8.1111111111111107</v>
      </c>
      <c r="N29" s="16">
        <v>9.1999999999999993</v>
      </c>
      <c r="O29" s="16">
        <v>8.545454545454545</v>
      </c>
      <c r="P29" s="16">
        <v>9.1666666666666661</v>
      </c>
    </row>
    <row r="30" spans="3:18" x14ac:dyDescent="0.3">
      <c r="C30" s="53">
        <v>4</v>
      </c>
      <c r="D30" s="56" t="s">
        <v>31</v>
      </c>
      <c r="E30" s="58" cm="1">
        <f t="array" ref="E30:P30" xml:space="preserve"> RXL_RCalc(E$12:P$12, C30)</f>
        <v>6</v>
      </c>
      <c r="F30" s="16">
        <v>6</v>
      </c>
      <c r="G30" s="16">
        <v>6</v>
      </c>
      <c r="H30" s="16">
        <v>2</v>
      </c>
      <c r="I30" s="16">
        <v>2</v>
      </c>
      <c r="J30" s="16">
        <v>2</v>
      </c>
      <c r="K30" s="16">
        <v>2</v>
      </c>
      <c r="L30" s="16">
        <v>2</v>
      </c>
      <c r="M30" s="16">
        <v>2</v>
      </c>
      <c r="N30" s="16">
        <v>2</v>
      </c>
      <c r="O30" s="16">
        <v>2</v>
      </c>
      <c r="P30" s="16">
        <v>2</v>
      </c>
    </row>
    <row r="31" spans="3:18" x14ac:dyDescent="0.3">
      <c r="C31" s="53">
        <v>5</v>
      </c>
      <c r="D31" s="56" t="s">
        <v>32</v>
      </c>
      <c r="E31" s="58" cm="1">
        <f t="array" ref="E31:P31" xml:space="preserve"> RXL_RCalc(E$12:P$12, C31)</f>
        <v>6</v>
      </c>
      <c r="F31" s="16">
        <v>9</v>
      </c>
      <c r="G31" s="16">
        <v>11</v>
      </c>
      <c r="H31" s="16">
        <v>11</v>
      </c>
      <c r="I31" s="16">
        <v>14</v>
      </c>
      <c r="J31" s="16">
        <v>14</v>
      </c>
      <c r="K31" s="16">
        <v>14</v>
      </c>
      <c r="L31" s="16">
        <v>14</v>
      </c>
      <c r="M31" s="16">
        <v>14</v>
      </c>
      <c r="N31" s="16">
        <v>19</v>
      </c>
      <c r="O31" s="16">
        <v>19</v>
      </c>
      <c r="P31" s="16">
        <v>19</v>
      </c>
    </row>
    <row r="32" spans="3:18" x14ac:dyDescent="0.3">
      <c r="E32" s="17" t="str">
        <f ca="1" xml:space="preserve"> _xlfn.FORMULATEXT(E27)</f>
        <v>= RXL_RCalc(E$12:P$12, C27)</v>
      </c>
    </row>
    <row r="34" spans="3:16" x14ac:dyDescent="0.3">
      <c r="C34" s="12" t="s">
        <v>159</v>
      </c>
    </row>
    <row r="35" spans="3:16" x14ac:dyDescent="0.3">
      <c r="C35" s="53">
        <v>1</v>
      </c>
      <c r="D35" s="56" t="s">
        <v>29</v>
      </c>
      <c r="E35" s="58" cm="1">
        <f t="array" ref="E35:P35" xml:space="preserve"> RXL_RCalc(E$13:P$13, D35)</f>
        <v>6</v>
      </c>
      <c r="F35" s="16">
        <v>15</v>
      </c>
      <c r="G35" s="16">
        <v>15</v>
      </c>
      <c r="H35" s="16">
        <v>17</v>
      </c>
      <c r="I35" s="16">
        <v>31</v>
      </c>
      <c r="J35" s="16">
        <v>34</v>
      </c>
      <c r="K35" s="16">
        <v>41</v>
      </c>
      <c r="L35" s="16">
        <v>52</v>
      </c>
      <c r="M35" s="16">
        <v>62</v>
      </c>
      <c r="N35" s="16">
        <v>81</v>
      </c>
      <c r="O35" s="16">
        <v>83</v>
      </c>
      <c r="P35" s="16">
        <v>99</v>
      </c>
    </row>
    <row r="36" spans="3:16" x14ac:dyDescent="0.3">
      <c r="C36" s="53">
        <v>2</v>
      </c>
      <c r="D36" s="56" t="s">
        <v>30</v>
      </c>
      <c r="E36" s="58" cm="1">
        <f t="array" ref="E36:P36" xml:space="preserve"> RXL_RCalc(E$13:P$13, D36)</f>
        <v>1</v>
      </c>
      <c r="F36" s="16">
        <v>2</v>
      </c>
      <c r="G36" s="16">
        <v>2</v>
      </c>
      <c r="H36" s="16">
        <v>3</v>
      </c>
      <c r="I36" s="16">
        <v>4</v>
      </c>
      <c r="J36" s="16">
        <v>5</v>
      </c>
      <c r="K36" s="16">
        <v>6</v>
      </c>
      <c r="L36" s="16">
        <v>7</v>
      </c>
      <c r="M36" s="16">
        <v>8</v>
      </c>
      <c r="N36" s="16">
        <v>9</v>
      </c>
      <c r="O36" s="16">
        <v>10</v>
      </c>
      <c r="P36" s="16">
        <v>11</v>
      </c>
    </row>
    <row r="37" spans="3:16" x14ac:dyDescent="0.3">
      <c r="C37" s="53">
        <v>3</v>
      </c>
      <c r="D37" s="56" t="s">
        <v>33</v>
      </c>
      <c r="E37" s="58" cm="1">
        <f t="array" ref="E37:P37" xml:space="preserve"> RXL_RCalc(E$13:P$13, D37)</f>
        <v>6</v>
      </c>
      <c r="F37" s="16">
        <v>7.5</v>
      </c>
      <c r="G37" s="16">
        <v>7.5</v>
      </c>
      <c r="H37" s="16">
        <v>5.666666666666667</v>
      </c>
      <c r="I37" s="16">
        <v>7.75</v>
      </c>
      <c r="J37" s="16">
        <v>6.8</v>
      </c>
      <c r="K37" s="16">
        <v>6.833333333333333</v>
      </c>
      <c r="L37" s="16">
        <v>7.4285714285714288</v>
      </c>
      <c r="M37" s="16">
        <v>7.75</v>
      </c>
      <c r="N37" s="16">
        <v>9</v>
      </c>
      <c r="O37" s="16">
        <v>8.3000000000000007</v>
      </c>
      <c r="P37" s="16">
        <v>9</v>
      </c>
    </row>
    <row r="38" spans="3:16" x14ac:dyDescent="0.3">
      <c r="C38" s="53">
        <v>4</v>
      </c>
      <c r="D38" s="56" t="s">
        <v>31</v>
      </c>
      <c r="E38" s="58" cm="1">
        <f t="array" ref="E38:P38" xml:space="preserve"> RXL_RCalc(E$13:P$13, D38)</f>
        <v>6</v>
      </c>
      <c r="F38" s="16">
        <v>6</v>
      </c>
      <c r="G38" s="16">
        <v>6</v>
      </c>
      <c r="H38" s="16">
        <v>2</v>
      </c>
      <c r="I38" s="16">
        <v>2</v>
      </c>
      <c r="J38" s="16">
        <v>2</v>
      </c>
      <c r="K38" s="16">
        <v>2</v>
      </c>
      <c r="L38" s="16">
        <v>2</v>
      </c>
      <c r="M38" s="16">
        <v>2</v>
      </c>
      <c r="N38" s="16">
        <v>2</v>
      </c>
      <c r="O38" s="16">
        <v>2</v>
      </c>
      <c r="P38" s="16">
        <v>2</v>
      </c>
    </row>
    <row r="39" spans="3:16" x14ac:dyDescent="0.3">
      <c r="C39" s="53">
        <v>5</v>
      </c>
      <c r="D39" s="56" t="s">
        <v>32</v>
      </c>
      <c r="E39" s="58" cm="1">
        <f t="array" ref="E39:P39" xml:space="preserve"> RXL_RCalc(E$13:P$13, D39)</f>
        <v>6</v>
      </c>
      <c r="F39" s="16">
        <v>9</v>
      </c>
      <c r="G39" s="16">
        <v>9</v>
      </c>
      <c r="H39" s="16">
        <v>9</v>
      </c>
      <c r="I39" s="16">
        <v>14</v>
      </c>
      <c r="J39" s="16">
        <v>14</v>
      </c>
      <c r="K39" s="16">
        <v>14</v>
      </c>
      <c r="L39" s="16">
        <v>14</v>
      </c>
      <c r="M39" s="16">
        <v>14</v>
      </c>
      <c r="N39" s="16">
        <v>19</v>
      </c>
      <c r="O39" s="16">
        <v>19</v>
      </c>
      <c r="P39" s="16">
        <v>19</v>
      </c>
    </row>
    <row r="40" spans="3:16" x14ac:dyDescent="0.3">
      <c r="E40" s="17" t="str">
        <f ca="1" xml:space="preserve"> _xlfn.FORMULATEXT(E35)</f>
        <v>= RXL_RCalc(E$13:P$13, D35)</v>
      </c>
    </row>
    <row r="42" spans="3:16" x14ac:dyDescent="0.3">
      <c r="C42" s="12" t="s">
        <v>160</v>
      </c>
    </row>
    <row r="43" spans="3:16" x14ac:dyDescent="0.3">
      <c r="D43" s="21" t="s">
        <v>161</v>
      </c>
      <c r="E43" s="53" t="b">
        <v>1</v>
      </c>
    </row>
    <row r="44" spans="3:16" x14ac:dyDescent="0.3">
      <c r="D44" s="21" t="s">
        <v>162</v>
      </c>
      <c r="E44" s="53" t="b">
        <v>1</v>
      </c>
    </row>
    <row r="45" spans="3:16" x14ac:dyDescent="0.3">
      <c r="C45" s="53">
        <v>1</v>
      </c>
      <c r="D45" s="56" t="s">
        <v>29</v>
      </c>
      <c r="E45" s="58" cm="1">
        <f t="array" ref="E45:P45" xml:space="preserve"> RXL_RCalc(E$15:P$15, D45, E$43, E$44)</f>
        <v>6</v>
      </c>
      <c r="F45" s="16">
        <v>15</v>
      </c>
      <c r="G45" s="16">
        <v>15</v>
      </c>
      <c r="H45" s="16">
        <v>15</v>
      </c>
      <c r="I45" s="16">
        <v>29</v>
      </c>
      <c r="J45" s="16">
        <v>29</v>
      </c>
      <c r="K45" s="16">
        <v>36</v>
      </c>
      <c r="L45" s="16">
        <v>36</v>
      </c>
      <c r="M45" s="16">
        <v>46</v>
      </c>
      <c r="N45" s="16">
        <v>65</v>
      </c>
      <c r="O45" s="16">
        <v>67</v>
      </c>
      <c r="P45" s="16">
        <v>83</v>
      </c>
    </row>
    <row r="46" spans="3:16" x14ac:dyDescent="0.3">
      <c r="C46" s="53">
        <v>2</v>
      </c>
      <c r="D46" s="56" t="s">
        <v>30</v>
      </c>
      <c r="E46" s="58" cm="1">
        <f t="array" ref="E46:P46" xml:space="preserve"> RXL_RCalc(E$15:P$15, D46, E$43, E$44)</f>
        <v>1</v>
      </c>
      <c r="F46" s="16">
        <v>2</v>
      </c>
      <c r="G46" s="16">
        <v>2</v>
      </c>
      <c r="H46" s="16">
        <v>2</v>
      </c>
      <c r="I46" s="16">
        <v>3</v>
      </c>
      <c r="J46" s="16">
        <v>3</v>
      </c>
      <c r="K46" s="16">
        <v>4</v>
      </c>
      <c r="L46" s="16">
        <v>4</v>
      </c>
      <c r="M46" s="16">
        <v>5</v>
      </c>
      <c r="N46" s="16">
        <v>6</v>
      </c>
      <c r="O46" s="16">
        <v>7</v>
      </c>
      <c r="P46" s="16">
        <v>8</v>
      </c>
    </row>
    <row r="47" spans="3:16" x14ac:dyDescent="0.3">
      <c r="C47" s="53">
        <v>3</v>
      </c>
      <c r="D47" s="56" t="s">
        <v>33</v>
      </c>
      <c r="E47" s="58" cm="1">
        <f t="array" ref="E47:P47" xml:space="preserve"> RXL_RCalc(E$15:P$15, D47, E$43, E$44)</f>
        <v>6</v>
      </c>
      <c r="F47" s="16">
        <v>7.5</v>
      </c>
      <c r="G47" s="16">
        <v>7.5</v>
      </c>
      <c r="H47" s="16">
        <v>7.5</v>
      </c>
      <c r="I47" s="16">
        <v>9.6666666666666661</v>
      </c>
      <c r="J47" s="16">
        <v>9.6666666666666661</v>
      </c>
      <c r="K47" s="16">
        <v>9</v>
      </c>
      <c r="L47" s="16">
        <v>9</v>
      </c>
      <c r="M47" s="16">
        <v>9.1999999999999993</v>
      </c>
      <c r="N47" s="16">
        <v>10.833333333333334</v>
      </c>
      <c r="O47" s="16">
        <v>9.5714285714285712</v>
      </c>
      <c r="P47" s="16">
        <v>10.375</v>
      </c>
    </row>
    <row r="48" spans="3:16" x14ac:dyDescent="0.3">
      <c r="C48" s="53">
        <v>4</v>
      </c>
      <c r="D48" s="56" t="s">
        <v>31</v>
      </c>
      <c r="E48" s="58" cm="1">
        <f t="array" ref="E48:P48" xml:space="preserve"> RXL_RCalc(E$15:P$15, D48, E$43, E$44)</f>
        <v>6</v>
      </c>
      <c r="F48" s="16">
        <v>6</v>
      </c>
      <c r="G48" s="16">
        <v>6</v>
      </c>
      <c r="H48" s="16">
        <v>6</v>
      </c>
      <c r="I48" s="16">
        <v>6</v>
      </c>
      <c r="J48" s="16">
        <v>6</v>
      </c>
      <c r="K48" s="16">
        <v>6</v>
      </c>
      <c r="L48" s="16">
        <v>6</v>
      </c>
      <c r="M48" s="16">
        <v>6</v>
      </c>
      <c r="N48" s="16">
        <v>6</v>
      </c>
      <c r="O48" s="16">
        <v>2</v>
      </c>
      <c r="P48" s="16">
        <v>2</v>
      </c>
    </row>
    <row r="49" spans="3:16" x14ac:dyDescent="0.3">
      <c r="C49" s="53">
        <v>5</v>
      </c>
      <c r="D49" s="56" t="s">
        <v>32</v>
      </c>
      <c r="E49" s="58" cm="1">
        <f t="array" ref="E49:P49" xml:space="preserve"> RXL_RCalc(E$15:P$15, D49, E$43, E$44)</f>
        <v>6</v>
      </c>
      <c r="F49" s="16">
        <v>9</v>
      </c>
      <c r="G49" s="16">
        <v>9</v>
      </c>
      <c r="H49" s="16">
        <v>9</v>
      </c>
      <c r="I49" s="16">
        <v>14</v>
      </c>
      <c r="J49" s="16">
        <v>14</v>
      </c>
      <c r="K49" s="16">
        <v>14</v>
      </c>
      <c r="L49" s="16">
        <v>14</v>
      </c>
      <c r="M49" s="16">
        <v>14</v>
      </c>
      <c r="N49" s="16">
        <v>19</v>
      </c>
      <c r="O49" s="16">
        <v>19</v>
      </c>
      <c r="P49" s="16">
        <v>19</v>
      </c>
    </row>
    <row r="50" spans="3:16" x14ac:dyDescent="0.3">
      <c r="E50" s="17" t="str">
        <f ca="1" xml:space="preserve"> _xlfn.FORMULATEXT(E45)</f>
        <v>= RXL_RCalc(E$15:P$15, D45, E$43, E$44)</v>
      </c>
    </row>
    <row r="53" spans="3:16" x14ac:dyDescent="0.3">
      <c r="C53" s="12" t="s">
        <v>163</v>
      </c>
    </row>
    <row r="54" spans="3:16" x14ac:dyDescent="0.3">
      <c r="D54" s="56" t="s">
        <v>29</v>
      </c>
      <c r="E54" s="58" cm="1">
        <f t="array" ref="E54:P54" xml:space="preserve"> RXL_RCalc(E$12:P$12, D54)</f>
        <v>6</v>
      </c>
      <c r="F54" s="16">
        <v>15</v>
      </c>
      <c r="G54" s="16">
        <v>26</v>
      </c>
      <c r="H54" s="16">
        <v>28</v>
      </c>
      <c r="I54" s="16">
        <v>42</v>
      </c>
      <c r="J54" s="16">
        <v>45</v>
      </c>
      <c r="K54" s="16">
        <v>52</v>
      </c>
      <c r="L54" s="16">
        <v>63</v>
      </c>
      <c r="M54" s="16">
        <v>73</v>
      </c>
      <c r="N54" s="16">
        <v>92</v>
      </c>
      <c r="O54" s="16">
        <v>94</v>
      </c>
      <c r="P54" s="16">
        <v>110</v>
      </c>
    </row>
    <row r="55" spans="3:16" x14ac:dyDescent="0.3">
      <c r="E55" s="17" t="str">
        <f ca="1" xml:space="preserve"> _xlfn.FORMULATEXT(E54)</f>
        <v>= RXL_RCalc(E$12:P$12, D54)</v>
      </c>
    </row>
    <row r="57" spans="3:16" x14ac:dyDescent="0.3">
      <c r="D57" s="21" t="s">
        <v>49</v>
      </c>
      <c r="E57" s="53" t="b">
        <v>1</v>
      </c>
    </row>
    <row r="58" spans="3:16" x14ac:dyDescent="0.3">
      <c r="D58" s="56" t="s">
        <v>29</v>
      </c>
      <c r="E58" s="58" cm="1">
        <f t="array" ref="E58:P58" xml:space="preserve"> RXL_RCalc(E$12:P$12, D58, , , E57)</f>
        <v>6</v>
      </c>
      <c r="F58" s="16">
        <v>15</v>
      </c>
      <c r="G58" s="16">
        <v>26</v>
      </c>
      <c r="H58" s="16">
        <v>28</v>
      </c>
      <c r="I58" s="16">
        <v>42</v>
      </c>
      <c r="J58" s="16">
        <v>45</v>
      </c>
      <c r="K58" s="16">
        <v>52</v>
      </c>
      <c r="L58" s="16">
        <v>63</v>
      </c>
      <c r="M58" s="16">
        <v>73</v>
      </c>
      <c r="N58" s="16">
        <v>92</v>
      </c>
      <c r="O58" s="16">
        <v>94</v>
      </c>
      <c r="P58" s="16">
        <v>110</v>
      </c>
    </row>
    <row r="59" spans="3:16" x14ac:dyDescent="0.3">
      <c r="E59" s="16"/>
      <c r="F59" s="17" t="str">
        <f ca="1" xml:space="preserve"> _xlfn.FORMULATEXT(E58)</f>
        <v>= RXL_RCalc(E$12:P$12, D58, , , E57)</v>
      </c>
    </row>
    <row r="60" spans="3:16" x14ac:dyDescent="0.3">
      <c r="E60" s="16"/>
    </row>
    <row r="61" spans="3:16" x14ac:dyDescent="0.3">
      <c r="E61" s="16"/>
    </row>
    <row r="62" spans="3:16" x14ac:dyDescent="0.3">
      <c r="E62" s="16"/>
    </row>
    <row r="63" spans="3:16" x14ac:dyDescent="0.3">
      <c r="E63" s="16"/>
    </row>
    <row r="64" spans="3:16" x14ac:dyDescent="0.3">
      <c r="E64" s="16"/>
    </row>
    <row r="65" spans="3:18" x14ac:dyDescent="0.3">
      <c r="E65" s="16"/>
    </row>
    <row r="66" spans="3:18" x14ac:dyDescent="0.3">
      <c r="E66" s="16"/>
    </row>
    <row r="67" spans="3:18" x14ac:dyDescent="0.3">
      <c r="E67" s="16"/>
    </row>
    <row r="68" spans="3:18" x14ac:dyDescent="0.3">
      <c r="E68" s="16"/>
    </row>
    <row r="69" spans="3:18" x14ac:dyDescent="0.3">
      <c r="E69" s="16"/>
    </row>
    <row r="70" spans="3:18" x14ac:dyDescent="0.3">
      <c r="E70" s="16"/>
    </row>
    <row r="72" spans="3:18" x14ac:dyDescent="0.3">
      <c r="C72" s="12" t="s">
        <v>164</v>
      </c>
    </row>
    <row r="73" spans="3:18" x14ac:dyDescent="0.3">
      <c r="D73" s="56" t="s">
        <v>29</v>
      </c>
      <c r="F73" s="21" t="s">
        <v>165</v>
      </c>
      <c r="G73" s="53" t="b">
        <v>0</v>
      </c>
    </row>
    <row r="74" spans="3:18" x14ac:dyDescent="0.3">
      <c r="D74" s="58" cm="1">
        <f t="array" ref="D74:D85" xml:space="preserve"> RXL_RCalc($R$13:$R$24, D73)</f>
        <v>6</v>
      </c>
      <c r="F74" s="56" t="s">
        <v>29</v>
      </c>
      <c r="G74" s="58" cm="1">
        <f t="array" ref="G74:G85" xml:space="preserve"> RXL_RCalc($R$13:$R$24, F74, , , G73)</f>
        <v>6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 spans="3:18" x14ac:dyDescent="0.3">
      <c r="D75" s="16">
        <v>15</v>
      </c>
      <c r="G75" s="16">
        <v>15</v>
      </c>
      <c r="H75" s="17" t="str">
        <f ca="1" xml:space="preserve"> _xlfn.FORMULATEXT(G74)</f>
        <v>= RXL_RCalc($R$13:$R$24, F74, , , G73)</v>
      </c>
    </row>
    <row r="76" spans="3:18" x14ac:dyDescent="0.3">
      <c r="D76" s="16">
        <v>26</v>
      </c>
      <c r="G76" s="16">
        <v>26</v>
      </c>
    </row>
    <row r="77" spans="3:18" x14ac:dyDescent="0.3">
      <c r="D77" s="16">
        <v>28</v>
      </c>
      <c r="G77" s="16">
        <v>28</v>
      </c>
    </row>
    <row r="78" spans="3:18" x14ac:dyDescent="0.3">
      <c r="D78" s="16">
        <v>42</v>
      </c>
      <c r="G78" s="16">
        <v>42</v>
      </c>
    </row>
    <row r="79" spans="3:18" x14ac:dyDescent="0.3">
      <c r="D79" s="16">
        <v>45</v>
      </c>
      <c r="G79" s="16">
        <v>45</v>
      </c>
    </row>
    <row r="80" spans="3:18" x14ac:dyDescent="0.3">
      <c r="D80" s="16">
        <v>52</v>
      </c>
      <c r="G80" s="16">
        <v>52</v>
      </c>
    </row>
    <row r="81" spans="2:7" x14ac:dyDescent="0.3">
      <c r="D81" s="16">
        <v>63</v>
      </c>
      <c r="G81" s="16">
        <v>63</v>
      </c>
    </row>
    <row r="82" spans="2:7" x14ac:dyDescent="0.3">
      <c r="D82" s="16">
        <v>73</v>
      </c>
      <c r="G82" s="16">
        <v>73</v>
      </c>
    </row>
    <row r="83" spans="2:7" x14ac:dyDescent="0.3">
      <c r="D83" s="16">
        <v>92</v>
      </c>
      <c r="G83" s="16">
        <v>92</v>
      </c>
    </row>
    <row r="84" spans="2:7" x14ac:dyDescent="0.3">
      <c r="D84" s="16">
        <v>94</v>
      </c>
      <c r="G84" s="16">
        <v>94</v>
      </c>
    </row>
    <row r="85" spans="2:7" x14ac:dyDescent="0.3">
      <c r="D85" s="16">
        <v>110</v>
      </c>
      <c r="G85" s="16">
        <v>110</v>
      </c>
    </row>
    <row r="86" spans="2:7" x14ac:dyDescent="0.3">
      <c r="D86" s="17" t="str">
        <f ca="1" xml:space="preserve"> _xlfn.FORMULATEXT(D74)</f>
        <v>= RXL_RCalc($R$13:$R$24, D73)</v>
      </c>
    </row>
    <row r="88" spans="2:7" ht="14.4" thickBot="1" x14ac:dyDescent="0.35"/>
    <row r="89" spans="2:7" s="57" customFormat="1" x14ac:dyDescent="0.3">
      <c r="B89" s="57" t="s">
        <v>0</v>
      </c>
    </row>
  </sheetData>
  <hyperlinks>
    <hyperlink ref="E6" r:id="rId1" xr:uid="{7B68C5A8-FA14-4A01-AFC0-0D2AA3A09C22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A26C-6D39-4C1B-AF2B-075D27C91DD7}">
  <sheetPr codeName="Sheet13"/>
  <dimension ref="B1:C110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3" s="1" customFormat="1" ht="30" customHeight="1" x14ac:dyDescent="0.3">
      <c r="C1" s="9" t="s">
        <v>185</v>
      </c>
    </row>
    <row r="2" spans="2:3" s="4" customFormat="1" ht="16.2" thickBot="1" x14ac:dyDescent="0.35">
      <c r="B2" s="5">
        <f xml:space="preserve"> MAX(B$1:B1) + 1</f>
        <v>1</v>
      </c>
      <c r="C2" s="4" t="s">
        <v>206</v>
      </c>
    </row>
    <row r="4" spans="2:3" x14ac:dyDescent="0.3">
      <c r="C4" t="s">
        <v>219</v>
      </c>
    </row>
    <row r="6" spans="2:3" x14ac:dyDescent="0.3">
      <c r="B6" s="21" t="s">
        <v>208</v>
      </c>
      <c r="C6" t="s">
        <v>209</v>
      </c>
    </row>
    <row r="7" spans="2:3" x14ac:dyDescent="0.3">
      <c r="B7" s="21" t="s">
        <v>210</v>
      </c>
      <c r="C7" t="s">
        <v>211</v>
      </c>
    </row>
    <row r="17" spans="2:3" x14ac:dyDescent="0.3">
      <c r="B17" s="21" t="s">
        <v>212</v>
      </c>
      <c r="C17" t="s">
        <v>220</v>
      </c>
    </row>
    <row r="38" spans="2:3" x14ac:dyDescent="0.3">
      <c r="B38" s="21" t="s">
        <v>213</v>
      </c>
      <c r="C38" t="s">
        <v>214</v>
      </c>
    </row>
    <row r="39" spans="2:3" x14ac:dyDescent="0.3">
      <c r="B39" s="21" t="s">
        <v>215</v>
      </c>
      <c r="C39" t="s">
        <v>216</v>
      </c>
    </row>
    <row r="40" spans="2:3" x14ac:dyDescent="0.3">
      <c r="C40" t="s">
        <v>221</v>
      </c>
    </row>
    <row r="64" spans="2:3" x14ac:dyDescent="0.3">
      <c r="B64" s="21" t="s">
        <v>217</v>
      </c>
      <c r="C64" t="s">
        <v>218</v>
      </c>
    </row>
    <row r="71" spans="2:3" s="4" customFormat="1" ht="16.2" thickBot="1" x14ac:dyDescent="0.35">
      <c r="B71" s="5">
        <f xml:space="preserve"> MAX(B$1:B70) + 1</f>
        <v>2</v>
      </c>
      <c r="C71" s="4" t="s">
        <v>207</v>
      </c>
    </row>
    <row r="73" spans="2:3" x14ac:dyDescent="0.3">
      <c r="C73" s="62" t="s">
        <v>222</v>
      </c>
    </row>
    <row r="74" spans="2:3" x14ac:dyDescent="0.3">
      <c r="C74" s="62"/>
    </row>
    <row r="75" spans="2:3" x14ac:dyDescent="0.3">
      <c r="C75" s="62" t="s">
        <v>223</v>
      </c>
    </row>
    <row r="76" spans="2:3" x14ac:dyDescent="0.3">
      <c r="C76" s="62" t="s">
        <v>224</v>
      </c>
    </row>
    <row r="77" spans="2:3" x14ac:dyDescent="0.3">
      <c r="C77" s="62" t="s">
        <v>225</v>
      </c>
    </row>
    <row r="78" spans="2:3" x14ac:dyDescent="0.3">
      <c r="C78" s="63" t="s">
        <v>226</v>
      </c>
    </row>
    <row r="79" spans="2:3" x14ac:dyDescent="0.3">
      <c r="C79" s="62" t="s">
        <v>250</v>
      </c>
    </row>
    <row r="80" spans="2:3" x14ac:dyDescent="0.3">
      <c r="C80" s="62" t="s">
        <v>225</v>
      </c>
    </row>
    <row r="81" spans="3:3" x14ac:dyDescent="0.3">
      <c r="C81" s="64" t="s">
        <v>227</v>
      </c>
    </row>
    <row r="82" spans="3:3" x14ac:dyDescent="0.3">
      <c r="C82" s="63" t="s">
        <v>228</v>
      </c>
    </row>
    <row r="83" spans="3:3" x14ac:dyDescent="0.3">
      <c r="C83" s="62" t="s">
        <v>229</v>
      </c>
    </row>
    <row r="84" spans="3:3" x14ac:dyDescent="0.3">
      <c r="C84" s="64" t="s">
        <v>230</v>
      </c>
    </row>
    <row r="85" spans="3:3" x14ac:dyDescent="0.3">
      <c r="C85" s="62" t="s">
        <v>231</v>
      </c>
    </row>
    <row r="86" spans="3:3" x14ac:dyDescent="0.3">
      <c r="C86" s="62" t="s">
        <v>232</v>
      </c>
    </row>
    <row r="87" spans="3:3" x14ac:dyDescent="0.3">
      <c r="C87" s="64" t="s">
        <v>233</v>
      </c>
    </row>
    <row r="88" spans="3:3" x14ac:dyDescent="0.3">
      <c r="C88" s="64" t="s">
        <v>234</v>
      </c>
    </row>
    <row r="89" spans="3:3" x14ac:dyDescent="0.3">
      <c r="C89" s="62" t="s">
        <v>225</v>
      </c>
    </row>
    <row r="90" spans="3:3" x14ac:dyDescent="0.3">
      <c r="C90" s="64" t="s">
        <v>227</v>
      </c>
    </row>
    <row r="91" spans="3:3" x14ac:dyDescent="0.3">
      <c r="C91" s="62" t="s">
        <v>235</v>
      </c>
    </row>
    <row r="92" spans="3:3" x14ac:dyDescent="0.3">
      <c r="C92" s="62" t="s">
        <v>236</v>
      </c>
    </row>
    <row r="93" spans="3:3" x14ac:dyDescent="0.3">
      <c r="C93" s="62" t="s">
        <v>237</v>
      </c>
    </row>
    <row r="94" spans="3:3" x14ac:dyDescent="0.3">
      <c r="C94" s="62" t="s">
        <v>238</v>
      </c>
    </row>
    <row r="95" spans="3:3" x14ac:dyDescent="0.3">
      <c r="C95" s="62" t="s">
        <v>239</v>
      </c>
    </row>
    <row r="96" spans="3:3" x14ac:dyDescent="0.3">
      <c r="C96" s="62" t="s">
        <v>240</v>
      </c>
    </row>
    <row r="97" spans="2:3" x14ac:dyDescent="0.3">
      <c r="C97" s="62" t="s">
        <v>241</v>
      </c>
    </row>
    <row r="98" spans="2:3" x14ac:dyDescent="0.3">
      <c r="C98" s="62" t="s">
        <v>242</v>
      </c>
    </row>
    <row r="99" spans="2:3" x14ac:dyDescent="0.3">
      <c r="C99" s="62" t="s">
        <v>243</v>
      </c>
    </row>
    <row r="100" spans="2:3" x14ac:dyDescent="0.3">
      <c r="C100" s="64" t="s">
        <v>244</v>
      </c>
    </row>
    <row r="101" spans="2:3" x14ac:dyDescent="0.3">
      <c r="C101" s="62" t="s">
        <v>245</v>
      </c>
    </row>
    <row r="102" spans="2:3" x14ac:dyDescent="0.3">
      <c r="C102" s="64" t="s">
        <v>246</v>
      </c>
    </row>
    <row r="103" spans="2:3" x14ac:dyDescent="0.3">
      <c r="C103" s="64" t="s">
        <v>247</v>
      </c>
    </row>
    <row r="104" spans="2:3" x14ac:dyDescent="0.3">
      <c r="C104" s="62" t="s">
        <v>248</v>
      </c>
    </row>
    <row r="105" spans="2:3" x14ac:dyDescent="0.3">
      <c r="C105" s="64" t="s">
        <v>234</v>
      </c>
    </row>
    <row r="106" spans="2:3" x14ac:dyDescent="0.3">
      <c r="C106" s="62" t="s">
        <v>225</v>
      </c>
    </row>
    <row r="107" spans="2:3" x14ac:dyDescent="0.3">
      <c r="C107" s="64" t="s">
        <v>249</v>
      </c>
    </row>
    <row r="109" spans="2:3" ht="14.4" thickBot="1" x14ac:dyDescent="0.35"/>
    <row r="110" spans="2:3" s="2" customFormat="1" x14ac:dyDescent="0.3">
      <c r="B110" s="2" t="s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A15E-3384-4194-A934-E1FDEF2D75BB}">
  <sheetPr codeName="Sheet12"/>
  <dimension ref="B1:D10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4" s="1" customFormat="1" ht="30" customHeight="1" x14ac:dyDescent="0.3">
      <c r="C1" s="9" t="s">
        <v>1</v>
      </c>
    </row>
    <row r="3" spans="2:4" x14ac:dyDescent="0.3">
      <c r="B3" s="8">
        <v>1</v>
      </c>
      <c r="C3" s="7">
        <v>1</v>
      </c>
    </row>
    <row r="4" spans="2:4" x14ac:dyDescent="0.3">
      <c r="B4" s="8">
        <v>0</v>
      </c>
      <c r="C4" s="7">
        <v>0</v>
      </c>
      <c r="D4" s="3" t="s">
        <v>2</v>
      </c>
    </row>
    <row r="6" spans="2:4" x14ac:dyDescent="0.3">
      <c r="B6" s="8">
        <v>1</v>
      </c>
      <c r="C6" s="6">
        <v>1</v>
      </c>
    </row>
    <row r="7" spans="2:4" x14ac:dyDescent="0.3">
      <c r="B7" s="8">
        <v>0</v>
      </c>
      <c r="C7" s="6">
        <v>0</v>
      </c>
      <c r="D7" s="3" t="s">
        <v>3</v>
      </c>
    </row>
    <row r="9" spans="2:4" ht="14.4" thickBot="1" x14ac:dyDescent="0.35"/>
    <row r="10" spans="2:4" s="2" customFormat="1" x14ac:dyDescent="0.3">
      <c r="B10" s="2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8AKgAgACAAUgBYAEwAXwBSAEMAYQBsAGMAIABGAHUAbgBjAHQAaQBvAG4AXABuACAAIAAgACAAIAAgACAAIAB2AGUAcgBzAGkAbwBuACAAMQAuADAANAAgACAAKAAwADQALQBKAHUAbgAtADIAMAAyADUAKQBcAG4AIAAgACAAIAAgACAAIAAgAFIAIABTAGkAbABrACwAIABSAFgATAAgAEQAZQB2AGUAbABvAHAAbQBlAG4AdABcAG4AIAAgACAAIAAgACAAIAAgAGgAdAB0AHAAcwA6AC8ALwBnAGkAcwB0AC4AZwBpAHQAaAB1AGIALgBjAG8AbQAvAHIALQBzAGkAbABrAC8AYgAxADIANABmADgANAA2ADgAYgAxADYAMQA1AGEANAAwAGIANAAyAGYAZQBkAGEANwA1ADQANQBiAGMAMABhAFwAbgAqAC8AXABuAC8AKgBcAG4AIAAgACAAIABOAGEAbQBlADoAIAAgACAAIAAgACAAIAAgAFIAQwBhAGwAYwAoACkAXABuACAAIAAgACAARABlAHMAYwByAGkAcAB0AGkAbwBuADoAIAAqAC8ALwAqACoAUABlAHIAZgBvAHIAbQBzACAAYQAgAHIAbwBsAGwAaQBuAGcAIABjAGEAbABjAHUAbABhAHQAaQBvAG4AIABvAG4AIABhACAAMQBEACAAaQBuAHAAdQB0ACAAZABhAHQAYQAgAGEAcgByAGEAeQAqAC8ALwAqAFwAbgAgACAAIAAgAFAAYQByAGEAbQBlAHQAZQByAHMAOgBcAG4AIAAgACAAIAAgACAAIAAgACsAIABhAHIAcgBhAHkAIAAgACAAIAAgACAAIAAgACAAIAAgACAAIAA9ACAAKAByAGUAcQB1AGkAcgBlAGQAKQAgAEEAbgAgAGEAcgByAGEAeQAgAG8AZgAgAHYAYQBsAHUAZQBzACAAdABvACAAYgBlACAAdQBzAGUAZAAgAGYAbwByACAAdABoAGUAIAByAG8AbABsAGkAbgBnACAAYwBhAGwAYwB1AGwAYQB0AGkAbwBuACAALQAtACAAbQB1AHMAdAAgAGIAZQAgAGEAIAAxAEQAIABhAHIAcgBhAHkALAAgAGkALgBlAC4AIABzAGkAbgBnAGwAZQAgAHIAbwB3ACAAbwByACAAcwBpAG4AZwBsAGUAIABjAG8AbAB1AG0AbgAgAG8AZgAgAGQAYQB0AGEAXABuACAAIAAgACAAIAAgACAAIAAgACAAIAAgACAAIAAgACAAIAAgACAAIAAgACAAIAAgACAAIAAgACAAIAAgACAAIAAgACAAIAAgACAAIAAgACAAIABUAGgAZQAgAGEAcgByAGEAeQAgAGMAYQBuACAAYgBlACAAcwB1AHAAcABsAGkAZQBkACAAYQBzACAAcgBvAHcAIABvAHIAIABjAG8AbAB1AG0AbgA6ACAAZgBvAHIAIABhACAAcgBvAHcAIABvAGYAIABkAGEAdABhACAAdABoAGUAIAByAG8AbABsAGkAbgBnACAAYwBhAGwAYwB1AGwAYQB0AGkAbwBuACAAdwBpAGwAbAAgAHIAZQBhAGQAIABmAHIAbwBtACAAbABlAGYAdAAgAHQAbwAgAHIAaQBnAGgAdABcAG4AIAAgACAAIAAgACAAIAAgACAAIAAgACAAIAAgACAAIAAgACAAIAAgACAAIAAgACAAIAAgACAAIAAgACAAIAAgACAAIAAgACAAIAAgACAAIAAgACAAIAAgACAAIAAgACAAIAAgACAAIAAgACAAIAAgACAAIAAgACAAIAAgACAAIAAgACAAIAAgACAAIAAgACAAIAAgACAAIAAgACAAIAAgACAAIAAgACAAIABmAG8AcgAgAGEAIABjAG8AbAB1AG0AbgAgAG8AZgAgAGQAYQB0AGEAIAB0AGgAZQAgAHIAbwBsAGwAaQBuAGcAIABjAGEAbABjAHUAbABhAHQAaQBvAG4AIAB3AGkAbABsACAAcgBlAGEAZAAgAGYAcgBvAG0AIAB0AG8AcAAgAHQAbwAgAGIAbwB0AHQAbwBtAFwAbgAgACAAIAAgACAAIAAgACAAKwAgAGMAYQBsAGMAdQBsAGEAdABpAG8AbgAgACAAIAAgACAAIAAgAD0AIAAoAHIAZQBxAHUAaQByAGUAZAApACAAQQAgAHMAaQBuAGcAbABlACAAdgBhAGwAdQBlACAAKABuAHUAbQBiAGUAcgAgAG8AcgAgAHQAZQB4AHQAKQAgAHQAbwAgAHMAZQB0ACAAdABoAGUAIAB0AHkAcABlACAAbwBmACAAYwBhAGwAYwB1AGwAYQB0AGkAbwBuACAAdABvACAAYQBwAHAAbAB5ACAAdABvACAAdABoAGUAIABhAHIAcgBhAHkAIABvAGYAIABpAG4AcAB1AHQAIABkAGEAdABhAFwAbgAgACAAIAAgACAAIAAgACAAIAAgACAAIAAgACAAIAAgACAAIAAgACAAIAAgACAAIAAgACAAIAAgACAAIAAgACAAIAAgACAAIAAgACAAIAAgACAAVgBhAGwAaQBkACAAaQBuAHAAdQB0AHMAIABhAHIAZQAgAGEAIABuAHUAbQBiAGUAcgAgAGIAZQB0AHcAZQBlAG4AIAAxACAAYQBuAGQAIAA1ACAAbwByACAAYQAgAHYAYQBsAGkAZAAgAHQAZQB4AHQAIABzAHQAcgBpAG4AZwAgAGYAcgBvAG0AIAB0AGgAZQAgAGwAaQBzAHQAIABiAGUAbABvAHcAXABuACAAIAAgACAAIAAgACAAIAAgACAAIAAgACAAIAAgACAAIAAgACAAIAAgACAAIAAgACAAIAAgACAAIAAgACAAIAAgACAAIAAgACAAIAAgACAAIAAgACAAIAAxACAALwAgAFwAIgBzAHUAbQBcACIAIAAgACAAPQAgAHIAbwBsAGwAaQBuAGcAIABTAFUATQAgAGMAYQBsAGMAdQBsAGEAdABpAG8AbgBcAG4AIAAgACAAIAAgACAAIAAgACAAIAAgACAAIAAgACAAIAAgACAAIAAgACAAIAAgACAAIAAgACAAIAAgACAAIAAgACAAIAAgACAAIAAgACAAIAAgACAAIAAgADIAIAAvACAAXAAiAGMAbwB1AG4AdABcACIAIAA9ACAAcgBvAGwAbABpAG4AZwAgAGMAbwB1AG4AdAAgAG8AZgAgAG4AdQBtAGUAcgBpAGMAIAB2AGEAbAB1AGUAcwAgACgAQwBPAFUATgBUACkAXABuACAAIAAgACAAIAAgACAAIAAgACAAIAAgACAAIAAgACAAIAAgACAAIAAgACAAIAAgACAAIAAgACAAIAAgACAAIAAgACAAIAAgACAAIAAgACAAIAAgACAAIAAzACAALwAgAFwAIgBhAHYAZwBcACIAIAAgACAAPQAgAHIAbwBsAGwAaQBuAGcAIABBAFYARQBSAEEARwBFACAAYwBhAGwAYwB1AGwAYQB0AGkAbwBuAFwAbgAgACAAIAAgACAAIAAgACAAIAAgACAAIAAgACAAIAAgACAAIAAgACAAIAAgACAAIAAgACAAIAAgACAAIAAgACAAIAAgACAAIAAgACAAIAAgACAAIAAgACAANAAgAC8AIABcACIAbQBpAG4AXAAiACAAIAAgAD0AIAByAG8AbABsAGkAbgBnACAATQBJAE4AIABjAGEAbABjAHUAbABhAHQAaQBvAG4AXABuACAAIAAgACAAIAAgACAAIAAgACAAIAAgACAAIAAgACAAIAAgACAAIAAgACAAIAAgACAAIAAgACAAIAAgACAAIAAgACAAIAAgACAAIAAgACAAIAAgACAAIAA1ACAALwAgAFwAIgBtAGEAeABcACIAIAAgACAAPQAgAHIAbwBsAGwAaQBuAGcAIABNAEEAWAAgAGMAYQBsAGMAdQBsAGEAdABpAG8AbgBcAG4AIAAgACAAIAAgACAAIAAgACsAIABpAGcAbgBvAHIAZQBfAGIAbABhAG4AawBzACAAIAAgACAAIAA9ACAAKABvAHAAdABpAG8AbgBhAGwAKQAgAEEAIABUAHIAdQBlAC8ARgBhAGwAcwBlACAAdgBhAGwAdQBlACAAdABvACAAZABlAHQAZQByAG0AaQBuAGUAIAB3AGgAZQB0AGgAZQByACAAbwByACAAbgBvAHQAIABpAG4AYwBsAHUAZABlACAAYgBsAGEAbgBrACAAYwBlAGwAbABzACAAZgByAG8AbQAgAHQAaABlACAAaQBuAHAAdQB0ACAAYQByAHIAYQB5ACAAaQBuACAAdABoAGUAIAByAG8AbABsAGkAbgBnACAAYwBhAGwAYwB1AGwAYQB0AGkAbwBuAFwAbgAgACAAIAAgACAAIAAgACAAIAAgACAAIAAgACAAIAAgACAAIAAgACAAIAAgACAAIAAgACAAIAAgACAAIAAgACAAIAAgACAAIAAgACAAIAAgACAAVABoAGUAIABpAG4AcAB1AHQAIABjAGEAbgAgAGIAZQAgAGUAaQB0AGgAZQByACAAVABSAFUARQAvAEYAQQBMAFMARQAgAG8AcgAgADEALwAwAFwAbgAgACAAIAAgACAAIAAgACAAIAAgACAAIAAgACAAIAAgACAAIAAgACAAIAAgACAAIAAgACAAIAAgACAAIAAgACAAIAAgACAAIAAgACAAIAAgACAASQBmACAAbgBvAHQAIABzAHUAcABwAGwAaQBlAGQALAAgAHcAaQBsAGwAIABkAGUAZgBhAHUAbAB0ACAAdABvACAARgBBAEwAUwBFACAAKAAwACkAXABuACAAIAAgACAAIAAgACAAIAArACAAaQBnAG4AbwByAGUAXwB6AGUAcgBvAHMAIAAgACAAIAAgACAAPQAgACgAbwBwAHQAaQBvAG4AYQBsACkAIABBACAAVAByAHUAZQAvAEYAYQBsAHMAZQAgAHYAYQBsAHUAZQAgAHQAbwAgAGQAZQB0AGUAcgBtAGkAbgBlACAAdwBoAGUAdABoAGUAcgAgAG8AcgAgAG4AbwB0ACAAaQBuAGMAbAB1AGQAZQAgAHoAZQByAG8AIAAoADAAKQAgAHYAYQBsAHUAZQBzACAAZgByAG8AbQAgAHQAaABlACAAaQBuAHAAdQB0ACAAYQByAHIAYQB5ACAAaQBuACAAdABoAGUAIAByAG8AbABsAGkAbgBnACAAYwBhAGwAYwB1AGwAYQB0AGkAbwBuAFwAbgAgACAAIAAgACAAIAAgACAAIAAgACAAIAAgACAAIAAgACAAIAAgACAAIAAgACAAIAAgACAAIAAgACAAIAAgACAAIAAgACAAIAAgACAAIAAgACAAVABoAGUAIABpAG4AcAB1AHQAIABjAGEAbgAgAGIAZQAgAGUAaQB0AGgAZQByACAAVABSAFUARQAvAEYAQQBMAFMARQAgAG8AcgAgADEALwAwAFwAbgAgACAAIAAgACAAIAAgACAAIAAgACAAIAAgACAAIAAgACAAIAAgACAAIAAgACAAIAAgACAAIAAgACAAIAAgACAAIAAgACAAIAAgACAAIAAgACAASQBmACAAbgBvAHQAIABzAHUAcABwAGwAaQBlAGQALAAgAHcAaQBsAGwAIABkAGUAZgBhAHUAbAB0ACAAdABvACAARgBBAEwAUwBFACAAKAAwACkAXABuACAAIAAgACAAIAAgACAAIAArACAAaQBnAG4AbwByAGUAXwBlAHIAcgBvAHIAcwAgACAAIAAgACAAPQAgACgAbwBwAHQAaQBvAG4AYQBsACkAIABBACAAVAByAHUAZQAvAEYAYQBsAHMAZQAgAHYAYQBsAHUAZQAgAHQAbwAgAGQAZQB0AGUAcgBtAGkAbgBlACAAdwBoAGUAdABoAGUAcgAgAG8AcgAgAG4AbwB0ACAAaQBuAGMAbAB1AGQAZQAgAGUAcgByAG8AcgBzACAAdgBhAGwAdQBlAHMAIAAoAFwAIgAjACAAdgBhAGwAdQBlAHMAXAAiACkAIABmAHIAbwBtACAAdABoAGUAIABpAG4AcAB1AHQAIABhAHIAcgBhAHkAIABpAG4AIAB0AGgAZQAgAHIAbwBsAGwAaQBuAGcAIABjAGEAbABjAHUAbABhAHQAaQBvAG4AXABuACAAIAAgACAAIAAgACAAIAAgACAAIAAgACAAIAAgACAAIAAgACAAIAAgACAAIAAgACAAIAAgACAAIAAgACAAIAAgACAAIAAgACAAIAAgACAAIABUAGgAZQAgAGkAbgBwAHUAdAAgAGMAYQBuACAAYgBlACAAZQBpAHQAaABlAHIAIABUAFIAVQBFAC8ARgBBAEwAUwBFACAAbwByACAAMQAvADAAXABuACAAIAAgACAAIAAgACAAIAAgACAAIAAgACAAIAAgACAAIAAgACAAIAAgACAAIAAgACAAIAAgACAAIAAgACAAIAAgACAAIAAgACAAIAAgACAAIABJAGYAIABuAG8AdAAgAHMAdQBwAHAAbABpAGUAZAAsACAAdwBpAGwAbAAgAGQAZQBmAGEAdQBsAHQAIAB0AG8AIABGAEEATABTAEUAIAAoADAAKQBcAG4AIAAgACAAIAAgACAAIAAgACAAIAAgACAAIAAgACAAIAAgACAAIAAgACAAIAAgACAAIAAgACAAIAAgACAAIAAgACAAIAAgACAAIAAgACAAIAAgAE4AbwB0AGUAOgAgACMATgAvAEEAIAB2AGEAbAB1AGUAcwAgAHcAaQBsAGwAIABiAGUAIABlAHgAYwBsAHUAZABlAGQAIABmAHIAbwBtACAAdABoAGUAIABjAGEAbABjAHUAbABhAHQAaQBvAG4AIAByAGUAZwBhAHIAZABsAGUAcwBzACAAbwBmACAAdABoAGkAcwAgAGkAbgBwAHUAdAAgAHAAYQByAGEAbQBlAHQAZQByADsAIAB0AGgAZQAgAGkAbgBwAHUAdAAgAGEAcABwAGwAaQBlAHMAIAB0AG8AIABuAG8AbgAtAE4ALwBBACAAZQByAHIAbwByACAAdgBhAGwAdQBlAHMAXABuACAAIAAgACAAIAAgACAAIAArACAAdgBlAHIAdABpAGMAYQBsAF8AbwB1AHQAcAB1AHQAcwAgACAAPQAgACgAbwBwAHQAaQBvAG4AYQBsACkAIABBACAAVAByAHUAZQAvAEYAYQBsAHMAZQAgAHYAYQBsAHUAZQAgAHcAaABpAGMAaAAgAHcAaQBsAGwAIABmAG8AcgBjAGUAIAB0AGgAZQAgAG8AdQB0AHAAdQB0ACAAbwBmACAAdABoAGUAIABjAGEAbABjAHUAbABhAHQAaQBvAG4AIAB0AG8AIABiAGUAIABlAGkAdABoAGUAcgAgAHYAZQByAHQAaQBjAGEAbAAgACgAVABSAFUARQApACAAbwByACAAaABvAHIAaQB6AG8AbgB0AGEAbAAgACgARgBBAEwAUwBFACkAXABuACAAIAAgACAAIAAgACAAIAAgACAAIAAgACAAIAAgACAAIAAgACAAIAAgACAAIAAgACAAIAAgACAAIAAgACAAIAAgACAAIAAgACAAIAAgACAAIABUAGgAZQAgAGkAbgBwAHUAdAAgAGMAYQBuACAAYgBlACAAZQBpAHQAaABlAHIAIABUAFIAVQBFAC8ARgBBAEwAUwBFACAAbwByACAAMQAvADAAXABuACAAIAAgACAAIAAgACAAIAAgACAAIAAgACAAIAAgACAAIAAgACAAIAAgACAAIAAgACAAIAAgACAAIAAgACAAIAAgACAAIAAgACAAIAAgACAAIABJAGYAIABuAG8AdAAgAHMAdQBwAHAAbABpAGUAZAAsACAAdABoAGUAIABvAHUAdABwAHUAdAAgAHcAaQBsAGwAIABiAGUAIABpAG4AIAB0AGgAZQAgAHMAYQBtAGUAIABvAHIAaQBlAG4AdABhAHQAaQBvAG4AIABhAHMAIAB0AGgAZQAgAGkAbgBwAHUAdAAgAGQAYQB0AGEAIABhAHIAcgBhAHkAXABuACAAIAAgACAARQByAHIAbwByACAAYwBvAGQAZQBzADoAXABuACAAIAAgACAAIAAgACAAIAAgACAAIAAgACMAQwBBAEwAQwAhACAAIAAgACAAIAAgACAAIAAgACAAPQAgAGEAcgByAGEAeQAgAHAAYQByAGEAbQBlAHQAZQByACAAaQBzACAAaQBuAHYAYQBsAGkAZAAgAC0ALQAgAG4AbwB0ACAAYQAgADEARAAgAGEAcgByAGEAeQAsACAAZQAuAGcALgAgADEAKwAgAHIAbwB3AHMAIABhAG4AZAAgADEAKwAgAGMAbwBsAHUAbQBuAHMAXABuACAAIAAgACAAIAAgACAAIAAgACAAIAAgACMAVgBBAEwAVQBFACEAIAAgACAAIAAgACAAIAAgACAAPQAgAGMAYQBsAGMAdQBsAGEAdABpAG8AbgAgAHAAYQByAGEAbQBlAHQAZQByACAAaQBzACAAaQBuAHYAYQBsAGkAZAAgAC0ALQAgAG4AbwB0ACAAYQAgAG4AdQBtAGIAZQByACAAYgBlAHQAdwBlAGUAbgAgADEAIABhAG4AZAAgADUAIABvAHIAIABvAG4AZQAgAG8AZgAgAHQAaABlACAAZQB4AHAAZQBjAHQAZQBkAC8AYQBsAGwAbwB3AGUAZAAgAHQAZQB4AHQAIABzAHQAcgBpAG4AZwBzAFwAbgAgACAAIAAgACAAIAAgACAAIAAgACAAIAAjAFYAQQBMAFUARQAhACAAIAAgACAAIAAgACAAIAAgAD0AIABpAGcAbgBvAHIAZQBfAGIAbABhAG4AawBzACwAIABpAGcAbgBvAHIAZQBfAHoAZQByAG8AcwAsACAAYQBuAGQALwBvAHIAIABpAGcAbgBvAHIAZQBfAGUAcgByAG8AcgBzACAAcABhAHIAYQBtAGUAdABlAHIAcwAgAGEAcgBlACAAaQBuAHYAYQBsAGkAZAAgAC0ALQAgAG4AbwB0ACAAYQAgAG4AdQBtAGIAZQByACAAbwByACAAbABvAGcAaQBjAGEAbAAgACgAQgBvAG8AbABlAGEAbgApACAAdgBhAGwAdQBlAFwAbgAgACAAIAAgAE4AbwB0AGUAcwA6AFwAbgAgACAAIAAgACAAIAAgACAALQAgAEIAeQAgAGQAZQBmAGEAdQBsAHQAIAB0AGgAZQAgAGYAdQBuAGMAdABpAG8AbgAgAHcAaQBsAGwAIABlAHgAYwBsAHUAZABlACAARQByAHIAbwByACAAdgBhAGwAdQBlAHMAIABmAHIAbwBtACAAYwBhAGwAYwB1AGwAYQB0AGkAbwBuAHMALAAgAGEAbgBkACAAdABoAGUAIAB1AHMAZQByACAAYwBhAG4AIABjAGgAbwBvAHMAZQAgAHcAaABlAHQAaABlAHIAIAB0AG8AIABhAGwAcwBvACAAZQB4AGMAbAB1AGQAZQAgAGIAbABhAG4AawAgAGMAZQBsAGwAcwAgACgAdwBpAHQAaABpAG4AIAB0AGgAZQAgAGkAbgBwAHUAdAAgAGEAcgByAGEAeQApACAAbwByACAAegBlAHIAbwAgACgAMAApACAAdgBhAGwAdQBlAHMALgBcAG4AIAAgACAAIAAgACAAIAAgAC0AIABUAGgAZQAgAHIAbwBsAGwAaQBuAGcAIABjAGEAbABjAHUAbABhAHQAaQBvAG4AcwAgACgAaQBuAGMAbAB1AGQAaQBuAGcAIAB0AGgAZQAgAEMATwBVAE4AVAApACAAdwBpAGwAbAAgAG8AbgBsAHkAIABjAG8AbgBzAGkAZABlAHIAIABuAHUAbQBlAHIAaQBjACAAdgBhAGwAdQBlAHMAIABpAG4AIAB0AGgAZQAgAGkAbgBwAHUAdAAgAGEAcgByAGEAeQAsACAAYQBuAGQAIABpAGYAIABiAGwAYQBuAGsAIAB2AGEAbAB1AGUAcwAgAGEAcgBlACAAbgBvAHQAIABlAHgAYwBsAHUAZABlAGQAIAB0AGgAZQB5ACAAdwBpAGwAbAAgAGIAZQAgAHQAcgBlAGEAdABlAGQAIABhAHMAIAB6AGUAcgBvACAAKAAwACkAIAB2AGEAbAB1AGUAcwAuAFwAbgAgACAAIAAgACAAIAAgACAALQAgAEIAeQAgAGQAZQBmAGEAdQBsAHQAIAB0AGgAZQAgAGYAdQBuAGMAdABpAG8AbgAgAHcAaQBsAGwAIABwAHIAbwB2AGkAZABlACAAdABoAGUAIABvAHUAdABwAHUAdAAgAGEAcgByAGEAeQAgACgAcgBvAGwAbABpAG4AZwAgAGMAYQBsAGMAdQBsAGEAdABpAG8AbgApACAAaQBuACAAdABoAGUAIABzAGEAbQBlACAAbwByAGkAZQBuAHQAYQB0AGkAbwBuACAAYQBzACAAdABoAGUAIABpAG4AcAB1AHQAIABhAHIAcgBhAHkALAAgAHUAbgBsAGUAcwBzACAAdABoAGUAIAB2AGUAcgB0AGkAYwBhAGwAXwBvAHUAdABwAHUAdAAgAHAAYQByAGEAbQBlAHQAZQByACAAaQBzACAAdQBzAGUAZAAgAHQAbwAgAGYAbwByAGMAZQAgAGEAIABjAGgAbwBzAGUAbgAgAG8AdQB0AHAAdQB0ACAAbwByAGkAZQBuAHQAYQB0AGkAbwBuAC4AXABuACoALwBcAG4AUgBYAEwAXwBSAEMAYQBsAGMAIAA9ACAATABBAE0AQgBEAEEAKABcAG4AIAAgACAAIAAvAC8AIABQAGEAcgBhAG0AZQB0AGUAcgAgAGQAZQBjAGwAYQByAGEAdABpAG8AbgBzAFwAbgAgACAAIAAgAGEAcgByAGEAeQAsAFwAbgAgACAAIAAgAGMAYQBsAGMAdQBsAGEAdABpAG8AbgAsAFwAbgAgACAAIAAgAFsAaQBnAG4AbwByAGUAXwBiAGwAYQBuAGsAcwBdACwAXABuACAAIAAgACAAWwBpAGcAbgBvAHIAZQBfAHoAZQByAG8AcwBdACwAXABuACAAIAAgACAAWwBpAGcAbgBvAHIAZQBfAGUAcgByAG8AcgBzAF0ALABcAG4AIAAgACAAIABbAHYAZQByAHQAaQBjAGEAbABfAG8AdQB0AHAAdQB0AF0ALABcAG4AIAAgACAAIAAvAC8AIABNAGEAaQBuACAAZgB1AG4AYwB0AGkAbwBuACAAYgBvAGQAeQAvAGMAYQBsAGMAdQBsAGEAdABpAG8AbgBzAFwAbgAgACAAIAAgAEwARQBUACgAXABuACAAIAAgACAAIAAgACAAIAAvAC8AIABEAGUAYQBsACAAdwBpAHQAaAAgAHQAaABlACAAYwBhAGwAYwB1AGwAYQB0AGkAbwBuACAAcABhAHIAYQBtAGUAdABlAHIAIABpAG4AcAB1AHQAIABhAG4AZAAgAGEAdAB0AGUAbQBwAHQAIAB0AG8AIABtAGEAdABjAGgAIABhAGcAYQBpAG4AcwB0ACAAZQB4AHAAZQBjAHQAZQBkACAAdABlAHgAdAAgAGkAbgBwAHUAdABzACAAaQBmACAAdABoAGUAIABpAG4AcAB1AHQAIABpAHMAIABuAG8AdAAgAGEAIABuAHUAbQBiAGUAcgBcAG4AIAAgACAAIAAgACAAIAAgAF8AbgB1AG0ALAAgAEkARgAoACAASQBTAE4AVQBNAEIARQBSACgAYwBhAGwAYwB1AGwAYQB0AGkAbwBuACkALAAgAGMAYQBsAGMAdQBsAGEAdABpAG8AbgAsACAASQBGAEUAUgBSAE8AUgAoACAATQBBAFQAQwBIACgATABPAFcARQBSACgAYwBhAGwAYwB1AGwAYQB0AGkAbwBuACkALAAgAHsAXAAiAHMAdQBtAFwAIgAsAFwAIgBjAG8AdQBuAHQAXAAiACwAXAAiAGEAdgBnAFwAIgAsAFwAIgBtAGkAbgBcACIALABcACIAbQBhAHgAXAAiAH0ALAAgADAAKQAsACAAMAApACkALABcAG4AIAAgACAAIAAgACAAIAAgAC8ALwAgAEQAZQBhAGwAIAB3AGkAdABoACAAdABoAGUAIABvAHAAdABpAG8AbgBhAGwAIABpAG4AcAB1AHQAIABwAGEAcgBhAG0AZQB0AGUAcgBzACAAYQBuAGQAIABzAGUAdAAgAGQAZQBmAGEAdQBsAHQAIAB2AGEAbAB1AGUAcwAgAGYAbwByACAAYQBuAHkAIABvAG0AaQB0AHQAZQBkACAAcABhAHIAYQBtAGUAdABlAHIAcwBcAG4AIAAgACAAIAAgACAAIAAgAF8AaQBnAEIALAAgAEkARgAoACAASQBTAE8ATQBJAFQAVABFAEQAKABpAGcAbgBvAHIAZQBfAGIAbABhAG4AawBzACkALAAgADAALAAgAGkAZwBuAG8AcgBlAF8AYgBsAGEAbgBrAHMAKQAsAFwAbgAgACAAIAAgACAAIAAgACAAXwBpAGcAWgAsACAASQBGACgAIABJAFMATwBNAEkAVABUAEUARAAoAGkAZwBuAG8AcgBlAF8AegBlAHIAbwBzACkALAAgADAALAAgAGkAZwBuAG8AcgBlAF8AegBlAHIAbwBzACkALABcAG4AIAAgACAAIAAgACAAIAAgAF8AaQBnAEUALAAgAEkARgAoACAASQBTAE8ATQBJAFQAVABFAEQAKABpAGcAbgBvAHIAZQBfAGUAcgByAG8AcgBzACkALAAgADAALAAgAGkAZwBuAG8AcgBlAF8AZQByAHIAbwByAHMAKQAsAFwAbgAgACAAIAAgACAAIAAgACAAXwB2AE8AdQB0ACwAIABJAEYAKAAgAEkAUwBPAE0ASQBUAFQARQBEACgAdgBlAHIAdABpAGMAYQBsAF8AbwB1AHQAcAB1AHQAKQAsACAALQAxACwAIABJAEYAKAB2AGUAcgB0AGkAYwBhAGwAXwBvAHUAdABwAHUAdAAsACAAMQAsACAAMAApACkALABcAG4AIAAgACAAIAAgACAAIAAgAC8ALwAgAEMAaABlAGMAawAgAGkAbgBwAHUAdAAgAHYAYQBsAGkAZABpAHQAeQBcAG4AIAAgACAAIAAgACAAIAAgAC8ALwAgACAALQAtAD4AIABpAG4AdgBhAGwAaQBkACAAYQByAHIAYQB5ACAAaQBuAHAAdQB0ACAAKABuAG8AdAAgAGEAIAAxAEQAIABhAHIAcgBhAHkAKQAgAHcAaQBsAGwAIABnAGkAdgBlACAAYQAgACMAQwBBAEwAQwAhACAAZQByAHIAbwByAFwAbgAgACAAIAAgACAAIAAgACAALwAvACAAIAAtAC0APgAgAGkAbgB2AGEAbABpAGQAIABjAGEAbABjAHUAbABhAHQAaQBvAG4ALAAgAGkAZwBuAG8AcgBlAF8AYgBsAGEAbgBrAHMALAAgAG8AcgAgAGkAZwBuAG8AcgBlAF8AegBlAHIAbwBzACAAcABhAHIAYQBtAGUAdABlAHIAIABpAG4AcAB1AHQAcwAgAHcAaQBsAGwAIABnAGkAdgBlACAAYQAgACMAVgBBAEwAVQBFACEAIABlAHIAcgBvAHIAXABuACAAIAAgACAAIAAgACAAIABfAGkAbgBwAEMAaABrACwAIABJAEYAKAAgAE8AUgAoAFwAbgAgACAAIAAgACAAIAAgACAAIAAgACAAIABBAE4ARAAoACAAUgBPAFcAUwAoAGEAcgByAGEAeQApACAAPgAgADEALAAgAEMATwBMAFUATQBOAFMAKABhAHIAcgBhAHkAKQAgAD4AIAAxACkALABcAG4AIAAgACAAIAAgACAAIAAgACAAIAAgACAAUgBPAFcAUwAoAGEAcgByAGEAeQApACAAPAAgADEALAAgAEMATwBMAFUATQBOAFMAKABhAHIAcgBhAHkAKQAgADwAIAAxACkALABcAG4AIAAgACAAIAAgACAAIAAgACAAIAAgACAAMgAsAFwAbgAgACAAIAAgACAAIAAgACAAIAAgACAAIABJAEYAKAAgAE8AUgAoAFwAbgAgACAAIAAgACAAIAAgACAAIAAgACAAIAAgACAAIAAgAEEATgBEACgAIABOAE8AVAAoAEkAUwBMAE8ARwBJAEMAQQBMACgAXwBpAGcAQgApACkALAAgAE4ATwBUACgASQBTAE4AVQBNAEIARQBSACgAXwBpAGcAQgApACkAKQAsAFwAbgAgACAAIAAgACAAIAAgACAAIAAgACAAIAAgACAAIAAgAEEATgBEACgAIABOAE8AVAAoAEkAUwBMAE8ARwBJAEMAQQBMACgAXwBpAGcAWgApACkALAAgAE4ATwBUACgASQBTAE4AVQBNAEIARQBSACgAXwBpAGcAWgApACkAKQAsAFwAbgAgACAAIAAgACAAIAAgACAAIAAgACAAIAAgACAAIAAgAEEATgBEACgAIABOAE8AVAAoAEkAUwBMAE8ARwBJAEMAQQBMACgAXwBpAGcARQApACkALAAgAE4ATwBUACgASQBTAE4AVQBNAEIARQBSACgAXwBpAGcARQApACkAKQAsAFwAbgAgACAAIAAgACAAIAAgACAAIAAgACAAIAAgACAAIAAgAF8AbgB1AG0AIAA8ACAAMQAsACAAXwBuAHUAbQAgAD4AIAA1ACkALABcAG4AIAAgACAAIAAgACAAIAAgACAAIAAgACAAIAAgACAAIAAzACwAIAAxAFwAbgAgACAAIAAgACAAIAAgACAAIAAgACAAIAApAFwAbgAgACAAIAAgACAAIAAgACAAKQAsAFwAbgAgACAAIAAgACAAIAAgACAALwAvACAARABlAHQAZQByAG0AaQBuAGUAIAB0AGgAZQAgAG8AcgBpAGUAbgB0AGEAdABpAG8AbgAgAG8AZgAgAHQAaABlACAAaQBuAHAAdQB0ACAAZABhAHQAYQAgAGEAcgByAGEAeQBcAG4AIAAgACAAIAAgACAAIAAgAF8AdgByAHQALAAgAFIATwBXAFMAKABhAHIAcgBhAHkAKQAgAD4AIABDAE8ATABVAE0ATgBTACgAYQByAHIAYQB5ACkALABcAG4AIAAgACAAIAAgACAAIAAgAC8ALwAgAEYAaQBsAHQAZQByACAAdABoAGUAIABpAG4AcAB1AHQAIABkAGEAdABhACAAYQByAHIAYQB5ACAAZgBvAHIAIABlAHIAcgBvAHIAIAB2AGEAbAB1AGUAcwAsACAAYgBsAGEAbgBrACAAYwBlAGwAbABzACwAIABhAG4AZAAgAHoAZQByAG8AIAAoADAAKQAgAHYAYQBsAHUAZQBzAFwAbgAgACAAIAAgACAAIAAgACAAXwBmAGwAdABFACwAIABJAEYAKABfAGkAZwBFACwAIABJAEYAKAAgAEkAUwBFAFIAUgBPAFIAKABhAHIAcgBhAHkAKQAsACAAXAAiACAAXAAiACwAIABhAHIAcgBhAHkAKQAsACAASQBGAE4AQQAoAGEAcgByAGEAeQAsACAAXAAiACAAXAAiACkAKQAsAFwAbgAgACAAIAAgACAAIAAgACAAXwBmAGwAdABCACwAIABJAEYAKABfAGkAZwBCACwAIABJAEYAKAAgAEkAUwBCAEwAQQBOAEsAKABhAHIAcgBhAHkAKQAsACAAXAAiACAAXAAiACwAIABfAGYAbAB0AEUAKQAsACAAXwBmAGwAdABFACkALABcAG4AIAAgACAAIAAgACAAIAAgAF8AZgBsAHQAWgAsACAASQBGACgAXwBpAGcAWgAsACAASQBGACgAKAAtAC0ATgBPAFQAKABJAFMARQBSAFIATwBSACgAYQByAHIAYQB5ACkAKQAgACoAIAAtAC0ATgBPAFQAKABJAFMAQgBMAEEATgBLACgAYQByAHIAYQB5ACkAKQAgACoAIAAtAC0AKABJAEYARQBSAFIATwBSACgAYQByAHIAYQB5ACwAIABcACIAIABcACIAKQAgAD0AIAAwACkAKQAsACAAXAAiACAAXAAiACwAIABfAGYAbAB0AEIAKQAsACAAXwBmAGwAdABCACkALABcAG4AIAAgACAAIAAgACAAIAAgAC8ALwAgAFMAZQB0ACAAdABoAGUAIABpAG4AaQB0AGkAYQBsACAAdgBhAGwAdQBlACAAZgBvAHIAIAB0AGgAZQAgAHIAbwBsAGwAaQBuAGcAIABNAEkATgAgAGEAbgBkACAATQBBAFgAIABjAGEAbABjAHUAbABhAHQAaQBvAG4AcwBcAG4AIAAgACAAIAAgACAAIAAgAC8ALwAgACAALQAtAD4AIAB1AHMAZQBzACAAdABoAGUAIAB2AGEAbAB1AGUAIABpAG4AIAB0AGgAZQAgAGEAcgByAGEAeQAgAC0ALQAgAGkAZgAgAHQAaABpAHMAIABpAHMAIABuAG8AdAAgAGEAIABuAHUAbQBiAGUAcgAgAHQAaABlAG4AIAB0AGgAZQAgACMATgAvAEEAIABpAHMAIAB1AHMAZQBkACAAaQBuAHMAdABlAGEAZABcAG4AIAAgACAAIAAgACAAIAAgAC8ALwAgACAALQAtAD4AIABmAG8AcgAgAHQAaABlACAAUwBVAE0ALAAgAEMATwBVAE4AVAAsACAAYQBuAGQAIABBAFYARQBSAEEARwBFACAAYwBhAGwAYwB1AGwAYQB0AGkAbwBuAHMALAAgAHQAaABlACAAcwB0AGEAcgB0AGkAbgBnACAAdgBhAGwAdQBlACAAaQBzACAAMAAgACgAegBlAHIAbwApAFwAbgAgACAAIAAgACAAIAAgACAAXwBmAHMAdAAsACAASQBOAEQARQBYACgAXwBmAGwAdABaACwAIAAxACwAIAAxACkALABcAG4AIAAgACAAIAAgACAAIAAgAF8AaQBuAGkAdAAsACAASQBGACgAKAAtAC0AKABfAGYAcwB0ACAAPAA+ACAAXAAiACAAXAAiACkAIAAqACAALQAtAE4ATwBUACgASQBTAEIATABBAE4ASwAoAF8AZgBzAHQAKQApACAAKgAgAC0ALQAoAEkARgBFAFIAUgBPAFIAKABfAGYAcwB0ACwAIABcACIAIABcACIAKQAgAD0AIAAwACkAKQAsACAAXwBmAHMAdAAsACAATgBBACgAKQApACwAXABuACAAIAAgACAAIAAgACAAIAAvAC8AIABDAGEAbABjAHUAbABhAHQAZQAgAHQAaABlACAAcgBvAGwAbABpAG4AZwAgAFMAVQBNACAAYQBuAGQAIABDAE8AVQBOAFQAIAB2AGEAbAB1AGUAcwAgAHQAbwAgAGIAZQAgAHUAcwBlAGQAIABmAG8AcgAgAHQAaABlACAAUwBVAE0ALAAgAEMATwBVAE4AVAAsACAAbwByACAAQQBWAEUAUgBBAEcARQAgAG8AdQB0AHAAdQB0AHMAXABuACAAIAAgACAAIAAgACAAIABfAHMAdQBtACwAIABJAEYAKAAgAE8AUgAoAF8AbgB1AG0AIAA9ACAAMQAsACAAXwBuAHUAbQAgAD0AIAAzACkALABcAG4AIAAgACAAIAAgACAAIAAgACAAIAAgACAAUwBDAEEATgAoADAALAAgAF8AZgBsAHQAWgAsACAATABBAE0AQgBEAEEAKABfAGEAYwBjACwAXwB2AGEAbAAsACAAXwBhAGMAYwAgACsAIABJAEYAKAAgAEkAUwBOAFUATQBCAEUAUgAoAF8AdgBhAGwAKQAsACAAXwB2AGEAbAAsACAAMAApACkAKQAsAFwAbgAgACAAIAAgACAAIAAgACAAIAAgACAAIABcACIAXAAiAFwAbgAgACAAIAAgACAAIAAgACAAKQAsAFwAbgAgACAAIAAgACAAIAAgACAAXwBjAG4AdAAsACAASQBGACgAIABPAFIAKABfAG4AdQBtACAAPQAgADIALAAgAF8AbgB1AG0AIAA9ACAAMwApACwAXABuACAAIAAgACAAIAAgACAAIAAgACAAIAAgAFMAQwBBAE4AKAAwACwAIABfAGYAbAB0AFoALAAgAEwAQQBNAEIARABBACgAXwBhAGMAYwAsAF8AdgBhAGwALAAgAF8AYQBjAGMAIAArACAASQBGACgAIABJAFMATgBVAE0AQgBFAFIAKABfAHYAYQBsACkALAAgADEALAAgADAAKQApACkALABcAG4AIAAgACAAIAAgACAAIAAgACAAIAAgACAAXAAiAFwAIgBcAG4AIAAgACAAIAAgACAAIAAgACkALABcAG4AIAAgACAAIAAgACAAIAAgAC8ALwAgAEMAYQBsAGMAdQBsAGEAdABlACAAdABoAGUAIABjAGgAbwBzAGUAbgAgAG8AdQB0AHAAdQB0ACAAYgBhAHMAZQBkACAAbwBuACAAdABoAGUAIAB1AHMAZQByACAAcwBlAGwAZQBjAHQAZQBkACAAYwBhAGwAYwB1AGwAYQB0AGkAbwBuACAAaQBuAHAAdQB0ACAAcABhAHIAYQBtAGUAdABlAHIAXABuACAAIAAgACAAIAAgACAAIABfAG8AdQB0ACwAIABDAEgATwBPAFMARQAoAF8AbgB1AG0ALABcAG4AIAAgACAAIAAgACAAIAAgACAAIAAgACAAXwBzAHUAbQAsAFwAbgAgACAAIAAgACAAIAAgACAAIAAgACAAIABfAGMAbgB0ACwAXABuACAAIAAgACAAIAAgACAAIAAgACAAIAAgAEkARgAoAF8AYwBuAHQAIAA8AD4AIAAwACwAIABfAHMAdQBtACAALwAgAF8AYwBuAHQALAAgADAAKQAsAFwAbgAgACAAIAAgACAAIAAgACAAIAAgACAAIABTAEMAQQBOACgAXwBpAG4AaQB0ACwAIABfAGYAbAB0AFoALAAgAEwAQQBNAEIARABBACgAXwBhAGMAYwAsAF8AdgBhAGwALAAgAEkARgBTACgAIABBAE4ARAAoACAASQBTAE4AQQAoAF8AYQBjAGMAKQAsACAASQBTAE4AVQBNAEIARQBSACgAXwB2AGEAbAApACkALAAgAF8AdgBhAGwALAAgAEkAUwBOAFUATQBCAEUAUgAoAF8AdgBhAGwAKQAsACAATQBJAE4AKABfAGEAYwBjACwAIABfAHYAYQBsACkALAAgAFQAUgBVAEUALAAgAF8AYQBjAGMAKQApACkALABcAG4AIAAgACAAIAAgACAAIAAgACAAIAAgACAAUwBDAEEATgAoAF8AaQBuAGkAdAAsACAAXwBmAGwAdABaACwAIABMAEEATQBCAEQAQQAoAF8AYQBjAGMALABfAHYAYQBsACwAIABJAEYAUwAoACAAQQBOAEQAKAAgAEkAUwBOAEEAKABfAGEAYwBjACkALAAgAEkAUwBOAFUATQBCAEUAUgAoAF8AdgBhAGwAKQApACwAIABfAHYAYQBsACwAIABJAFMATgBVAE0AQgBFAFIAKABfAHYAYQBsACkALAAgAE0AQQBYACgAXwBhAGMAYwAsACAAXwB2AGEAbAApACwAIABUAFIAVQBFACwAIABfAGEAYwBjACkAKQApAFwAbgAgACAAIAAgACAAIAAgACAAKQAsAFwAbgAgACAAIAAgACAAIAAgACAALwAvACAARABlAHQAZQByAG0AaQBuAGUAIAB3AGgAZQB0AGgAZQByACAAdABvACAAZgBvAHIAYwBlACAAYQAgAHAAYQByAHQAaQBjAHUAbABhAHIAIABvAHUAdABwAHUAdAAgAG8AcgBpAGUAbgB0AGEAdABpAG8AbgAgAGEAbgBkACAAdAByAGEAbgBzAHAAbwBzAGUAIAB0AGgAZQAgAGMAYQBsAGMAdQBsAGEAdABlAGQAIABvAHUAdABwAHUAdAAgAGEAcwAgAHIAZQBxAHUAaQByAGUAZABcAG4AIAAgACAAIAAgACAAIAAgAF8AcgB0AG4ALAAgAEkARgBTACgAXABuACAAIAAgACAAIAAgACAAIAAgACAAIAAgAF8AdgBPAHUAdAAgADwAIAAwACwAIABfAG8AdQB0ACwAXABuACAAIAAgACAAIAAgACAAIAAgACAAIAAgAE8AUgAoAFwAbgAgACAAIAAgACAAIAAgACAAIAAgACAAIAAgACAAIAAgAEEATgBEACgAXwB2AE8AdQB0ACwAIABOAE8AVAAoAF8AdgByAHQAKQApACwAXABuACAAIAAgACAAIAAgACAAIAAgACAAIAAgACAAIAAgACAAQQBOAEQAKABOAE8AVAAoAF8AdgBPAHUAdAApACwAIABfAHYAcgB0ACkAXABuACAAIAAgACAAIAAgACAAIAAgACAAIAAgACkALABcAG4AIAAgACAAIAAgACAAIAAgACAAIAAgACAAVABSAEEATgBTAFAATwBTAEUAKABfAG8AdQB0ACkALABcAG4AIAAgACAAIAAgACAAIAAgACAAIAAgACAAVABSAFUARQAsACAAXwBvAHUAdABcAG4AIAAgACAAIAAgACAAIAAgACkALABcAG4AIAAgACAAIAAgACAAIAAgAC8ALwAgAEkAZgAgAHQAaABlACAAaQBuAHAAdQB0ACAAYwBoAGUAYwBrAHMAIAAoAF8AaQBuAHAAQwBoAGsAKQAgAGgAYQB2AGUAIABmAGwAYQBnAGcAZQBkACAAdABoAGUAbgAgAHIAZQB0AHUAcgBuACAAdABoAGUAIAByAGUAcQB1AGkAcgBlAGQAIABFAHgAYwBlAGwAIABlAHIAcgBvAHIAIABjAG8AZABlACwAIABvAHQAaABlAHIAdwBpAHMAZQAgAHIAZQB0AHUAcgBuACAAdABoAGUAIABjAGEAbABjAHUAbABhAHQAZQBkACAAcgBlAHMAdQBsAHQAIAAoAF8AcgB0AG4AKQBcAG4AIAAgACAAIAAgACAAIAAgAEMASABPAE8AUwBFACgAXwBpAG4AcABDAGgAawAsACAAXwByAHQAbgAsACAATABBAE0AQgBEAEEAKAAwACkALAAgACMAVgBBAEwAVQBFACEAKQBcAG4AIAAgACAAIAApAFwAbgApADsAIgB9AF0ALAAiAHAAcgBvAGoAZQBjAHQATgBhAG0AZQBzACIAOgBbACIAUgBYAEwAXwBSAEMAYQBsAG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ow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Props1.xml><?xml version="1.0" encoding="utf-8"?>
<ds:datastoreItem xmlns:ds="http://schemas.openxmlformats.org/officeDocument/2006/customXml" ds:itemID="{E868B07E-8E73-453F-8EDC-C5D00DFF7CD9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RCalc</vt:lpstr>
      <vt:lpstr>Demo</vt:lpstr>
      <vt:lpstr>VBA</vt:lpstr>
      <vt:lpstr>Lookups</vt:lpstr>
      <vt:lpstr>_OnOff</vt:lpstr>
      <vt:lpstr>_YesNo</vt:lpstr>
    </vt:vector>
  </TitlesOfParts>
  <Company>RXL Development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RXL Rolling Calculations Lambda Function</dc:title>
  <dc:subject>Excel LAMBDA function development</dc:subject>
  <dc:creator>Robert Silk</dc:creator>
  <cp:keywords>https://excel-bits.net</cp:keywords>
  <dc:description/>
  <cp:lastModifiedBy>Robert Silk</cp:lastModifiedBy>
  <dcterms:created xsi:type="dcterms:W3CDTF">2023-11-03T12:13:36Z</dcterms:created>
  <dcterms:modified xsi:type="dcterms:W3CDTF">2026-05-06T14:43:33Z</dcterms:modified>
  <cp:category>LAMBDA functions</cp:category>
</cp:coreProperties>
</file>