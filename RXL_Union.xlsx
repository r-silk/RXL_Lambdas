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_RXL\Development\LAMBDA\"/>
    </mc:Choice>
  </mc:AlternateContent>
  <xr:revisionPtr revIDLastSave="0" documentId="13_ncr:1_{36E4315A-046A-45EF-AA5E-9F401F98FA93}" xr6:coauthVersionLast="47" xr6:coauthVersionMax="47" xr10:uidLastSave="{00000000-0000-0000-0000-000000000000}"/>
  <bookViews>
    <workbookView xWindow="-108" yWindow="-108" windowWidth="23256" windowHeight="12456" xr2:uid="{A193CA51-2AAA-4D95-958E-6416375E2BC8}"/>
  </bookViews>
  <sheets>
    <sheet name="Union" sheetId="1" r:id="rId1"/>
    <sheet name="Demo" sheetId="3" r:id="rId2"/>
    <sheet name="VBA" sheetId="5" r:id="rId3"/>
    <sheet name="Lookups" sheetId="2" r:id="rId4"/>
  </sheets>
  <definedNames>
    <definedName name="_OnOff">Lookups!$C$6:$C$7</definedName>
    <definedName name="_YesNo">Lookups!$C$3:$C$4</definedName>
    <definedName name="RXL_Union" comment="Stacks two data tables together matching data columns based on column titles/headers; similar to the SQL UNION operation">_xlfn.LAMBDA(_xlpm.first_array,_xlpm.second_array,_xlop.first_titles,_xlop.second_titles,_xlop.output_titles,_xlop.simple_stack,_xlop.replace_na, _xlfn.LET(_xlpm._inp1, _xlpm.first_array, _xlpm._inp2, _xlpm.second_array, _xlpm._cc1, COLUMNS(_xlpm._inp1), _xlpm._cc2, COLUMNS(_xlpm._inp2), _xlpm._ttl1, IF(_xlfn.ISOMITTED(_xlpm.first_titles), _xlfn.SEQUENCE(1, _xlpm._cc1, 1), _xlfn.TAKE(_xlpm.first_titles, 1)), _xlpm._ttl2, IF(_xlfn.ISOMITTED(_xlpm.second_titles), _xlfn.SEQUENCE(1, _xlpm._cc2, _xlpm._cc1 + 1), _xlfn.TAKE(_xlpm.second_titles, 1)), _xlpm._hdr, IF(_xlfn.ISOMITTED(_xlpm.output_titles), 0, _xlpm.output_titles), _xlpm._ccH, COLUMNS(_xlpm._hdr), _xlpm._inc, IF(AND(_xlpm._ccH = 1, OR(ISLOGICAL(_xlpm._hdr), ISNUMBER(_xlpm._hdr))), IF(_xlpm._hdr, 1, 0), -1), _xlpm._stk, IF(_xlfn.ISOMITTED(_xlpm.simple_stack), FALSE, _xlpm.simple_stack), _xlpm._rep, IF(_xlfn.ISOMITTED(_xlpm.replace_na), FALSE, IF(AND(ISLOGICAL(_xlpm.replace_na), _xlpm.replace_na = FALSE), FALSE, TRUE)), _xlpm._str, IF(_xlfn.ISOMITTED(_xlpm.replace_na), 0, IF(AND(ISLOGICAL(_xlpm.replace_na), _xlpm.replace_na), "", _xlpm.replace_na)), _xlpm._inpChk, _xlfn.IFS(OR(COLUMNS(_xlpm._ttl1) &lt;&gt; _xlpm._cc1, COLUMNS(_xlpm._ttl2) &lt;&gt; _xlpm._cc2), 2, OR(ROWS(_xlpm._hdr) &lt;&gt; 1, ROWS(_xlpm._str) &lt;&gt; 1, COLUMNS(_xlpm._str) &lt;&gt; 1, ISERROR(_xlpm._str), ROWS(_xlpm._stk) &lt;&gt; 1, COLUMNS(_xlpm._stk) &lt;&gt; 1, AND(NOT(ISLOGICAL(_xlpm._stk)), NOT(ISNUMBER(_xlpm._stk)))), 3, TRUE, 1), _xlpm._ttlC, IF(_xlpm._stk, _xlfn.DROP(_xlfn.REDUCE("", _xlfn.SEQUENCE(1, MAX(_xlpm._cc1, _xlpm._cc2)), _xlfn.LAMBDA(_xlpm._acc,_xlpm._val, _xlfn.HSTACK(_xlpm._acc, IF(_xlpm._val &lt;= _xlpm._cc1, INDEX(_xlpm._ttl1, , _xlpm._val), INDEX(_xlpm._ttl2, , _xlpm._val))))), , 1), _xlfn.REDUCE(_xlpm._ttl1, _xlpm._ttl2, _xlfn.LAMBDA(_xlpm._acc,_xlpm._val, IF(ISNA(MATCH(_xlpm._val, _xlpm._ttl1, 0)), _xlfn.HSTACK(_xlpm._acc, _xlpm._val), _xlpm._acc)))), _xlpm._idx, _xlfn.DROP(_xlfn.REDUCE(0, _xlpm._ttlC, _xlfn.LAMBDA(_xlpm._acc,_xlpm._val, _xlfn.HSTACK(_xlpm._acc, _xlfn.IFNA(MATCH(_xlpm._val, _xlpm._ttl2, 0), 0)))), , 1), _xlpm._arr, IF(_xlpm._stk, _xlpm._inp2, _xlfn.DROP(_xlfn.REDUCE(0, _xlpm._idx, _xlfn.LAMBDA(_xlpm._acc,_xlpm._val, _xlfn.HSTACK(_xlpm._acc, IF(_xlpm._val &gt; 0, _xlfn.CHOOSECOLS(_xlpm._inp2, _xlpm._val), "¦")))), , 1)), _xlpm._new, IF(_xlpm._arr = "¦", NA(), _xlpm._arr), _xlpm._calc, _xlfn.VSTACK(_xlpm._inp1, _xlpm._new), _xlpm._out, IF(_xlpm._inc &lt; 0, _xlfn.VSTACK(_xlfn.TAKE(_xlpm._hdr, 1, MIN(_xlpm._ccH, COLUMNS(_xlpm._calc))), _xlpm._calc), IF(_xlpm._inc &gt; 0, _xlfn.VSTACK(_xlpm._ttlC, _xlpm._calc), _xlpm._calc)), _xlpm._rtn, IF(_xlpm._rep, IF(ISNA(_xlpm._out), _xlpm._str, _xlpm._out), _xlpm._out), CHOOSE(_xlpm._inpChk, _xlpm._rtn, _xlfn.LAMBDA(0), #VALUE!)))</definedName>
    <definedName name="TitleList1">Lookups!$C$10:$C$12</definedName>
    <definedName name="TitleList2">Lookups!$C$14:$C$16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6" i="3" l="1" a="1"/>
  <c r="J156" i="3" s="1"/>
  <c r="D156" i="3" a="1"/>
  <c r="D156" i="3" s="1"/>
  <c r="M156" i="3"/>
  <c r="D167" i="3"/>
  <c r="J138" i="3" a="1"/>
  <c r="J138" i="3" s="1"/>
  <c r="D138" i="3" a="1"/>
  <c r="D138" i="3" s="1"/>
  <c r="M138" i="3"/>
  <c r="D149" i="3"/>
  <c r="J120" i="3" a="1"/>
  <c r="J120" i="3" s="1"/>
  <c r="D120" i="3" a="1"/>
  <c r="D120" i="3" s="1"/>
  <c r="D130" i="3"/>
  <c r="M120" i="3"/>
  <c r="J104" i="3" a="1"/>
  <c r="J104" i="3" s="1"/>
  <c r="D104" i="3" a="1"/>
  <c r="D104" i="3" s="1"/>
  <c r="M104" i="3"/>
  <c r="D114" i="3"/>
  <c r="D88" i="3" a="1"/>
  <c r="D88" i="3" s="1"/>
  <c r="D98" i="3"/>
  <c r="J71" i="3" a="1"/>
  <c r="J71" i="3" s="1"/>
  <c r="D71" i="3" a="1"/>
  <c r="D71" i="3" s="1"/>
  <c r="M71" i="3"/>
  <c r="D81" i="3"/>
  <c r="J56" i="3" a="1"/>
  <c r="J56" i="3" s="1"/>
  <c r="D56" i="3" a="1"/>
  <c r="D56" i="3" s="1"/>
  <c r="D41" i="3" a="1"/>
  <c r="D41" i="3" s="1"/>
  <c r="I41" i="3" a="1"/>
  <c r="M56" i="3"/>
  <c r="D66" i="3"/>
  <c r="D26" i="3" a="1"/>
  <c r="D26" i="3" s="1"/>
  <c r="K41" i="3"/>
  <c r="D51" i="3"/>
  <c r="D36" i="3"/>
  <c r="B71" i="5"/>
  <c r="B2" i="5"/>
  <c r="B2" i="3"/>
  <c r="H458" i="1" a="1"/>
  <c r="H458" i="1" s="1"/>
  <c r="C358" i="1" a="1"/>
  <c r="C358" i="1" s="1"/>
  <c r="H459" i="1" a="1"/>
  <c r="H459" i="1" s="1"/>
  <c r="C345" i="1" a="1"/>
  <c r="G424" i="1" a="1"/>
  <c r="G424" i="1" s="1"/>
  <c r="C369" i="1" a="1"/>
  <c r="C369" i="1" s="1"/>
  <c r="C291" i="1" a="1"/>
  <c r="C291" i="1" s="1"/>
  <c r="C267" i="1" a="1"/>
  <c r="C280" i="1" a="1"/>
  <c r="G429" i="1" a="1"/>
  <c r="G429" i="1" s="1"/>
  <c r="C239" i="1" a="1"/>
  <c r="C239" i="1" s="1"/>
  <c r="C228" i="1" a="1"/>
  <c r="C215" i="1" a="1"/>
  <c r="C194" i="1" a="1"/>
  <c r="C192" i="1" a="1"/>
  <c r="C195" i="1" a="1"/>
  <c r="C195" i="1" s="1"/>
  <c r="C145" i="1" a="1"/>
  <c r="C113" i="1" a="1"/>
  <c r="C113" i="1" s="1"/>
  <c r="C156" i="1" a="1"/>
  <c r="C156" i="1" s="1"/>
  <c r="C36" i="1" a="1"/>
  <c r="C36" i="1" s="1"/>
  <c r="C46" i="1" s="1" a="1"/>
  <c r="C46" i="1" s="1"/>
  <c r="C91" i="1" a="1"/>
  <c r="C91" i="1" s="1"/>
  <c r="C138" i="1" a="1"/>
  <c r="C138" i="1" s="1"/>
  <c r="C77" i="1" a="1"/>
  <c r="C77" i="1" s="1"/>
  <c r="C51" i="1" a="1"/>
  <c r="C51" i="1" s="1"/>
  <c r="C37" i="1" a="1"/>
  <c r="C37" i="1" s="1"/>
  <c r="B19" i="1"/>
  <c r="B501" i="1" s="1"/>
  <c r="I41" i="3" l="1"/>
  <c r="C345" i="1"/>
  <c r="C280" i="1"/>
  <c r="C267" i="1"/>
  <c r="C145" i="1"/>
  <c r="C228" i="1"/>
  <c r="C215" i="1"/>
  <c r="C194" i="1"/>
  <c r="C192" i="1"/>
  <c r="C67" i="1" l="1" a="1"/>
  <c r="C67" i="1" l="1"/>
  <c r="C103" i="1" l="1" a="1"/>
  <c r="C103" i="1" s="1"/>
  <c r="C81" i="1" a="1"/>
  <c r="C81" i="1" s="1"/>
  <c r="C127" i="1" s="1" a="1"/>
  <c r="C12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<sst xmlns="http://schemas.openxmlformats.org/spreadsheetml/2006/main" count="427" uniqueCount="325">
  <si>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</si>
  <si>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</si>
  <si>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</si>
  <si>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</si>
  <si>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</si>
  <si>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</si>
  <si>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</si>
  <si>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</si>
  <si>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</si>
  <si>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JJJ</t>
  </si>
  <si>
    <t>Alpha</t>
  </si>
  <si>
    <t>Num</t>
  </si>
  <si>
    <t>Letters</t>
  </si>
  <si>
    <t>Numbers</t>
  </si>
  <si>
    <t>Input data tables:</t>
  </si>
  <si>
    <t>Purpose:</t>
  </si>
  <si>
    <t>Development</t>
  </si>
  <si>
    <t>Creating array of titles for output array</t>
  </si>
  <si>
    <t>Create secondary array based on the new titles array</t>
  </si>
  <si>
    <t>Combine first input array and new secondary array</t>
  </si>
  <si>
    <t>KKK</t>
  </si>
  <si>
    <t>LLL</t>
  </si>
  <si>
    <t>MMM</t>
  </si>
  <si>
    <t>NNN</t>
  </si>
  <si>
    <t>OOO</t>
  </si>
  <si>
    <t>Address</t>
  </si>
  <si>
    <t>Values</t>
  </si>
  <si>
    <t>Union Function</t>
  </si>
  <si>
    <t>Lookup Tables</t>
  </si>
  <si>
    <t>_YesNo</t>
  </si>
  <si>
    <t>_OnOff</t>
  </si>
  <si>
    <t>End of Sheet</t>
  </si>
  <si>
    <t>TitleList1</t>
  </si>
  <si>
    <t>Approach:</t>
  </si>
  <si>
    <t>Initial Experiments</t>
  </si>
  <si>
    <t>(A)</t>
  </si>
  <si>
    <t>(B)</t>
  </si>
  <si>
    <t>(C)</t>
  </si>
  <si>
    <t>(D)</t>
  </si>
  <si>
    <t>Include created titles array + Conditional Formatting</t>
  </si>
  <si>
    <t>(E)</t>
  </si>
  <si>
    <t xml:space="preserve">Replace #N/A? </t>
  </si>
  <si>
    <t xml:space="preserve"> - Starts by attempting to match the titles for the second input array against the titles for the first/main input array</t>
  </si>
  <si>
    <t xml:space="preserve"> -- the order of column titles for the first/main input array is not altered</t>
  </si>
  <si>
    <t xml:space="preserve"> - The native VSTACK() function is used to stack the first and second input arrays and does this in a purely positional manner starting from the Left (relative column 1)</t>
  </si>
  <si>
    <t xml:space="preserve"> -&gt; where there is a match, nothing changes</t>
  </si>
  <si>
    <t xml:space="preserve"> -&gt; each of the column titles for the second input array are checked against the titles for the first/main input array to create a new combined array of column titles</t>
  </si>
  <si>
    <t xml:space="preserve"> -&gt; where there is no match, the unmatched second array title is added to the end of the created array of titles</t>
  </si>
  <si>
    <t xml:space="preserve"> -- the simplest approach seems to be to creat a new version of the second input array by placing the columns in the correct position relative to the first input array and the combined titles array</t>
  </si>
  <si>
    <t xml:space="preserve"> -- could use the MAKEARRAY() function but this uses a LAMBDA() to go through each cell of the array one by one which is likley slower than placing whole columns in order using HSTACK()</t>
  </si>
  <si>
    <t xml:space="preserve"> -- the VSTACK() and HSTACK() by default will fill in any data gaps with #N/A values thereby creating the functionality I am looking for</t>
  </si>
  <si>
    <t>(F)</t>
  </si>
  <si>
    <t>Replacing the #N/A values with alternative value</t>
  </si>
  <si>
    <t>Testing as full LAMBDA() function with input variables + Conditional Formatting</t>
  </si>
  <si>
    <t>Final Version</t>
  </si>
  <si>
    <t>(G)</t>
  </si>
  <si>
    <t>(H)</t>
  </si>
  <si>
    <t>Replacing the #N/A values -- single input version</t>
  </si>
  <si>
    <t xml:space="preserve">Replacement: </t>
  </si>
  <si>
    <t xml:space="preserve">Output titles? </t>
  </si>
  <si>
    <t xml:space="preserve"> - Allow for a simple stacking akin to the native VSTACK() functionality, but still giving the option to output the column titles</t>
  </si>
  <si>
    <t xml:space="preserve"> -- where the column titles are being output then create the positional array favouring the first input array titles</t>
  </si>
  <si>
    <t>Other</t>
  </si>
  <si>
    <t xml:space="preserve">Simple stack? </t>
  </si>
  <si>
    <t>Equal number of columns in second input</t>
  </si>
  <si>
    <t>More columns in second input</t>
  </si>
  <si>
    <t>Creating the combined titles array accounting for unequal number of columns in simple stack</t>
  </si>
  <si>
    <t>(I)</t>
  </si>
  <si>
    <t>Simple stack option for non-matched input arrays + option to output titles + Conditional Formatting</t>
  </si>
  <si>
    <t>Extended version -- simple stacking</t>
  </si>
  <si>
    <t>Setting default values for optional input parameters</t>
  </si>
  <si>
    <t>Output</t>
  </si>
  <si>
    <t xml:space="preserve">second_titles: </t>
  </si>
  <si>
    <t xml:space="preserve">first_titles: </t>
  </si>
  <si>
    <t xml:space="preserve">output_titles: </t>
  </si>
  <si>
    <t xml:space="preserve">simple_stack: </t>
  </si>
  <si>
    <t xml:space="preserve">replace_na: </t>
  </si>
  <si>
    <t>Optional inputs + Input checks</t>
  </si>
  <si>
    <t>(J)</t>
  </si>
  <si>
    <t>(K)</t>
  </si>
  <si>
    <t>Extended version -- custom titles</t>
  </si>
  <si>
    <t xml:space="preserve"> - For the output_titles option allow for a True/False or numeric value to choose whether to include the combined titles array in the function output</t>
  </si>
  <si>
    <t xml:space="preserve"> - Also allow for the user to pass a non-number / array which is used as the titles on the function output</t>
  </si>
  <si>
    <t>(L)</t>
  </si>
  <si>
    <t>Combining simple stack functionality with Lambda version G.</t>
  </si>
  <si>
    <t>Col.1</t>
  </si>
  <si>
    <t>Col.2</t>
  </si>
  <si>
    <t>Col.3</t>
  </si>
  <si>
    <t>Testing with single cell input for output_titles</t>
  </si>
  <si>
    <t>Testing with multi-cell/array input for output_titles</t>
  </si>
  <si>
    <t>Description:</t>
  </si>
  <si>
    <t>Parameters:</t>
  </si>
  <si>
    <t>Errors:</t>
  </si>
  <si>
    <t>Function:</t>
  </si>
  <si>
    <t>second_array</t>
  </si>
  <si>
    <t>first_array</t>
  </si>
  <si>
    <t>replace_na</t>
  </si>
  <si>
    <t>simple_stack</t>
  </si>
  <si>
    <t>output_titles</t>
  </si>
  <si>
    <t>second_titles</t>
  </si>
  <si>
    <t>first_titles</t>
  </si>
  <si>
    <t>[required]</t>
  </si>
  <si>
    <t>[optional]</t>
  </si>
  <si>
    <t>The second (secondary) data array, which is added to the first (primary) data array</t>
  </si>
  <si>
    <t>Determines whether to include column titles/headers as the first row of the function output</t>
  </si>
  <si>
    <t>Determines whether to use simple stacking for the union or to use the column matching union functionality</t>
  </si>
  <si>
    <r>
      <t>Determines whether to replace</t>
    </r>
    <r>
      <rPr>
        <sz val="10"/>
        <rFont val="Calibri"/>
        <family val="2"/>
        <scheme val="minor"/>
      </rPr>
      <t xml:space="preserve"> </t>
    </r>
    <r>
      <rPr>
        <sz val="10"/>
        <rFont val="Consolas"/>
        <family val="3"/>
      </rPr>
      <t>#N/A</t>
    </r>
    <r>
      <rPr>
        <sz val="10"/>
        <rFont val="Calibri"/>
        <family val="2"/>
        <scheme val="minor"/>
      </rPr>
      <t xml:space="preserve"> </t>
    </r>
    <r>
      <rPr>
        <sz val="10"/>
        <color rgb="FF002138"/>
        <rFont val="Calibri"/>
        <family val="2"/>
        <scheme val="minor"/>
      </rPr>
      <t>values in the function output with a different value</t>
    </r>
  </si>
  <si>
    <r>
      <t xml:space="preserve">If any other value is provided then this will be used to replace any </t>
    </r>
    <r>
      <rPr>
        <sz val="10"/>
        <color rgb="FF002138"/>
        <rFont val="Consolas"/>
        <family val="3"/>
      </rPr>
      <t>#N/A</t>
    </r>
    <r>
      <rPr>
        <sz val="10"/>
        <color rgb="FF002138"/>
        <rFont val="Calibri"/>
        <family val="2"/>
        <scheme val="minor"/>
      </rPr>
      <t xml:space="preserve"> values</t>
    </r>
  </si>
  <si>
    <r>
      <t xml:space="preserve">Can be input as either </t>
    </r>
    <r>
      <rPr>
        <sz val="10"/>
        <color rgb="FF0000FF"/>
        <rFont val="Consolas"/>
        <family val="3"/>
      </rPr>
      <t>TRUE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 xml:space="preserve"> or </t>
    </r>
    <r>
      <rPr>
        <sz val="10"/>
        <color rgb="FF0000FF"/>
        <rFont val="Consolas"/>
        <family val="3"/>
      </rPr>
      <t>1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0</t>
    </r>
  </si>
  <si>
    <r>
      <t xml:space="preserve">If input as 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0</t>
    </r>
    <r>
      <rPr>
        <sz val="10"/>
        <color rgb="FF002138"/>
        <rFont val="Calibri"/>
        <family val="2"/>
        <scheme val="minor"/>
      </rPr>
      <t xml:space="preserve"> (</t>
    </r>
    <r>
      <rPr>
        <b/>
        <sz val="10"/>
        <color rgb="FF002138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) then </t>
    </r>
    <r>
      <rPr>
        <sz val="10"/>
        <color rgb="FF002138"/>
        <rFont val="Consolas"/>
        <family val="3"/>
      </rPr>
      <t>#N/A</t>
    </r>
    <r>
      <rPr>
        <sz val="10"/>
        <color rgb="FF002138"/>
        <rFont val="Calibri"/>
        <family val="2"/>
        <scheme val="minor"/>
      </rPr>
      <t xml:space="preserve"> values will not be replace</t>
    </r>
  </si>
  <si>
    <t>Notes:</t>
  </si>
  <si>
    <t>Lambda function which provides the ability to replicate SQL UNION operation on the worksheet</t>
  </si>
  <si>
    <t>The Union functionality will join/stack two data tables together matching columns where possible based on column titles/headers</t>
  </si>
  <si>
    <t>The column titles can be passed as positional numbers allowing for custom matching/positioning, otherwise matching is based on the title/header values</t>
  </si>
  <si>
    <t xml:space="preserve"> - Restrict the length of a custom titles array to the total number of columns in the union output</t>
  </si>
  <si>
    <t>[restrict titles to single/first row]</t>
  </si>
  <si>
    <t>The first or main (primary) data array, to which the second (secondary) data array will be added</t>
  </si>
  <si>
    <t>The column titles can be passed as a range/cell references or as a manually input array</t>
  </si>
  <si>
    <r>
      <t xml:space="preserve">If input as </t>
    </r>
    <r>
      <rPr>
        <sz val="10"/>
        <color rgb="FF0000FF"/>
        <rFont val="Consolas"/>
        <family val="3"/>
      </rPr>
      <t>TRUE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1</t>
    </r>
    <r>
      <rPr>
        <sz val="10"/>
        <color rgb="FF002138"/>
        <rFont val="Calibri"/>
        <family val="2"/>
        <scheme val="minor"/>
      </rPr>
      <t xml:space="preserve"> then </t>
    </r>
    <r>
      <rPr>
        <sz val="10"/>
        <color rgb="FF002138"/>
        <rFont val="Consolas"/>
        <family val="3"/>
      </rPr>
      <t>#N/A</t>
    </r>
    <r>
      <rPr>
        <sz val="10"/>
        <color rgb="FF002138"/>
        <rFont val="Calibri"/>
        <family val="2"/>
        <scheme val="minor"/>
      </rPr>
      <t xml:space="preserve"> values will be replaced with a blank string (</t>
    </r>
    <r>
      <rPr>
        <sz val="10"/>
        <color rgb="FF002138"/>
        <rFont val="Consolas"/>
        <family val="3"/>
      </rPr>
      <t>""</t>
    </r>
    <r>
      <rPr>
        <sz val="10"/>
        <color rgb="FF002138"/>
        <rFont val="Calibri"/>
        <family val="2"/>
        <scheme val="minor"/>
      </rPr>
      <t>)</t>
    </r>
  </si>
  <si>
    <r>
      <t xml:space="preserve">If no input is provided the relative position of the columns in the </t>
    </r>
    <r>
      <rPr>
        <sz val="10"/>
        <color rgb="FF0000FF"/>
        <rFont val="Consolas"/>
        <family val="3"/>
      </rPr>
      <t>first_array</t>
    </r>
    <r>
      <rPr>
        <sz val="10"/>
        <color rgb="FF002138"/>
        <rFont val="Calibri"/>
        <family val="2"/>
        <scheme val="minor"/>
      </rPr>
      <t xml:space="preserve"> input is used to label the columns</t>
    </r>
  </si>
  <si>
    <r>
      <t xml:space="preserve">As the first (primary) data array is used as the basis for matching, the user can enter an array of numeric values to give the position of the </t>
    </r>
    <r>
      <rPr>
        <sz val="10"/>
        <color rgb="FF0000FF"/>
        <rFont val="Consolas"/>
        <family val="3"/>
      </rPr>
      <t>second_array</t>
    </r>
    <r>
      <rPr>
        <sz val="10"/>
        <color rgb="FF002138"/>
        <rFont val="Calibri"/>
        <family val="2"/>
        <scheme val="minor"/>
      </rPr>
      <t xml:space="preserve"> columns relative to the </t>
    </r>
    <r>
      <rPr>
        <sz val="10"/>
        <color rgb="FF0000FF"/>
        <rFont val="Consolas"/>
        <family val="3"/>
      </rPr>
      <t>first_array</t>
    </r>
  </si>
  <si>
    <r>
      <t xml:space="preserve">If no input is provided the relative position of the columns in the </t>
    </r>
    <r>
      <rPr>
        <sz val="10"/>
        <color rgb="FF0000FF"/>
        <rFont val="Consolas"/>
        <family val="3"/>
      </rPr>
      <t>second_array</t>
    </r>
    <r>
      <rPr>
        <sz val="10"/>
        <color rgb="FF002138"/>
        <rFont val="Calibri"/>
        <family val="2"/>
        <scheme val="minor"/>
      </rPr>
      <t xml:space="preserve"> input is used to label the columns</t>
    </r>
  </si>
  <si>
    <t>If an array of values or any other value (i.e. not a single logical or numeric value) is provided this will be used as the column titles row in the output</t>
  </si>
  <si>
    <r>
      <t xml:space="preserve">If input as 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0</t>
    </r>
    <r>
      <rPr>
        <sz val="10"/>
        <color rgb="FF002138"/>
        <rFont val="Calibri"/>
        <family val="2"/>
        <scheme val="minor"/>
      </rPr>
      <t xml:space="preserve"> (</t>
    </r>
    <r>
      <rPr>
        <b/>
        <sz val="10"/>
        <color rgb="FF002138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>) then no titles row is added to the output</t>
    </r>
  </si>
  <si>
    <r>
      <t xml:space="preserve">If input as </t>
    </r>
    <r>
      <rPr>
        <sz val="10"/>
        <color rgb="FF0000FF"/>
        <rFont val="Consolas"/>
        <family val="3"/>
      </rPr>
      <t>TRUE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1</t>
    </r>
    <r>
      <rPr>
        <sz val="10"/>
        <color rgb="FF002138"/>
        <rFont val="Calibri"/>
        <family val="2"/>
        <scheme val="minor"/>
      </rPr>
      <t xml:space="preserve"> then a titles row is added to the output made up of the combined/matched array titles from the </t>
    </r>
    <r>
      <rPr>
        <sz val="10"/>
        <color rgb="FF0000FF"/>
        <rFont val="Consolas"/>
        <family val="3"/>
      </rPr>
      <t>first_titles</t>
    </r>
    <r>
      <rPr>
        <sz val="10"/>
        <color rgb="FF002138"/>
        <rFont val="Calibri"/>
        <family val="2"/>
        <scheme val="minor"/>
      </rPr>
      <t xml:space="preserve"> and </t>
    </r>
    <r>
      <rPr>
        <sz val="10"/>
        <color rgb="FF0000FF"/>
        <rFont val="Consolas"/>
        <family val="3"/>
      </rPr>
      <t>second_titles</t>
    </r>
    <r>
      <rPr>
        <sz val="10"/>
        <color rgb="FF002138"/>
        <rFont val="Calibri"/>
        <family val="2"/>
        <scheme val="minor"/>
      </rPr>
      <t xml:space="preserve"> inputs</t>
    </r>
  </si>
  <si>
    <r>
      <t xml:space="preserve">Will </t>
    </r>
    <r>
      <rPr>
        <b/>
        <sz val="10"/>
        <color rgb="FF002138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to 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0</t>
    </r>
    <r>
      <rPr>
        <sz val="10"/>
        <color rgb="FF002138"/>
        <rFont val="Calibri"/>
        <family val="2"/>
        <scheme val="minor"/>
      </rPr>
      <t xml:space="preserve"> if no input is provided --&gt; column matching</t>
    </r>
  </si>
  <si>
    <t>Col.4</t>
  </si>
  <si>
    <t>Col.5</t>
  </si>
  <si>
    <t>Input checks</t>
  </si>
  <si>
    <t>(M)</t>
  </si>
  <si>
    <t>Adding custom titles functionality to version J.</t>
  </si>
  <si>
    <t>Inputs</t>
  </si>
  <si>
    <t>Outputs</t>
  </si>
  <si>
    <t xml:space="preserve">first_array: </t>
  </si>
  <si>
    <t xml:space="preserve">second_array: </t>
  </si>
  <si>
    <t>One</t>
  </si>
  <si>
    <t>Two</t>
  </si>
  <si>
    <t>Three</t>
  </si>
  <si>
    <t>LET(</t>
  </si>
  <si>
    <t>_inp1, first_array,</t>
  </si>
  <si>
    <t>_inp2, second_array,</t>
  </si>
  <si>
    <t>_cc1, COLUMNS(_inp1),</t>
  </si>
  <si>
    <t>_cc2, COLUMNS(_inp2),</t>
  </si>
  <si>
    <t>_ttl1, IF( ISOMITTED(first_titles),</t>
  </si>
  <si>
    <t>SEQUENCE(1, _cc1, 1),</t>
  </si>
  <si>
    <t>TAKE(first_titles, 1)),</t>
  </si>
  <si>
    <t>_ttl2, IF( ISOMITTED(second_titles),</t>
  </si>
  <si>
    <t>SEQUENCE(1, _cc2, _cc1 + 1),</t>
  </si>
  <si>
    <t>TAKE(second_titles, 1)),</t>
  </si>
  <si>
    <t>_hdr, IF( ISOMITTED(output_titles), 0, output_titles),</t>
  </si>
  <si>
    <t>_ccH, COLUMNS(_hdr),</t>
  </si>
  <si>
    <t>_inc, IF( AND(_ccH = 1, OR(ISLOGICAL(_hdr), ISNUMBER(_hdr))),</t>
  </si>
  <si>
    <t>IF(_hdr, 1, 0),</t>
  </si>
  <si>
    <t>-1),</t>
  </si>
  <si>
    <t>_stk, IF( ISOMITTED(simple_stack), FALSE, simple_stack),</t>
  </si>
  <si>
    <t>_rep, IF( ISOMITTED(replace_na),</t>
  </si>
  <si>
    <t>FALSE,</t>
  </si>
  <si>
    <t>IF( AND( ISLOGICAL(replace_na), replace_na = FALSE), FALSE, TRUE)),</t>
  </si>
  <si>
    <t>_ttlC, IF(_stk,</t>
  </si>
  <si>
    <t>DROP(</t>
  </si>
  <si>
    <t>REDUCE("", SEQUENCE(1, MAX(_cc1, _cc2)), LAMBDA(_acc,_val, HSTACK(_acc, IF(_val &lt;= _cc1, INDEX(_ttl1, , _val), INDEX(_ttl2, , _val))))),</t>
  </si>
  <si>
    <t>, 1),</t>
  </si>
  <si>
    <t>REDUCE(_ttl1, _ttl2, LAMBDA(_acc,_val, IF( ISNA( MATCH(_val, _ttl1, 0)), HSTACK(_acc, _val), _acc)))</t>
  </si>
  <si>
    <t>),</t>
  </si>
  <si>
    <t>_idx, DROP(</t>
  </si>
  <si>
    <t>REDUCE(0, _ttlC, LAMBDA(_acc,_val, HSTACK(_acc, IFNA(MATCH(_val, _ttl2, 0), 0)))),</t>
  </si>
  <si>
    <t>_arr, IF(_stk,</t>
  </si>
  <si>
    <t>_inp2,</t>
  </si>
  <si>
    <t>REDUCE(0, _idx, LAMBDA(_acc,_val, HSTACK(_acc, IF(_val &gt; 0, CHOOSECOLS(_inp2, _val), "¦")))),</t>
  </si>
  <si>
    <t>, 1)</t>
  </si>
  <si>
    <t>_new, IF(_arr = "¦", NA(), _arr),</t>
  </si>
  <si>
    <t>_calc, VSTACK(_inp1, _new),</t>
  </si>
  <si>
    <t>_out, IF(_inc &lt; 0, VSTACK( TAKE(_hdr, 1, MIN(_ccH, COLUMNS(_calc))), _calc),</t>
  </si>
  <si>
    <t>IF(_inc &gt; 0, VSTACK(_ttlC, _calc), _calc)</t>
  </si>
  <si>
    <t>_rtn, IF(_rep,</t>
  </si>
  <si>
    <t>IF(ISNA(_out), _str, _out),</t>
  </si>
  <si>
    <t>_out</t>
  </si>
  <si>
    <t>)</t>
  </si>
  <si>
    <t>= LAMBDA(</t>
  </si>
  <si>
    <t>[replace_na],</t>
  </si>
  <si>
    <t>[simple_stack],</t>
  </si>
  <si>
    <t>[output_titles],</t>
  </si>
  <si>
    <t>[second_titles],</t>
  </si>
  <si>
    <t>[first_titles],</t>
  </si>
  <si>
    <t>second_array,</t>
  </si>
  <si>
    <t>first_array,</t>
  </si>
  <si>
    <t>_inpChk, IFS(</t>
  </si>
  <si>
    <t>OR(</t>
  </si>
  <si>
    <t>COLUMNS(_ttl1) &lt;&gt; _cc1,</t>
  </si>
  <si>
    <t>COLUMNS(_ttl2) &lt;&gt; _cc2</t>
  </si>
  <si>
    <t>), 2,</t>
  </si>
  <si>
    <t>), 3,</t>
  </si>
  <si>
    <t>TRUE, 1</t>
  </si>
  <si>
    <t>CHOOSE(_inpChk, _rtn, LAMBDA(0), #VALUE!)</t>
  </si>
  <si>
    <t>// Parameter declarations</t>
  </si>
  <si>
    <t>// Main procedure</t>
  </si>
  <si>
    <t>// Deal with optional input parameters and set default values for any omitted parameters</t>
  </si>
  <si>
    <t>// Check inputs</t>
  </si>
  <si>
    <t>Minimised version:</t>
  </si>
  <si>
    <t>// If the input checks (_inpChk) have flagged then return the required Excel error code, otherwise return the calculated result (_rtn)</t>
  </si>
  <si>
    <t>// If the user has chosen to replace #N/A values (_rep) then do so using the appropriate replacement value (_str)</t>
  </si>
  <si>
    <t>A custom Lambda function which replicates the output from a SQL UNION operation</t>
  </si>
  <si>
    <t xml:space="preserve"> -- stacks two data tables on top of each other (first followed by second) and attempts to match column positions based on field name/title/header</t>
  </si>
  <si>
    <t>The native Excel VSTACK() function can perform the stacking operation but does not allow for column positional variance matching same columns so</t>
  </si>
  <si>
    <t>that the combined columns form a consistent new data table</t>
  </si>
  <si>
    <t>//  --&gt; restricts the column titles to a single row, and uses positional numeric values if omitted</t>
  </si>
  <si>
    <t>//  --&gt; ensures if custom output column titles are provided they are restricted to a single row (1D array)</t>
  </si>
  <si>
    <t>//  --&gt; ensures that the number of columns in the associated column titles inputs match the number of columns in the data table inputs</t>
  </si>
  <si>
    <t>//  --&gt; if a simple stack output is chosen, the combined titles array is as wide as the maximum number of input columns and gives preference to first_titles values</t>
  </si>
  <si>
    <t>// Adds the column titles/headers as the first row of the output array as required</t>
  </si>
  <si>
    <t>//  --&gt; ensures that any replace_na input is a single value (non-array) and is not an error value</t>
  </si>
  <si>
    <t>// Starts by attempting to match the second_titles array (_ttl2) to the first_titles array (_ttl1) and constructs a combined titles array (_ttlC)</t>
  </si>
  <si>
    <t>// An array of column index/position values for the second data table is created (_idx)</t>
  </si>
  <si>
    <t>// Using the second data table index array (_idx) a new second data array is constructed (_arr) which will correctly line up with the first data table when stacked</t>
  </si>
  <si>
    <t>// Stacks the first (_inp1) and updated second (_arr) data tables vertically; second below first</t>
  </si>
  <si>
    <t>//  --&gt; the _inc variables determines whether to add the created combined titles array (1 = _ttlC), the custom user titles (-1 = _hdr), or no titles (0)</t>
  </si>
  <si>
    <r>
      <t>Required input parameters (</t>
    </r>
    <r>
      <rPr>
        <sz val="10"/>
        <color rgb="FF0065A8"/>
        <rFont val="Consolas"/>
        <family val="3"/>
      </rPr>
      <t>first_array</t>
    </r>
    <r>
      <rPr>
        <sz val="10"/>
        <color rgb="FF002138"/>
        <rFont val="Calibri"/>
        <family val="2"/>
        <scheme val="minor"/>
      </rPr>
      <t xml:space="preserve">, </t>
    </r>
    <r>
      <rPr>
        <sz val="10"/>
        <color rgb="FF0065A8"/>
        <rFont val="Consolas"/>
        <family val="3"/>
      </rPr>
      <t>second_array</t>
    </r>
    <r>
      <rPr>
        <sz val="10"/>
        <color rgb="FF002138"/>
        <rFont val="Calibri"/>
        <family val="2"/>
        <scheme val="minor"/>
      </rPr>
      <t>) have not been provided or are invalid</t>
    </r>
  </si>
  <si>
    <r>
      <t xml:space="preserve">The number of columns in the </t>
    </r>
    <r>
      <rPr>
        <sz val="10"/>
        <color rgb="FF0065A8"/>
        <rFont val="Consolas"/>
        <family val="3"/>
      </rPr>
      <t>first_titles</t>
    </r>
    <r>
      <rPr>
        <sz val="10"/>
        <color rgb="FF002138"/>
        <rFont val="Calibri"/>
        <family val="2"/>
        <scheme val="minor"/>
      </rPr>
      <t xml:space="preserve"> and </t>
    </r>
    <r>
      <rPr>
        <sz val="10"/>
        <color rgb="FF0065A8"/>
        <rFont val="Consolas"/>
        <family val="3"/>
      </rPr>
      <t>second_titles</t>
    </r>
    <r>
      <rPr>
        <sz val="10"/>
        <color rgb="FF002138"/>
        <rFont val="Calibri"/>
        <family val="2"/>
        <scheme val="minor"/>
      </rPr>
      <t xml:space="preserve"> inputs do not match those of the </t>
    </r>
    <r>
      <rPr>
        <sz val="10"/>
        <color rgb="FF0065A8"/>
        <rFont val="Consolas"/>
        <family val="3"/>
      </rPr>
      <t>first_array</t>
    </r>
    <r>
      <rPr>
        <sz val="10"/>
        <color rgb="FF002138"/>
        <rFont val="Calibri"/>
        <family val="2"/>
        <scheme val="minor"/>
      </rPr>
      <t xml:space="preserve"> and </t>
    </r>
    <r>
      <rPr>
        <sz val="10"/>
        <color rgb="FF0065A8"/>
        <rFont val="Consolas"/>
        <family val="3"/>
      </rPr>
      <t>second_array</t>
    </r>
    <r>
      <rPr>
        <sz val="10"/>
        <color rgb="FF002138"/>
        <rFont val="Calibri"/>
        <family val="2"/>
        <scheme val="minor"/>
      </rPr>
      <t xml:space="preserve"> inputs respectively</t>
    </r>
  </si>
  <si>
    <r>
      <rPr>
        <sz val="10"/>
        <color rgb="FF0065A8"/>
        <rFont val="Consolas"/>
        <family val="3"/>
      </rPr>
      <t>output_titles</t>
    </r>
    <r>
      <rPr>
        <sz val="10"/>
        <color rgb="FF002138"/>
        <rFont val="Calibri"/>
        <family val="2"/>
        <scheme val="minor"/>
      </rPr>
      <t xml:space="preserve">, </t>
    </r>
    <r>
      <rPr>
        <sz val="10"/>
        <color rgb="FF0065A8"/>
        <rFont val="Consolas"/>
        <family val="3"/>
      </rPr>
      <t>simple_stack</t>
    </r>
    <r>
      <rPr>
        <sz val="10"/>
        <color rgb="FF002138"/>
        <rFont val="Calibri"/>
        <family val="2"/>
        <scheme val="minor"/>
      </rPr>
      <t xml:space="preserve">, or </t>
    </r>
    <r>
      <rPr>
        <sz val="10"/>
        <color rgb="FF0065A8"/>
        <rFont val="Consolas"/>
        <family val="3"/>
      </rPr>
      <t>replace_na</t>
    </r>
    <r>
      <rPr>
        <sz val="10"/>
        <color rgb="FF002138"/>
        <rFont val="Calibri"/>
        <family val="2"/>
        <scheme val="minor"/>
      </rPr>
      <t xml:space="preserve"> input parameters are invalid -- </t>
    </r>
    <r>
      <rPr>
        <sz val="10"/>
        <color rgb="FF0065A8"/>
        <rFont val="Consolas"/>
        <family val="3"/>
      </rPr>
      <t>simple_stac</t>
    </r>
    <r>
      <rPr>
        <sz val="10"/>
        <color rgb="FF002138"/>
        <rFont val="Calibri"/>
        <family val="2"/>
        <scheme val="minor"/>
      </rPr>
      <t xml:space="preserve">k should be a Logical or numeric value; </t>
    </r>
    <r>
      <rPr>
        <sz val="10"/>
        <color rgb="FF0065A8"/>
        <rFont val="Consolas"/>
        <family val="3"/>
      </rPr>
      <t>replace_na</t>
    </r>
    <r>
      <rPr>
        <sz val="10"/>
        <color rgb="FF002138"/>
        <rFont val="Calibri"/>
        <family val="2"/>
        <scheme val="minor"/>
      </rPr>
      <t xml:space="preserve"> input must be a single value, and non-Excel error value</t>
    </r>
  </si>
  <si>
    <r>
      <t xml:space="preserve">If the </t>
    </r>
    <r>
      <rPr>
        <sz val="10"/>
        <color rgb="FF0065A8"/>
        <rFont val="Consolas"/>
        <family val="3"/>
      </rPr>
      <t>output_titles</t>
    </r>
    <r>
      <rPr>
        <sz val="10"/>
        <color rgb="FF002138"/>
        <rFont val="Calibri"/>
        <family val="2"/>
        <scheme val="minor"/>
      </rPr>
      <t xml:space="preserve"> input parameter is provided as an array of values this must be a 1D array with a single row only</t>
    </r>
  </si>
  <si>
    <t xml:space="preserve">The function output can optionally include column titles/headers in the output as the first row, either creating a combined array of titles or with a user input array of titles </t>
  </si>
  <si>
    <t>The first_array is given preference and the second_array is matched to this, meaning that the order of the columns in the first_array will be unchanged</t>
  </si>
  <si>
    <t>Column titles (in part. second_titles) can be passed as an array of numbers showing the intended output position relative to the first_array columns order</t>
  </si>
  <si>
    <t xml:space="preserve"> -- where a user input array of column titles is used the output will be restricted to the number of columns in the combined/stacked data tables </t>
  </si>
  <si>
    <t xml:space="preserve">_str, IF( ISOMITTED(replace_na), 0, </t>
  </si>
  <si>
    <t>IF( AND( ISLOGICAL(replace_na), replace_na), "", replace_na)),</t>
  </si>
  <si>
    <t>ROWS(_hdr) &lt;&gt; 1,</t>
  </si>
  <si>
    <t>ROWS(_str) &lt;&gt; 1, COLUMNS(_str) &lt;&gt; 1, ISERROR(_str),</t>
  </si>
  <si>
    <t>ROWS(_stk) &lt;&gt; 1, COLUMNS(_stk) &lt;&gt; 1,</t>
  </si>
  <si>
    <t>AND(NOT(ISLOGICAL(_stk)), NOT(ISNUMBER(_stk)))</t>
  </si>
  <si>
    <t>=LAMBDA(first_array,second_array,[first_titles],[second_titles],[output_titles],[simple_stack],[replace_na],LET(_inp1,first_array,_inp2,second_array,_cc1,COLUMNS(_inp1),_cc2,COLUMNS(_inp2),_ttl1,IF(ISOMITTED(first_titles),SEQUENCE(1,_cc1,1),TAKE(first_titles,1)),_ttl2,IF(ISOMITTED(second_titles),SEQUENCE(1,_cc2,_cc1+1),TAKE(second_titles,1)),_hdr,IF(ISOMITTED(output_titles),0,output_titles),_ccH,COLUMNS(_hdr),_inc,IF(AND(_ccH=1,OR(ISLOGICAL(_hdr),ISNUMBER(_hdr))),IF(_hdr,1,0),-1),_stk,IF(ISOMITTED(simple_stack),FALSE,simple_stack),_rep,IF(ISOMITTED(replace_na),FALSE,IF(AND(ISLOGICAL(replace_na),replace_na=FALSE),FALSE,TRUE)),_str,IF(ISOMITTED(replace_na),0,IF(AND(ISLOGICAL(replace_na),replace_na),"",replace_na)),_inpChk,IFS(OR(COLUMNS(_ttl1)&lt;&gt;_cc1,COLUMNS(_ttl2)&lt;&gt;_cc2),2,OR(ROWS(_hdr)&lt;&gt;1,ROWS(_str)&lt;&gt;1,COLUMNS(_str)&lt;&gt;1,ISERROR(_str),ROWS(_stk)&lt;&gt;1,COLUMNS(_stk)&lt;&gt;1,AND(NOT(ISLOGICAL(_stk)),NOT(ISNUMBER(_stk)))),3,TRUE,1),_ttlC,IF(_stk,DROP(REDUCE("",SEQUENCE(1,MAX(_cc1,_cc2)),LAMBDA(_acc,_val,HSTACK(_acc,IF(_val&lt;=_cc1,INDEX(_ttl1,,_val),INDEX(_ttl2,,_val))))),,1),REDUCE(_ttl1,_ttl2,LAMBDA(_acc,_val,IF(ISNA(MATCH(_val,_ttl1,0)),HSTACK(_acc,_val),_acc)))),_idx,DROP(REDUCE(0,_ttlC,LAMBDA(_acc,_val,HSTACK(_acc,IFNA(MATCH(_val,_ttl2,0),0)))),,1),_arr,IF(_stk,_inp2,DROP(REDUCE(0,_idx,LAMBDA(_acc,_val,HSTACK(_acc,IF(_val&gt;0,CHOOSECOLS(_inp2,_val),"¦")))),,1)),_new,IF(_arr="¦",NA(),_arr),_calc,VSTACK(_inp1,_new),_out,IF(_inc&lt;0,VSTACK(TAKE(_hdr,1,MIN(_ccH,COLUMNS(_calc))),_calc),IF(_inc&gt;0,VSTACK(_ttlC,_calc),_calc)),_rtn,IF(_rep,IF(ISNA(_out),_str,_out),_out),CHOOSE(_inpChk,_rtn,LAMBDA(0),#VALUE!)))</t>
  </si>
  <si>
    <t>The column titles/headers associated with the first (primary) input data array</t>
  </si>
  <si>
    <t>The column titles/headers associated with the second (secondary) input data array</t>
  </si>
  <si>
    <t>TitleList2</t>
  </si>
  <si>
    <t>Demonstrating Function Usage</t>
  </si>
  <si>
    <t xml:space="preserve">Name:  </t>
  </si>
  <si>
    <t xml:space="preserve">Description:  </t>
  </si>
  <si>
    <t xml:space="preserve">Gist URL:  </t>
  </si>
  <si>
    <t>RXL_Union</t>
  </si>
  <si>
    <t>Stacks two data tables together matching data columns based on column titles/headers; similar to the SQL UNION operation</t>
  </si>
  <si>
    <t>https://gist.github.com/r-silk/9d0505a132d0a54b9de63313fdb176a6</t>
  </si>
  <si>
    <t>Union()</t>
  </si>
  <si>
    <t>Test data set:</t>
  </si>
  <si>
    <t>Demonstrating main parameters:</t>
  </si>
  <si>
    <t>Demonstrating use of output title row:</t>
  </si>
  <si>
    <t>Demonstrating replacing #N/A values:</t>
  </si>
  <si>
    <t>Column titles can be passed as relative positional numbers allowing for custom matching/positioning, otherwise matching is based on the column title/header values</t>
  </si>
  <si>
    <t xml:space="preserve">Function output can optionally include column titles/headers in the output as the first row, either creating a combined array of titles or with a user input array of titles </t>
  </si>
  <si>
    <t>Instructions</t>
  </si>
  <si>
    <t>VBA Code</t>
  </si>
  <si>
    <t>In order to copy across the RXL_Union() function from this Workbook to your own project you can use the instructions and VBA code below .</t>
  </si>
  <si>
    <t>A.</t>
  </si>
  <si>
    <t>Start by ensuring that you have this Workbook and the Workbook you wish to copy the function to open in the same Excel instance</t>
  </si>
  <si>
    <t>B.</t>
  </si>
  <si>
    <t>Open the VB Editor window</t>
  </si>
  <si>
    <t>C.</t>
  </si>
  <si>
    <t>In the VB Editor Project Explorer window, select this Workbook (RXL_Union.xlsx) and double click on the object named "ThisWorkbook"</t>
  </si>
  <si>
    <t>D.</t>
  </si>
  <si>
    <t>In the code window which opens for ThisWorkbook, paste the VBA code from below exactly as written</t>
  </si>
  <si>
    <t>E.</t>
  </si>
  <si>
    <t>After copying the VBA code into code window, update line 11 replacing the text "Example.xlsx" with the name of your Excel Workbook/file</t>
  </si>
  <si>
    <t>Also check line 7 of the code has the correct name of the function you wish to copy (i.e. "RXL_Union")</t>
  </si>
  <si>
    <t>F.</t>
  </si>
  <si>
    <t>Run the CopyLambda sub routine in ThisWorkbook module and check the Immediate window for the feedback message</t>
  </si>
  <si>
    <t xml:space="preserve">    </t>
  </si>
  <si>
    <t xml:space="preserve">    'Name of custom Lambda function to copy</t>
  </si>
  <si>
    <t xml:space="preserve">    On Error Resume Next</t>
  </si>
  <si>
    <t xml:space="preserve">        'Update "Example.xlsx" with name of the Workbook you wish to copy the function to</t>
  </si>
  <si>
    <t xml:space="preserve">    On Error GoTo 0</t>
  </si>
  <si>
    <t xml:space="preserve">        Exit Sub</t>
  </si>
  <si>
    <t xml:space="preserve">    End If</t>
  </si>
  <si>
    <t xml:space="preserve">        Err.Clear</t>
  </si>
  <si>
    <t xml:space="preserve">                              RefersTo:=nm.RefersTo, _</t>
  </si>
  <si>
    <t xml:space="preserve">                              Visible:=nm.Visible)</t>
  </si>
  <si>
    <t xml:space="preserve">            fn.Comment = nm.Comment</t>
  </si>
  <si>
    <t xml:space="preserve">        Else</t>
  </si>
  <si>
    <t xml:space="preserve">        End If</t>
  </si>
  <si>
    <t xml:space="preserve">    Else</t>
  </si>
  <si>
    <t>End Sub</t>
  </si>
  <si>
    <r>
      <rPr>
        <sz val="10"/>
        <color rgb="FF1E4FA8"/>
        <rFont val="Consolas"/>
        <family val="3"/>
      </rPr>
      <t>Private Sub</t>
    </r>
    <r>
      <rPr>
        <sz val="10"/>
        <color rgb="FF002138"/>
        <rFont val="Consolas"/>
        <family val="3"/>
      </rPr>
      <t xml:space="preserve"> CopyLambda()</t>
    </r>
  </si>
  <si>
    <t xml:space="preserve">    strLambda = "RXL_Union"</t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</si>
  <si>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color rgb="FF002138"/>
        <rFont val="Consolas"/>
        <family val="3"/>
      </rPr>
      <t xml:space="preserve"> wb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Workbook, nm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Name, fn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Name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</si>
  <si>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color rgb="FF002138"/>
        <rFont val="Consolas"/>
        <family val="3"/>
      </rPr>
      <t xml:space="preserve"> strLambda </t>
    </r>
    <r>
      <rPr>
        <sz val="10"/>
        <color rgb="FF1E4FA8"/>
        <rFont val="Consolas"/>
        <family val="3"/>
      </rPr>
      <t>As String</t>
    </r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</si>
  <si>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wb = Application.Workbooks("Example.xlsx")</t>
    </r>
  </si>
  <si>
    <r>
      <t xml:space="preserve">    </t>
    </r>
    <r>
      <rPr>
        <sz val="10"/>
        <color rgb="FF1E4FA8"/>
        <rFont val="Consolas"/>
        <family val="3"/>
      </rPr>
      <t>If</t>
    </r>
    <r>
      <rPr>
        <sz val="10"/>
        <color rgb="FF002138"/>
        <rFont val="Consolas"/>
        <family val="3"/>
      </rPr>
      <t xml:space="preserve"> wb </t>
    </r>
    <r>
      <rPr>
        <sz val="10"/>
        <color rgb="FF1E4FA8"/>
        <rFont val="Consolas"/>
        <family val="3"/>
      </rPr>
      <t>Is Nothing Then</t>
    </r>
  </si>
  <si>
    <r>
      <t xml:space="preserve">        </t>
    </r>
    <r>
      <rPr>
        <sz val="10"/>
        <color rgb="FF1E4FA8"/>
        <rFont val="Consolas"/>
        <family val="3"/>
      </rPr>
      <t>Debug.Print</t>
    </r>
    <r>
      <rPr>
        <sz val="10"/>
        <color rgb="FF002138"/>
        <rFont val="Consolas"/>
        <family val="3"/>
      </rPr>
      <t xml:space="preserve"> "ERROR: Destination Workbook not found - please ensure it is open"</t>
    </r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</si>
  <si>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nm = ThisWorkbook.Names(strLambda)</t>
    </r>
  </si>
  <si>
    <r>
      <t xml:space="preserve">    </t>
    </r>
    <r>
      <rPr>
        <sz val="10"/>
        <color rgb="FF1E4FA8"/>
        <rFont val="Consolas"/>
        <family val="3"/>
      </rPr>
      <t>If Not</t>
    </r>
    <r>
      <rPr>
        <sz val="10"/>
        <color rgb="FF002138"/>
        <rFont val="Consolas"/>
        <family val="3"/>
      </rPr>
      <t xml:space="preserve"> nm </t>
    </r>
    <r>
      <rPr>
        <sz val="10"/>
        <color rgb="FF1E4FA8"/>
        <rFont val="Consolas"/>
        <family val="3"/>
      </rPr>
      <t>Is Nothing Then</t>
    </r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</si>
  <si>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fn = wb.Names.Add(Name:=nm.Name, _</t>
    </r>
  </si>
  <si>
    <r>
      <t xml:space="preserve">        </t>
    </r>
    <r>
      <rPr>
        <sz val="10"/>
        <color rgb="FF1E4FA8"/>
        <rFont val="Consolas"/>
        <family val="3"/>
      </rPr>
      <t>If</t>
    </r>
    <r>
      <rPr>
        <sz val="10"/>
        <color rgb="FF002138"/>
        <rFont val="Consolas"/>
        <family val="3"/>
      </rPr>
      <t xml:space="preserve"> Err.Number = 0 </t>
    </r>
    <r>
      <rPr>
        <sz val="10"/>
        <color rgb="FF1E4FA8"/>
        <rFont val="Consolas"/>
        <family val="3"/>
      </rPr>
      <t>Then</t>
    </r>
  </si>
  <si>
    <r>
      <t xml:space="preserve">            </t>
    </r>
    <r>
      <rPr>
        <sz val="10"/>
        <color rgb="FF1E4FA8"/>
        <rFont val="Consolas"/>
        <family val="3"/>
      </rPr>
      <t>Debug.Print</t>
    </r>
    <r>
      <rPr>
        <sz val="10"/>
        <color rgb="FF002138"/>
        <rFont val="Consolas"/>
        <family val="3"/>
      </rPr>
      <t xml:space="preserve"> "Success! -&gt; " &amp; strLambda &amp; " copied to " &amp; wb.Name</t>
    </r>
  </si>
  <si>
    <r>
      <t xml:space="preserve">            </t>
    </r>
    <r>
      <rPr>
        <sz val="10"/>
        <color rgb="FF1E4FA8"/>
        <rFont val="Consolas"/>
        <family val="3"/>
      </rPr>
      <t>Debug.Print</t>
    </r>
    <r>
      <rPr>
        <sz val="10"/>
        <color rgb="FF002138"/>
        <rFont val="Consolas"/>
        <family val="3"/>
      </rPr>
      <t xml:space="preserve"> "ERROR: Unable to copy " &amp; strLambda &amp; " to " &amp; wb.Name</t>
    </r>
  </si>
  <si>
    <r>
      <t xml:space="preserve">        </t>
    </r>
    <r>
      <rPr>
        <sz val="10"/>
        <color rgb="FF1E4FA8"/>
        <rFont val="Consolas"/>
        <family val="3"/>
      </rPr>
      <t>Debug.Print</t>
    </r>
    <r>
      <rPr>
        <sz val="10"/>
        <color rgb="FF002138"/>
        <rFont val="Consolas"/>
        <family val="3"/>
      </rPr>
      <t xml:space="preserve"> "ERROR: " &amp; strLambda &amp; " not found"</t>
    </r>
  </si>
  <si>
    <t>Account</t>
  </si>
  <si>
    <t>Sales</t>
  </si>
  <si>
    <t>Customer</t>
  </si>
  <si>
    <t>ABC-001</t>
  </si>
  <si>
    <t>ABC-002</t>
  </si>
  <si>
    <t>ABC-003</t>
  </si>
  <si>
    <t>ABC-004</t>
  </si>
  <si>
    <t>ABC-005</t>
  </si>
  <si>
    <t>ABC-006</t>
  </si>
  <si>
    <t>ABC-007</t>
  </si>
  <si>
    <t>ABC-008</t>
  </si>
  <si>
    <t>ABC-009</t>
  </si>
  <si>
    <t>ABC-010</t>
  </si>
  <si>
    <t>Union of data tables without matching</t>
  </si>
  <si>
    <t>(no titles)</t>
  </si>
  <si>
    <t>Union of data tables with matching</t>
  </si>
  <si>
    <t xml:space="preserve"> -&gt; matched titles</t>
  </si>
  <si>
    <t xml:space="preserve"> -&gt; unmatched titles</t>
  </si>
  <si>
    <t>Union of data tables with different numbers of columns</t>
  </si>
  <si>
    <t>inc. Tax</t>
  </si>
  <si>
    <t>Income</t>
  </si>
  <si>
    <t>Union of data tables with columns in different orders</t>
  </si>
  <si>
    <t xml:space="preserve"> -&gt; matching on titles</t>
  </si>
  <si>
    <t xml:space="preserve"> -&gt; matching on relative position</t>
  </si>
  <si>
    <t xml:space="preserve"> -&gt; replacing #N/A values with blanks</t>
  </si>
  <si>
    <t xml:space="preserve"> -&gt; not replacing #N/A values</t>
  </si>
  <si>
    <t xml:space="preserve"> -&gt; replacing #N/A values with a zero value</t>
  </si>
  <si>
    <t xml:space="preserve"> -&gt; replacing #N/A values with a string</t>
  </si>
  <si>
    <t xml:space="preserve"> -&gt; adding custom titles row array</t>
  </si>
  <si>
    <t xml:space="preserve"> -&gt; Include titles row? </t>
  </si>
  <si>
    <t xml:space="preserve"> -&gt; replacing #N/A values with zero values</t>
  </si>
  <si>
    <t xml:space="preserve"> -&gt; referencing output titles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</si>
</sst>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_);\(#,##0\);\-_)"/>
    <numFmt numFmtId="165" formatCode="0.00%;\(0.00\)%;&quot;--&quot;_)"/>
    <numFmt numFmtId="166" formatCode="d\-mmm\-yyyy"/>
    <numFmt numFmtId="167" formatCode="_(* #,##0.00_);_(* \(#,##0.00\);_(* &quot;-&quot;??_);_(@_)"/>
    <numFmt numFmtId="168" formatCode="#,##0_);\(#,##0\);\ \-_)"/>
    <numFmt numFmtId="169" formatCode="0_);\(0\);\-_)"/>
    <numFmt numFmtId="170" formatCode="_(&quot;£&quot;* #,##0.00_);_(&quot;£&quot;* \(#,##0.00\);_(&quot;£&quot;* &quot;-&quot;??_);_(@_)"/>
    <numFmt numFmtId="171" formatCode="&quot;£&quot;#,##0.0,\ \K_);&quot;£&quot;\(#,##0.0,\ \K\);&quot;£&quot;0_)"/>
    <numFmt numFmtId="172" formatCode="[Red]&quot;CHECK&quot;;[Red]&quot;ERROR&quot;;&quot;OK&quot;"/>
    <numFmt numFmtId="173" formatCode="#,##0_);[Red]\(#,##0\);\ \-_)"/>
    <numFmt numFmtId="174" formatCode="0.00%;[Red]\(0.00\)%;&quot;--&quot;_)"/>
    <numFmt numFmtId="175" formatCode="mmm\-yyyy_)"/>
    <numFmt numFmtId="176" formatCode="0_);[Red]\(0\);\-_)"/>
    <numFmt numFmtId="177" formatCode="00\."/>
    <numFmt numFmtId="178" formatCode="&quot;Yes (1)&quot;;[Red]&quot;Err&quot;;&quot;No (0)&quot;"/>
    <numFmt numFmtId="179" formatCode="&quot;On (1)&quot;;[Red]&quot;Err&quot;;&quot;Off (0)&quot;"/>
  </numFmts>
  <fonts count="51" x14ac:knownFonts="1">
    <font>
      <sz val="10"/>
      <color rgb="FF002138"/>
      <name val="Calibri"/>
      <family val="2"/>
      <scheme val="minor"/>
    </font>
    <font>
      <sz val="10"/>
      <color theme="1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F9C35"/>
      <name val="Consolas"/>
      <family val="3"/>
    </font>
    <font>
      <sz val="10"/>
      <color rgb="FF002138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i/>
      <sz val="10"/>
      <color rgb="FF195C89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2"/>
      <color rgb="FFFFFFFF"/>
      <name val="Arial"/>
      <family val="2"/>
      <scheme val="major"/>
    </font>
    <font>
      <b/>
      <sz val="11"/>
      <color rgb="FFFFFFFF"/>
      <name val="Arial"/>
      <family val="2"/>
      <scheme val="major"/>
    </font>
    <font>
      <b/>
      <sz val="10"/>
      <color rgb="FF595959"/>
      <name val="Arial"/>
      <family val="2"/>
      <scheme val="major"/>
    </font>
    <font>
      <sz val="10"/>
      <color theme="0" tint="-0.249977111117893"/>
      <name val="Calibri"/>
      <family val="2"/>
      <scheme val="minor"/>
    </font>
    <font>
      <sz val="10"/>
      <color rgb="FF195C89"/>
      <name val="Calibri"/>
      <family val="2"/>
      <scheme val="minor"/>
    </font>
    <font>
      <sz val="12"/>
      <color rgb="FF195C89"/>
      <name val="Arial"/>
      <family val="2"/>
      <scheme val="major"/>
    </font>
    <font>
      <sz val="10"/>
      <color theme="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i/>
      <sz val="10"/>
      <color rgb="FF33B9F2"/>
      <name val="Calibri"/>
      <family val="2"/>
      <scheme val="minor"/>
    </font>
    <font>
      <sz val="10"/>
      <color rgb="FF9C5700"/>
      <name val="Calibri"/>
      <family val="2"/>
      <scheme val="minor"/>
    </font>
    <font>
      <i/>
      <sz val="10"/>
      <color rgb="FFFF8225"/>
      <name val="Calibri"/>
      <family val="2"/>
      <scheme val="minor"/>
    </font>
    <font>
      <sz val="10"/>
      <color rgb="FFB400B4"/>
      <name val="Calibri"/>
      <family val="2"/>
      <scheme val="minor"/>
    </font>
    <font>
      <sz val="10"/>
      <color rgb="FF8C0000"/>
      <name val="Calibri"/>
      <family val="2"/>
      <scheme val="minor"/>
    </font>
    <font>
      <b/>
      <sz val="12"/>
      <color rgb="FF195C89"/>
      <name val="Arial"/>
      <family val="2"/>
      <scheme val="major"/>
    </font>
    <font>
      <b/>
      <sz val="16"/>
      <color rgb="FF0E2550"/>
      <name val="Arial"/>
      <family val="2"/>
      <scheme val="major"/>
    </font>
    <font>
      <sz val="10"/>
      <color rgb="FFB4B4B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2138"/>
      <name val="Calibri"/>
      <family val="2"/>
      <scheme val="minor"/>
    </font>
    <font>
      <b/>
      <i/>
      <sz val="10"/>
      <color rgb="FF002138"/>
      <name val="Calibri"/>
      <family val="2"/>
      <scheme val="minor"/>
    </font>
    <font>
      <b/>
      <sz val="14"/>
      <color rgb="FFFFFFFF"/>
      <name val="Arial"/>
      <family val="2"/>
      <scheme val="major"/>
    </font>
    <font>
      <u/>
      <sz val="10"/>
      <color rgb="FF002138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color rgb="FF002138"/>
      <name val="Consolas"/>
      <family val="3"/>
    </font>
    <font>
      <sz val="10"/>
      <color rgb="FF0065A8"/>
      <name val="Consolas"/>
      <family val="3"/>
    </font>
    <font>
      <b/>
      <sz val="10"/>
      <color rgb="FFFC6017"/>
      <name val="Calibri"/>
      <family val="2"/>
      <scheme val="minor"/>
    </font>
    <font>
      <b/>
      <sz val="10"/>
      <color rgb="FFB75EE1"/>
      <name val="Calibri"/>
      <family val="2"/>
      <scheme val="minor"/>
    </font>
    <font>
      <sz val="10"/>
      <color rgb="FFC00000"/>
      <name val="Consolas"/>
      <family val="3"/>
    </font>
    <font>
      <sz val="10"/>
      <name val="Calibri"/>
      <family val="2"/>
      <scheme val="minor"/>
    </font>
    <font>
      <sz val="10"/>
      <name val="Consolas"/>
      <family val="3"/>
    </font>
    <font>
      <sz val="10"/>
      <color rgb="FF0000FF"/>
      <name val="Consolas"/>
      <family val="3"/>
    </font>
    <font>
      <sz val="10"/>
      <color rgb="FF002138"/>
      <name val="Calibri"/>
      <family val="3"/>
      <scheme val="minor"/>
    </font>
    <font>
      <u/>
      <sz val="10"/>
      <color theme="10"/>
      <name val="Calibri"/>
      <family val="2"/>
      <scheme val="minor"/>
    </font>
    <font>
      <sz val="10"/>
      <color rgb="FF1E4FA8"/>
      <name val="Consolas"/>
      <family val="3"/>
    </font>
    <font>
      <b/>
      <sz val="10"/>
      <color rgb="FF0000FF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EE6CE"/>
        <bgColor indexed="64"/>
      </patternFill>
    </fill>
    <fill>
      <patternFill patternType="solid">
        <fgColor rgb="FF198B83"/>
        <bgColor indexed="64"/>
      </patternFill>
    </fill>
    <fill>
      <patternFill patternType="solid">
        <fgColor rgb="FF56BAB8"/>
        <bgColor indexed="64"/>
      </patternFill>
    </fill>
    <fill>
      <patternFill patternType="solid">
        <fgColor rgb="FFE6D3B8"/>
        <bgColor indexed="64"/>
      </patternFill>
    </fill>
    <fill>
      <patternFill patternType="solid">
        <fgColor rgb="FFF7ECDD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9E7FF"/>
        <bgColor indexed="64"/>
      </patternFill>
    </fill>
    <fill>
      <patternFill patternType="solid">
        <fgColor rgb="FFEBFAFA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200"/>
        <bgColor indexed="64"/>
      </patternFill>
    </fill>
    <fill>
      <patternFill patternType="solid">
        <fgColor rgb="FFBEE4E3"/>
        <bgColor indexed="64"/>
      </patternFill>
    </fill>
    <fill>
      <patternFill patternType="lightUp">
        <fgColor theme="0" tint="-0.34998626667073579"/>
        <bgColor auto="1"/>
      </patternFill>
    </fill>
    <fill>
      <patternFill patternType="solid">
        <fgColor rgb="FFE4E6E8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/>
      <right/>
      <top style="medium">
        <color theme="5"/>
      </top>
      <bottom/>
      <diagonal/>
    </border>
    <border>
      <left style="thin">
        <color rgb="FF198B83"/>
      </left>
      <right style="thin">
        <color rgb="FF198B83"/>
      </right>
      <top style="thin">
        <color rgb="FF198B83"/>
      </top>
      <bottom style="thin">
        <color rgb="FF198B83"/>
      </bottom>
      <diagonal/>
    </border>
    <border>
      <left style="thin">
        <color rgb="FF56BAB8"/>
      </left>
      <right style="thin">
        <color rgb="FF56BAB8"/>
      </right>
      <top style="thin">
        <color rgb="FF56BAB8"/>
      </top>
      <bottom style="thin">
        <color rgb="FF56BAB8"/>
      </bottom>
      <diagonal/>
    </border>
    <border>
      <left style="thin">
        <color rgb="FFE6D3B8"/>
      </left>
      <right style="thin">
        <color rgb="FFE6D3B8"/>
      </right>
      <top style="thin">
        <color rgb="FFE6D3B8"/>
      </top>
      <bottom style="thin">
        <color rgb="FFE6D3B8"/>
      </bottom>
      <diagonal/>
    </border>
    <border>
      <left style="thin">
        <color rgb="FFF7ECDD"/>
      </left>
      <right style="thin">
        <color rgb="FFF7ECDD"/>
      </right>
      <top style="thin">
        <color rgb="FFF7ECDD"/>
      </top>
      <bottom style="thin">
        <color rgb="FFF7ECDD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medium">
        <color theme="5"/>
      </bottom>
      <diagonal/>
    </border>
    <border>
      <left style="hair">
        <color rgb="FF0082B3"/>
      </left>
      <right style="hair">
        <color rgb="FF0082B3"/>
      </right>
      <top style="hair">
        <color rgb="FF0082B3"/>
      </top>
      <bottom style="hair">
        <color rgb="FF0082B3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</borders>
  <cellStyleXfs count="72">
    <xf numFmtId="0" fontId="0" fillId="0" borderId="0"/>
    <xf numFmtId="167" fontId="12" fillId="0" borderId="0" applyNumberFormat="0" applyAlignment="0" applyProtection="0"/>
    <xf numFmtId="170" fontId="12" fillId="0" borderId="0" applyNumberFormat="0" applyAlignment="0" applyProtection="0"/>
    <xf numFmtId="171" fontId="1" fillId="0" borderId="0" applyFont="0" applyFill="0" applyBorder="0" applyAlignment="0" applyProtection="0"/>
    <xf numFmtId="9" fontId="12" fillId="0" borderId="0" applyNumberFormat="0" applyAlignment="0" applyProtection="0"/>
    <xf numFmtId="0" fontId="31" fillId="0" borderId="0" applyAlignment="0" applyProtection="0"/>
    <xf numFmtId="0" fontId="17" fillId="10" borderId="11" applyNumberFormat="0" applyAlignment="0" applyProtection="0"/>
    <xf numFmtId="0" fontId="18" fillId="11" borderId="12" applyNumberFormat="0" applyAlignment="0" applyProtection="0"/>
    <xf numFmtId="0" fontId="19" fillId="12" borderId="13" applyNumberFormat="0" applyAlignment="0" applyProtection="0"/>
    <xf numFmtId="0" fontId="19" fillId="13" borderId="14" applyNumberFormat="0" applyAlignment="0" applyProtection="0"/>
    <xf numFmtId="0" fontId="16" fillId="2" borderId="0" applyNumberFormat="0" applyBorder="0" applyAlignment="0" applyProtection="0"/>
    <xf numFmtId="0" fontId="8" fillId="3" borderId="0" applyNumberFormat="0" applyBorder="0" applyAlignment="0" applyProtection="0"/>
    <xf numFmtId="0" fontId="26" fillId="4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6" borderId="1" applyNumberFormat="0" applyAlignment="0" applyProtection="0"/>
    <xf numFmtId="0" fontId="5" fillId="0" borderId="3" applyNumberFormat="0" applyFill="0" applyAlignment="0" applyProtection="0"/>
    <xf numFmtId="0" fontId="6" fillId="7" borderId="4" applyNumberFormat="0" applyAlignment="0" applyProtection="0"/>
    <xf numFmtId="164" fontId="33" fillId="0" borderId="0" applyNumberFormat="0" applyFill="0" applyBorder="0" applyAlignment="0" applyProtection="0"/>
    <xf numFmtId="0" fontId="1" fillId="8" borderId="5" applyNumberFormat="0" applyFont="0" applyAlignment="0" applyProtection="0"/>
    <xf numFmtId="164" fontId="14" fillId="0" borderId="0" applyNumberFormat="0" applyFill="0" applyBorder="0" applyAlignment="0" applyProtection="0"/>
    <xf numFmtId="0" fontId="7" fillId="0" borderId="6" applyNumberFormat="0" applyFill="0" applyAlignment="0" applyProtection="0"/>
    <xf numFmtId="164" fontId="9" fillId="0" borderId="7" applyAlignment="0"/>
    <xf numFmtId="165" fontId="9" fillId="0" borderId="7" applyAlignment="0"/>
    <xf numFmtId="166" fontId="9" fillId="0" borderId="7" applyAlignment="0"/>
    <xf numFmtId="164" fontId="9" fillId="0" borderId="8" applyNumberFormat="0" applyAlignment="0"/>
    <xf numFmtId="164" fontId="10" fillId="0" borderId="9" applyNumberFormat="0" applyAlignment="0"/>
    <xf numFmtId="0" fontId="11" fillId="0" borderId="0" applyFill="0" applyBorder="0" applyAlignment="0"/>
    <xf numFmtId="168" fontId="13" fillId="9" borderId="7" applyAlignment="0">
      <protection locked="0"/>
    </xf>
    <xf numFmtId="165" fontId="13" fillId="9" borderId="7" applyAlignment="0">
      <protection locked="0"/>
    </xf>
    <xf numFmtId="166" fontId="13" fillId="9" borderId="7" applyAlignment="0">
      <protection locked="0"/>
    </xf>
    <xf numFmtId="169" fontId="13" fillId="9" borderId="7" applyAlignment="0">
      <protection locked="0"/>
    </xf>
    <xf numFmtId="0" fontId="15" fillId="0" borderId="10" applyFill="0">
      <alignment vertical="center"/>
    </xf>
    <xf numFmtId="172" fontId="20" fillId="0" borderId="0" applyFill="0">
      <alignment horizontal="center"/>
    </xf>
    <xf numFmtId="168" fontId="13" fillId="14" borderId="7" applyAlignment="0">
      <protection locked="0"/>
    </xf>
    <xf numFmtId="165" fontId="13" fillId="14" borderId="7" applyAlignment="0">
      <protection locked="0"/>
    </xf>
    <xf numFmtId="166" fontId="13" fillId="14" borderId="7" applyAlignment="0">
      <protection locked="0"/>
    </xf>
    <xf numFmtId="169" fontId="13" fillId="14" borderId="7" applyAlignment="0">
      <protection locked="0"/>
    </xf>
    <xf numFmtId="164" fontId="21" fillId="15" borderId="7" applyAlignment="0">
      <protection locked="0"/>
    </xf>
    <xf numFmtId="0" fontId="22" fillId="0" borderId="0">
      <alignment vertical="center"/>
    </xf>
    <xf numFmtId="168" fontId="13" fillId="16" borderId="7" applyAlignment="0"/>
    <xf numFmtId="164" fontId="23" fillId="17" borderId="0">
      <alignment horizontal="center"/>
    </xf>
    <xf numFmtId="164" fontId="23" fillId="18" borderId="0">
      <alignment horizontal="center"/>
    </xf>
    <xf numFmtId="164" fontId="24" fillId="19" borderId="0">
      <alignment horizontal="center"/>
    </xf>
    <xf numFmtId="0" fontId="25" fillId="0" borderId="0"/>
    <xf numFmtId="0" fontId="27" fillId="0" borderId="0" applyNumberFormat="0" applyFill="0" applyBorder="0" applyAlignment="0"/>
    <xf numFmtId="0" fontId="21" fillId="0" borderId="0" applyNumberFormat="0" applyFill="0" applyBorder="0" applyAlignment="0"/>
    <xf numFmtId="173" fontId="9" fillId="0" borderId="0" applyFill="0" applyAlignment="0"/>
    <xf numFmtId="174" fontId="9" fillId="0" borderId="0" applyFill="0" applyAlignment="0"/>
    <xf numFmtId="175" fontId="9" fillId="0" borderId="0" applyFill="0" applyAlignment="0"/>
    <xf numFmtId="164" fontId="10" fillId="0" borderId="15" applyNumberFormat="0" applyFill="0" applyAlignment="0"/>
    <xf numFmtId="176" fontId="9" fillId="0" borderId="0" applyFill="0" applyAlignment="0"/>
    <xf numFmtId="164" fontId="10" fillId="0" borderId="6" applyNumberFormat="0" applyFill="0" applyAlignment="0"/>
    <xf numFmtId="168" fontId="28" fillId="0" borderId="7" applyAlignment="0"/>
    <xf numFmtId="165" fontId="28" fillId="0" borderId="7" applyAlignment="0"/>
    <xf numFmtId="166" fontId="28" fillId="0" borderId="7" applyAlignment="0"/>
    <xf numFmtId="168" fontId="28" fillId="0" borderId="8" applyNumberFormat="0" applyAlignment="0"/>
    <xf numFmtId="169" fontId="28" fillId="0" borderId="7" applyAlignment="0"/>
    <xf numFmtId="168" fontId="29" fillId="0" borderId="7" applyAlignment="0"/>
    <xf numFmtId="165" fontId="29" fillId="0" borderId="7" applyAlignment="0"/>
    <xf numFmtId="166" fontId="29" fillId="0" borderId="7" applyAlignment="0"/>
    <xf numFmtId="168" fontId="29" fillId="0" borderId="8" applyNumberFormat="0" applyAlignment="0"/>
    <xf numFmtId="169" fontId="29" fillId="0" borderId="7" applyAlignment="0"/>
    <xf numFmtId="0" fontId="30" fillId="0" borderId="16"/>
    <xf numFmtId="169" fontId="9" fillId="20" borderId="0" applyAlignment="0" applyProtection="0"/>
    <xf numFmtId="0" fontId="32" fillId="0" borderId="0" applyNumberFormat="0" applyFill="0" applyBorder="0">
      <alignment horizontal="center"/>
    </xf>
    <xf numFmtId="0" fontId="24" fillId="21" borderId="17" applyNumberFormat="0" applyBorder="0" applyAlignment="0" applyProtection="0"/>
    <xf numFmtId="164" fontId="9" fillId="22" borderId="7"/>
    <xf numFmtId="165" fontId="9" fillId="22" borderId="7"/>
    <xf numFmtId="164" fontId="9" fillId="22" borderId="8" applyNumberFormat="0"/>
    <xf numFmtId="164" fontId="9" fillId="22" borderId="9" applyNumberFormat="0"/>
    <xf numFmtId="0" fontId="48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17" fillId="10" borderId="11" xfId="6"/>
    <xf numFmtId="0" fontId="34" fillId="0" borderId="0" xfId="0" applyFont="1"/>
    <xf numFmtId="0" fontId="35" fillId="0" borderId="0" xfId="0" applyFont="1"/>
    <xf numFmtId="169" fontId="13" fillId="14" borderId="7" xfId="37" applyAlignment="1">
      <alignment horizontal="center"/>
      <protection locked="0"/>
    </xf>
    <xf numFmtId="168" fontId="13" fillId="14" borderId="7" xfId="34" applyAlignment="1">
      <alignment horizontal="center"/>
      <protection locked="0"/>
    </xf>
    <xf numFmtId="168" fontId="13" fillId="14" borderId="7" xfId="34" quotePrefix="1" applyAlignment="1">
      <alignment horizontal="center"/>
      <protection locked="0"/>
    </xf>
    <xf numFmtId="169" fontId="13" fillId="14" borderId="18" xfId="37" applyBorder="1" applyAlignment="1">
      <alignment horizontal="center"/>
      <protection locked="0"/>
    </xf>
    <xf numFmtId="168" fontId="13" fillId="14" borderId="18" xfId="34" applyBorder="1" applyAlignment="1">
      <alignment horizontal="center"/>
      <protection locked="0"/>
    </xf>
    <xf numFmtId="169" fontId="13" fillId="14" borderId="7" xfId="37">
      <protection locked="0"/>
    </xf>
    <xf numFmtId="164" fontId="9" fillId="0" borderId="7" xfId="22"/>
    <xf numFmtId="164" fontId="9" fillId="0" borderId="7" xfId="22" applyAlignment="1">
      <alignment horizontal="center"/>
    </xf>
    <xf numFmtId="0" fontId="30" fillId="0" borderId="16" xfId="63"/>
    <xf numFmtId="164" fontId="9" fillId="23" borderId="7" xfId="22" applyFill="1"/>
    <xf numFmtId="177" fontId="30" fillId="0" borderId="16" xfId="63" applyNumberFormat="1"/>
    <xf numFmtId="0" fontId="19" fillId="13" borderId="14" xfId="9"/>
    <xf numFmtId="0" fontId="19" fillId="13" borderId="14" xfId="9" applyAlignment="1">
      <alignment horizontal="left" indent="1"/>
    </xf>
    <xf numFmtId="0" fontId="11" fillId="0" borderId="0" xfId="27"/>
    <xf numFmtId="164" fontId="9" fillId="23" borderId="7" xfId="22" applyFill="1" applyAlignment="1">
      <alignment horizontal="center"/>
    </xf>
    <xf numFmtId="0" fontId="36" fillId="10" borderId="11" xfId="6" applyFont="1" applyAlignment="1">
      <alignment horizontal="left" vertical="center" indent="1"/>
    </xf>
    <xf numFmtId="169" fontId="13" fillId="9" borderId="7" xfId="31" applyAlignment="1">
      <alignment horizontal="center"/>
      <protection locked="0"/>
    </xf>
    <xf numFmtId="168" fontId="13" fillId="16" borderId="7" xfId="40"/>
    <xf numFmtId="0" fontId="0" fillId="0" borderId="0" xfId="0" applyAlignment="1">
      <alignment horizontal="right"/>
    </xf>
    <xf numFmtId="0" fontId="32" fillId="0" borderId="0" xfId="0" applyFont="1"/>
    <xf numFmtId="178" fontId="13" fillId="16" borderId="7" xfId="40" applyNumberFormat="1"/>
    <xf numFmtId="179" fontId="13" fillId="16" borderId="7" xfId="40" applyNumberFormat="1"/>
    <xf numFmtId="0" fontId="25" fillId="0" borderId="0" xfId="44"/>
    <xf numFmtId="0" fontId="15" fillId="0" borderId="10" xfId="32">
      <alignment vertical="center"/>
    </xf>
    <xf numFmtId="178" fontId="13" fillId="14" borderId="7" xfId="34" applyNumberFormat="1" applyAlignment="1">
      <alignment horizontal="center"/>
      <protection locked="0"/>
    </xf>
    <xf numFmtId="0" fontId="37" fillId="0" borderId="0" xfId="0" applyFont="1"/>
    <xf numFmtId="0" fontId="34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38" fillId="0" borderId="0" xfId="0" applyFont="1"/>
    <xf numFmtId="164" fontId="24" fillId="21" borderId="7" xfId="66" applyNumberFormat="1" applyBorder="1"/>
    <xf numFmtId="169" fontId="13" fillId="14" borderId="7" xfId="37" applyAlignment="1">
      <protection locked="0"/>
    </xf>
    <xf numFmtId="168" fontId="13" fillId="14" borderId="7" xfId="34" applyAlignment="1">
      <protection locked="0"/>
    </xf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0" fillId="0" borderId="0" xfId="27" quotePrefix="1" applyFont="1"/>
    <xf numFmtId="0" fontId="40" fillId="0" borderId="0" xfId="27" applyFont="1"/>
    <xf numFmtId="0" fontId="40" fillId="0" borderId="0" xfId="27" quotePrefix="1" applyFont="1" applyAlignment="1">
      <alignment horizontal="left" indent="2"/>
    </xf>
    <xf numFmtId="0" fontId="40" fillId="0" borderId="0" xfId="27" applyFont="1" applyAlignment="1">
      <alignment horizontal="left" indent="2"/>
    </xf>
    <xf numFmtId="0" fontId="40" fillId="0" borderId="0" xfId="27" applyFont="1" applyAlignment="1">
      <alignment horizontal="left" indent="4"/>
    </xf>
    <xf numFmtId="0" fontId="40" fillId="0" borderId="0" xfId="27" applyFont="1" applyAlignment="1">
      <alignment horizontal="left" indent="6"/>
    </xf>
    <xf numFmtId="0" fontId="40" fillId="0" borderId="0" xfId="27" applyFont="1" applyAlignment="1">
      <alignment horizontal="left" indent="8"/>
    </xf>
    <xf numFmtId="0" fontId="11" fillId="0" borderId="0" xfId="27" quotePrefix="1" applyAlignment="1">
      <alignment horizontal="left" indent="2"/>
    </xf>
    <xf numFmtId="0" fontId="11" fillId="0" borderId="0" xfId="27" quotePrefix="1" applyAlignment="1">
      <alignment horizontal="left" indent="4"/>
    </xf>
    <xf numFmtId="0" fontId="47" fillId="0" borderId="0" xfId="0" applyFont="1"/>
    <xf numFmtId="0" fontId="34" fillId="0" borderId="0" xfId="0" applyFont="1" applyAlignment="1">
      <alignment horizontal="right"/>
    </xf>
    <xf numFmtId="0" fontId="48" fillId="0" borderId="0" xfId="71"/>
    <xf numFmtId="0" fontId="39" fillId="0" borderId="0" xfId="0" applyFont="1"/>
    <xf numFmtId="0" fontId="11" fillId="0" borderId="0" xfId="0" applyFont="1"/>
    <xf numFmtId="0" fontId="49" fillId="0" borderId="0" xfId="0" applyFont="1"/>
    <xf numFmtId="9" fontId="0" fillId="0" borderId="0" xfId="0" applyNumberFormat="1"/>
    <xf numFmtId="168" fontId="13" fillId="14" borderId="7" xfId="34">
      <protection locked="0"/>
    </xf>
    <xf numFmtId="169" fontId="50" fillId="9" borderId="7" xfId="31" applyFont="1">
      <protection locked="0"/>
    </xf>
    <xf numFmtId="169" fontId="50" fillId="9" borderId="7" xfId="31" applyFont="1" applyAlignment="1">
      <alignment horizontal="right"/>
      <protection locked="0"/>
    </xf>
    <xf numFmtId="168" fontId="0" fillId="0" borderId="0" xfId="0" applyNumberFormat="1"/>
    <xf numFmtId="0" fontId="0" fillId="0" borderId="0" xfId="0" quotePrefix="1"/>
  </cellXfs>
  <cellStyles count="72">
    <cellStyle name="Bad" xfId="11" builtinId="27" customBuiltin="1"/>
    <cellStyle name="Calc - #" xfId="22" xr:uid="{C64B7BDF-5D83-4338-AB85-FF50779978DE}"/>
    <cellStyle name="Calc - %" xfId="23" xr:uid="{CEBBB8C7-E8BD-453C-9FBD-95F7F4A34F2A}"/>
    <cellStyle name="Calc - Date" xfId="24" xr:uid="{E5C878AC-26E6-4F27-B5A2-D7608E6EE57C}"/>
    <cellStyle name="Calc - SubTotal" xfId="25" xr:uid="{0307958F-3813-4468-8A6A-BBCECBEB416E}"/>
    <cellStyle name="Calc - Total" xfId="26" xr:uid="{2531FD9D-2362-4656-B39D-E8E6A4BB65A8}"/>
    <cellStyle name="Calculation" xfId="15" builtinId="22" hidden="1"/>
    <cellStyle name="Check Cell" xfId="17" builtinId="23" hidden="1"/>
    <cellStyle name="Code" xfId="27" xr:uid="{C53D16A6-1849-4794-A018-886DB66044AC}"/>
    <cellStyle name="Comma" xfId="1" builtinId="3" customBuiltin="1"/>
    <cellStyle name="Const - #" xfId="28" xr:uid="{66369D36-1B03-4E5A-BCEA-255DCF745237}"/>
    <cellStyle name="Const - %" xfId="29" xr:uid="{E89C7867-18C6-4DFF-BAA8-91770CACD14E}"/>
    <cellStyle name="Const - Date" xfId="30" xr:uid="{D79A7157-CEF3-4F16-97CE-ED5855D4EEA9}"/>
    <cellStyle name="Const - Text" xfId="31" xr:uid="{9638DEC5-B2F5-4133-AEA1-779B85CD8273}"/>
    <cellStyle name="Currency" xfId="2" builtinId="4" customBuiltin="1"/>
    <cellStyle name="Currency [0]" xfId="3" builtinId="7" customBuiltin="1"/>
    <cellStyle name="Explanatory Text" xfId="20" builtinId="53" customBuiltin="1"/>
    <cellStyle name="Footer" xfId="32" xr:uid="{98F0DB80-BF77-4FA1-BE7D-E725ACCA6FE3}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" xfId="71" builtinId="8"/>
    <cellStyle name="Inline Check" xfId="33" xr:uid="{FFE3C08E-1BC3-43FE-A35C-72C3FFB1EBC6}"/>
    <cellStyle name="Input" xfId="13" builtinId="20" hidden="1"/>
    <cellStyle name="Input - #" xfId="34" xr:uid="{A0EB8A38-BB83-469A-93B6-37B62BFC2896}"/>
    <cellStyle name="Input - %" xfId="35" xr:uid="{E9DF95F6-8467-4B41-B4A2-083EED4D8EA2}"/>
    <cellStyle name="Input - Date" xfId="36" xr:uid="{BDF80D03-A2A6-4B7E-B5DF-B3FBF4C7E606}"/>
    <cellStyle name="Input - Text" xfId="37" xr:uid="{FC9D695D-9007-4AEB-A8CC-6E6E22BA5C31}"/>
    <cellStyle name="Linked Cell" xfId="16" builtinId="24" hidden="1"/>
    <cellStyle name="Macro Paste" xfId="38" xr:uid="{021C5F8A-3CF5-4FA9-9719-6388EB898C6F}"/>
    <cellStyle name="Message Bar" xfId="39" xr:uid="{5C8AC46F-17BF-4CA4-9C5E-F52CCFD5B848}"/>
    <cellStyle name="Model Author Input" xfId="40" xr:uid="{A9B0413B-20B0-4A66-9C8F-46CAFEF1D27C}"/>
    <cellStyle name="Model Error" xfId="41" xr:uid="{360E570A-AC0A-4542-8078-1EF618AB0C87}"/>
    <cellStyle name="Model Input Error" xfId="42" xr:uid="{DF3FDE51-EE4A-4C4C-AB3C-9646C6FD0188}"/>
    <cellStyle name="Model Warning" xfId="43" xr:uid="{CD88E354-3D10-40A3-BD2A-5EA5A99C6C41}"/>
    <cellStyle name="Named Range" xfId="44" xr:uid="{43C03179-5530-4889-88BE-13CA93672B71}"/>
    <cellStyle name="Neutral" xfId="12" builtinId="28" customBuiltin="1"/>
    <cellStyle name="Normal" xfId="0" builtinId="0" customBuiltin="1"/>
    <cellStyle name="Note" xfId="19" builtinId="10" hidden="1"/>
    <cellStyle name="Notes" xfId="45" xr:uid="{39F238B6-DA74-41B9-9636-E81367756D63}"/>
    <cellStyle name="Notes - Alt Text" xfId="46" xr:uid="{8AAC5AD5-CE26-4FBA-8A05-5D0D56FAE054}"/>
    <cellStyle name="Output" xfId="14" builtinId="21" hidden="1"/>
    <cellStyle name="Output - #" xfId="47" xr:uid="{52B6790A-F647-4528-B255-48B47778BAD2}"/>
    <cellStyle name="Output - %" xfId="48" xr:uid="{E35D6EDA-C472-4A46-A134-5026780DE931}"/>
    <cellStyle name="Output - Date" xfId="49" xr:uid="{CA4D001B-8107-4091-B7A2-EDFFDC01C31F}"/>
    <cellStyle name="Output - SubTotal" xfId="50" xr:uid="{DBC755AB-EEA0-4421-A2BB-EB546CCE318F}"/>
    <cellStyle name="Output - Text" xfId="51" xr:uid="{D41A2C7E-577B-4A7E-90A2-EAB03CA9230A}"/>
    <cellStyle name="Output - Total" xfId="52" xr:uid="{E6B7BAD2-C028-4E83-8032-408328B52841}"/>
    <cellStyle name="Per cent" xfId="4" builtinId="5" customBuiltin="1"/>
    <cellStyle name="Ref.In - #" xfId="53" xr:uid="{AA7F7533-0733-4E43-88BA-E12173273051}"/>
    <cellStyle name="Ref.In - %" xfId="54" xr:uid="{BCA48B6F-BDC9-49A8-8A88-B36FA604D358}"/>
    <cellStyle name="Ref.In - Date" xfId="55" xr:uid="{B7854A4A-EC97-45D2-AA75-231ACE60C914}"/>
    <cellStyle name="Ref.In - SubTotal" xfId="56" xr:uid="{6A97F38D-10B9-4AC2-86B8-143929CFAEF2}"/>
    <cellStyle name="Ref.In - Text" xfId="57" xr:uid="{3B3A3309-296B-4205-8F83-A38EC0AFF3AD}"/>
    <cellStyle name="Ref.Out - #" xfId="58" xr:uid="{A0FBA094-CDCE-44C5-8DAA-1B647FFD053B}"/>
    <cellStyle name="Ref.Out - %" xfId="59" xr:uid="{23AD8D33-99B0-4B2C-AE8D-6107DF6BDCBF}"/>
    <cellStyle name="Ref.Out - Date" xfId="60" xr:uid="{1774B24F-676F-4C17-8EED-F1831B3C7664}"/>
    <cellStyle name="Ref.Out - SubTotal" xfId="61" xr:uid="{C181456D-0CB5-495E-BB0D-DAA9722894F4}"/>
    <cellStyle name="Ref.Out - Text" xfId="62" xr:uid="{1C4555C1-651E-42B5-ACB6-C888073F4139}"/>
    <cellStyle name="SubTitle" xfId="63" xr:uid="{35FFDB55-07DE-4864-8271-B790FDFEC93E}"/>
    <cellStyle name="Time Line" xfId="64" xr:uid="{67B99F2A-035D-4C47-898F-6380601A6AD4}"/>
    <cellStyle name="Title" xfId="5" builtinId="15" customBuiltin="1"/>
    <cellStyle name="Total" xfId="21" builtinId="25" hidden="1"/>
    <cellStyle name="Units Label" xfId="65" xr:uid="{D76A2C49-8FF6-41BB-A487-F23972D9181B}"/>
    <cellStyle name="Unused" xfId="66" xr:uid="{EBD4A30E-7FF3-49BE-BE22-13145A32047E}"/>
    <cellStyle name="Variance - #" xfId="67" xr:uid="{640276A0-950C-467D-83C9-EA3ACF170A00}"/>
    <cellStyle name="Variance - %" xfId="68" xr:uid="{A9566DF1-C296-4354-9FD0-F48968C59792}"/>
    <cellStyle name="Variance - SubTotal" xfId="69" xr:uid="{F5B74BBE-4067-45E9-A93F-76D842BB6997}"/>
    <cellStyle name="Variance - Total" xfId="70" xr:uid="{4B9FE50B-4295-404C-80F9-4F1C59D6B3D3}"/>
    <cellStyle name="Warning Text" xfId="18" builtinId="11" customBuiltin="1"/>
  </cellStyles>
  <dxfs count="27">
    <dxf>
      <numFmt numFmtId="164" formatCode="#,##0_);\(#,##0\);\-_)"/>
      <border>
        <left style="hair">
          <color rgb="FF1E4FA8"/>
        </left>
        <right style="hair">
          <color rgb="FF1E4FA8"/>
        </right>
        <top style="hair">
          <color rgb="FF1E4FA8"/>
        </top>
        <bottom style="hair">
          <color rgb="FF1E4FA8"/>
        </bottom>
        <vertical/>
        <horizontal/>
      </border>
    </dxf>
    <dxf>
      <font>
        <color theme="0" tint="-0.24994659260841701"/>
      </font>
    </dxf>
    <dxf>
      <font>
        <b/>
        <i val="0"/>
        <color theme="0"/>
      </font>
      <fill>
        <patternFill>
          <bgColor theme="4"/>
        </patternFill>
      </fill>
      <border>
        <left/>
        <right/>
        <top/>
        <bottom style="thin">
          <color theme="4" tint="-0.24994659260841701"/>
        </bottom>
        <vertical/>
        <horizontal/>
      </border>
    </dxf>
    <dxf>
      <font>
        <b/>
        <i val="0"/>
        <color theme="0"/>
      </font>
      <fill>
        <patternFill>
          <bgColor theme="4"/>
        </patternFill>
      </fill>
      <border>
        <left/>
        <right/>
        <top/>
        <bottom style="thin">
          <color theme="4" tint="-0.24994659260841701"/>
        </bottom>
        <vertical/>
        <horizontal/>
      </border>
    </dxf>
    <dxf>
      <font>
        <b/>
        <i val="0"/>
        <color theme="0"/>
      </font>
      <fill>
        <patternFill>
          <bgColor theme="4"/>
        </patternFill>
      </fill>
      <border>
        <left/>
        <right/>
        <top/>
        <bottom style="thin">
          <color theme="4" tint="-0.24994659260841701"/>
        </bottom>
        <vertical/>
        <horizontal/>
      </border>
    </dxf>
    <dxf>
      <numFmt numFmtId="164" formatCode="#,##0_);\(#,##0\);\-_)"/>
      <border>
        <left style="hair">
          <color rgb="FF1E4FA8"/>
        </left>
        <right style="hair">
          <color rgb="FF1E4FA8"/>
        </right>
        <top style="hair">
          <color rgb="FF1E4FA8"/>
        </top>
        <bottom style="hair">
          <color rgb="FF1E4FA8"/>
        </bottom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color theme="0"/>
      </font>
      <fill>
        <patternFill>
          <bgColor theme="4"/>
        </patternFill>
      </fill>
      <border>
        <left/>
        <right/>
        <top/>
        <bottom style="thin">
          <color theme="4" tint="-0.24994659260841701"/>
        </bottom>
        <vertical/>
        <horizontal/>
      </border>
    </dxf>
    <dxf>
      <numFmt numFmtId="164" formatCode="#,##0_);\(#,##0\);\-_)"/>
      <border>
        <left style="hair">
          <color rgb="FF0065A8"/>
        </left>
        <right style="hair">
          <color rgb="FF0065A8"/>
        </right>
        <top style="hair">
          <color rgb="FF0065A8"/>
        </top>
        <bottom style="hair">
          <color rgb="FF0065A8"/>
        </bottom>
        <vertical/>
        <horizontal/>
      </border>
    </dxf>
    <dxf>
      <font>
        <color rgb="FFB4B4B4"/>
      </font>
    </dxf>
    <dxf>
      <font>
        <color theme="0"/>
      </font>
      <fill>
        <patternFill>
          <bgColor theme="4"/>
        </patternFill>
      </fill>
      <border>
        <left/>
        <right/>
        <top/>
        <bottom style="thin">
          <color theme="4" tint="-0.24994659260841701"/>
        </bottom>
      </border>
    </dxf>
    <dxf>
      <numFmt numFmtId="164" formatCode="#,##0_);\(#,##0\);\-_)"/>
      <border>
        <left style="hair">
          <color rgb="FF0065A8"/>
        </left>
        <right style="hair">
          <color rgb="FF0065A8"/>
        </right>
        <top style="hair">
          <color rgb="FF0065A8"/>
        </top>
        <bottom style="hair">
          <color rgb="FF0065A8"/>
        </bottom>
        <vertical/>
        <horizontal/>
      </border>
    </dxf>
    <dxf>
      <font>
        <color rgb="FFB4B4B4"/>
      </font>
    </dxf>
    <dxf>
      <font>
        <color theme="0"/>
      </font>
      <fill>
        <patternFill>
          <bgColor theme="4"/>
        </patternFill>
      </fill>
      <border>
        <left/>
        <right/>
        <top/>
        <bottom style="thin">
          <color theme="4" tint="-0.24994659260841701"/>
        </bottom>
      </border>
    </dxf>
    <dxf>
      <numFmt numFmtId="164" formatCode="#,##0_);\(#,##0\);\-_)"/>
      <border>
        <left style="hair">
          <color rgb="FF0065A8"/>
        </left>
        <right style="hair">
          <color rgb="FF0065A8"/>
        </right>
        <top style="hair">
          <color rgb="FF0065A8"/>
        </top>
        <bottom style="hair">
          <color rgb="FF0065A8"/>
        </bottom>
        <vertical/>
        <horizontal/>
      </border>
    </dxf>
    <dxf>
      <font>
        <color rgb="FFB4B4B4"/>
      </font>
    </dxf>
    <dxf>
      <font>
        <color theme="0"/>
      </font>
      <fill>
        <patternFill>
          <bgColor theme="4"/>
        </patternFill>
      </fill>
      <border>
        <left/>
        <right/>
        <top/>
        <bottom style="thin">
          <color theme="4" tint="-0.24994659260841701"/>
        </bottom>
      </border>
    </dxf>
    <dxf>
      <font>
        <color theme="0"/>
      </font>
      <fill>
        <patternFill>
          <bgColor theme="4"/>
        </patternFill>
      </fill>
      <border>
        <left/>
        <right/>
        <top/>
        <bottom style="thin">
          <color theme="4" tint="-0.24994659260841701"/>
        </bottom>
      </border>
    </dxf>
    <dxf>
      <numFmt numFmtId="164" formatCode="#,##0_);\(#,##0\);\-_)"/>
      <border>
        <left style="hair">
          <color rgb="FF0065A8"/>
        </left>
        <right style="hair">
          <color rgb="FF0065A8"/>
        </right>
        <top style="hair">
          <color rgb="FF0065A8"/>
        </top>
        <bottom style="hair">
          <color rgb="FF0065A8"/>
        </bottom>
        <vertical/>
        <horizontal/>
      </border>
    </dxf>
    <dxf>
      <font>
        <color rgb="FFB4B4B4"/>
      </font>
    </dxf>
    <dxf>
      <font>
        <color theme="0"/>
      </font>
      <fill>
        <patternFill>
          <bgColor theme="4"/>
        </patternFill>
      </fill>
      <border>
        <left/>
        <right/>
        <top/>
        <bottom style="thin">
          <color theme="4" tint="-0.24994659260841701"/>
        </bottom>
      </border>
    </dxf>
    <dxf>
      <font>
        <color theme="0"/>
      </font>
      <fill>
        <patternFill>
          <bgColor theme="4"/>
        </patternFill>
      </fill>
      <border>
        <left/>
        <right/>
        <top/>
        <bottom style="thin">
          <color theme="4" tint="-0.24994659260841701"/>
        </bottom>
      </border>
    </dxf>
    <dxf>
      <font>
        <color theme="0"/>
      </font>
      <fill>
        <patternFill>
          <bgColor theme="4"/>
        </patternFill>
      </fill>
      <border>
        <left/>
        <right/>
        <top/>
        <bottom style="thin">
          <color theme="4" tint="-0.24994659260841701"/>
        </bottom>
      </border>
    </dxf>
    <dxf>
      <font>
        <color theme="0"/>
      </font>
      <fill>
        <patternFill>
          <bgColor theme="4"/>
        </patternFill>
      </fill>
      <border>
        <left/>
        <right/>
        <top/>
        <bottom style="thin">
          <color theme="4" tint="-0.24994659260841701"/>
        </bottom>
      </border>
    </dxf>
    <dxf>
      <numFmt numFmtId="164" formatCode="#,##0_);\(#,##0\);\-_)"/>
      <border>
        <left style="hair">
          <color rgb="FF0065A8"/>
        </left>
        <right style="hair">
          <color rgb="FF0065A8"/>
        </right>
        <top style="hair">
          <color rgb="FF0065A8"/>
        </top>
        <bottom style="hair">
          <color rgb="FF0065A8"/>
        </bottom>
        <vertical/>
        <horizontal/>
      </border>
    </dxf>
    <dxf>
      <font>
        <color rgb="FFB4B4B4"/>
      </font>
    </dxf>
  </dxfs>
  <tableStyles count="0" defaultTableStyle="TableStyleMedium2" defaultPivotStyle="PivotStyleLight16"/>
  <colors>
    <mruColors>
      <color rgb="FF1E4FA8"/>
      <color rgb="FF3F9C35"/>
      <color rgb="FF0065A8"/>
      <color rgb="FF0000FF"/>
      <color rgb="FFB75EE1"/>
      <color rgb="FFFC6017"/>
      <color rgb="FFB4B4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2</xdr:col>
      <xdr:colOff>43815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7F3CDE7A-D47F-434F-A7D9-7B2BCBD79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8100"/>
          <a:ext cx="586740" cy="317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2</xdr:col>
      <xdr:colOff>43815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E787022D-CC6B-40F8-8523-F94A86016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8100"/>
          <a:ext cx="609600" cy="3174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A977BBAA-3617-4AE2-B3E9-AE9CBF049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609600" cy="3174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45720</xdr:rowOff>
    </xdr:from>
    <xdr:to>
      <xdr:col>10</xdr:col>
      <xdr:colOff>472486</xdr:colOff>
      <xdr:row>15</xdr:row>
      <xdr:rowOff>26040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B9D1D3-1598-A90F-9F39-041A6B096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0" y="1508760"/>
          <a:ext cx="5349286" cy="1382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53340</xdr:rowOff>
    </xdr:from>
    <xdr:to>
      <xdr:col>8</xdr:col>
      <xdr:colOff>518743</xdr:colOff>
      <xdr:row>36</xdr:row>
      <xdr:rowOff>38562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9A27DC-5753-9D71-B491-23FAD5771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" y="3268980"/>
          <a:ext cx="4176343" cy="3315162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40</xdr:row>
      <xdr:rowOff>76201</xdr:rowOff>
    </xdr:from>
    <xdr:to>
      <xdr:col>17</xdr:col>
      <xdr:colOff>435678</xdr:colOff>
      <xdr:row>62</xdr:row>
      <xdr:rowOff>53876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9E8A43-5725-1BD6-7375-48C6179FF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1" y="7322821"/>
          <a:ext cx="9579677" cy="38333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53340</xdr:rowOff>
    </xdr:from>
    <xdr:to>
      <xdr:col>8</xdr:col>
      <xdr:colOff>145310</xdr:colOff>
      <xdr:row>68</xdr:row>
      <xdr:rowOff>22954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755CCA-CEFA-D421-2DBA-51A1D0C97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360" y="11506200"/>
          <a:ext cx="3802910" cy="6706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2</xdr:col>
      <xdr:colOff>43815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A0428F03-0FBE-44E1-B338-6AF52DAFC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8100"/>
          <a:ext cx="586740" cy="317442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RXL Custom Theme">
  <a:themeElements>
    <a:clrScheme name="RXL Custom Theme">
      <a:dk1>
        <a:srgbClr val="002138"/>
      </a:dk1>
      <a:lt1>
        <a:sysClr val="window" lastClr="FFFFFF"/>
      </a:lt1>
      <a:dk2>
        <a:srgbClr val="002138"/>
      </a:dk2>
      <a:lt2>
        <a:srgbClr val="F8F8F8"/>
      </a:lt2>
      <a:accent1>
        <a:srgbClr val="198B83"/>
      </a:accent1>
      <a:accent2>
        <a:srgbClr val="56BAB8"/>
      </a:accent2>
      <a:accent3>
        <a:srgbClr val="FC6017"/>
      </a:accent3>
      <a:accent4>
        <a:srgbClr val="F88D24"/>
      </a:accent4>
      <a:accent5>
        <a:srgbClr val="E6D3B8"/>
      </a:accent5>
      <a:accent6>
        <a:srgbClr val="FF4F4F"/>
      </a:accent6>
      <a:hlink>
        <a:srgbClr val="467886"/>
      </a:hlink>
      <a:folHlink>
        <a:srgbClr val="96607D"/>
      </a:folHlink>
    </a:clrScheme>
    <a:fontScheme name="RXL Custom Them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3"/>
        </a:solidFill>
        <a:ln w="28575">
          <a:solidFill>
            <a:schemeClr val="accent3">
              <a:lumMod val="7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a:spPr>
      <a:bodyPr vertOverflow="clip" horzOverflow="clip" rtlCol="0" anchor="ctr"/>
      <a:lstStyle>
        <a:defPPr algn="ctr">
          <a:defRPr sz="1200" kern="1200">
            <a:solidFill>
              <a:schemeClr val="bg1"/>
            </a:solidFill>
            <a:latin typeface="+mj-lt"/>
            <a:cs typeface="Arial" panose="020B0604020202020204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37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429836-5A60-4192-BADA-6EE2D7C68DD4}">
  <we:reference id="wa200003696" version="1.3.0.0" store="en-GB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EB9E9688-738C-4B11-983D-49107423D7A1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gist.github.com/r-silk/9d0505a132d0a54b9de63313fdb176a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81E1-CEBE-4C36-A0CC-2661DF707597}">
  <sheetPr codeName="Sheet1"/>
  <dimension ref="B1:T637"/>
  <sheetViews>
    <sheetView showGridLines="0" tabSelected="1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11" s="2" customFormat="1" ht="30" customHeight="1" x14ac:dyDescent="0.3">
      <c r="C1" s="20" t="s">
        <v>27</v>
      </c>
    </row>
    <row r="3" spans="2:11" x14ac:dyDescent="0.3">
      <c r="B3" s="4" t="s">
        <v>15</v>
      </c>
    </row>
    <row r="4" spans="2:11" x14ac:dyDescent="0.3">
      <c r="C4" t="s">
        <v>201</v>
      </c>
    </row>
    <row r="5" spans="2:11" x14ac:dyDescent="0.3">
      <c r="C5" t="s">
        <v>202</v>
      </c>
    </row>
    <row r="6" spans="2:11" x14ac:dyDescent="0.3">
      <c r="C6" t="s">
        <v>203</v>
      </c>
    </row>
    <row r="7" spans="2:11" x14ac:dyDescent="0.3">
      <c r="C7" t="s">
        <v>204</v>
      </c>
    </row>
    <row r="9" spans="2:11" x14ac:dyDescent="0.3">
      <c r="B9" s="4" t="s">
        <v>14</v>
      </c>
    </row>
    <row r="11" spans="2:11" x14ac:dyDescent="0.3">
      <c r="C11" s="21" t="s">
        <v>10</v>
      </c>
      <c r="D11" s="21" t="s">
        <v>11</v>
      </c>
      <c r="F11" s="21" t="s">
        <v>12</v>
      </c>
      <c r="G11" s="21" t="s">
        <v>13</v>
      </c>
      <c r="I11" s="21" t="s">
        <v>25</v>
      </c>
      <c r="J11" s="21" t="s">
        <v>13</v>
      </c>
      <c r="K11" s="21" t="s">
        <v>62</v>
      </c>
    </row>
    <row r="12" spans="2:11" x14ac:dyDescent="0.3">
      <c r="C12" s="8" t="s">
        <v>0</v>
      </c>
      <c r="D12" s="9">
        <v>111</v>
      </c>
      <c r="F12" s="5" t="s">
        <v>5</v>
      </c>
      <c r="G12" s="6">
        <v>666</v>
      </c>
      <c r="I12" s="5" t="s">
        <v>20</v>
      </c>
      <c r="J12" s="6">
        <v>1000</v>
      </c>
      <c r="K12" s="6">
        <v>10000</v>
      </c>
    </row>
    <row r="13" spans="2:11" x14ac:dyDescent="0.3">
      <c r="C13" s="5" t="s">
        <v>1</v>
      </c>
      <c r="D13" s="6">
        <v>222</v>
      </c>
      <c r="F13" s="5" t="s">
        <v>6</v>
      </c>
      <c r="G13" s="6">
        <v>777</v>
      </c>
      <c r="I13" s="5" t="s">
        <v>21</v>
      </c>
      <c r="J13" s="6">
        <v>2000</v>
      </c>
      <c r="K13" s="6">
        <v>20000</v>
      </c>
    </row>
    <row r="14" spans="2:11" x14ac:dyDescent="0.3">
      <c r="C14" s="5" t="s">
        <v>2</v>
      </c>
      <c r="D14" s="6">
        <v>333</v>
      </c>
      <c r="F14" s="5" t="s">
        <v>7</v>
      </c>
      <c r="G14" s="6">
        <v>888</v>
      </c>
      <c r="I14" s="5" t="s">
        <v>22</v>
      </c>
      <c r="J14" s="6">
        <v>3000</v>
      </c>
      <c r="K14" s="6">
        <v>30000</v>
      </c>
    </row>
    <row r="15" spans="2:11" x14ac:dyDescent="0.3">
      <c r="C15" s="5" t="s">
        <v>3</v>
      </c>
      <c r="D15" s="6">
        <v>444</v>
      </c>
      <c r="F15" s="5" t="s">
        <v>8</v>
      </c>
      <c r="G15" s="6">
        <v>999</v>
      </c>
      <c r="I15" s="5" t="s">
        <v>23</v>
      </c>
      <c r="J15" s="6">
        <v>4000</v>
      </c>
      <c r="K15" s="6">
        <v>40000</v>
      </c>
    </row>
    <row r="16" spans="2:11" x14ac:dyDescent="0.3">
      <c r="C16" s="5" t="s">
        <v>4</v>
      </c>
      <c r="D16" s="6">
        <v>555</v>
      </c>
      <c r="F16" s="5" t="s">
        <v>9</v>
      </c>
      <c r="G16" s="7">
        <v>1000</v>
      </c>
      <c r="I16" s="5" t="s">
        <v>24</v>
      </c>
      <c r="J16" s="6">
        <v>5000</v>
      </c>
      <c r="K16" s="6">
        <v>50000</v>
      </c>
    </row>
    <row r="19" spans="2:20" s="13" customFormat="1" ht="16.2" thickBot="1" x14ac:dyDescent="0.35">
      <c r="B19" s="15">
        <f xml:space="preserve"> MAX(B$1:B18) + 1</f>
        <v>1</v>
      </c>
      <c r="C19" s="13" t="s">
        <v>16</v>
      </c>
    </row>
    <row r="21" spans="2:20" x14ac:dyDescent="0.3">
      <c r="B21" s="17" t="s">
        <v>34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3" spans="2:20" x14ac:dyDescent="0.3">
      <c r="C23" s="30" t="s">
        <v>33</v>
      </c>
    </row>
    <row r="24" spans="2:20" x14ac:dyDescent="0.3">
      <c r="C24" t="s">
        <v>42</v>
      </c>
    </row>
    <row r="25" spans="2:20" x14ac:dyDescent="0.3">
      <c r="C25" s="32" t="s">
        <v>43</v>
      </c>
    </row>
    <row r="26" spans="2:20" x14ac:dyDescent="0.3">
      <c r="C26" s="33" t="s">
        <v>46</v>
      </c>
    </row>
    <row r="27" spans="2:20" x14ac:dyDescent="0.3">
      <c r="C27" s="33" t="s">
        <v>45</v>
      </c>
    </row>
    <row r="28" spans="2:20" x14ac:dyDescent="0.3">
      <c r="C28" s="33" t="s">
        <v>47</v>
      </c>
    </row>
    <row r="29" spans="2:20" x14ac:dyDescent="0.3">
      <c r="C29" s="34" t="s">
        <v>44</v>
      </c>
    </row>
    <row r="30" spans="2:20" x14ac:dyDescent="0.3">
      <c r="C30" s="32" t="s">
        <v>48</v>
      </c>
    </row>
    <row r="31" spans="2:20" x14ac:dyDescent="0.3">
      <c r="C31" s="32" t="s">
        <v>49</v>
      </c>
    </row>
    <row r="32" spans="2:20" x14ac:dyDescent="0.3">
      <c r="C32" s="32" t="s">
        <v>50</v>
      </c>
    </row>
    <row r="33" spans="2:6" x14ac:dyDescent="0.3">
      <c r="C33" s="34"/>
    </row>
    <row r="34" spans="2:6" x14ac:dyDescent="0.3">
      <c r="C34" s="34"/>
    </row>
    <row r="35" spans="2:6" x14ac:dyDescent="0.3">
      <c r="B35" s="31" t="s">
        <v>35</v>
      </c>
      <c r="C35" s="3" t="s">
        <v>17</v>
      </c>
    </row>
    <row r="36" spans="2:6" x14ac:dyDescent="0.3">
      <c r="C36" s="19" t="str" cm="1">
        <f t="array" ref="C36:F36" xml:space="preserve"> _xlfn.LET(
  _xlpm._ttl1, $C$11:$D$11,
  _xlpm._ttl2, $F$11:$G$11,
  _xlpm._rtn, _xlfn.REDUCE(_xlpm._ttl1, _xlpm._ttl2, _xlfn.LAMBDA(_xlpm._acc,_xlpm._val, IF( ISNA( MATCH(_xlpm._val, _xlpm._ttl1, 0)), _xlfn.HSTACK(_xlpm._acc, _xlpm._val), _xlpm._acc))),
  _xlpm._rtn
)</f>
        <v>Alpha</v>
      </c>
      <c r="D36" s="12" t="str">
        <v>Num</v>
      </c>
      <c r="E36" s="12" t="str">
        <v>Letters</v>
      </c>
      <c r="F36" s="12" t="str">
        <v>Numbers</v>
      </c>
    </row>
    <row r="37" spans="2:6" x14ac:dyDescent="0.3">
      <c r="C37" s="18" t="str" cm="1">
        <f t="array" aca="1" ref="C37:C42" ca="1" xml:space="preserve"> _xlfn.TEXTSPLIT( _xlfn.FORMULATEXT(C36), , CHAR(10))</f>
        <v>= LET(</v>
      </c>
    </row>
    <row r="38" spans="2:6" x14ac:dyDescent="0.3">
      <c r="C38" s="18" t="str">
        <f ca="1"/>
        <v xml:space="preserve">  _ttl1, $C$11:$D$11,</v>
      </c>
    </row>
    <row r="39" spans="2:6" x14ac:dyDescent="0.3">
      <c r="C39" s="18" t="str">
        <f ca="1"/>
        <v xml:space="preserve">  _ttl2, $F$11:$G$11,</v>
      </c>
    </row>
    <row r="40" spans="2:6" x14ac:dyDescent="0.3">
      <c r="C40" s="18" t="str">
        <f ca="1"/>
        <v xml:space="preserve">  _rtn, REDUCE(_ttl1, _ttl2, LAMBDA(_acc,_val, IF( ISNA( MATCH(_val, _ttl1, 0)), HSTACK(_acc, _val), _acc))),</v>
      </c>
    </row>
    <row r="41" spans="2:6" x14ac:dyDescent="0.3">
      <c r="C41" s="18" t="str">
        <f ca="1"/>
        <v xml:space="preserve">  _rtn</v>
      </c>
    </row>
    <row r="42" spans="2:6" x14ac:dyDescent="0.3">
      <c r="C42" s="18" t="str">
        <f ca="1"/>
        <v>)</v>
      </c>
    </row>
    <row r="45" spans="2:6" x14ac:dyDescent="0.3">
      <c r="B45" s="31" t="s">
        <v>36</v>
      </c>
      <c r="C45" s="3" t="s">
        <v>18</v>
      </c>
    </row>
    <row r="46" spans="2:6" x14ac:dyDescent="0.3">
      <c r="C46" s="19" t="e" cm="1">
        <f t="array" ref="C46:F50" xml:space="preserve"> _xlfn.LET(
  _xlpm._inp2, $F$12:$G$16,
  _xlpm._ttl2, $F$11:$G$11,
  _xlpm._ttlC,_xlfn.ANCHORARRAY( C36),
  _xlpm._idx, _xlfn.DROP(
    _xlfn.REDUCE(0, _xlpm._ttlC, _xlfn.LAMBDA(_xlpm._acc,_xlpm._val, _xlfn.HSTACK(_xlpm._acc, _xlfn.IFNA(MATCH(_xlpm._val, _xlpm._ttl2, 0), 0)))),
  , 1),
  _xlpm._arr, _xlfn.DROP(
    _xlfn.REDUCE(0, _xlpm._idx, _xlfn.LAMBDA(_xlpm._acc,_xlpm._val, _xlfn.HSTACK(_xlpm._acc, IF(_xlpm._val &gt; 0, _xlfn.CHOOSECOLS(_xlpm._inp2, _xlpm._val), "¦")))),
  , 1),
  _xlpm._rtn, IF(_xlpm._arr = "¦", NA(), _xlpm._arr),
  _xlpm._rtn
)</f>
        <v>#N/A</v>
      </c>
      <c r="D46" s="12" t="e">
        <v>#N/A</v>
      </c>
      <c r="E46" s="12" t="str">
        <v>FFF</v>
      </c>
      <c r="F46" s="12">
        <v>666</v>
      </c>
    </row>
    <row r="47" spans="2:6" x14ac:dyDescent="0.3">
      <c r="C47" s="12" t="e">
        <v>#N/A</v>
      </c>
      <c r="D47" s="12" t="e">
        <v>#N/A</v>
      </c>
      <c r="E47" s="12" t="str">
        <v>GGG</v>
      </c>
      <c r="F47" s="12">
        <v>777</v>
      </c>
    </row>
    <row r="48" spans="2:6" x14ac:dyDescent="0.3">
      <c r="C48" s="12" t="e">
        <v>#N/A</v>
      </c>
      <c r="D48" s="12" t="e">
        <v>#N/A</v>
      </c>
      <c r="E48" s="12" t="str">
        <v>HHH</v>
      </c>
      <c r="F48" s="12">
        <v>888</v>
      </c>
    </row>
    <row r="49" spans="3:6" x14ac:dyDescent="0.3">
      <c r="C49" s="12" t="e">
        <v>#N/A</v>
      </c>
      <c r="D49" s="12" t="e">
        <v>#N/A</v>
      </c>
      <c r="E49" s="12" t="str">
        <v>III</v>
      </c>
      <c r="F49" s="12">
        <v>999</v>
      </c>
    </row>
    <row r="50" spans="3:6" x14ac:dyDescent="0.3">
      <c r="C50" s="12" t="e">
        <v>#N/A</v>
      </c>
      <c r="D50" s="12" t="e">
        <v>#N/A</v>
      </c>
      <c r="E50" s="12" t="str">
        <v>JJJ</v>
      </c>
      <c r="F50" s="12">
        <v>1000</v>
      </c>
    </row>
    <row r="51" spans="3:6" x14ac:dyDescent="0.3">
      <c r="C51" s="18" t="str" cm="1">
        <f t="array" aca="1" ref="C51:C63" ca="1" xml:space="preserve"> _xlfn.TEXTSPLIT( _xlfn.FORMULATEXT(C46), , CHAR(10))</f>
        <v>= LET(</v>
      </c>
    </row>
    <row r="52" spans="3:6" x14ac:dyDescent="0.3">
      <c r="C52" s="18" t="str">
        <f ca="1"/>
        <v xml:space="preserve">  _inp2, $F$12:$G$16,</v>
      </c>
    </row>
    <row r="53" spans="3:6" x14ac:dyDescent="0.3">
      <c r="C53" s="18" t="str">
        <f ca="1"/>
        <v xml:space="preserve">  _ttl2, $F$11:$G$11,</v>
      </c>
    </row>
    <row r="54" spans="3:6" x14ac:dyDescent="0.3">
      <c r="C54" s="18" t="str">
        <f ca="1"/>
        <v xml:space="preserve">  _ttlC, C36#,</v>
      </c>
    </row>
    <row r="55" spans="3:6" x14ac:dyDescent="0.3">
      <c r="C55" s="18" t="str">
        <f ca="1"/>
        <v xml:space="preserve">  _idx, DROP(</v>
      </c>
    </row>
    <row r="56" spans="3:6" x14ac:dyDescent="0.3">
      <c r="C56" s="18" t="str">
        <f ca="1"/>
        <v xml:space="preserve">    REDUCE(0, _ttlC, LAMBDA(_acc,_val, HSTACK(_acc, IFNA(MATCH(_val, _ttl2, 0), 0)))),</v>
      </c>
    </row>
    <row r="57" spans="3:6" x14ac:dyDescent="0.3">
      <c r="C57" s="18" t="str">
        <f ca="1"/>
        <v xml:space="preserve">  , 1),</v>
      </c>
    </row>
    <row r="58" spans="3:6" x14ac:dyDescent="0.3">
      <c r="C58" s="18" t="str">
        <f ca="1"/>
        <v xml:space="preserve">  _arr, DROP(</v>
      </c>
    </row>
    <row r="59" spans="3:6" x14ac:dyDescent="0.3">
      <c r="C59" s="18" t="str">
        <f ca="1"/>
        <v xml:space="preserve">    REDUCE(0, _idx, LAMBDA(_acc,_val, HSTACK(_acc, IF(_val &gt; 0, CHOOSECOLS(_inp2, _val), "¦")))),</v>
      </c>
    </row>
    <row r="60" spans="3:6" x14ac:dyDescent="0.3">
      <c r="C60" s="18" t="str">
        <f ca="1"/>
        <v xml:space="preserve">  , 1),</v>
      </c>
    </row>
    <row r="61" spans="3:6" x14ac:dyDescent="0.3">
      <c r="C61" s="18" t="str">
        <f ca="1"/>
        <v xml:space="preserve">  _rtn, IF(_arr = "¦", NA(), _arr),</v>
      </c>
    </row>
    <row r="62" spans="3:6" x14ac:dyDescent="0.3">
      <c r="C62" s="18" t="str">
        <f ca="1"/>
        <v xml:space="preserve">  _rtn</v>
      </c>
    </row>
    <row r="63" spans="3:6" x14ac:dyDescent="0.3">
      <c r="C63" s="18" t="str">
        <f ca="1"/>
        <v>)</v>
      </c>
    </row>
    <row r="66" spans="2:6" x14ac:dyDescent="0.3">
      <c r="B66" s="31" t="s">
        <v>37</v>
      </c>
      <c r="C66" s="3" t="s">
        <v>19</v>
      </c>
    </row>
    <row r="67" spans="2:6" x14ac:dyDescent="0.3">
      <c r="C67" s="19" t="str" cm="1">
        <f t="array" ref="C67:F76" xml:space="preserve"> _xlfn.VSTACK(C12:D16,_xlfn.ANCHORARRAY( C46))</f>
        <v>AAA</v>
      </c>
      <c r="D67" s="12">
        <v>111</v>
      </c>
      <c r="E67" s="12" t="e">
        <v>#N/A</v>
      </c>
      <c r="F67" s="12" t="e">
        <v>#N/A</v>
      </c>
    </row>
    <row r="68" spans="2:6" x14ac:dyDescent="0.3">
      <c r="C68" s="12" t="str">
        <v>BBB</v>
      </c>
      <c r="D68" s="12">
        <v>222</v>
      </c>
      <c r="E68" s="12" t="e">
        <v>#N/A</v>
      </c>
      <c r="F68" s="12" t="e">
        <v>#N/A</v>
      </c>
    </row>
    <row r="69" spans="2:6" x14ac:dyDescent="0.3">
      <c r="C69" s="12" t="str">
        <v>CCC</v>
      </c>
      <c r="D69" s="12">
        <v>333</v>
      </c>
      <c r="E69" s="12" t="e">
        <v>#N/A</v>
      </c>
      <c r="F69" s="12" t="e">
        <v>#N/A</v>
      </c>
    </row>
    <row r="70" spans="2:6" x14ac:dyDescent="0.3">
      <c r="C70" s="12" t="str">
        <v>DDD</v>
      </c>
      <c r="D70" s="12">
        <v>444</v>
      </c>
      <c r="E70" s="12" t="e">
        <v>#N/A</v>
      </c>
      <c r="F70" s="12" t="e">
        <v>#N/A</v>
      </c>
    </row>
    <row r="71" spans="2:6" x14ac:dyDescent="0.3">
      <c r="C71" s="12" t="str">
        <v>EEE</v>
      </c>
      <c r="D71" s="12">
        <v>555</v>
      </c>
      <c r="E71" s="12" t="e">
        <v>#N/A</v>
      </c>
      <c r="F71" s="12" t="e">
        <v>#N/A</v>
      </c>
    </row>
    <row r="72" spans="2:6" x14ac:dyDescent="0.3">
      <c r="C72" s="12" t="e">
        <v>#N/A</v>
      </c>
      <c r="D72" s="12" t="e">
        <v>#N/A</v>
      </c>
      <c r="E72" s="12" t="str">
        <v>FFF</v>
      </c>
      <c r="F72" s="12">
        <v>666</v>
      </c>
    </row>
    <row r="73" spans="2:6" x14ac:dyDescent="0.3">
      <c r="C73" s="12" t="e">
        <v>#N/A</v>
      </c>
      <c r="D73" s="12" t="e">
        <v>#N/A</v>
      </c>
      <c r="E73" s="12" t="str">
        <v>GGG</v>
      </c>
      <c r="F73" s="12">
        <v>777</v>
      </c>
    </row>
    <row r="74" spans="2:6" x14ac:dyDescent="0.3">
      <c r="C74" s="12" t="e">
        <v>#N/A</v>
      </c>
      <c r="D74" s="12" t="e">
        <v>#N/A</v>
      </c>
      <c r="E74" s="12" t="str">
        <v>HHH</v>
      </c>
      <c r="F74" s="12">
        <v>888</v>
      </c>
    </row>
    <row r="75" spans="2:6" x14ac:dyDescent="0.3">
      <c r="C75" s="12" t="e">
        <v>#N/A</v>
      </c>
      <c r="D75" s="12" t="e">
        <v>#N/A</v>
      </c>
      <c r="E75" s="12" t="str">
        <v>III</v>
      </c>
      <c r="F75" s="12">
        <v>999</v>
      </c>
    </row>
    <row r="76" spans="2:6" x14ac:dyDescent="0.3">
      <c r="C76" s="12" t="e">
        <v>#N/A</v>
      </c>
      <c r="D76" s="12" t="e">
        <v>#N/A</v>
      </c>
      <c r="E76" s="12" t="str">
        <v>JJJ</v>
      </c>
      <c r="F76" s="12">
        <v>1000</v>
      </c>
    </row>
    <row r="77" spans="2:6" x14ac:dyDescent="0.3">
      <c r="C77" s="18" t="str" cm="1">
        <f t="array" aca="1" ref="C77" ca="1" xml:space="preserve"> _xlfn.TEXTSPLIT( _xlfn.FORMULATEXT(C67), , CHAR(10))</f>
        <v>= VSTACK(C12:D16, C46#)</v>
      </c>
    </row>
    <row r="80" spans="2:6" x14ac:dyDescent="0.3">
      <c r="B80" s="31" t="s">
        <v>38</v>
      </c>
      <c r="C80" s="3" t="s">
        <v>52</v>
      </c>
    </row>
    <row r="81" spans="3:9" x14ac:dyDescent="0.3">
      <c r="C81" s="19" t="str" cm="1">
        <f t="array" ref="C81:F90" xml:space="preserve"> _xlfn.LET(
  _xlpm._rep, I82,
  _xlpm._arrC,_xlfn.ANCHORARRAY( C67),
  _xlpm._rtn, IF(I81 = 1,
    IF(ISNA(_xlpm._arrC), _xlpm._rep, _xlpm._arrC),
    _xlpm._arrC
  ),
  _xlpm._rtn
)</f>
        <v>AAA</v>
      </c>
      <c r="D81" s="12">
        <v>111</v>
      </c>
      <c r="E81" s="12">
        <v>0</v>
      </c>
      <c r="F81" s="12">
        <v>0</v>
      </c>
      <c r="H81" s="23" t="s">
        <v>41</v>
      </c>
      <c r="I81" s="29">
        <v>1</v>
      </c>
    </row>
    <row r="82" spans="3:9" x14ac:dyDescent="0.3">
      <c r="C82" s="12" t="str">
        <v>BBB</v>
      </c>
      <c r="D82" s="12">
        <v>222</v>
      </c>
      <c r="E82" s="12">
        <v>0</v>
      </c>
      <c r="F82" s="12">
        <v>0</v>
      </c>
      <c r="H82" s="23" t="s">
        <v>58</v>
      </c>
      <c r="I82" s="10">
        <v>0</v>
      </c>
    </row>
    <row r="83" spans="3:9" x14ac:dyDescent="0.3">
      <c r="C83" s="12" t="str">
        <v>CCC</v>
      </c>
      <c r="D83" s="12">
        <v>333</v>
      </c>
      <c r="E83" s="12">
        <v>0</v>
      </c>
      <c r="F83" s="12">
        <v>0</v>
      </c>
    </row>
    <row r="84" spans="3:9" x14ac:dyDescent="0.3">
      <c r="C84" s="12" t="str">
        <v>DDD</v>
      </c>
      <c r="D84" s="12">
        <v>444</v>
      </c>
      <c r="E84" s="12">
        <v>0</v>
      </c>
      <c r="F84" s="12">
        <v>0</v>
      </c>
    </row>
    <row r="85" spans="3:9" x14ac:dyDescent="0.3">
      <c r="C85" s="12" t="str">
        <v>EEE</v>
      </c>
      <c r="D85" s="12">
        <v>555</v>
      </c>
      <c r="E85" s="12">
        <v>0</v>
      </c>
      <c r="F85" s="12">
        <v>0</v>
      </c>
    </row>
    <row r="86" spans="3:9" x14ac:dyDescent="0.3">
      <c r="C86" s="12">
        <v>0</v>
      </c>
      <c r="D86" s="12">
        <v>0</v>
      </c>
      <c r="E86" s="12" t="str">
        <v>FFF</v>
      </c>
      <c r="F86" s="12">
        <v>666</v>
      </c>
    </row>
    <row r="87" spans="3:9" x14ac:dyDescent="0.3">
      <c r="C87" s="12">
        <v>0</v>
      </c>
      <c r="D87" s="12">
        <v>0</v>
      </c>
      <c r="E87" s="12" t="str">
        <v>GGG</v>
      </c>
      <c r="F87" s="12">
        <v>777</v>
      </c>
    </row>
    <row r="88" spans="3:9" x14ac:dyDescent="0.3">
      <c r="C88" s="12">
        <v>0</v>
      </c>
      <c r="D88" s="12">
        <v>0</v>
      </c>
      <c r="E88" s="12" t="str">
        <v>HHH</v>
      </c>
      <c r="F88" s="12">
        <v>888</v>
      </c>
    </row>
    <row r="89" spans="3:9" x14ac:dyDescent="0.3">
      <c r="C89" s="12">
        <v>0</v>
      </c>
      <c r="D89" s="12">
        <v>0</v>
      </c>
      <c r="E89" s="12" t="str">
        <v>III</v>
      </c>
      <c r="F89" s="12">
        <v>999</v>
      </c>
    </row>
    <row r="90" spans="3:9" x14ac:dyDescent="0.3">
      <c r="C90" s="12">
        <v>0</v>
      </c>
      <c r="D90" s="12">
        <v>0</v>
      </c>
      <c r="E90" s="12" t="str">
        <v>JJJ</v>
      </c>
      <c r="F90" s="12">
        <v>1000</v>
      </c>
    </row>
    <row r="91" spans="3:9" x14ac:dyDescent="0.3">
      <c r="C91" s="18" t="str" cm="1">
        <f t="array" aca="1" ref="C91:C99" ca="1" xml:space="preserve"> _xlfn.TEXTSPLIT( _xlfn.FORMULATEXT(C81), , CHAR(10))</f>
        <v>= LET(</v>
      </c>
    </row>
    <row r="92" spans="3:9" x14ac:dyDescent="0.3">
      <c r="C92" s="18" t="str">
        <f ca="1"/>
        <v xml:space="preserve">  _rep, I82,</v>
      </c>
    </row>
    <row r="93" spans="3:9" x14ac:dyDescent="0.3">
      <c r="C93" s="18" t="str">
        <f ca="1"/>
        <v xml:space="preserve">  _arrC, C67#,</v>
      </c>
    </row>
    <row r="94" spans="3:9" x14ac:dyDescent="0.3">
      <c r="C94" s="18" t="str">
        <f ca="1"/>
        <v xml:space="preserve">  _rtn, IF(I81 = 1,</v>
      </c>
    </row>
    <row r="95" spans="3:9" x14ac:dyDescent="0.3">
      <c r="C95" s="18" t="str">
        <f ca="1"/>
        <v xml:space="preserve">    IF(ISNA(_arrC), _rep, _arrC),</v>
      </c>
    </row>
    <row r="96" spans="3:9" x14ac:dyDescent="0.3">
      <c r="C96" s="18" t="str">
        <f ca="1"/>
        <v xml:space="preserve">    _arrC</v>
      </c>
    </row>
    <row r="97" spans="2:9" x14ac:dyDescent="0.3">
      <c r="C97" s="18" t="str">
        <f ca="1"/>
        <v xml:space="preserve">  ),</v>
      </c>
    </row>
    <row r="98" spans="2:9" x14ac:dyDescent="0.3">
      <c r="C98" s="18" t="str">
        <f ca="1"/>
        <v xml:space="preserve">  _rtn</v>
      </c>
    </row>
    <row r="99" spans="2:9" x14ac:dyDescent="0.3">
      <c r="C99" s="18" t="str">
        <f ca="1"/>
        <v>)</v>
      </c>
    </row>
    <row r="102" spans="2:9" x14ac:dyDescent="0.3">
      <c r="B102" s="31" t="s">
        <v>40</v>
      </c>
      <c r="C102" s="3" t="s">
        <v>57</v>
      </c>
    </row>
    <row r="103" spans="2:9" x14ac:dyDescent="0.3">
      <c r="C103" s="19" t="str" cm="1">
        <f t="array" ref="C103:F112" xml:space="preserve"> _xlfn.LET(
  _xlpm.replace_na, I103,
  _xlpm._rep, IF( AND( ISLOGICAL(_xlpm.replace_na), _xlpm.replace_na = FALSE), FALSE, TRUE),
  _xlpm._str, IF( AND( ISLOGICAL(_xlpm.replace_na), _xlpm.replace_na), "", _xlpm.replace_na),
  _xlpm._arrC,_xlfn.ANCHORARRAY( C67),
  _xlpm._rtn, IF(_xlpm._rep,
    IF(ISNA(_xlpm._arrC), _xlpm._str, _xlpm._arrC),
    _xlpm._arrC
  ),
  _xlpm._rtn
)</f>
        <v>AAA</v>
      </c>
      <c r="D103" s="12">
        <v>111</v>
      </c>
      <c r="E103" s="12">
        <v>0</v>
      </c>
      <c r="F103" s="12">
        <v>0</v>
      </c>
      <c r="H103" s="23" t="s">
        <v>41</v>
      </c>
      <c r="I103" s="10"/>
    </row>
    <row r="104" spans="2:9" x14ac:dyDescent="0.3">
      <c r="C104" s="12" t="str">
        <v>BBB</v>
      </c>
      <c r="D104" s="12">
        <v>222</v>
      </c>
      <c r="E104" s="12">
        <v>0</v>
      </c>
      <c r="F104" s="12">
        <v>0</v>
      </c>
    </row>
    <row r="105" spans="2:9" x14ac:dyDescent="0.3">
      <c r="C105" s="12" t="str">
        <v>CCC</v>
      </c>
      <c r="D105" s="12">
        <v>333</v>
      </c>
      <c r="E105" s="12">
        <v>0</v>
      </c>
      <c r="F105" s="12">
        <v>0</v>
      </c>
    </row>
    <row r="106" spans="2:9" x14ac:dyDescent="0.3">
      <c r="C106" s="12" t="str">
        <v>DDD</v>
      </c>
      <c r="D106" s="12">
        <v>444</v>
      </c>
      <c r="E106" s="12">
        <v>0</v>
      </c>
      <c r="F106" s="12">
        <v>0</v>
      </c>
    </row>
    <row r="107" spans="2:9" x14ac:dyDescent="0.3">
      <c r="C107" s="12" t="str">
        <v>EEE</v>
      </c>
      <c r="D107" s="12">
        <v>555</v>
      </c>
      <c r="E107" s="12">
        <v>0</v>
      </c>
      <c r="F107" s="12">
        <v>0</v>
      </c>
    </row>
    <row r="108" spans="2:9" x14ac:dyDescent="0.3">
      <c r="C108" s="12">
        <v>0</v>
      </c>
      <c r="D108" s="12">
        <v>0</v>
      </c>
      <c r="E108" s="12" t="str">
        <v>FFF</v>
      </c>
      <c r="F108" s="12">
        <v>666</v>
      </c>
    </row>
    <row r="109" spans="2:9" x14ac:dyDescent="0.3">
      <c r="C109" s="12">
        <v>0</v>
      </c>
      <c r="D109" s="12">
        <v>0</v>
      </c>
      <c r="E109" s="12" t="str">
        <v>GGG</v>
      </c>
      <c r="F109" s="12">
        <v>777</v>
      </c>
    </row>
    <row r="110" spans="2:9" x14ac:dyDescent="0.3">
      <c r="C110" s="12">
        <v>0</v>
      </c>
      <c r="D110" s="12">
        <v>0</v>
      </c>
      <c r="E110" s="12" t="str">
        <v>HHH</v>
      </c>
      <c r="F110" s="12">
        <v>888</v>
      </c>
    </row>
    <row r="111" spans="2:9" x14ac:dyDescent="0.3">
      <c r="C111" s="12">
        <v>0</v>
      </c>
      <c r="D111" s="12">
        <v>0</v>
      </c>
      <c r="E111" s="12" t="str">
        <v>III</v>
      </c>
      <c r="F111" s="12">
        <v>999</v>
      </c>
    </row>
    <row r="112" spans="2:9" x14ac:dyDescent="0.3">
      <c r="C112" s="12">
        <v>0</v>
      </c>
      <c r="D112" s="12">
        <v>0</v>
      </c>
      <c r="E112" s="12" t="str">
        <v>JJJ</v>
      </c>
      <c r="F112" s="12">
        <v>1000</v>
      </c>
    </row>
    <row r="113" spans="2:9" x14ac:dyDescent="0.3">
      <c r="C113" s="18" t="str" cm="1">
        <f t="array" aca="1" ref="C113:C123" ca="1" xml:space="preserve"> _xlfn.TEXTSPLIT( _xlfn.FORMULATEXT(C103), , CHAR(10))</f>
        <v>= LET(</v>
      </c>
    </row>
    <row r="114" spans="2:9" x14ac:dyDescent="0.3">
      <c r="C114" s="18" t="str">
        <f ca="1"/>
        <v xml:space="preserve">  replace_na, I103,</v>
      </c>
    </row>
    <row r="115" spans="2:9" x14ac:dyDescent="0.3">
      <c r="C115" s="18" t="str">
        <f ca="1"/>
        <v xml:space="preserve">  _rep, IF( AND( ISLOGICAL(replace_na), replace_na = FALSE), FALSE, TRUE),</v>
      </c>
    </row>
    <row r="116" spans="2:9" x14ac:dyDescent="0.3">
      <c r="C116" s="18" t="str">
        <f ca="1"/>
        <v xml:space="preserve">  _str, IF( AND( ISLOGICAL(replace_na), replace_na), "", replace_na),</v>
      </c>
    </row>
    <row r="117" spans="2:9" x14ac:dyDescent="0.3">
      <c r="C117" s="18" t="str">
        <f ca="1"/>
        <v xml:space="preserve">  _arrC, C67#,</v>
      </c>
    </row>
    <row r="118" spans="2:9" x14ac:dyDescent="0.3">
      <c r="C118" s="18" t="str">
        <f ca="1"/>
        <v xml:space="preserve">  _rtn, IF(_rep,</v>
      </c>
    </row>
    <row r="119" spans="2:9" x14ac:dyDescent="0.3">
      <c r="C119" s="18" t="str">
        <f ca="1"/>
        <v xml:space="preserve">    IF(ISNA(_arrC), _str, _arrC),</v>
      </c>
    </row>
    <row r="120" spans="2:9" x14ac:dyDescent="0.3">
      <c r="C120" s="18" t="str">
        <f ca="1"/>
        <v xml:space="preserve">    _arrC</v>
      </c>
    </row>
    <row r="121" spans="2:9" x14ac:dyDescent="0.3">
      <c r="C121" s="18" t="str">
        <f ca="1"/>
        <v xml:space="preserve">  ),</v>
      </c>
    </row>
    <row r="122" spans="2:9" x14ac:dyDescent="0.3">
      <c r="C122" s="18" t="str">
        <f ca="1"/>
        <v xml:space="preserve">  _rtn</v>
      </c>
    </row>
    <row r="123" spans="2:9" x14ac:dyDescent="0.3">
      <c r="C123" s="18" t="str">
        <f ca="1"/>
        <v>)</v>
      </c>
    </row>
    <row r="124" spans="2:9" x14ac:dyDescent="0.3">
      <c r="C124" s="18"/>
    </row>
    <row r="126" spans="2:9" x14ac:dyDescent="0.3">
      <c r="B126" s="31" t="s">
        <v>51</v>
      </c>
      <c r="C126" s="3" t="s">
        <v>39</v>
      </c>
    </row>
    <row r="127" spans="2:9" x14ac:dyDescent="0.3">
      <c r="C127" s="12" t="str" cm="1">
        <f t="array" ref="C127:F137" xml:space="preserve"> IF(I127 = 1,
  _xlfn.VSTACK(_xlfn.ANCHORARRAY(C36),_xlfn.ANCHORARRAY( C81)),_xlfn.ANCHORARRAY(
  C81)
)</f>
        <v>Alpha</v>
      </c>
      <c r="D127" s="1" t="str">
        <v>Num</v>
      </c>
      <c r="E127" s="1" t="str">
        <v>Letters</v>
      </c>
      <c r="F127" s="1" t="str">
        <v>Numbers</v>
      </c>
      <c r="H127" s="23" t="s">
        <v>59</v>
      </c>
      <c r="I127" s="29">
        <v>1</v>
      </c>
    </row>
    <row r="128" spans="2:9" x14ac:dyDescent="0.3">
      <c r="C128" s="1" t="str">
        <v>AAA</v>
      </c>
      <c r="D128" s="1">
        <v>111</v>
      </c>
      <c r="E128" s="1">
        <v>0</v>
      </c>
      <c r="F128" s="1">
        <v>0</v>
      </c>
    </row>
    <row r="129" spans="2:6" x14ac:dyDescent="0.3">
      <c r="C129" s="1" t="str">
        <v>BBB</v>
      </c>
      <c r="D129" s="1">
        <v>222</v>
      </c>
      <c r="E129" s="1">
        <v>0</v>
      </c>
      <c r="F129" s="1">
        <v>0</v>
      </c>
    </row>
    <row r="130" spans="2:6" x14ac:dyDescent="0.3">
      <c r="C130" s="1" t="str">
        <v>CCC</v>
      </c>
      <c r="D130" s="1">
        <v>333</v>
      </c>
      <c r="E130" s="1">
        <v>0</v>
      </c>
      <c r="F130" s="1">
        <v>0</v>
      </c>
    </row>
    <row r="131" spans="2:6" x14ac:dyDescent="0.3">
      <c r="C131" s="1" t="str">
        <v>DDD</v>
      </c>
      <c r="D131" s="1">
        <v>444</v>
      </c>
      <c r="E131" s="1">
        <v>0</v>
      </c>
      <c r="F131" s="1">
        <v>0</v>
      </c>
    </row>
    <row r="132" spans="2:6" x14ac:dyDescent="0.3">
      <c r="C132" s="1" t="str">
        <v>EEE</v>
      </c>
      <c r="D132" s="1">
        <v>555</v>
      </c>
      <c r="E132" s="1">
        <v>0</v>
      </c>
      <c r="F132" s="1">
        <v>0</v>
      </c>
    </row>
    <row r="133" spans="2:6" x14ac:dyDescent="0.3">
      <c r="C133" s="1">
        <v>0</v>
      </c>
      <c r="D133" s="1">
        <v>0</v>
      </c>
      <c r="E133" s="1" t="str">
        <v>FFF</v>
      </c>
      <c r="F133" s="1">
        <v>666</v>
      </c>
    </row>
    <row r="134" spans="2:6" x14ac:dyDescent="0.3">
      <c r="C134" s="1">
        <v>0</v>
      </c>
      <c r="D134" s="1">
        <v>0</v>
      </c>
      <c r="E134" s="1" t="str">
        <v>GGG</v>
      </c>
      <c r="F134" s="1">
        <v>777</v>
      </c>
    </row>
    <row r="135" spans="2:6" x14ac:dyDescent="0.3">
      <c r="C135" s="1">
        <v>0</v>
      </c>
      <c r="D135" s="1">
        <v>0</v>
      </c>
      <c r="E135" s="1" t="str">
        <v>HHH</v>
      </c>
      <c r="F135" s="1">
        <v>888</v>
      </c>
    </row>
    <row r="136" spans="2:6" x14ac:dyDescent="0.3">
      <c r="C136" s="1">
        <v>0</v>
      </c>
      <c r="D136" s="1">
        <v>0</v>
      </c>
      <c r="E136" s="1" t="str">
        <v>III</v>
      </c>
      <c r="F136" s="1">
        <v>999</v>
      </c>
    </row>
    <row r="137" spans="2:6" x14ac:dyDescent="0.3">
      <c r="C137" s="1">
        <v>0</v>
      </c>
      <c r="D137" s="1">
        <v>0</v>
      </c>
      <c r="E137" s="1" t="str">
        <v>JJJ</v>
      </c>
      <c r="F137" s="1">
        <v>1000</v>
      </c>
    </row>
    <row r="138" spans="2:6" x14ac:dyDescent="0.3">
      <c r="C138" s="18" t="str" cm="1">
        <f t="array" aca="1" ref="C138:C141" ca="1" xml:space="preserve"> _xlfn.TEXTSPLIT( _xlfn.FORMULATEXT(C127), , CHAR(10))</f>
        <v>= IF(I127 = 1,</v>
      </c>
    </row>
    <row r="139" spans="2:6" x14ac:dyDescent="0.3">
      <c r="C139" s="18" t="str">
        <f ca="1"/>
        <v xml:space="preserve">  VSTACK(C36#, C81#),</v>
      </c>
    </row>
    <row r="140" spans="2:6" x14ac:dyDescent="0.3">
      <c r="C140" s="18" t="str">
        <f ca="1"/>
        <v xml:space="preserve">  C81#</v>
      </c>
    </row>
    <row r="141" spans="2:6" x14ac:dyDescent="0.3">
      <c r="C141" s="18" t="str">
        <f ca="1"/>
        <v>)</v>
      </c>
    </row>
    <row r="144" spans="2:6" x14ac:dyDescent="0.3">
      <c r="B144" s="31" t="s">
        <v>55</v>
      </c>
      <c r="C144" s="3" t="s">
        <v>53</v>
      </c>
    </row>
    <row r="145" spans="3:9" x14ac:dyDescent="0.3">
      <c r="C145" s="12" t="str" cm="1">
        <f t="array" ref="C145:F155" xml:space="preserve"> _xlfn.LAMBDA(_xlpm.first_array,_xlpm.second_array,_xlop.first_titles,_xlop.second_titles,_xlop.output_titles,_xlop.replace_na,
  _xlfn.LET(
    _xlpm._inp1, _xlpm.first_array,
    _xlpm._inp2, _xlpm.second_array,
    _xlpm._ttl1, _xlpm.first_titles,
    _xlpm._ttl2, _xlpm.second_titles,
    _xlpm._inc, _xlpm.output_titles,
    _xlpm._rep, IF( AND( ISLOGICAL(_xlpm.replace_na), _xlpm.replace_na = FALSE), FALSE, TRUE),
    _xlpm._str, IF( AND( ISLOGICAL(_xlpm.replace_na), _xlpm.replace_na), "", _xlpm.replace_na),
    _xlpm._ttlC, _xlfn.REDUCE(_xlpm._ttl1, _xlpm._ttl2, _xlfn.LAMBDA(_xlpm._acc,_xlpm._val, IF( ISNA( MATCH(_xlpm._val, _xlpm._ttl1, 0)), _xlfn.HSTACK(_xlpm._acc, _xlpm._val), _xlpm._acc))),
    _xlpm._idx, _xlfn.DROP(
      _xlfn.REDUCE(0, _xlpm._ttlC, _xlfn.LAMBDA(_xlpm._acc,_xlpm._val, _xlfn.HSTACK(_xlpm._acc, _xlfn.IFNA(MATCH(_xlpm._val, _xlpm._ttl2, 0), 0)))),
    , 1),
    _xlpm._arr, _xlfn.DROP(
      _xlfn.REDUCE(0, _xlpm._idx, _xlfn.LAMBDA(_xlpm._acc,_xlpm._val, _xlfn.HSTACK(_xlpm._acc, IF(_xlpm._val &gt; 0, _xlfn.CHOOSECOLS(_xlpm._inp2, _xlpm._val), "¦")))),
    , 1),
    _xlpm._new, IF(_xlpm._arr = "¦", NA(), _xlpm._arr),
    _xlpm._calc, _xlfn.VSTACK(_xlpm._inp1, _xlpm._new),
    _xlpm._out, IF(_xlpm._inc, _xlfn.VSTACK(_xlpm._ttlC, _xlpm._calc), _xlpm._calc),
    _xlpm._rtn, IF(_xlpm._rep,
      IF(ISNA(_xlpm._out), _xlpm._str, _xlpm._out),
      _xlpm._out
    ),
    _xlpm._rtn
  )
)($C$12:$D$16, $F$12:$G$16, $C$11:$D$11, $F$11:$G$11, I145, I146)</f>
        <v>Alpha</v>
      </c>
      <c r="D145" s="1" t="str">
        <v>Num</v>
      </c>
      <c r="E145" s="1" t="str">
        <v>Letters</v>
      </c>
      <c r="F145" s="1" t="str">
        <v>Numbers</v>
      </c>
      <c r="H145" s="23" t="s">
        <v>59</v>
      </c>
      <c r="I145" s="29">
        <v>1</v>
      </c>
    </row>
    <row r="146" spans="3:9" x14ac:dyDescent="0.3">
      <c r="C146" s="1" t="str">
        <v>AAA</v>
      </c>
      <c r="D146" s="1">
        <v>111</v>
      </c>
      <c r="E146" s="1" t="str">
        <v/>
      </c>
      <c r="F146" s="1" t="str">
        <v/>
      </c>
      <c r="H146" s="23" t="s">
        <v>41</v>
      </c>
      <c r="I146" s="10" t="b">
        <v>1</v>
      </c>
    </row>
    <row r="147" spans="3:9" x14ac:dyDescent="0.3">
      <c r="C147" s="1" t="str">
        <v>BBB</v>
      </c>
      <c r="D147" s="1">
        <v>222</v>
      </c>
      <c r="E147" s="1" t="str">
        <v/>
      </c>
      <c r="F147" s="1" t="str">
        <v/>
      </c>
    </row>
    <row r="148" spans="3:9" x14ac:dyDescent="0.3">
      <c r="C148" s="1" t="str">
        <v>CCC</v>
      </c>
      <c r="D148" s="1">
        <v>333</v>
      </c>
      <c r="E148" s="1" t="str">
        <v/>
      </c>
      <c r="F148" s="1" t="str">
        <v/>
      </c>
    </row>
    <row r="149" spans="3:9" x14ac:dyDescent="0.3">
      <c r="C149" s="1" t="str">
        <v>DDD</v>
      </c>
      <c r="D149" s="1">
        <v>444</v>
      </c>
      <c r="E149" s="1" t="str">
        <v/>
      </c>
      <c r="F149" s="1" t="str">
        <v/>
      </c>
    </row>
    <row r="150" spans="3:9" x14ac:dyDescent="0.3">
      <c r="C150" s="1" t="str">
        <v>EEE</v>
      </c>
      <c r="D150" s="1">
        <v>555</v>
      </c>
      <c r="E150" s="1" t="str">
        <v/>
      </c>
      <c r="F150" s="1" t="str">
        <v/>
      </c>
    </row>
    <row r="151" spans="3:9" x14ac:dyDescent="0.3">
      <c r="C151" s="1" t="str">
        <v/>
      </c>
      <c r="D151" s="1" t="str">
        <v/>
      </c>
      <c r="E151" s="1" t="str">
        <v>FFF</v>
      </c>
      <c r="F151" s="1">
        <v>666</v>
      </c>
    </row>
    <row r="152" spans="3:9" x14ac:dyDescent="0.3">
      <c r="C152" s="1" t="str">
        <v/>
      </c>
      <c r="D152" s="1" t="str">
        <v/>
      </c>
      <c r="E152" s="1" t="str">
        <v>GGG</v>
      </c>
      <c r="F152" s="1">
        <v>777</v>
      </c>
    </row>
    <row r="153" spans="3:9" x14ac:dyDescent="0.3">
      <c r="C153" s="1" t="str">
        <v/>
      </c>
      <c r="D153" s="1" t="str">
        <v/>
      </c>
      <c r="E153" s="1" t="str">
        <v>HHH</v>
      </c>
      <c r="F153" s="1">
        <v>888</v>
      </c>
    </row>
    <row r="154" spans="3:9" x14ac:dyDescent="0.3">
      <c r="C154" s="1" t="str">
        <v/>
      </c>
      <c r="D154" s="1" t="str">
        <v/>
      </c>
      <c r="E154" s="1" t="str">
        <v>III</v>
      </c>
      <c r="F154" s="1">
        <v>999</v>
      </c>
    </row>
    <row r="155" spans="3:9" x14ac:dyDescent="0.3">
      <c r="C155" s="1" t="str">
        <v/>
      </c>
      <c r="D155" s="1" t="str">
        <v/>
      </c>
      <c r="E155" s="1" t="str">
        <v>JJJ</v>
      </c>
      <c r="F155" s="1">
        <v>1000</v>
      </c>
    </row>
    <row r="156" spans="3:9" x14ac:dyDescent="0.3">
      <c r="C156" s="18" t="str" cm="1">
        <f t="array" aca="1" ref="C156:C181" ca="1" xml:space="preserve"> _xlfn.TEXTSPLIT( _xlfn.FORMULATEXT(C145), , CHAR(10))</f>
        <v>= LAMBDA(first_array,second_array,[first_titles],[second_titles],[output_titles],[replace_na],</v>
      </c>
    </row>
    <row r="157" spans="3:9" x14ac:dyDescent="0.3">
      <c r="C157" s="18" t="str">
        <f ca="1"/>
        <v xml:space="preserve">  LET(</v>
      </c>
    </row>
    <row r="158" spans="3:9" x14ac:dyDescent="0.3">
      <c r="C158" s="18" t="str">
        <f ca="1"/>
        <v xml:space="preserve">    _inp1, first_array,</v>
      </c>
    </row>
    <row r="159" spans="3:9" x14ac:dyDescent="0.3">
      <c r="C159" s="18" t="str">
        <f ca="1"/>
        <v xml:space="preserve">    _inp2, second_array,</v>
      </c>
    </row>
    <row r="160" spans="3:9" x14ac:dyDescent="0.3">
      <c r="C160" s="18" t="str">
        <f ca="1"/>
        <v xml:space="preserve">    _ttl1, first_titles,</v>
      </c>
    </row>
    <row r="161" spans="3:3" x14ac:dyDescent="0.3">
      <c r="C161" s="18" t="str">
        <f ca="1"/>
        <v xml:space="preserve">    _ttl2, second_titles,</v>
      </c>
    </row>
    <row r="162" spans="3:3" x14ac:dyDescent="0.3">
      <c r="C162" s="18" t="str">
        <f ca="1"/>
        <v xml:space="preserve">    _inc, output_titles,</v>
      </c>
    </row>
    <row r="163" spans="3:3" x14ac:dyDescent="0.3">
      <c r="C163" s="18" t="str">
        <f ca="1"/>
        <v xml:space="preserve">    _rep, IF( AND( ISLOGICAL(replace_na), replace_na = FALSE), FALSE, TRUE),</v>
      </c>
    </row>
    <row r="164" spans="3:3" x14ac:dyDescent="0.3">
      <c r="C164" s="18" t="str">
        <f ca="1"/>
        <v xml:space="preserve">    _str, IF( AND( ISLOGICAL(replace_na), replace_na), "", replace_na),</v>
      </c>
    </row>
    <row r="165" spans="3:3" x14ac:dyDescent="0.3">
      <c r="C165" s="18" t="str">
        <f ca="1"/>
        <v xml:space="preserve">    _ttlC, REDUCE(_ttl1, _ttl2, LAMBDA(_acc,_val, IF( ISNA( MATCH(_val, _ttl1, 0)), HSTACK(_acc, _val), _acc))),</v>
      </c>
    </row>
    <row r="166" spans="3:3" x14ac:dyDescent="0.3">
      <c r="C166" s="18" t="str">
        <f ca="1"/>
        <v xml:space="preserve">    _idx, DROP(</v>
      </c>
    </row>
    <row r="167" spans="3:3" x14ac:dyDescent="0.3">
      <c r="C167" s="18" t="str">
        <f ca="1"/>
        <v xml:space="preserve">      REDUCE(0, _ttlC, LAMBDA(_acc,_val, HSTACK(_acc, IFNA(MATCH(_val, _ttl2, 0), 0)))),</v>
      </c>
    </row>
    <row r="168" spans="3:3" x14ac:dyDescent="0.3">
      <c r="C168" s="18" t="str">
        <f ca="1"/>
        <v xml:space="preserve">    , 1),</v>
      </c>
    </row>
    <row r="169" spans="3:3" x14ac:dyDescent="0.3">
      <c r="C169" s="18" t="str">
        <f ca="1"/>
        <v xml:space="preserve">    _arr, DROP(</v>
      </c>
    </row>
    <row r="170" spans="3:3" x14ac:dyDescent="0.3">
      <c r="C170" s="18" t="str">
        <f ca="1"/>
        <v xml:space="preserve">      REDUCE(0, _idx, LAMBDA(_acc,_val, HSTACK(_acc, IF(_val &gt; 0, CHOOSECOLS(_inp2, _val), "¦")))),</v>
      </c>
    </row>
    <row r="171" spans="3:3" x14ac:dyDescent="0.3">
      <c r="C171" s="18" t="str">
        <f ca="1"/>
        <v xml:space="preserve">    , 1),</v>
      </c>
    </row>
    <row r="172" spans="3:3" x14ac:dyDescent="0.3">
      <c r="C172" s="18" t="str">
        <f ca="1"/>
        <v xml:space="preserve">    _new, IF(_arr = "¦", NA(), _arr),</v>
      </c>
    </row>
    <row r="173" spans="3:3" x14ac:dyDescent="0.3">
      <c r="C173" s="18" t="str">
        <f ca="1"/>
        <v xml:space="preserve">    _calc, VSTACK(_inp1, _new),</v>
      </c>
    </row>
    <row r="174" spans="3:3" x14ac:dyDescent="0.3">
      <c r="C174" s="18" t="str">
        <f ca="1"/>
        <v xml:space="preserve">    _out, IF(_inc, VSTACK(_ttlC, _calc), _calc),</v>
      </c>
    </row>
    <row r="175" spans="3:3" x14ac:dyDescent="0.3">
      <c r="C175" s="18" t="str">
        <f ca="1"/>
        <v xml:space="preserve">    _rtn, IF(_rep,</v>
      </c>
    </row>
    <row r="176" spans="3:3" x14ac:dyDescent="0.3">
      <c r="C176" s="18" t="str">
        <f ca="1"/>
        <v xml:space="preserve">      IF(ISNA(_out), _str, _out),</v>
      </c>
    </row>
    <row r="177" spans="2:20" x14ac:dyDescent="0.3">
      <c r="C177" s="18" t="str">
        <f ca="1"/>
        <v xml:space="preserve">      _out</v>
      </c>
    </row>
    <row r="178" spans="2:20" x14ac:dyDescent="0.3">
      <c r="C178" s="18" t="str">
        <f ca="1"/>
        <v xml:space="preserve">    ),</v>
      </c>
    </row>
    <row r="179" spans="2:20" x14ac:dyDescent="0.3">
      <c r="C179" s="18" t="str">
        <f ca="1"/>
        <v xml:space="preserve">    _rtn</v>
      </c>
    </row>
    <row r="180" spans="2:20" x14ac:dyDescent="0.3">
      <c r="C180" s="18" t="str">
        <f ca="1"/>
        <v xml:space="preserve">  )</v>
      </c>
    </row>
    <row r="181" spans="2:20" x14ac:dyDescent="0.3">
      <c r="C181" s="18" t="str">
        <f ca="1"/>
        <v>)($C$12:$D$16, $F$12:$G$16, $C$11:$D$11, $F$11:$G$11, I145, I146)</v>
      </c>
    </row>
    <row r="184" spans="2:20" x14ac:dyDescent="0.3">
      <c r="B184" s="17" t="s">
        <v>69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6" spans="2:20" x14ac:dyDescent="0.3">
      <c r="C186" s="30" t="s">
        <v>33</v>
      </c>
    </row>
    <row r="187" spans="2:20" x14ac:dyDescent="0.3">
      <c r="C187" t="s">
        <v>60</v>
      </c>
    </row>
    <row r="188" spans="2:20" x14ac:dyDescent="0.3">
      <c r="C188" s="32" t="s">
        <v>61</v>
      </c>
    </row>
    <row r="190" spans="2:20" x14ac:dyDescent="0.3">
      <c r="B190" s="31" t="s">
        <v>56</v>
      </c>
      <c r="C190" s="3" t="s">
        <v>66</v>
      </c>
    </row>
    <row r="191" spans="2:20" x14ac:dyDescent="0.3">
      <c r="C191" s="35" t="s">
        <v>64</v>
      </c>
    </row>
    <row r="192" spans="2:20" x14ac:dyDescent="0.3">
      <c r="C192" s="19" t="str" cm="1">
        <f t="array" ref="C192:D192" xml:space="preserve"> _xlfn.LET(
  _xlpm._inp1, $C$12:$D$16,
  _xlpm._inp2, $F$12:$G$16,
  _xlpm._ttl1, $C$11:$D$11,
  _xlpm._ttl2, $F$11:$G$11,
  _xlpm._stk, I192,
  _xlpm._cc1, COLUMNS(_xlpm._ttl1),
  _xlpm._cc2, COLUMNS(_xlpm._ttl2),
  _xlpm._ttlC, IF(_xlpm._stk,
    _xlfn.DROP(
      _xlfn.REDUCE("", _xlfn.SEQUENCE(1, MAX(_xlpm._cc1, _xlpm._cc2)), _xlfn.LAMBDA(_xlpm._acc,_xlpm._val, _xlfn.HSTACK(_xlpm._acc, IF(_xlpm._val &lt;= _xlpm._cc1, INDEX(_xlpm._ttl1, , _xlpm._val), INDEX(_xlpm._ttl2, , _xlpm._val))))),
    , 1),
    _xlfn.HSTACK(_xlpm._ttl1, _xlpm._ttl2)
  ),
  _xlpm._ttlC
)</f>
        <v>Alpha</v>
      </c>
      <c r="D192" s="12" t="str">
        <v>Num</v>
      </c>
      <c r="E192" s="12"/>
      <c r="F192" s="12"/>
      <c r="H192" s="23" t="s">
        <v>63</v>
      </c>
      <c r="I192" s="29">
        <v>1</v>
      </c>
    </row>
    <row r="193" spans="3:7" x14ac:dyDescent="0.3">
      <c r="C193" s="35" t="s">
        <v>65</v>
      </c>
    </row>
    <row r="194" spans="3:7" x14ac:dyDescent="0.3">
      <c r="C194" s="19" t="str" cm="1">
        <f t="array" ref="C194:E194" xml:space="preserve"> _xlfn.LET(
  _xlpm._inp1, $C$12:$D$16,
  _xlpm._inp2, $I$12:$K$16,
  _xlpm._ttl1, $C$11:$D$11,
  _xlpm._ttl2, $I$11:$K$11,
  _xlpm._stk, I192,
  _xlpm._cc1, COLUMNS(_xlpm._ttl1),
  _xlpm._cc2, COLUMNS(_xlpm._ttl2),
  _xlpm._ttlC, IF(_xlpm._stk,
    _xlfn.DROP(
      _xlfn.REDUCE("", _xlfn.SEQUENCE(1, MAX(_xlpm._cc1, _xlpm._cc2)), _xlfn.LAMBDA(_xlpm._acc,_xlpm._val, _xlfn.HSTACK(_xlpm._acc, IF(_xlpm._val &lt;= _xlpm._cc1, INDEX(_xlpm._ttl1, , _xlpm._val), INDEX(_xlpm._ttl2, , _xlpm._val))))),
    , 1),
    _xlfn.HSTACK(_xlpm._ttl1, _xlpm._ttl2)
  ),
  _xlpm._ttlC
)</f>
        <v>Alpha</v>
      </c>
      <c r="D194" s="12" t="str">
        <v>Num</v>
      </c>
      <c r="E194" s="12" t="str">
        <v>Other</v>
      </c>
      <c r="F194" s="12"/>
      <c r="G194" s="12"/>
    </row>
    <row r="195" spans="3:7" x14ac:dyDescent="0.3">
      <c r="C195" s="18" t="str" cm="1">
        <f t="array" aca="1" ref="C195:C210" ca="1" xml:space="preserve"> _xlfn.TEXTSPLIT( _xlfn.FORMULATEXT(C194), , CHAR(10))</f>
        <v>= LET(</v>
      </c>
    </row>
    <row r="196" spans="3:7" x14ac:dyDescent="0.3">
      <c r="C196" s="18" t="str">
        <f ca="1"/>
        <v xml:space="preserve">  _inp1, $C$12:$D$16,</v>
      </c>
    </row>
    <row r="197" spans="3:7" x14ac:dyDescent="0.3">
      <c r="C197" s="18" t="str">
        <f ca="1"/>
        <v xml:space="preserve">  _inp2, $I$12:$K$16,</v>
      </c>
    </row>
    <row r="198" spans="3:7" x14ac:dyDescent="0.3">
      <c r="C198" s="18" t="str">
        <f ca="1"/>
        <v xml:space="preserve">  _ttl1, $C$11:$D$11,</v>
      </c>
    </row>
    <row r="199" spans="3:7" x14ac:dyDescent="0.3">
      <c r="C199" s="18" t="str">
        <f ca="1"/>
        <v xml:space="preserve">  _ttl2, $I$11:$K$11,</v>
      </c>
    </row>
    <row r="200" spans="3:7" x14ac:dyDescent="0.3">
      <c r="C200" s="18" t="str">
        <f ca="1"/>
        <v xml:space="preserve">  _stk, I192,</v>
      </c>
    </row>
    <row r="201" spans="3:7" x14ac:dyDescent="0.3">
      <c r="C201" s="18" t="str">
        <f ca="1"/>
        <v xml:space="preserve">  _cc1, COLUMNS(_ttl1),</v>
      </c>
    </row>
    <row r="202" spans="3:7" x14ac:dyDescent="0.3">
      <c r="C202" s="18" t="str">
        <f ca="1"/>
        <v xml:space="preserve">  _cc2, COLUMNS(_ttl2),</v>
      </c>
    </row>
    <row r="203" spans="3:7" x14ac:dyDescent="0.3">
      <c r="C203" s="18" t="str">
        <f ca="1"/>
        <v xml:space="preserve">  _ttlC, IF(_stk,</v>
      </c>
    </row>
    <row r="204" spans="3:7" x14ac:dyDescent="0.3">
      <c r="C204" s="18" t="str">
        <f ca="1"/>
        <v xml:space="preserve">    DROP(</v>
      </c>
    </row>
    <row r="205" spans="3:7" x14ac:dyDescent="0.3">
      <c r="C205" s="18" t="str">
        <f ca="1"/>
        <v xml:space="preserve">      REDUCE("", SEQUENCE(1, MAX(_cc1, _cc2)), LAMBDA(_acc,_val, HSTACK(_acc, IF(_val &lt;= _cc1, INDEX(_ttl1, , _val), INDEX(_ttl2, , _val))))),</v>
      </c>
    </row>
    <row r="206" spans="3:7" x14ac:dyDescent="0.3">
      <c r="C206" s="18" t="str">
        <f ca="1"/>
        <v xml:space="preserve">    , 1),</v>
      </c>
    </row>
    <row r="207" spans="3:7" x14ac:dyDescent="0.3">
      <c r="C207" s="18" t="str">
        <f ca="1"/>
        <v xml:space="preserve">    HSTACK(_ttl1, _ttl2)</v>
      </c>
    </row>
    <row r="208" spans="3:7" x14ac:dyDescent="0.3">
      <c r="C208" s="18" t="str">
        <f ca="1"/>
        <v xml:space="preserve">  ),</v>
      </c>
    </row>
    <row r="209" spans="2:9" x14ac:dyDescent="0.3">
      <c r="C209" s="18" t="str">
        <f ca="1"/>
        <v xml:space="preserve">  _ttlC</v>
      </c>
    </row>
    <row r="210" spans="2:9" x14ac:dyDescent="0.3">
      <c r="C210" s="18" t="str">
        <f ca="1"/>
        <v>)</v>
      </c>
    </row>
    <row r="213" spans="2:9" x14ac:dyDescent="0.3">
      <c r="B213" s="31" t="s">
        <v>67</v>
      </c>
      <c r="C213" s="3" t="s">
        <v>68</v>
      </c>
    </row>
    <row r="214" spans="2:9" x14ac:dyDescent="0.3">
      <c r="C214" s="35" t="s">
        <v>64</v>
      </c>
    </row>
    <row r="215" spans="2:9" x14ac:dyDescent="0.3">
      <c r="C215" s="19" t="str" cm="1">
        <f t="array" ref="C215:D225" xml:space="preserve"> _xlfn.LET(
  _xlpm._inp1, $C$12:$D$16,
  _xlpm._inp2, $F$12:$G$16,
  _xlpm._ttl1, $C$11:$D$11,
  _xlpm._ttl2, $F$11:$G$11,
  _xlpm._stk, I215,
  _xlpm._inc, I216,
  _xlpm._cc1, COLUMNS(_xlpm._ttl1),
  _xlpm._cc2, COLUMNS(_xlpm._ttl2),
  _xlpm._ttlC, IF(_xlpm._stk,
    _xlfn.DROP(
      _xlfn.REDUCE("", _xlfn.SEQUENCE(1, MAX(_xlpm._cc1, _xlpm._cc2)), _xlfn.LAMBDA(_xlpm._acc,_xlpm._val, _xlfn.HSTACK(_xlpm._acc, IF(_xlpm._val &lt;= _xlpm._cc1, INDEX(_xlpm._ttl1, , _xlpm._val), INDEX(_xlpm._ttl2, , _xlpm._val))))),
    , 1),
    _xlfn.HSTACK(_xlpm._ttl1, _xlpm._ttl2)
  ),
  _xlpm._arr, IF(_xlpm._stk,
    _xlpm._inp2,
    _xlfn.HSTACK( _xlfn.EXPAND("¦", 1, _xlpm._cc1, "¦"), _xlpm._inp2)
  ),
  _xlpm._new, IF(_xlpm._arr = "¦", NA(), _xlpm._arr),
  _xlpm._calc, _xlfn.VSTACK(_xlpm._inp1, _xlpm._new),
  _xlpm._out, IF(_xlpm._inc, _xlfn.VSTACK(_xlpm._ttlC, _xlpm._calc), _xlpm._calc),
  _xlpm._out
)</f>
        <v>Alpha</v>
      </c>
      <c r="D215" s="1" t="str">
        <v>Num</v>
      </c>
      <c r="E215" s="1"/>
      <c r="F215" s="1"/>
      <c r="H215" s="23" t="s">
        <v>63</v>
      </c>
      <c r="I215" s="29">
        <v>1</v>
      </c>
    </row>
    <row r="216" spans="2:9" x14ac:dyDescent="0.3">
      <c r="C216" s="1" t="str">
        <v>AAA</v>
      </c>
      <c r="D216" s="1">
        <v>111</v>
      </c>
      <c r="E216" s="1"/>
      <c r="F216" s="1"/>
      <c r="H216" s="23" t="s">
        <v>59</v>
      </c>
      <c r="I216" s="29">
        <v>1</v>
      </c>
    </row>
    <row r="217" spans="2:9" x14ac:dyDescent="0.3">
      <c r="C217" s="1" t="str">
        <v>BBB</v>
      </c>
      <c r="D217" s="1">
        <v>222</v>
      </c>
      <c r="E217" s="1"/>
      <c r="F217" s="1"/>
    </row>
    <row r="218" spans="2:9" x14ac:dyDescent="0.3">
      <c r="C218" s="1" t="str">
        <v>CCC</v>
      </c>
      <c r="D218" s="1">
        <v>333</v>
      </c>
      <c r="E218" s="1"/>
      <c r="F218" s="1"/>
    </row>
    <row r="219" spans="2:9" x14ac:dyDescent="0.3">
      <c r="C219" s="1" t="str">
        <v>DDD</v>
      </c>
      <c r="D219" s="1">
        <v>444</v>
      </c>
      <c r="E219" s="1"/>
      <c r="F219" s="1"/>
    </row>
    <row r="220" spans="2:9" x14ac:dyDescent="0.3">
      <c r="C220" s="1" t="str">
        <v>EEE</v>
      </c>
      <c r="D220" s="1">
        <v>555</v>
      </c>
      <c r="E220" s="1"/>
      <c r="F220" s="1"/>
    </row>
    <row r="221" spans="2:9" x14ac:dyDescent="0.3">
      <c r="C221" s="1" t="str">
        <v>FFF</v>
      </c>
      <c r="D221" s="1">
        <v>666</v>
      </c>
      <c r="E221" s="1"/>
      <c r="F221" s="1"/>
    </row>
    <row r="222" spans="2:9" x14ac:dyDescent="0.3">
      <c r="C222" s="1" t="str">
        <v>GGG</v>
      </c>
      <c r="D222" s="1">
        <v>777</v>
      </c>
      <c r="E222" s="1"/>
      <c r="F222" s="1"/>
    </row>
    <row r="223" spans="2:9" x14ac:dyDescent="0.3">
      <c r="C223" s="1" t="str">
        <v>HHH</v>
      </c>
      <c r="D223" s="1">
        <v>888</v>
      </c>
      <c r="E223" s="1"/>
      <c r="F223" s="1"/>
    </row>
    <row r="224" spans="2:9" x14ac:dyDescent="0.3">
      <c r="C224" s="1" t="str">
        <v>III</v>
      </c>
      <c r="D224" s="1">
        <v>999</v>
      </c>
      <c r="E224" s="1"/>
      <c r="F224" s="1"/>
    </row>
    <row r="225" spans="3:10" x14ac:dyDescent="0.3">
      <c r="C225" s="1" t="str">
        <v>JJJ</v>
      </c>
      <c r="D225" s="1">
        <v>1000</v>
      </c>
      <c r="E225" s="1"/>
      <c r="F225" s="1"/>
    </row>
    <row r="227" spans="3:10" x14ac:dyDescent="0.3">
      <c r="C227" s="35" t="s">
        <v>65</v>
      </c>
    </row>
    <row r="228" spans="3:10" x14ac:dyDescent="0.3">
      <c r="C228" s="19" t="str" cm="1">
        <f t="array" ref="C228:E238" xml:space="preserve"> _xlfn.LET(
  _xlpm._inp1, $C$12:$D$16,
  _xlpm._inp2, $I$12:$K$16,
  _xlpm._ttl1, $C$11:$D$11,
  _xlpm._ttl2, $I$11:$K$11,
  _xlpm._stk, J228,
  _xlpm._inc, J229,
  _xlpm._cc1, COLUMNS(_xlpm._ttl1),
  _xlpm._cc2, COLUMNS(_xlpm._ttl2),
  _xlpm._ttlC, IF(_xlpm._stk,
    _xlfn.DROP(
      _xlfn.REDUCE("", _xlfn.SEQUENCE(1, MAX(_xlpm._cc1, _xlpm._cc2)), _xlfn.LAMBDA(_xlpm._acc,_xlpm._val, _xlfn.HSTACK(_xlpm._acc, IF(_xlpm._val &lt;= _xlpm._cc1, INDEX(_xlpm._ttl1, , _xlpm._val), INDEX(_xlpm._ttl2, , _xlpm._val))))),
    , 1),
    _xlfn.HSTACK(_xlpm._ttl1, _xlpm._ttl2)
  ),
  _xlpm._arr, IF(_xlpm._stk,
    _xlpm._inp2,
    _xlfn.HSTACK( _xlfn.EXPAND("¦", 1, _xlpm._cc1, "¦"), _xlpm._inp2)
  ),
  _xlpm._new, IF(_xlpm._arr = "¦", NA(), _xlpm._arr),
  _xlpm._calc, _xlfn.VSTACK(_xlpm._inp1, _xlpm._new),
  _xlpm._out, IF(_xlpm._inc, _xlfn.VSTACK(_xlpm._ttlC, _xlpm._calc), _xlpm._calc),
  _xlpm._out
)</f>
        <v>Alpha</v>
      </c>
      <c r="D228" s="1" t="str">
        <v>Num</v>
      </c>
      <c r="E228" s="1" t="str">
        <v>Other</v>
      </c>
      <c r="F228" s="1"/>
      <c r="G228" s="1"/>
      <c r="I228" s="23" t="s">
        <v>63</v>
      </c>
      <c r="J228" s="29">
        <v>1</v>
      </c>
    </row>
    <row r="229" spans="3:10" x14ac:dyDescent="0.3">
      <c r="C229" s="1" t="str">
        <v>AAA</v>
      </c>
      <c r="D229" s="1">
        <v>111</v>
      </c>
      <c r="E229" s="1" t="e">
        <v>#N/A</v>
      </c>
      <c r="F229" s="1"/>
      <c r="G229" s="1"/>
      <c r="I229" s="23" t="s">
        <v>59</v>
      </c>
      <c r="J229" s="29">
        <v>1</v>
      </c>
    </row>
    <row r="230" spans="3:10" x14ac:dyDescent="0.3">
      <c r="C230" s="1" t="str">
        <v>BBB</v>
      </c>
      <c r="D230" s="1">
        <v>222</v>
      </c>
      <c r="E230" s="1" t="e">
        <v>#N/A</v>
      </c>
      <c r="F230" s="1"/>
      <c r="G230" s="1"/>
    </row>
    <row r="231" spans="3:10" x14ac:dyDescent="0.3">
      <c r="C231" s="1" t="str">
        <v>CCC</v>
      </c>
      <c r="D231" s="1">
        <v>333</v>
      </c>
      <c r="E231" s="1" t="e">
        <v>#N/A</v>
      </c>
      <c r="F231" s="1"/>
      <c r="G231" s="1"/>
    </row>
    <row r="232" spans="3:10" x14ac:dyDescent="0.3">
      <c r="C232" s="1" t="str">
        <v>DDD</v>
      </c>
      <c r="D232" s="1">
        <v>444</v>
      </c>
      <c r="E232" s="1" t="e">
        <v>#N/A</v>
      </c>
      <c r="F232" s="1"/>
      <c r="G232" s="1"/>
    </row>
    <row r="233" spans="3:10" x14ac:dyDescent="0.3">
      <c r="C233" s="1" t="str">
        <v>EEE</v>
      </c>
      <c r="D233" s="1">
        <v>555</v>
      </c>
      <c r="E233" s="1" t="e">
        <v>#N/A</v>
      </c>
      <c r="F233" s="1"/>
      <c r="G233" s="1"/>
    </row>
    <row r="234" spans="3:10" x14ac:dyDescent="0.3">
      <c r="C234" s="1" t="str">
        <v>KKK</v>
      </c>
      <c r="D234" s="1">
        <v>1000</v>
      </c>
      <c r="E234" s="1">
        <v>10000</v>
      </c>
      <c r="F234" s="1"/>
      <c r="G234" s="1"/>
    </row>
    <row r="235" spans="3:10" x14ac:dyDescent="0.3">
      <c r="C235" s="1" t="str">
        <v>LLL</v>
      </c>
      <c r="D235" s="1">
        <v>2000</v>
      </c>
      <c r="E235" s="1">
        <v>20000</v>
      </c>
      <c r="F235" s="1"/>
      <c r="G235" s="1"/>
    </row>
    <row r="236" spans="3:10" x14ac:dyDescent="0.3">
      <c r="C236" s="1" t="str">
        <v>MMM</v>
      </c>
      <c r="D236" s="1">
        <v>3000</v>
      </c>
      <c r="E236" s="1">
        <v>30000</v>
      </c>
      <c r="F236" s="1"/>
      <c r="G236" s="1"/>
    </row>
    <row r="237" spans="3:10" x14ac:dyDescent="0.3">
      <c r="C237" s="1" t="str">
        <v>NNN</v>
      </c>
      <c r="D237" s="1">
        <v>4000</v>
      </c>
      <c r="E237" s="1">
        <v>40000</v>
      </c>
      <c r="F237" s="1"/>
      <c r="G237" s="1"/>
    </row>
    <row r="238" spans="3:10" x14ac:dyDescent="0.3">
      <c r="C238" s="1" t="str">
        <v>OOO</v>
      </c>
      <c r="D238" s="1">
        <v>5000</v>
      </c>
      <c r="E238" s="1">
        <v>50000</v>
      </c>
      <c r="F238" s="1"/>
      <c r="G238" s="1"/>
    </row>
    <row r="239" spans="3:10" x14ac:dyDescent="0.3">
      <c r="C239" s="18" t="str" cm="1">
        <f t="array" aca="1" ref="C239:C262" ca="1" xml:space="preserve"> _xlfn.TEXTSPLIT( _xlfn.FORMULATEXT(C228), , CHAR(10))</f>
        <v>= LET(</v>
      </c>
    </row>
    <row r="240" spans="3:10" x14ac:dyDescent="0.3">
      <c r="C240" s="18" t="str">
        <f ca="1"/>
        <v xml:space="preserve">  _inp1, $C$12:$D$16,</v>
      </c>
    </row>
    <row r="241" spans="3:3" x14ac:dyDescent="0.3">
      <c r="C241" s="18" t="str">
        <f ca="1"/>
        <v xml:space="preserve">  _inp2, $I$12:$K$16,</v>
      </c>
    </row>
    <row r="242" spans="3:3" x14ac:dyDescent="0.3">
      <c r="C242" s="18" t="str">
        <f ca="1"/>
        <v xml:space="preserve">  _ttl1, $C$11:$D$11,</v>
      </c>
    </row>
    <row r="243" spans="3:3" x14ac:dyDescent="0.3">
      <c r="C243" s="18" t="str">
        <f ca="1"/>
        <v xml:space="preserve">  _ttl2, $I$11:$K$11,</v>
      </c>
    </row>
    <row r="244" spans="3:3" x14ac:dyDescent="0.3">
      <c r="C244" s="18" t="str">
        <f ca="1"/>
        <v xml:space="preserve">  _stk, J228,</v>
      </c>
    </row>
    <row r="245" spans="3:3" x14ac:dyDescent="0.3">
      <c r="C245" s="18" t="str">
        <f ca="1"/>
        <v xml:space="preserve">  _inc, J229,</v>
      </c>
    </row>
    <row r="246" spans="3:3" x14ac:dyDescent="0.3">
      <c r="C246" s="18" t="str">
        <f ca="1"/>
        <v xml:space="preserve">  _cc1, COLUMNS(_ttl1),</v>
      </c>
    </row>
    <row r="247" spans="3:3" x14ac:dyDescent="0.3">
      <c r="C247" s="18" t="str">
        <f ca="1"/>
        <v xml:space="preserve">  _cc2, COLUMNS(_ttl2),</v>
      </c>
    </row>
    <row r="248" spans="3:3" x14ac:dyDescent="0.3">
      <c r="C248" s="18" t="str">
        <f ca="1"/>
        <v xml:space="preserve">  _ttlC, IF(_stk,</v>
      </c>
    </row>
    <row r="249" spans="3:3" x14ac:dyDescent="0.3">
      <c r="C249" s="18" t="str">
        <f ca="1"/>
        <v xml:space="preserve">    DROP(</v>
      </c>
    </row>
    <row r="250" spans="3:3" x14ac:dyDescent="0.3">
      <c r="C250" s="18" t="str">
        <f ca="1"/>
        <v xml:space="preserve">      REDUCE("", SEQUENCE(1, MAX(_cc1, _cc2)), LAMBDA(_acc,_val, HSTACK(_acc, IF(_val &lt;= _cc1, INDEX(_ttl1, , _val), INDEX(_ttl2, , _val))))),</v>
      </c>
    </row>
    <row r="251" spans="3:3" x14ac:dyDescent="0.3">
      <c r="C251" s="18" t="str">
        <f ca="1"/>
        <v xml:space="preserve">    , 1),</v>
      </c>
    </row>
    <row r="252" spans="3:3" x14ac:dyDescent="0.3">
      <c r="C252" s="18" t="str">
        <f ca="1"/>
        <v xml:space="preserve">    HSTACK(_ttl1, _ttl2)</v>
      </c>
    </row>
    <row r="253" spans="3:3" x14ac:dyDescent="0.3">
      <c r="C253" s="18" t="str">
        <f ca="1"/>
        <v xml:space="preserve">  ),</v>
      </c>
    </row>
    <row r="254" spans="3:3" x14ac:dyDescent="0.3">
      <c r="C254" s="18" t="str">
        <f ca="1"/>
        <v xml:space="preserve">  _arr, IF(_stk,</v>
      </c>
    </row>
    <row r="255" spans="3:3" x14ac:dyDescent="0.3">
      <c r="C255" s="18" t="str">
        <f ca="1"/>
        <v xml:space="preserve">    _inp2,</v>
      </c>
    </row>
    <row r="256" spans="3:3" x14ac:dyDescent="0.3">
      <c r="C256" s="18" t="str">
        <f ca="1"/>
        <v xml:space="preserve">    HSTACK( EXPAND("¦", 1, _cc1, "¦"), _inp2)</v>
      </c>
    </row>
    <row r="257" spans="2:10" x14ac:dyDescent="0.3">
      <c r="C257" s="18" t="str">
        <f ca="1"/>
        <v xml:space="preserve">  ),</v>
      </c>
    </row>
    <row r="258" spans="2:10" x14ac:dyDescent="0.3">
      <c r="C258" s="18" t="str">
        <f ca="1"/>
        <v xml:space="preserve">  _new, IF(_arr = "¦", NA(), _arr),</v>
      </c>
    </row>
    <row r="259" spans="2:10" x14ac:dyDescent="0.3">
      <c r="C259" s="18" t="str">
        <f ca="1"/>
        <v xml:space="preserve">  _calc, VSTACK(_inp1, _new),</v>
      </c>
    </row>
    <row r="260" spans="2:10" x14ac:dyDescent="0.3">
      <c r="C260" s="18" t="str">
        <f ca="1"/>
        <v xml:space="preserve">  _out, IF(_inc, VSTACK(_ttlC, _calc), _calc),</v>
      </c>
    </row>
    <row r="261" spans="2:10" x14ac:dyDescent="0.3">
      <c r="C261" s="18" t="str">
        <f ca="1"/>
        <v xml:space="preserve">  _out</v>
      </c>
    </row>
    <row r="262" spans="2:10" x14ac:dyDescent="0.3">
      <c r="C262" s="18" t="str">
        <f ca="1"/>
        <v>)</v>
      </c>
    </row>
    <row r="265" spans="2:10" x14ac:dyDescent="0.3">
      <c r="B265" s="31" t="s">
        <v>78</v>
      </c>
      <c r="C265" s="3" t="s">
        <v>84</v>
      </c>
    </row>
    <row r="266" spans="2:10" x14ac:dyDescent="0.3">
      <c r="C266" s="35" t="s">
        <v>64</v>
      </c>
    </row>
    <row r="267" spans="2:10" x14ac:dyDescent="0.3">
      <c r="C267" s="19" t="str" cm="1">
        <f t="array" ref="C267:F277" xml:space="preserve"> _xlfn.LAMBDA(_xlpm.first_array,_xlpm.second_array,_xlop.first_titles,_xlop.second_titles,_xlop.output_titles,_xlop.simple_stack,_xlop.replace_na,
  _xlfn.LET(
    _xlpm._inp1, _xlpm.first_array,
    _xlpm._inp2, _xlpm.second_array,
    _xlpm._cc1, COLUMNS(_xlpm._inp1),
    _xlpm._cc2, COLUMNS(_xlpm._inp2),
    _xlpm._ttl1, IF( _xlfn.ISOMITTED(_xlpm.first_titles),
      _xlfn.SEQUENCE(1, _xlpm._cc1, 1),
      _xlpm.first_titles),
    _xlpm._ttl2, IF( _xlfn.ISOMITTED(_xlpm.second_titles),
      _xlfn.SEQUENCE(1, _xlpm._cc2, _xlpm._cc1 + 1),
      _xlpm.second_titles),
    _xlpm._inc, _xlpm.output_titles,
    _xlpm._stk, IF( _xlfn.ISOMITTED(_xlpm.simple_stack), FALSE, _xlpm.simple_stack),
    _xlpm._rep, IF( _xlfn.ISOMITTED(_xlpm.replace_na),
      FALSE,
      IF( AND( ISLOGICAL(_xlpm.replace_na), _xlpm.replace_na = FALSE), FALSE, TRUE)),
    _xlpm._str, IF( AND( ISLOGICAL(_xlpm.replace_na), _xlpm.replace_na), "", _xlpm.replace_na),
    _xlpm._ttlC, IF(_xlpm._stk,
      _xlfn.DROP(
        _xlfn.REDUCE("", _xlfn.SEQUENCE(1, MAX(_xlpm._cc1, _xlpm._cc2)), _xlfn.LAMBDA(_xlpm._acc,_xlpm._val, _xlfn.HSTACK(_xlpm._acc, IF(_xlpm._val &lt;= _xlpm._cc1, INDEX(_xlpm._ttl1, , _xlpm._val), INDEX(_xlpm._ttl2, , _xlpm._val))))),
      , 1),
      _xlfn.REDUCE(_xlpm._ttl1, _xlpm._ttl2, _xlfn.LAMBDA(_xlpm._acc,_xlpm._val, IF( ISNA( MATCH(_xlpm._val, _xlpm._ttl1, 0)), _xlfn.HSTACK(_xlpm._acc, _xlpm._val), _xlpm._acc)))
    ),
    _xlpm._idx, _xlfn.DROP(
      _xlfn.REDUCE(0, _xlpm._ttlC, _xlfn.LAMBDA(_xlpm._acc,_xlpm._val, _xlfn.HSTACK(_xlpm._acc, _xlfn.IFNA(MATCH(_xlpm._val, _xlpm._ttl2, 0), 0)))),
    , 1),
    _xlpm._arr, IF(_xlpm._stk,
      _xlpm._inp2,
      _xlfn.DROP(
        _xlfn.REDUCE(0, _xlpm._idx, _xlfn.LAMBDA(_xlpm._acc,_xlpm._val, _xlfn.HSTACK(_xlpm._acc, IF(_xlpm._val &gt; 0, _xlfn.CHOOSECOLS(_xlpm._inp2, _xlpm._val), "¦")))),
      , 1)
    ),
    _xlpm._new, IF(_xlpm._arr = "¦", NA(), _xlpm._arr),
    _xlpm._calc, _xlfn.VSTACK(_xlpm._inp1, _xlpm._new),
    _xlpm._out, IF(_xlpm._inc, _xlfn.VSTACK(_xlpm._ttlC, _xlpm._calc), _xlpm._calc),
    _xlpm._rtn, IF(_xlpm._rep,
      IF(ISNA(_xlpm._out), _xlpm._str, _xlpm._out),
      _xlpm._out
    ),
    _xlpm._rtn
  )
)($C$12:$D$16, $F$12:$G$16, $C$11:$D$11, $F$11:$G$11, J267, J268, J269)</f>
        <v>Alpha</v>
      </c>
      <c r="D267" s="1" t="str">
        <v>Num</v>
      </c>
      <c r="E267" s="1" t="str">
        <v>Letters</v>
      </c>
      <c r="F267" s="1" t="str">
        <v>Numbers</v>
      </c>
      <c r="I267" s="23" t="s">
        <v>59</v>
      </c>
      <c r="J267" s="29">
        <v>1</v>
      </c>
    </row>
    <row r="268" spans="2:10" x14ac:dyDescent="0.3">
      <c r="C268" s="1" t="str">
        <v>AAA</v>
      </c>
      <c r="D268" s="1">
        <v>111</v>
      </c>
      <c r="E268" s="1" t="e">
        <v>#N/A</v>
      </c>
      <c r="F268" s="1" t="e">
        <v>#N/A</v>
      </c>
      <c r="I268" s="23" t="s">
        <v>63</v>
      </c>
      <c r="J268" s="29">
        <v>0</v>
      </c>
    </row>
    <row r="269" spans="2:10" x14ac:dyDescent="0.3">
      <c r="C269" s="1" t="str">
        <v>BBB</v>
      </c>
      <c r="D269" s="1">
        <v>222</v>
      </c>
      <c r="E269" s="1" t="e">
        <v>#N/A</v>
      </c>
      <c r="F269" s="1" t="e">
        <v>#N/A</v>
      </c>
      <c r="I269" s="23" t="s">
        <v>41</v>
      </c>
      <c r="J269" s="10" t="b">
        <v>0</v>
      </c>
    </row>
    <row r="270" spans="2:10" x14ac:dyDescent="0.3">
      <c r="C270" s="1" t="str">
        <v>CCC</v>
      </c>
      <c r="D270" s="1">
        <v>333</v>
      </c>
      <c r="E270" s="1" t="e">
        <v>#N/A</v>
      </c>
      <c r="F270" s="1" t="e">
        <v>#N/A</v>
      </c>
    </row>
    <row r="271" spans="2:10" x14ac:dyDescent="0.3">
      <c r="C271" s="1" t="str">
        <v>DDD</v>
      </c>
      <c r="D271" s="1">
        <v>444</v>
      </c>
      <c r="E271" s="1" t="e">
        <v>#N/A</v>
      </c>
      <c r="F271" s="1" t="e">
        <v>#N/A</v>
      </c>
    </row>
    <row r="272" spans="2:10" x14ac:dyDescent="0.3">
      <c r="C272" s="1" t="str">
        <v>EEE</v>
      </c>
      <c r="D272" s="1">
        <v>555</v>
      </c>
      <c r="E272" s="1" t="e">
        <v>#N/A</v>
      </c>
      <c r="F272" s="1" t="e">
        <v>#N/A</v>
      </c>
    </row>
    <row r="273" spans="3:10" x14ac:dyDescent="0.3">
      <c r="C273" s="1" t="e">
        <v>#N/A</v>
      </c>
      <c r="D273" s="1" t="e">
        <v>#N/A</v>
      </c>
      <c r="E273" s="1" t="str">
        <v>FFF</v>
      </c>
      <c r="F273" s="1">
        <v>666</v>
      </c>
    </row>
    <row r="274" spans="3:10" x14ac:dyDescent="0.3">
      <c r="C274" s="1" t="e">
        <v>#N/A</v>
      </c>
      <c r="D274" s="1" t="e">
        <v>#N/A</v>
      </c>
      <c r="E274" s="1" t="str">
        <v>GGG</v>
      </c>
      <c r="F274" s="1">
        <v>777</v>
      </c>
    </row>
    <row r="275" spans="3:10" x14ac:dyDescent="0.3">
      <c r="C275" s="1" t="e">
        <v>#N/A</v>
      </c>
      <c r="D275" s="1" t="e">
        <v>#N/A</v>
      </c>
      <c r="E275" s="1" t="str">
        <v>HHH</v>
      </c>
      <c r="F275" s="1">
        <v>888</v>
      </c>
    </row>
    <row r="276" spans="3:10" x14ac:dyDescent="0.3">
      <c r="C276" s="1" t="e">
        <v>#N/A</v>
      </c>
      <c r="D276" s="1" t="e">
        <v>#N/A</v>
      </c>
      <c r="E276" s="1" t="str">
        <v>III</v>
      </c>
      <c r="F276" s="1">
        <v>999</v>
      </c>
    </row>
    <row r="277" spans="3:10" x14ac:dyDescent="0.3">
      <c r="C277" s="1" t="e">
        <v>#N/A</v>
      </c>
      <c r="D277" s="1" t="e">
        <v>#N/A</v>
      </c>
      <c r="E277" s="1" t="str">
        <v>JJJ</v>
      </c>
      <c r="F277" s="1">
        <v>1000</v>
      </c>
    </row>
    <row r="279" spans="3:10" x14ac:dyDescent="0.3">
      <c r="C279" s="35" t="s">
        <v>65</v>
      </c>
    </row>
    <row r="280" spans="3:10" x14ac:dyDescent="0.3">
      <c r="C280" s="19" t="str" cm="1">
        <f t="array" ref="C280:G290" xml:space="preserve"> _xlfn.LAMBDA(_xlpm.first_array,_xlpm.second_array,_xlop.first_titles,_xlop.second_titles,_xlop.output_titles,_xlop.simple_stack,_xlop.replace_na,
  _xlfn.LET(
    _xlpm._inp1, _xlpm.first_array,
    _xlpm._inp2, _xlpm.second_array,
    _xlpm._cc1, COLUMNS(_xlpm._inp1),
    _xlpm._cc2, COLUMNS(_xlpm._inp2),
    _xlpm._ttl1, IF( _xlfn.ISOMITTED(_xlpm.first_titles),
      _xlfn.SEQUENCE(1, _xlpm._cc1, 1),
      _xlpm.first_titles),
    _xlpm._ttl2, IF( _xlfn.ISOMITTED(_xlpm.second_titles),
      _xlfn.SEQUENCE(1, _xlpm._cc2, _xlpm._cc1 + 1),
      _xlpm.second_titles),
    _xlpm._inc, _xlpm.output_titles,
    _xlpm._stk, IF( _xlfn.ISOMITTED(_xlpm.simple_stack), FALSE, _xlpm.simple_stack),
    _xlpm._rep, IF( _xlfn.ISOMITTED(_xlpm.replace_na),
      FALSE,
      IF( AND( ISLOGICAL(_xlpm.replace_na), _xlpm.replace_na = FALSE), FALSE, TRUE)),
    _xlpm._str, IF( AND( ISLOGICAL(_xlpm.replace_na), _xlpm.replace_na), "", _xlpm.replace_na),
    _xlpm._ttlC, IF(_xlpm._stk,
      _xlfn.DROP(
        _xlfn.REDUCE("", _xlfn.SEQUENCE(1, MAX(_xlpm._cc1, _xlpm._cc2)), _xlfn.LAMBDA(_xlpm._acc,_xlpm._val, _xlfn.HSTACK(_xlpm._acc, IF(_xlpm._val &lt;= _xlpm._cc1, INDEX(_xlpm._ttl1, , _xlpm._val), INDEX(_xlpm._ttl2, , _xlpm._val))))),
      , 1),
      _xlfn.REDUCE(_xlpm._ttl1, _xlpm._ttl2, _xlfn.LAMBDA(_xlpm._acc,_xlpm._val, IF( ISNA( MATCH(_xlpm._val, _xlpm._ttl1, 0)), _xlfn.HSTACK(_xlpm._acc, _xlpm._val), _xlpm._acc)))
    ),
    _xlpm._idx, _xlfn.DROP(
      _xlfn.REDUCE(0, _xlpm._ttlC, _xlfn.LAMBDA(_xlpm._acc,_xlpm._val, _xlfn.HSTACK(_xlpm._acc, _xlfn.IFNA(MATCH(_xlpm._val, _xlpm._ttl2, 0), 0)))),
    , 1),
    _xlpm._arr, IF(_xlpm._stk,
      _xlpm._inp2,
      _xlfn.DROP(
        _xlfn.REDUCE(0, _xlpm._idx, _xlfn.LAMBDA(_xlpm._acc,_xlpm._val, _xlfn.HSTACK(_xlpm._acc, IF(_xlpm._val &gt; 0, _xlfn.CHOOSECOLS(_xlpm._inp2, _xlpm._val), "¦")))),
      , 1)
    ),
    _xlpm._new, IF(_xlpm._arr = "¦", NA(), _xlpm._arr),
    _xlpm._calc, _xlfn.VSTACK(_xlpm._inp1, _xlpm._new),
    _xlpm._out, IF(_xlpm._inc, _xlfn.VSTACK(_xlpm._ttlC, _xlpm._calc), _xlpm._calc),
    _xlpm._rtn, IF(_xlpm._rep,
      IF(ISNA(_xlpm._out), _xlpm._str, _xlpm._out),
      _xlpm._out
    ),
    _xlpm._rtn
  )
)($C$12:$D$16, $I$12:$K$16, $C$11:$D$11, $I$11:$K$11, J280, J281, J282)</f>
        <v>Alpha</v>
      </c>
      <c r="D280" s="1" t="str">
        <v>Num</v>
      </c>
      <c r="E280" s="1" t="str">
        <v>Address</v>
      </c>
      <c r="F280" s="1" t="str">
        <v>Numbers</v>
      </c>
      <c r="G280" s="1" t="str">
        <v>Other</v>
      </c>
      <c r="I280" s="23" t="s">
        <v>59</v>
      </c>
      <c r="J280" s="29">
        <v>1</v>
      </c>
    </row>
    <row r="281" spans="3:10" x14ac:dyDescent="0.3">
      <c r="C281" s="1" t="str">
        <v>AAA</v>
      </c>
      <c r="D281" s="1">
        <v>111</v>
      </c>
      <c r="E281" s="1" t="e">
        <v>#N/A</v>
      </c>
      <c r="F281" s="1" t="e">
        <v>#N/A</v>
      </c>
      <c r="G281" s="1" t="e">
        <v>#N/A</v>
      </c>
      <c r="I281" s="23" t="s">
        <v>63</v>
      </c>
      <c r="J281" s="29">
        <v>0</v>
      </c>
    </row>
    <row r="282" spans="3:10" x14ac:dyDescent="0.3">
      <c r="C282" s="1" t="str">
        <v>BBB</v>
      </c>
      <c r="D282" s="1">
        <v>222</v>
      </c>
      <c r="E282" s="1" t="e">
        <v>#N/A</v>
      </c>
      <c r="F282" s="1" t="e">
        <v>#N/A</v>
      </c>
      <c r="G282" s="1" t="e">
        <v>#N/A</v>
      </c>
      <c r="I282" s="23" t="s">
        <v>41</v>
      </c>
      <c r="J282" s="10" t="b">
        <v>0</v>
      </c>
    </row>
    <row r="283" spans="3:10" x14ac:dyDescent="0.3">
      <c r="C283" s="1" t="str">
        <v>CCC</v>
      </c>
      <c r="D283" s="1">
        <v>333</v>
      </c>
      <c r="E283" s="1" t="e">
        <v>#N/A</v>
      </c>
      <c r="F283" s="1" t="e">
        <v>#N/A</v>
      </c>
      <c r="G283" s="1" t="e">
        <v>#N/A</v>
      </c>
    </row>
    <row r="284" spans="3:10" x14ac:dyDescent="0.3">
      <c r="C284" s="1" t="str">
        <v>DDD</v>
      </c>
      <c r="D284" s="1">
        <v>444</v>
      </c>
      <c r="E284" s="1" t="e">
        <v>#N/A</v>
      </c>
      <c r="F284" s="1" t="e">
        <v>#N/A</v>
      </c>
      <c r="G284" s="1" t="e">
        <v>#N/A</v>
      </c>
    </row>
    <row r="285" spans="3:10" x14ac:dyDescent="0.3">
      <c r="C285" s="1" t="str">
        <v>EEE</v>
      </c>
      <c r="D285" s="1">
        <v>555</v>
      </c>
      <c r="E285" s="1" t="e">
        <v>#N/A</v>
      </c>
      <c r="F285" s="1" t="e">
        <v>#N/A</v>
      </c>
      <c r="G285" s="1" t="e">
        <v>#N/A</v>
      </c>
    </row>
    <row r="286" spans="3:10" x14ac:dyDescent="0.3">
      <c r="C286" s="1" t="e">
        <v>#N/A</v>
      </c>
      <c r="D286" s="1" t="e">
        <v>#N/A</v>
      </c>
      <c r="E286" s="1" t="str">
        <v>KKK</v>
      </c>
      <c r="F286" s="1">
        <v>1000</v>
      </c>
      <c r="G286" s="1">
        <v>10000</v>
      </c>
    </row>
    <row r="287" spans="3:10" x14ac:dyDescent="0.3">
      <c r="C287" s="1" t="e">
        <v>#N/A</v>
      </c>
      <c r="D287" s="1" t="e">
        <v>#N/A</v>
      </c>
      <c r="E287" s="1" t="str">
        <v>LLL</v>
      </c>
      <c r="F287" s="1">
        <v>2000</v>
      </c>
      <c r="G287" s="1">
        <v>20000</v>
      </c>
    </row>
    <row r="288" spans="3:10" x14ac:dyDescent="0.3">
      <c r="C288" s="1" t="e">
        <v>#N/A</v>
      </c>
      <c r="D288" s="1" t="e">
        <v>#N/A</v>
      </c>
      <c r="E288" s="1" t="str">
        <v>MMM</v>
      </c>
      <c r="F288" s="1">
        <v>3000</v>
      </c>
      <c r="G288" s="1">
        <v>30000</v>
      </c>
    </row>
    <row r="289" spans="3:7" x14ac:dyDescent="0.3">
      <c r="C289" s="1" t="e">
        <v>#N/A</v>
      </c>
      <c r="D289" s="1" t="e">
        <v>#N/A</v>
      </c>
      <c r="E289" s="1" t="str">
        <v>NNN</v>
      </c>
      <c r="F289" s="1">
        <v>4000</v>
      </c>
      <c r="G289" s="1">
        <v>40000</v>
      </c>
    </row>
    <row r="290" spans="3:7" x14ac:dyDescent="0.3">
      <c r="C290" s="1" t="e">
        <v>#N/A</v>
      </c>
      <c r="D290" s="1" t="e">
        <v>#N/A</v>
      </c>
      <c r="E290" s="1" t="str">
        <v>OOO</v>
      </c>
      <c r="F290" s="1">
        <v>5000</v>
      </c>
      <c r="G290" s="1">
        <v>50000</v>
      </c>
    </row>
    <row r="291" spans="3:7" x14ac:dyDescent="0.3">
      <c r="C291" s="18" t="str" cm="1">
        <f t="array" aca="1" ref="C291:C333" ca="1" xml:space="preserve"> _xlfn.TEXTSPLIT( _xlfn.FORMULATEXT(C280), , CHAR(10))</f>
        <v>= LAMBDA(first_array,second_array,[first_titles],[second_titles],[output_titles],[simple_stack],[replace_na],</v>
      </c>
    </row>
    <row r="292" spans="3:7" x14ac:dyDescent="0.3">
      <c r="C292" s="18" t="str">
        <f ca="1"/>
        <v xml:space="preserve">  LET(</v>
      </c>
    </row>
    <row r="293" spans="3:7" x14ac:dyDescent="0.3">
      <c r="C293" s="18" t="str">
        <f ca="1"/>
        <v xml:space="preserve">    _inp1, first_array,</v>
      </c>
    </row>
    <row r="294" spans="3:7" x14ac:dyDescent="0.3">
      <c r="C294" s="18" t="str">
        <f ca="1"/>
        <v xml:space="preserve">    _inp2, second_array,</v>
      </c>
    </row>
    <row r="295" spans="3:7" x14ac:dyDescent="0.3">
      <c r="C295" s="18" t="str">
        <f ca="1"/>
        <v xml:space="preserve">    _cc1, COLUMNS(_inp1),</v>
      </c>
    </row>
    <row r="296" spans="3:7" x14ac:dyDescent="0.3">
      <c r="C296" s="18" t="str">
        <f ca="1"/>
        <v xml:space="preserve">    _cc2, COLUMNS(_inp2),</v>
      </c>
    </row>
    <row r="297" spans="3:7" x14ac:dyDescent="0.3">
      <c r="C297" s="18" t="str">
        <f ca="1"/>
        <v xml:space="preserve">    _ttl1, IF( ISOMITTED(first_titles),</v>
      </c>
    </row>
    <row r="298" spans="3:7" x14ac:dyDescent="0.3">
      <c r="C298" s="18" t="str">
        <f ca="1"/>
        <v xml:space="preserve">      SEQUENCE(1, _cc1, 1),</v>
      </c>
    </row>
    <row r="299" spans="3:7" x14ac:dyDescent="0.3">
      <c r="C299" s="18" t="str">
        <f ca="1"/>
        <v xml:space="preserve">      first_titles),</v>
      </c>
    </row>
    <row r="300" spans="3:7" x14ac:dyDescent="0.3">
      <c r="C300" s="18" t="str">
        <f ca="1"/>
        <v xml:space="preserve">    _ttl2, IF( ISOMITTED(second_titles),</v>
      </c>
    </row>
    <row r="301" spans="3:7" x14ac:dyDescent="0.3">
      <c r="C301" s="18" t="str">
        <f ca="1"/>
        <v xml:space="preserve">      SEQUENCE(1, _cc2, _cc1 + 1),</v>
      </c>
    </row>
    <row r="302" spans="3:7" x14ac:dyDescent="0.3">
      <c r="C302" s="18" t="str">
        <f ca="1"/>
        <v xml:space="preserve">      second_titles),</v>
      </c>
    </row>
    <row r="303" spans="3:7" x14ac:dyDescent="0.3">
      <c r="C303" s="18" t="str">
        <f ca="1"/>
        <v xml:space="preserve">    _inc, output_titles,</v>
      </c>
    </row>
    <row r="304" spans="3:7" x14ac:dyDescent="0.3">
      <c r="C304" s="18" t="str">
        <f ca="1"/>
        <v xml:space="preserve">    _stk, IF( ISOMITTED(simple_stack), FALSE, simple_stack),</v>
      </c>
    </row>
    <row r="305" spans="3:3" x14ac:dyDescent="0.3">
      <c r="C305" s="18" t="str">
        <f ca="1"/>
        <v xml:space="preserve">    _rep, IF( ISOMITTED(replace_na),</v>
      </c>
    </row>
    <row r="306" spans="3:3" x14ac:dyDescent="0.3">
      <c r="C306" s="18" t="str">
        <f ca="1"/>
        <v xml:space="preserve">      FALSE,</v>
      </c>
    </row>
    <row r="307" spans="3:3" x14ac:dyDescent="0.3">
      <c r="C307" s="18" t="str">
        <f ca="1"/>
        <v xml:space="preserve">      IF( AND( ISLOGICAL(replace_na), replace_na = FALSE), FALSE, TRUE)),</v>
      </c>
    </row>
    <row r="308" spans="3:3" x14ac:dyDescent="0.3">
      <c r="C308" s="18" t="str">
        <f ca="1"/>
        <v xml:space="preserve">    _str, IF( AND( ISLOGICAL(replace_na), replace_na), "", replace_na),</v>
      </c>
    </row>
    <row r="309" spans="3:3" x14ac:dyDescent="0.3">
      <c r="C309" s="18" t="str">
        <f ca="1"/>
        <v xml:space="preserve">    _ttlC, IF(_stk,</v>
      </c>
    </row>
    <row r="310" spans="3:3" x14ac:dyDescent="0.3">
      <c r="C310" s="18" t="str">
        <f ca="1"/>
        <v xml:space="preserve">      DROP(</v>
      </c>
    </row>
    <row r="311" spans="3:3" x14ac:dyDescent="0.3">
      <c r="C311" s="18" t="str">
        <f ca="1"/>
        <v xml:space="preserve">        REDUCE("", SEQUENCE(1, MAX(_cc1, _cc2)), LAMBDA(_acc,_val, HSTACK(_acc, IF(_val &lt;= _cc1, INDEX(_ttl1, , _val), INDEX(_ttl2, , _val))))),</v>
      </c>
    </row>
    <row r="312" spans="3:3" x14ac:dyDescent="0.3">
      <c r="C312" s="18" t="str">
        <f ca="1"/>
        <v xml:space="preserve">      , 1),</v>
      </c>
    </row>
    <row r="313" spans="3:3" x14ac:dyDescent="0.3">
      <c r="C313" s="18" t="str">
        <f ca="1"/>
        <v xml:space="preserve">      REDUCE(_ttl1, _ttl2, LAMBDA(_acc,_val, IF( ISNA( MATCH(_val, _ttl1, 0)), HSTACK(_acc, _val), _acc)))</v>
      </c>
    </row>
    <row r="314" spans="3:3" x14ac:dyDescent="0.3">
      <c r="C314" s="18" t="str">
        <f ca="1"/>
        <v xml:space="preserve">    ),</v>
      </c>
    </row>
    <row r="315" spans="3:3" x14ac:dyDescent="0.3">
      <c r="C315" s="18" t="str">
        <f ca="1"/>
        <v xml:space="preserve">    _idx, DROP(</v>
      </c>
    </row>
    <row r="316" spans="3:3" x14ac:dyDescent="0.3">
      <c r="C316" s="18" t="str">
        <f ca="1"/>
        <v xml:space="preserve">      REDUCE(0, _ttlC, LAMBDA(_acc,_val, HSTACK(_acc, IFNA(MATCH(_val, _ttl2, 0), 0)))),</v>
      </c>
    </row>
    <row r="317" spans="3:3" x14ac:dyDescent="0.3">
      <c r="C317" s="18" t="str">
        <f ca="1"/>
        <v xml:space="preserve">    , 1),</v>
      </c>
    </row>
    <row r="318" spans="3:3" x14ac:dyDescent="0.3">
      <c r="C318" s="18" t="str">
        <f ca="1"/>
        <v xml:space="preserve">    _arr, IF(_stk,</v>
      </c>
    </row>
    <row r="319" spans="3:3" x14ac:dyDescent="0.3">
      <c r="C319" s="18" t="str">
        <f ca="1"/>
        <v xml:space="preserve">      _inp2,</v>
      </c>
    </row>
    <row r="320" spans="3:3" x14ac:dyDescent="0.3">
      <c r="C320" s="18" t="str">
        <f ca="1"/>
        <v xml:space="preserve">      DROP(</v>
      </c>
    </row>
    <row r="321" spans="2:20" x14ac:dyDescent="0.3">
      <c r="C321" s="18" t="str">
        <f ca="1"/>
        <v xml:space="preserve">        REDUCE(0, _idx, LAMBDA(_acc,_val, HSTACK(_acc, IF(_val &gt; 0, CHOOSECOLS(_inp2, _val), "¦")))),</v>
      </c>
    </row>
    <row r="322" spans="2:20" x14ac:dyDescent="0.3">
      <c r="C322" s="18" t="str">
        <f ca="1"/>
        <v xml:space="preserve">      , 1)</v>
      </c>
    </row>
    <row r="323" spans="2:20" x14ac:dyDescent="0.3">
      <c r="C323" s="18" t="str">
        <f ca="1"/>
        <v xml:space="preserve">    ),</v>
      </c>
    </row>
    <row r="324" spans="2:20" x14ac:dyDescent="0.3">
      <c r="C324" s="18" t="str">
        <f ca="1"/>
        <v xml:space="preserve">    _new, IF(_arr = "¦", NA(), _arr),</v>
      </c>
    </row>
    <row r="325" spans="2:20" x14ac:dyDescent="0.3">
      <c r="C325" s="18" t="str">
        <f ca="1"/>
        <v xml:space="preserve">    _calc, VSTACK(_inp1, _new),</v>
      </c>
    </row>
    <row r="326" spans="2:20" x14ac:dyDescent="0.3">
      <c r="C326" s="18" t="str">
        <f ca="1"/>
        <v xml:space="preserve">    _out, IF(_inc, VSTACK(_ttlC, _calc), _calc),</v>
      </c>
    </row>
    <row r="327" spans="2:20" x14ac:dyDescent="0.3">
      <c r="C327" s="18" t="str">
        <f ca="1"/>
        <v xml:space="preserve">    _rtn, IF(_rep,</v>
      </c>
    </row>
    <row r="328" spans="2:20" x14ac:dyDescent="0.3">
      <c r="C328" s="18" t="str">
        <f ca="1"/>
        <v xml:space="preserve">      IF(ISNA(_out), _str, _out),</v>
      </c>
    </row>
    <row r="329" spans="2:20" x14ac:dyDescent="0.3">
      <c r="C329" s="18" t="str">
        <f ca="1"/>
        <v xml:space="preserve">      _out</v>
      </c>
    </row>
    <row r="330" spans="2:20" x14ac:dyDescent="0.3">
      <c r="C330" s="18" t="str">
        <f ca="1"/>
        <v xml:space="preserve">    ),</v>
      </c>
    </row>
    <row r="331" spans="2:20" x14ac:dyDescent="0.3">
      <c r="C331" s="18" t="str">
        <f ca="1"/>
        <v xml:space="preserve">    _rtn</v>
      </c>
    </row>
    <row r="332" spans="2:20" x14ac:dyDescent="0.3">
      <c r="C332" s="18" t="str">
        <f ca="1"/>
        <v xml:space="preserve">  )</v>
      </c>
    </row>
    <row r="333" spans="2:20" x14ac:dyDescent="0.3">
      <c r="C333" s="18" t="str">
        <f ca="1"/>
        <v>)($C$12:$D$16, $I$12:$K$16, $C$11:$D$11, $I$11:$K$11, J280, J281, J282)</v>
      </c>
    </row>
    <row r="336" spans="2:20" x14ac:dyDescent="0.3">
      <c r="B336" s="17" t="s">
        <v>80</v>
      </c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8" spans="2:10" x14ac:dyDescent="0.3">
      <c r="C338" s="30" t="s">
        <v>33</v>
      </c>
    </row>
    <row r="339" spans="2:10" x14ac:dyDescent="0.3">
      <c r="C339" t="s">
        <v>81</v>
      </c>
    </row>
    <row r="340" spans="2:10" x14ac:dyDescent="0.3">
      <c r="C340" t="s">
        <v>82</v>
      </c>
    </row>
    <row r="341" spans="2:10" x14ac:dyDescent="0.3">
      <c r="C341" t="s">
        <v>114</v>
      </c>
    </row>
    <row r="343" spans="2:10" x14ac:dyDescent="0.3">
      <c r="B343" s="31" t="s">
        <v>79</v>
      </c>
      <c r="C343" s="3" t="s">
        <v>130</v>
      </c>
    </row>
    <row r="344" spans="2:10" x14ac:dyDescent="0.3">
      <c r="C344" s="35" t="s">
        <v>88</v>
      </c>
    </row>
    <row r="345" spans="2:10" x14ac:dyDescent="0.3">
      <c r="C345" s="19" t="str" cm="1">
        <f t="array" ref="C345:E355" xml:space="preserve"> _xlfn.LAMBDA(_xlpm.first_array,_xlpm.second_array,_xlop.first_titles,_xlop.second_titles,_xlop.output_titles,_xlop.simple_stack,_xlop.replace_na,
  _xlfn.LET(
    _xlpm._inp1, _xlpm.first_array,
    _xlpm._inp2, _xlpm.second_array,
    _xlpm._cc1, COLUMNS(_xlpm._inp1),
    _xlpm._cc2, COLUMNS(_xlpm._inp2),
    _xlpm._ttl1, IF( _xlfn.ISOMITTED(_xlpm.first_titles),
      _xlfn.SEQUENCE(1, _xlpm._cc1, 1),
      _xlfn.TAKE(_xlpm.first_titles, 1)),
    _xlpm._ttl2, IF( _xlfn.ISOMITTED(_xlpm.second_titles),
      _xlfn.SEQUENCE(1, _xlpm._cc2, _xlpm._cc1 + 1),
      _xlfn.TAKE(_xlpm.second_titles, 1)),
    _xlpm._hdr, IF( _xlfn.ISOMITTED(_xlpm.output_titles), 0, _xlpm.output_titles),
    _xlpm._ccH, COLUMNS(_xlpm._hdr),
    _xlpm._inc, IF( AND(_xlpm._ccH = 1, OR(ISLOGICAL(_xlpm._hdr), ISNUMBER(_xlpm._hdr))),
      IF(_xlpm._hdr, 1, 0),
      -1),
    _xlpm._stk, IF( _xlfn.ISOMITTED(_xlpm.simple_stack), FALSE, _xlpm.simple_stack),
    _xlpm._rep, IF( _xlfn.ISOMITTED(_xlpm.replace_na),
      FALSE,
      IF( AND( ISLOGICAL(_xlpm.replace_na), _xlpm.replace_na = FALSE), FALSE, TRUE)),
    _xlpm._str, IF( AND( ISLOGICAL(_xlpm.replace_na), _xlpm.replace_na), "", _xlpm.replace_na),
    _xlpm._ttlC, IF(_xlpm._stk,
      _xlfn.DROP(
        _xlfn.REDUCE("", _xlfn.SEQUENCE(1, MAX(_xlpm._cc1, _xlpm._cc2)), _xlfn.LAMBDA(_xlpm._acc,_xlpm._val, _xlfn.HSTACK(_xlpm._acc, IF(_xlpm._val &lt;= _xlpm._cc1, INDEX(_xlpm._ttl1, , _xlpm._val), INDEX(_xlpm._ttl2, , _xlpm._val))))),
      , 1),
      _xlfn.REDUCE(_xlpm._ttl1, _xlpm._ttl2, _xlfn.LAMBDA(_xlpm._acc,_xlpm._val, IF( ISNA( MATCH(_xlpm._val, _xlpm._ttl1, 0)), _xlfn.HSTACK(_xlpm._acc, _xlpm._val), _xlpm._acc)))
    ),
    _xlpm._idx, _xlfn.DROP(
      _xlfn.REDUCE(0, _xlpm._ttlC, _xlfn.LAMBDA(_xlpm._acc,_xlpm._val, _xlfn.HSTACK(_xlpm._acc, _xlfn.IFNA(MATCH(_xlpm._val, _xlpm._ttl2, 0), 0)))),
    , 1),
    _xlpm._arr, IF(_xlpm._stk,
      _xlpm._inp2,
      _xlfn.DROP(
        _xlfn.REDUCE(0, _xlpm._idx, _xlfn.LAMBDA(_xlpm._acc,_xlpm._val, _xlfn.HSTACK(_xlpm._acc, IF(_xlpm._val &gt; 0, _xlfn.CHOOSECOLS(_xlpm._inp2, _xlpm._val), "¦")))),
      , 1)
    ),
    _xlpm._new, IF(_xlpm._arr = "¦", NA(), _xlpm._arr),
    _xlpm._calc, _xlfn.VSTACK(_xlpm._inp1, _xlpm._new),
    _xlpm._out, IF(_xlpm._inc &lt; 0, _xlfn.VSTACK( _xlfn.TAKE(_xlpm._hdr, 1, MIN(_xlpm._ccH, COLUMNS(_xlpm._calc))), _xlpm._calc),
      IF(_xlpm._inc &gt; 0, _xlfn.VSTACK(_xlpm._ttlC, _xlpm._calc), _xlpm._calc)
    ),
    _xlpm._rtn, IF(_xlpm._rep,
      IF(ISNA(_xlpm._out), _xlpm._str, _xlpm._out),
      _xlpm._out
    ),
    _xlpm._rtn
  )
)($C$12:$D$16, $I$12:$K$16, $C$11:$D$11, $I$11:$K$11, J345, J346, J347)</f>
        <v>Alpha</v>
      </c>
      <c r="D345" s="1" t="str">
        <v>Num</v>
      </c>
      <c r="E345" s="1" t="str">
        <v>Other</v>
      </c>
      <c r="F345" s="1"/>
      <c r="G345" s="1"/>
      <c r="I345" s="23" t="s">
        <v>59</v>
      </c>
      <c r="J345" s="38" t="b">
        <v>1</v>
      </c>
    </row>
    <row r="346" spans="2:10" x14ac:dyDescent="0.3">
      <c r="C346" s="1" t="str">
        <v>AAA</v>
      </c>
      <c r="D346" s="1">
        <v>111</v>
      </c>
      <c r="E346" s="1" t="str">
        <v/>
      </c>
      <c r="F346" s="1"/>
      <c r="G346" s="1"/>
      <c r="I346" s="23" t="s">
        <v>63</v>
      </c>
      <c r="J346" s="29">
        <v>1</v>
      </c>
    </row>
    <row r="347" spans="2:10" x14ac:dyDescent="0.3">
      <c r="C347" s="1" t="str">
        <v>BBB</v>
      </c>
      <c r="D347" s="1">
        <v>222</v>
      </c>
      <c r="E347" s="1" t="str">
        <v/>
      </c>
      <c r="F347" s="1"/>
      <c r="G347" s="1"/>
      <c r="I347" s="23" t="s">
        <v>41</v>
      </c>
      <c r="J347" s="10" t="b">
        <v>1</v>
      </c>
    </row>
    <row r="348" spans="2:10" x14ac:dyDescent="0.3">
      <c r="C348" s="1" t="str">
        <v>CCC</v>
      </c>
      <c r="D348" s="1">
        <v>333</v>
      </c>
      <c r="E348" s="1" t="str">
        <v/>
      </c>
      <c r="F348" s="1"/>
      <c r="G348" s="1"/>
    </row>
    <row r="349" spans="2:10" x14ac:dyDescent="0.3">
      <c r="C349" s="1" t="str">
        <v>DDD</v>
      </c>
      <c r="D349" s="1">
        <v>444</v>
      </c>
      <c r="E349" s="1" t="str">
        <v/>
      </c>
      <c r="F349" s="1"/>
      <c r="G349" s="1"/>
    </row>
    <row r="350" spans="2:10" x14ac:dyDescent="0.3">
      <c r="C350" s="1" t="str">
        <v>EEE</v>
      </c>
      <c r="D350" s="1">
        <v>555</v>
      </c>
      <c r="E350" s="1" t="str">
        <v/>
      </c>
      <c r="F350" s="1"/>
      <c r="G350" s="1"/>
    </row>
    <row r="351" spans="2:10" x14ac:dyDescent="0.3">
      <c r="C351" s="1" t="str">
        <v>KKK</v>
      </c>
      <c r="D351" s="1">
        <v>1000</v>
      </c>
      <c r="E351" s="1">
        <v>10000</v>
      </c>
      <c r="F351" s="1"/>
      <c r="G351" s="1"/>
    </row>
    <row r="352" spans="2:10" x14ac:dyDescent="0.3">
      <c r="C352" s="1" t="str">
        <v>LLL</v>
      </c>
      <c r="D352" s="1">
        <v>2000</v>
      </c>
      <c r="E352" s="1">
        <v>20000</v>
      </c>
      <c r="F352" s="1"/>
      <c r="G352" s="1"/>
    </row>
    <row r="353" spans="3:14" x14ac:dyDescent="0.3">
      <c r="C353" s="1" t="str">
        <v>MMM</v>
      </c>
      <c r="D353" s="1">
        <v>3000</v>
      </c>
      <c r="E353" s="1">
        <v>30000</v>
      </c>
      <c r="F353" s="1"/>
      <c r="G353" s="1"/>
    </row>
    <row r="354" spans="3:14" x14ac:dyDescent="0.3">
      <c r="C354" s="1" t="str">
        <v>NNN</v>
      </c>
      <c r="D354" s="1">
        <v>4000</v>
      </c>
      <c r="E354" s="1">
        <v>40000</v>
      </c>
      <c r="F354" s="1"/>
      <c r="G354" s="1"/>
    </row>
    <row r="355" spans="3:14" x14ac:dyDescent="0.3">
      <c r="C355" s="1" t="str">
        <v>OOO</v>
      </c>
      <c r="D355" s="1">
        <v>5000</v>
      </c>
      <c r="E355" s="1">
        <v>50000</v>
      </c>
      <c r="F355" s="1"/>
      <c r="G355" s="1"/>
    </row>
    <row r="357" spans="3:14" x14ac:dyDescent="0.3">
      <c r="C357" s="35" t="s">
        <v>89</v>
      </c>
    </row>
    <row r="358" spans="3:14" x14ac:dyDescent="0.3">
      <c r="C358" s="19" t="str" cm="1">
        <f t="array" ref="C358:E368" xml:space="preserve"> _xlfn.LAMBDA(_xlpm.first_array,_xlpm.second_array,_xlop.first_titles,_xlop.second_titles,_xlop.output_titles,_xlop.simple_stack,_xlop.replace_na,
  _xlfn.LET(
    _xlpm._inp1, _xlpm.first_array,
    _xlpm._inp2, _xlpm.second_array,
    _xlpm._cc1, COLUMNS(_xlpm._inp1),
    _xlpm._cc2, COLUMNS(_xlpm._inp2),
    _xlpm._ttl1, IF( _xlfn.ISOMITTED(_xlpm.first_titles),
      _xlfn.SEQUENCE(1, _xlpm._cc1, 1),
      _xlfn.TAKE(_xlpm.first_titles, 1)),
    _xlpm._ttl2, IF( _xlfn.ISOMITTED(_xlpm.second_titles),
      _xlfn.SEQUENCE(1, _xlpm._cc2, _xlpm._cc1 + 1),
      _xlfn.TAKE(_xlpm.second_titles, 1)),
    _xlpm._hdr, IF( _xlfn.ISOMITTED(_xlpm.output_titles), 0, _xlpm.output_titles),
    _xlpm._ccH, COLUMNS(_xlpm._hdr),
    _xlpm._inc, IF( AND(_xlpm._ccH = 1, OR(ISLOGICAL(_xlpm._hdr), ISNUMBER(_xlpm._hdr))),
      IF(_xlpm._hdr, 1, 0),
      -1),
    _xlpm._stk, IF( _xlfn.ISOMITTED(_xlpm.simple_stack), FALSE, _xlpm.simple_stack),
    _xlpm._rep, IF( _xlfn.ISOMITTED(_xlpm.replace_na),
      FALSE,
      IF( AND( ISLOGICAL(_xlpm.replace_na), _xlpm.replace_na = FALSE), FALSE, TRUE)),
    _xlpm._str, IF( AND( ISLOGICAL(_xlpm.replace_na), _xlpm.replace_na), "", _xlpm.replace_na),
    _xlpm._ttlC, IF(_xlpm._stk,
      _xlfn.DROP(
        _xlfn.REDUCE("", _xlfn.SEQUENCE(1, MAX(_xlpm._cc1, _xlpm._cc2)), _xlfn.LAMBDA(_xlpm._acc,_xlpm._val, _xlfn.HSTACK(_xlpm._acc, IF(_xlpm._val &lt;= _xlpm._cc1, INDEX(_xlpm._ttl1, , _xlpm._val), INDEX(_xlpm._ttl2, , _xlpm._val))))),
      , 1),
      _xlfn.REDUCE(_xlpm._ttl1, _xlpm._ttl2, _xlfn.LAMBDA(_xlpm._acc,_xlpm._val, IF( ISNA( MATCH(_xlpm._val, _xlpm._ttl1, 0)), _xlfn.HSTACK(_xlpm._acc, _xlpm._val), _xlpm._acc)))
    ),
    _xlpm._idx, _xlfn.DROP(
      _xlfn.REDUCE(0, _xlpm._ttlC, _xlfn.LAMBDA(_xlpm._acc,_xlpm._val, _xlfn.HSTACK(_xlpm._acc, _xlfn.IFNA(MATCH(_xlpm._val, _xlpm._ttl2, 0), 0)))),
    , 1),
    _xlpm._arr, IF(_xlpm._stk,
      _xlpm._inp2,
      _xlfn.DROP(
        _xlfn.REDUCE(0, _xlpm._idx, _xlfn.LAMBDA(_xlpm._acc,_xlpm._val, _xlfn.HSTACK(_xlpm._acc, IF(_xlpm._val &gt; 0, _xlfn.CHOOSECOLS(_xlpm._inp2, _xlpm._val), "¦")))),
      , 1)
    ),
    _xlpm._new, IF(_xlpm._arr = "¦", NA(), _xlpm._arr),
    _xlpm._calc, _xlfn.VSTACK(_xlpm._inp1, _xlpm._new),
    _xlpm._out, IF(_xlpm._inc &lt; 0, _xlfn.VSTACK( _xlfn.TAKE(_xlpm._hdr, 1, MIN(_xlpm._ccH, COLUMNS(_xlpm._calc))), _xlpm._calc),
      IF(_xlpm._inc &gt; 0, _xlfn.VSTACK(_xlpm._ttlC, _xlpm._calc), _xlpm._calc)
    ),
    _xlpm._rtn, IF(_xlpm._rep,
      IF(ISNA(_xlpm._out), _xlpm._str, _xlpm._out),
      _xlpm._out
    ),
    _xlpm._rtn
  )
)($C$12:$D$16, $I$12:$K$16, $C$11:$D$11, $I$11:$K$11,_xlfn._TRO_TRAILING( J358:N358), J359, J360)</f>
        <v>Col.1</v>
      </c>
      <c r="D358" s="1" t="str">
        <v>Col.2</v>
      </c>
      <c r="E358" s="1" t="str">
        <v>Col.3</v>
      </c>
      <c r="F358" s="1"/>
      <c r="G358" s="1"/>
      <c r="I358" s="23" t="s">
        <v>59</v>
      </c>
      <c r="J358" s="37" t="s">
        <v>85</v>
      </c>
      <c r="K358" s="37" t="s">
        <v>86</v>
      </c>
      <c r="L358" s="37" t="s">
        <v>87</v>
      </c>
      <c r="M358" s="10" t="s">
        <v>126</v>
      </c>
      <c r="N358" s="10" t="s">
        <v>127</v>
      </c>
    </row>
    <row r="359" spans="3:14" x14ac:dyDescent="0.3">
      <c r="C359" s="1" t="str">
        <v>AAA</v>
      </c>
      <c r="D359" s="1">
        <v>111</v>
      </c>
      <c r="E359" s="1" t="str">
        <v/>
      </c>
      <c r="F359" s="1"/>
      <c r="G359" s="1"/>
      <c r="I359" s="23" t="s">
        <v>63</v>
      </c>
      <c r="J359" s="29">
        <v>1</v>
      </c>
    </row>
    <row r="360" spans="3:14" x14ac:dyDescent="0.3">
      <c r="C360" s="1" t="str">
        <v>BBB</v>
      </c>
      <c r="D360" s="1">
        <v>222</v>
      </c>
      <c r="E360" s="1" t="str">
        <v/>
      </c>
      <c r="F360" s="1"/>
      <c r="G360" s="1"/>
      <c r="I360" s="23" t="s">
        <v>41</v>
      </c>
      <c r="J360" s="10" t="b">
        <v>1</v>
      </c>
    </row>
    <row r="361" spans="3:14" x14ac:dyDescent="0.3">
      <c r="C361" s="1" t="str">
        <v>CCC</v>
      </c>
      <c r="D361" s="1">
        <v>333</v>
      </c>
      <c r="E361" s="1" t="str">
        <v/>
      </c>
      <c r="F361" s="1"/>
      <c r="G361" s="1"/>
    </row>
    <row r="362" spans="3:14" x14ac:dyDescent="0.3">
      <c r="C362" s="1" t="str">
        <v>DDD</v>
      </c>
      <c r="D362" s="1">
        <v>444</v>
      </c>
      <c r="E362" s="1" t="str">
        <v/>
      </c>
      <c r="F362" s="1"/>
      <c r="G362" s="1"/>
    </row>
    <row r="363" spans="3:14" x14ac:dyDescent="0.3">
      <c r="C363" s="1" t="str">
        <v>EEE</v>
      </c>
      <c r="D363" s="1">
        <v>555</v>
      </c>
      <c r="E363" s="1" t="str">
        <v/>
      </c>
      <c r="F363" s="1"/>
      <c r="G363" s="1"/>
    </row>
    <row r="364" spans="3:14" x14ac:dyDescent="0.3">
      <c r="C364" s="1" t="str">
        <v>KKK</v>
      </c>
      <c r="D364" s="1">
        <v>1000</v>
      </c>
      <c r="E364" s="1">
        <v>10000</v>
      </c>
      <c r="F364" s="1"/>
      <c r="G364" s="1"/>
    </row>
    <row r="365" spans="3:14" x14ac:dyDescent="0.3">
      <c r="C365" s="1" t="str">
        <v>LLL</v>
      </c>
      <c r="D365" s="1">
        <v>2000</v>
      </c>
      <c r="E365" s="1">
        <v>20000</v>
      </c>
      <c r="F365" s="1"/>
      <c r="G365" s="1"/>
    </row>
    <row r="366" spans="3:14" x14ac:dyDescent="0.3">
      <c r="C366" s="1" t="str">
        <v>MMM</v>
      </c>
      <c r="D366" s="1">
        <v>3000</v>
      </c>
      <c r="E366" s="1">
        <v>30000</v>
      </c>
      <c r="F366" s="1"/>
      <c r="G366" s="1"/>
    </row>
    <row r="367" spans="3:14" x14ac:dyDescent="0.3">
      <c r="C367" s="1" t="str">
        <v>NNN</v>
      </c>
      <c r="D367" s="1">
        <v>4000</v>
      </c>
      <c r="E367" s="1">
        <v>40000</v>
      </c>
      <c r="F367" s="1"/>
      <c r="G367" s="1"/>
    </row>
    <row r="368" spans="3:14" x14ac:dyDescent="0.3">
      <c r="C368" s="1" t="str">
        <v>OOO</v>
      </c>
      <c r="D368" s="1">
        <v>5000</v>
      </c>
      <c r="E368" s="1">
        <v>50000</v>
      </c>
      <c r="F368" s="1"/>
      <c r="G368" s="1"/>
    </row>
    <row r="369" spans="3:3" x14ac:dyDescent="0.3">
      <c r="C369" s="18" t="str" cm="1">
        <f t="array" aca="1" ref="C369:C417" ca="1" xml:space="preserve"> _xlfn.TEXTSPLIT( _xlfn.FORMULATEXT(C358), , CHAR(10))</f>
        <v>= LAMBDA(first_array,second_array,[first_titles],[second_titles],[output_titles],[simple_stack],[replace_na],</v>
      </c>
    </row>
    <row r="370" spans="3:3" x14ac:dyDescent="0.3">
      <c r="C370" s="18" t="str">
        <f ca="1"/>
        <v xml:space="preserve">  LET(</v>
      </c>
    </row>
    <row r="371" spans="3:3" x14ac:dyDescent="0.3">
      <c r="C371" s="18" t="str">
        <f ca="1"/>
        <v xml:space="preserve">    _inp1, first_array,</v>
      </c>
    </row>
    <row r="372" spans="3:3" x14ac:dyDescent="0.3">
      <c r="C372" s="18" t="str">
        <f ca="1"/>
        <v xml:space="preserve">    _inp2, second_array,</v>
      </c>
    </row>
    <row r="373" spans="3:3" x14ac:dyDescent="0.3">
      <c r="C373" s="18" t="str">
        <f ca="1"/>
        <v xml:space="preserve">    _cc1, COLUMNS(_inp1),</v>
      </c>
    </row>
    <row r="374" spans="3:3" x14ac:dyDescent="0.3">
      <c r="C374" s="18" t="str">
        <f ca="1"/>
        <v xml:space="preserve">    _cc2, COLUMNS(_inp2),</v>
      </c>
    </row>
    <row r="375" spans="3:3" x14ac:dyDescent="0.3">
      <c r="C375" s="18" t="str">
        <f ca="1"/>
        <v xml:space="preserve">    _ttl1, IF( ISOMITTED(first_titles),</v>
      </c>
    </row>
    <row r="376" spans="3:3" x14ac:dyDescent="0.3">
      <c r="C376" s="18" t="str">
        <f ca="1"/>
        <v xml:space="preserve">      SEQUENCE(1, _cc1, 1),</v>
      </c>
    </row>
    <row r="377" spans="3:3" x14ac:dyDescent="0.3">
      <c r="C377" s="18" t="str">
        <f ca="1"/>
        <v xml:space="preserve">      TAKE(first_titles, 1)),</v>
      </c>
    </row>
    <row r="378" spans="3:3" x14ac:dyDescent="0.3">
      <c r="C378" s="18" t="str">
        <f ca="1"/>
        <v xml:space="preserve">    _ttl2, IF( ISOMITTED(second_titles),</v>
      </c>
    </row>
    <row r="379" spans="3:3" x14ac:dyDescent="0.3">
      <c r="C379" s="18" t="str">
        <f ca="1"/>
        <v xml:space="preserve">      SEQUENCE(1, _cc2, _cc1 + 1),</v>
      </c>
    </row>
    <row r="380" spans="3:3" x14ac:dyDescent="0.3">
      <c r="C380" s="18" t="str">
        <f ca="1"/>
        <v xml:space="preserve">      TAKE(second_titles, 1)),</v>
      </c>
    </row>
    <row r="381" spans="3:3" x14ac:dyDescent="0.3">
      <c r="C381" s="18" t="str">
        <f ca="1"/>
        <v xml:space="preserve">    _hdr, IF( ISOMITTED(output_titles), 0, output_titles),</v>
      </c>
    </row>
    <row r="382" spans="3:3" x14ac:dyDescent="0.3">
      <c r="C382" s="18" t="str">
        <f ca="1"/>
        <v xml:space="preserve">    _ccH, COLUMNS(_hdr),</v>
      </c>
    </row>
    <row r="383" spans="3:3" x14ac:dyDescent="0.3">
      <c r="C383" s="18" t="str">
        <f ca="1"/>
        <v xml:space="preserve">    _inc, IF( AND(_ccH = 1, OR(ISLOGICAL(_hdr), ISNUMBER(_hdr))),</v>
      </c>
    </row>
    <row r="384" spans="3:3" x14ac:dyDescent="0.3">
      <c r="C384" s="18" t="str">
        <f ca="1"/>
        <v xml:space="preserve">      IF(_hdr, 1, 0),</v>
      </c>
    </row>
    <row r="385" spans="3:3" x14ac:dyDescent="0.3">
      <c r="C385" s="18" t="str">
        <f ca="1"/>
        <v xml:space="preserve">      -1),</v>
      </c>
    </row>
    <row r="386" spans="3:3" x14ac:dyDescent="0.3">
      <c r="C386" s="18" t="str">
        <f ca="1"/>
        <v xml:space="preserve">    _stk, IF( ISOMITTED(simple_stack), FALSE, simple_stack),</v>
      </c>
    </row>
    <row r="387" spans="3:3" x14ac:dyDescent="0.3">
      <c r="C387" s="18" t="str">
        <f ca="1"/>
        <v xml:space="preserve">    _rep, IF( ISOMITTED(replace_na),</v>
      </c>
    </row>
    <row r="388" spans="3:3" x14ac:dyDescent="0.3">
      <c r="C388" s="18" t="str">
        <f ca="1"/>
        <v xml:space="preserve">      FALSE,</v>
      </c>
    </row>
    <row r="389" spans="3:3" x14ac:dyDescent="0.3">
      <c r="C389" s="18" t="str">
        <f ca="1"/>
        <v xml:space="preserve">      IF( AND( ISLOGICAL(replace_na), replace_na = FALSE), FALSE, TRUE)),</v>
      </c>
    </row>
    <row r="390" spans="3:3" x14ac:dyDescent="0.3">
      <c r="C390" s="18" t="str">
        <f ca="1"/>
        <v xml:space="preserve">    _str, IF( AND( ISLOGICAL(replace_na), replace_na), "", replace_na),</v>
      </c>
    </row>
    <row r="391" spans="3:3" x14ac:dyDescent="0.3">
      <c r="C391" s="18" t="str">
        <f ca="1"/>
        <v xml:space="preserve">    _ttlC, IF(_stk,</v>
      </c>
    </row>
    <row r="392" spans="3:3" x14ac:dyDescent="0.3">
      <c r="C392" s="18" t="str">
        <f ca="1"/>
        <v xml:space="preserve">      DROP(</v>
      </c>
    </row>
    <row r="393" spans="3:3" x14ac:dyDescent="0.3">
      <c r="C393" s="18" t="str">
        <f ca="1"/>
        <v xml:space="preserve">        REDUCE("", SEQUENCE(1, MAX(_cc1, _cc2)), LAMBDA(_acc,_val, HSTACK(_acc, IF(_val &lt;= _cc1, INDEX(_ttl1, , _val), INDEX(_ttl2, , _val))))),</v>
      </c>
    </row>
    <row r="394" spans="3:3" x14ac:dyDescent="0.3">
      <c r="C394" s="18" t="str">
        <f ca="1"/>
        <v xml:space="preserve">      , 1),</v>
      </c>
    </row>
    <row r="395" spans="3:3" x14ac:dyDescent="0.3">
      <c r="C395" s="18" t="str">
        <f ca="1"/>
        <v xml:space="preserve">      REDUCE(_ttl1, _ttl2, LAMBDA(_acc,_val, IF( ISNA( MATCH(_val, _ttl1, 0)), HSTACK(_acc, _val), _acc)))</v>
      </c>
    </row>
    <row r="396" spans="3:3" x14ac:dyDescent="0.3">
      <c r="C396" s="18" t="str">
        <f ca="1"/>
        <v xml:space="preserve">    ),</v>
      </c>
    </row>
    <row r="397" spans="3:3" x14ac:dyDescent="0.3">
      <c r="C397" s="18" t="str">
        <f ca="1"/>
        <v xml:space="preserve">    _idx, DROP(</v>
      </c>
    </row>
    <row r="398" spans="3:3" x14ac:dyDescent="0.3">
      <c r="C398" s="18" t="str">
        <f ca="1"/>
        <v xml:space="preserve">      REDUCE(0, _ttlC, LAMBDA(_acc,_val, HSTACK(_acc, IFNA(MATCH(_val, _ttl2, 0), 0)))),</v>
      </c>
    </row>
    <row r="399" spans="3:3" x14ac:dyDescent="0.3">
      <c r="C399" s="18" t="str">
        <f ca="1"/>
        <v xml:space="preserve">    , 1),</v>
      </c>
    </row>
    <row r="400" spans="3:3" x14ac:dyDescent="0.3">
      <c r="C400" s="18" t="str">
        <f ca="1"/>
        <v xml:space="preserve">    _arr, IF(_stk,</v>
      </c>
    </row>
    <row r="401" spans="3:3" x14ac:dyDescent="0.3">
      <c r="C401" s="18" t="str">
        <f ca="1"/>
        <v xml:space="preserve">      _inp2,</v>
      </c>
    </row>
    <row r="402" spans="3:3" x14ac:dyDescent="0.3">
      <c r="C402" s="18" t="str">
        <f ca="1"/>
        <v xml:space="preserve">      DROP(</v>
      </c>
    </row>
    <row r="403" spans="3:3" x14ac:dyDescent="0.3">
      <c r="C403" s="18" t="str">
        <f ca="1"/>
        <v xml:space="preserve">        REDUCE(0, _idx, LAMBDA(_acc,_val, HSTACK(_acc, IF(_val &gt; 0, CHOOSECOLS(_inp2, _val), "¦")))),</v>
      </c>
    </row>
    <row r="404" spans="3:3" x14ac:dyDescent="0.3">
      <c r="C404" s="18" t="str">
        <f ca="1"/>
        <v xml:space="preserve">      , 1)</v>
      </c>
    </row>
    <row r="405" spans="3:3" x14ac:dyDescent="0.3">
      <c r="C405" s="18" t="str">
        <f ca="1"/>
        <v xml:space="preserve">    ),</v>
      </c>
    </row>
    <row r="406" spans="3:3" x14ac:dyDescent="0.3">
      <c r="C406" s="18" t="str">
        <f ca="1"/>
        <v xml:space="preserve">    _new, IF(_arr = "¦", NA(), _arr),</v>
      </c>
    </row>
    <row r="407" spans="3:3" x14ac:dyDescent="0.3">
      <c r="C407" s="18" t="str">
        <f ca="1"/>
        <v xml:space="preserve">    _calc, VSTACK(_inp1, _new),</v>
      </c>
    </row>
    <row r="408" spans="3:3" x14ac:dyDescent="0.3">
      <c r="C408" s="18" t="str">
        <f ca="1"/>
        <v xml:space="preserve">    _out, IF(_inc &lt; 0, VSTACK( TAKE(_hdr, 1, MIN(_ccH, COLUMNS(_calc))), _calc),</v>
      </c>
    </row>
    <row r="409" spans="3:3" x14ac:dyDescent="0.3">
      <c r="C409" s="18" t="str">
        <f ca="1"/>
        <v xml:space="preserve">      IF(_inc &gt; 0, VSTACK(_ttlC, _calc), _calc)</v>
      </c>
    </row>
    <row r="410" spans="3:3" x14ac:dyDescent="0.3">
      <c r="C410" s="18" t="str">
        <f ca="1"/>
        <v xml:space="preserve">    ),</v>
      </c>
    </row>
    <row r="411" spans="3:3" x14ac:dyDescent="0.3">
      <c r="C411" s="18" t="str">
        <f ca="1"/>
        <v xml:space="preserve">    _rtn, IF(_rep,</v>
      </c>
    </row>
    <row r="412" spans="3:3" x14ac:dyDescent="0.3">
      <c r="C412" s="18" t="str">
        <f ca="1"/>
        <v xml:space="preserve">      IF(ISNA(_out), _str, _out),</v>
      </c>
    </row>
    <row r="413" spans="3:3" x14ac:dyDescent="0.3">
      <c r="C413" s="18" t="str">
        <f ca="1"/>
        <v xml:space="preserve">      _out</v>
      </c>
    </row>
    <row r="414" spans="3:3" x14ac:dyDescent="0.3">
      <c r="C414" s="18" t="str">
        <f ca="1"/>
        <v xml:space="preserve">    ),</v>
      </c>
    </row>
    <row r="415" spans="3:3" x14ac:dyDescent="0.3">
      <c r="C415" s="18" t="str">
        <f ca="1"/>
        <v xml:space="preserve">    _rtn</v>
      </c>
    </row>
    <row r="416" spans="3:3" x14ac:dyDescent="0.3">
      <c r="C416" s="18" t="str">
        <f ca="1"/>
        <v xml:space="preserve">  )</v>
      </c>
    </row>
    <row r="417" spans="2:20" x14ac:dyDescent="0.3">
      <c r="C417" s="18" t="str">
        <f ca="1"/>
        <v>)($C$12:$D$16, $I$12:$K$16, $C$11:$D$11, $I$11:$K$11, J358:.N358, J359, J360)</v>
      </c>
    </row>
    <row r="420" spans="2:20" x14ac:dyDescent="0.3">
      <c r="B420" s="17" t="s">
        <v>77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2" spans="2:20" x14ac:dyDescent="0.3">
      <c r="B422" s="31" t="s">
        <v>83</v>
      </c>
      <c r="C422" s="3" t="s">
        <v>70</v>
      </c>
    </row>
    <row r="423" spans="2:20" x14ac:dyDescent="0.3">
      <c r="D423" s="35" t="s">
        <v>131</v>
      </c>
      <c r="G423" s="35" t="s">
        <v>132</v>
      </c>
    </row>
    <row r="424" spans="2:20" x14ac:dyDescent="0.3">
      <c r="C424" s="23" t="s">
        <v>73</v>
      </c>
      <c r="D424" s="10"/>
      <c r="E424" s="10"/>
      <c r="G424" s="14" cm="1">
        <f t="array" ref="G424:H428" xml:space="preserve"> _xlfn.LAMBDA(_xlop.first_titles,_xlop.second_titles,_xlop.output_titles,_xlop.simple_stack,_xlop.replace_na,
  _xlfn.LET(
    _xlpm._inp1, $C$12:$D$16,
    _xlpm._inp2, $F$12:$G$16,
    _xlpm._cc1, COLUMNS(_xlpm._inp1),
    _xlpm._cc2, COLUMNS(_xlpm._inp2),
    _xlpm._ttl1, IF( ISBLANK(_xlpm.first_titles),
      _xlfn.SEQUENCE(1, _xlpm._cc1, 1),
      _xlfn.TAKE(_xlpm.first_titles, 1)),
    _xlpm._ttl2, IF( ISBLANK(_xlpm.second_titles),
      _xlfn.SEQUENCE(1, _xlpm._cc2, _xlpm._cc1 + 1),
      _xlfn.TAKE(_xlpm.second_titles, 1)),
    _xlpm._hdr, IF( ISBLANK(_xlpm.output_titles), 0, _xlpm.output_titles),
    _xlpm._inc, IF( AND( COLUMNS(_xlpm._hdr) = 1, OR(ISLOGICAL(_xlpm._hdr), ISNUMBER(_xlpm._hdr))),
      IF(_xlpm._hdr, 1, 0),
      -1),
    _xlpm._stk, IF( ISBLANK(_xlpm.simple_stack), FALSE, _xlpm.simple_stack),
    _xlpm._rep, IF( ISBLANK(_xlpm.replace_na), FALSE,
      IF( AND( ISLOGICAL(_xlpm.replace_na), _xlpm.replace_na = FALSE), FALSE, TRUE)),
    _xlpm._str, IF( AND( ISLOGICAL(_xlpm.replace_na), _xlpm.replace_na), "", _xlpm.replace_na),
    _xlpm._out, _xlfn.VSTACK(_xlpm._ttl1, _xlpm._ttl2, _xlpm._inc, _xlpm._stk, _xlfn.HSTACK(_xlpm._rep,_xlpm._str)),
    _xlpm._rtn, IF(ISNA(_xlpm._out), "", _xlpm._out),
    _xlpm._rtn
  )
)(D424:E424, D425:E425, D426, D427, D428)</f>
        <v>1</v>
      </c>
      <c r="H424" s="11">
        <v>2</v>
      </c>
    </row>
    <row r="425" spans="2:20" x14ac:dyDescent="0.3">
      <c r="C425" s="23" t="s">
        <v>72</v>
      </c>
      <c r="D425" s="10"/>
      <c r="E425" s="10"/>
      <c r="G425" s="11">
        <v>3</v>
      </c>
      <c r="H425" s="11">
        <v>4</v>
      </c>
    </row>
    <row r="426" spans="2:20" x14ac:dyDescent="0.3">
      <c r="C426" s="23" t="s">
        <v>74</v>
      </c>
      <c r="D426" s="10"/>
      <c r="G426" s="11">
        <v>0</v>
      </c>
      <c r="H426" s="36" t="str">
        <v/>
      </c>
    </row>
    <row r="427" spans="2:20" x14ac:dyDescent="0.3">
      <c r="C427" s="23" t="s">
        <v>75</v>
      </c>
      <c r="D427" s="10"/>
      <c r="G427" s="11" t="b">
        <v>0</v>
      </c>
      <c r="H427" s="36" t="str">
        <v/>
      </c>
    </row>
    <row r="428" spans="2:20" x14ac:dyDescent="0.3">
      <c r="C428" s="23" t="s">
        <v>76</v>
      </c>
      <c r="D428" s="10"/>
      <c r="G428" s="11" t="b">
        <v>0</v>
      </c>
      <c r="H428" s="11">
        <v>0</v>
      </c>
    </row>
    <row r="429" spans="2:20" x14ac:dyDescent="0.3">
      <c r="G429" s="18" t="str" cm="1">
        <f t="array" aca="1" ref="G429:G453" ca="1" xml:space="preserve"> _xlfn.TEXTSPLIT( _xlfn.FORMULATEXT(G424), , CHAR(10))</f>
        <v>= LAMBDA([first_titles],[second_titles],[output_titles],[simple_stack],[replace_na],</v>
      </c>
    </row>
    <row r="430" spans="2:20" x14ac:dyDescent="0.3">
      <c r="G430" s="18" t="str">
        <f ca="1"/>
        <v xml:space="preserve">  LET(</v>
      </c>
    </row>
    <row r="431" spans="2:20" x14ac:dyDescent="0.3">
      <c r="G431" s="18" t="str">
        <f ca="1"/>
        <v xml:space="preserve">    _inp1, $C$12:$D$16,</v>
      </c>
    </row>
    <row r="432" spans="2:20" x14ac:dyDescent="0.3">
      <c r="C432" t="s">
        <v>115</v>
      </c>
      <c r="G432" s="18" t="str">
        <f ca="1"/>
        <v xml:space="preserve">    _inp2, $F$12:$G$16,</v>
      </c>
    </row>
    <row r="433" spans="7:7" x14ac:dyDescent="0.3">
      <c r="G433" s="18" t="str">
        <f ca="1"/>
        <v xml:space="preserve">    _cc1, COLUMNS(_inp1),</v>
      </c>
    </row>
    <row r="434" spans="7:7" x14ac:dyDescent="0.3">
      <c r="G434" s="18" t="str">
        <f ca="1"/>
        <v xml:space="preserve">    _cc2, COLUMNS(_inp2),</v>
      </c>
    </row>
    <row r="435" spans="7:7" x14ac:dyDescent="0.3">
      <c r="G435" s="18" t="str">
        <f ca="1"/>
        <v xml:space="preserve">    _ttl1, IF( ISBLANK(first_titles),</v>
      </c>
    </row>
    <row r="436" spans="7:7" x14ac:dyDescent="0.3">
      <c r="G436" s="18" t="str">
        <f ca="1"/>
        <v xml:space="preserve">      SEQUENCE(1, _cc1, 1),</v>
      </c>
    </row>
    <row r="437" spans="7:7" x14ac:dyDescent="0.3">
      <c r="G437" s="18" t="str">
        <f ca="1"/>
        <v xml:space="preserve">      TAKE(first_titles, 1)),</v>
      </c>
    </row>
    <row r="438" spans="7:7" x14ac:dyDescent="0.3">
      <c r="G438" s="18" t="str">
        <f ca="1"/>
        <v xml:space="preserve">    _ttl2, IF( ISBLANK(second_titles),</v>
      </c>
    </row>
    <row r="439" spans="7:7" x14ac:dyDescent="0.3">
      <c r="G439" s="18" t="str">
        <f ca="1"/>
        <v xml:space="preserve">      SEQUENCE(1, _cc2, _cc1 + 1),</v>
      </c>
    </row>
    <row r="440" spans="7:7" x14ac:dyDescent="0.3">
      <c r="G440" s="18" t="str">
        <f ca="1"/>
        <v xml:space="preserve">      TAKE(second_titles, 1)),</v>
      </c>
    </row>
    <row r="441" spans="7:7" x14ac:dyDescent="0.3">
      <c r="G441" s="18" t="str">
        <f ca="1"/>
        <v xml:space="preserve">    _hdr, IF( ISBLANK(output_titles), 0, output_titles),</v>
      </c>
    </row>
    <row r="442" spans="7:7" x14ac:dyDescent="0.3">
      <c r="G442" s="18" t="str">
        <f ca="1"/>
        <v xml:space="preserve">    _inc, IF( AND( COLUMNS(_hdr) = 1, OR(ISLOGICAL(_hdr), ISNUMBER(_hdr))),</v>
      </c>
    </row>
    <row r="443" spans="7:7" x14ac:dyDescent="0.3">
      <c r="G443" s="18" t="str">
        <f ca="1"/>
        <v xml:space="preserve">      IF(_hdr, 1, 0),</v>
      </c>
    </row>
    <row r="444" spans="7:7" x14ac:dyDescent="0.3">
      <c r="G444" s="18" t="str">
        <f ca="1"/>
        <v xml:space="preserve">      -1),</v>
      </c>
    </row>
    <row r="445" spans="7:7" x14ac:dyDescent="0.3">
      <c r="G445" s="18" t="str">
        <f ca="1"/>
        <v xml:space="preserve">    _stk, IF( ISBLANK(simple_stack), FALSE, simple_stack),</v>
      </c>
    </row>
    <row r="446" spans="7:7" x14ac:dyDescent="0.3">
      <c r="G446" s="18" t="str">
        <f ca="1"/>
        <v xml:space="preserve">    _rep, IF( ISBLANK(replace_na), FALSE,</v>
      </c>
    </row>
    <row r="447" spans="7:7" x14ac:dyDescent="0.3">
      <c r="G447" s="18" t="str">
        <f ca="1"/>
        <v xml:space="preserve">      IF( AND( ISLOGICAL(replace_na), replace_na = FALSE), FALSE, TRUE)),</v>
      </c>
    </row>
    <row r="448" spans="7:7" x14ac:dyDescent="0.3">
      <c r="G448" s="18" t="str">
        <f ca="1"/>
        <v xml:space="preserve">    _str, IF( AND( ISLOGICAL(replace_na), replace_na), "", replace_na),</v>
      </c>
    </row>
    <row r="449" spans="2:8" x14ac:dyDescent="0.3">
      <c r="G449" s="18" t="str">
        <f ca="1"/>
        <v xml:space="preserve">    _out, VSTACK(_ttl1, _ttl2, _inc, _stk, HSTACK(_rep,_str)),</v>
      </c>
    </row>
    <row r="450" spans="2:8" x14ac:dyDescent="0.3">
      <c r="G450" s="18" t="str">
        <f ca="1"/>
        <v xml:space="preserve">    _rtn, IF(ISNA(_out), "", _out),</v>
      </c>
    </row>
    <row r="451" spans="2:8" x14ac:dyDescent="0.3">
      <c r="G451" s="18" t="str">
        <f ca="1"/>
        <v xml:space="preserve">    _rtn</v>
      </c>
    </row>
    <row r="452" spans="2:8" x14ac:dyDescent="0.3">
      <c r="G452" s="18" t="str">
        <f ca="1"/>
        <v xml:space="preserve">  )</v>
      </c>
    </row>
    <row r="453" spans="2:8" x14ac:dyDescent="0.3">
      <c r="G453" s="18" t="str">
        <f ca="1"/>
        <v>)(D424:E424, D425:E425, D426, D427, D428)</v>
      </c>
    </row>
    <row r="456" spans="2:8" x14ac:dyDescent="0.3">
      <c r="B456" s="31" t="s">
        <v>129</v>
      </c>
      <c r="C456" s="3" t="s">
        <v>128</v>
      </c>
    </row>
    <row r="457" spans="2:8" x14ac:dyDescent="0.3">
      <c r="D457" s="35" t="s">
        <v>131</v>
      </c>
      <c r="H457" s="35" t="s">
        <v>71</v>
      </c>
    </row>
    <row r="458" spans="2:8" x14ac:dyDescent="0.3">
      <c r="C458" s="23" t="s">
        <v>133</v>
      </c>
      <c r="D458" s="10">
        <v>1</v>
      </c>
      <c r="E458" s="10">
        <v>2</v>
      </c>
      <c r="F458" s="10"/>
      <c r="H458" s="14" t="str" cm="1">
        <f t="array" ref="H458" xml:space="preserve"> _xlfn.LAMBDA(_xlpm.first_array,_xlpm.second_array,_xlop.first_titles,_xlop.second_titles,_xlop.output_titles,_xlop.simple_stack,_xlop.replace_na,
  _xlfn.LET(
    _xlpm._inp1, _xlpm.first_array,
    _xlpm._inp2, _xlpm.second_array,
    _xlpm._cc1, COLUMNS(_xlpm._inp1),
    _xlpm._cc2, COLUMNS(_xlpm._inp2),
    _xlpm._ttl1, IF( _xlfn.ISOMITTED(_xlpm.first_titles),
      _xlfn.SEQUENCE(1, _xlpm._cc1, 1),
      _xlfn.TAKE(_xlpm.first_titles, 1)),
    _xlpm._ttl2, IF( _xlfn.ISOMITTED(_xlpm.second_titles),
      _xlfn.SEQUENCE(1, _xlpm._cc2, _xlpm._cc1 + 1),
      _xlfn.TAKE(_xlpm.second_titles, 1)),
    _xlpm._hdr, IF( _xlfn.ISOMITTED(_xlpm.output_titles), 0, _xlpm.output_titles),
    _xlpm._ccH, COLUMNS(_xlpm._hdr),
    _xlpm._inc, IF( AND(_xlpm._ccH = 1, OR(ISLOGICAL(_xlpm._hdr), ISNUMBER(_xlpm._hdr))),
      IF(_xlpm._hdr, 1, 0),
      -1),
    _xlpm._stk, IF( _xlfn.ISOMITTED(_xlpm.simple_stack), FALSE, _xlpm.simple_stack),
    _xlpm._rep, IF( _xlfn.ISOMITTED(_xlpm.replace_na),
      FALSE,
      IF( AND( ISLOGICAL(_xlpm.replace_na), _xlpm.replace_na = FALSE), FALSE, TRUE)),
    _xlpm._str, IF( _xlfn.ISOMITTED(_xlpm.replace_na), 0,
      IF( AND( ISLOGICAL(_xlpm.replace_na), _xlpm.replace_na), "", _xlpm.replace_na)),
    _xlpm._inpChk, _xlfn.IFS(
      OR(
        COLUMNS(_xlpm._ttl1) &lt;&gt; _xlpm._cc1,
        COLUMNS(_xlpm._ttl2) &lt;&gt; _xlpm._cc2
      ), 2,
      OR(
        ROWS(_xlpm._hdr) &lt;&gt; 1,
        ROWS(_xlpm._str) &lt;&gt; 1, COLUMNS(_xlpm._str) &lt;&gt; 1, ISERROR(_xlpm._str),
        ROWS(_xlpm._stk) &lt;&gt; 1, COLUMNS(_xlpm._stk) &lt;&gt; 1,
        AND(NOT(ISLOGICAL(_xlpm._stk)), NOT(ISNUMBER(_xlpm._stk)))
      ), 3,
      TRUE, 1
    ),
    _xlpm._rtn, "OK",
    CHOOSE(_xlpm._inpChk, _xlpm._rtn, _xlfn.LAMBDA(0), #VALUE!)
  )
)(D458:E458, D459:E459, D460:E460, D461:E461, D462:F462, D463, D464)</f>
        <v>OK</v>
      </c>
    </row>
    <row r="459" spans="2:8" x14ac:dyDescent="0.3">
      <c r="C459" s="23" t="s">
        <v>134</v>
      </c>
      <c r="D459" s="10">
        <v>3</v>
      </c>
      <c r="E459" s="10">
        <v>4</v>
      </c>
      <c r="F459" s="10"/>
      <c r="H459" s="18" t="str" cm="1">
        <f t="array" aca="1" ref="H459:H498" ca="1" xml:space="preserve"> _xlfn.TEXTSPLIT( _xlfn.FORMULATEXT(H458), , CHAR(10))</f>
        <v>= LAMBDA(first_array,second_array,[first_titles],[second_titles],[output_titles],[simple_stack],[replace_na],</v>
      </c>
    </row>
    <row r="460" spans="2:8" x14ac:dyDescent="0.3">
      <c r="C460" s="23" t="s">
        <v>73</v>
      </c>
      <c r="D460" s="10">
        <v>1</v>
      </c>
      <c r="E460" s="10">
        <v>2</v>
      </c>
      <c r="F460" s="10"/>
      <c r="H460" s="18" t="str">
        <f ca="1"/>
        <v xml:space="preserve">  LET(</v>
      </c>
    </row>
    <row r="461" spans="2:8" x14ac:dyDescent="0.3">
      <c r="C461" s="23" t="s">
        <v>72</v>
      </c>
      <c r="D461" s="10">
        <v>3</v>
      </c>
      <c r="E461" s="10">
        <v>4</v>
      </c>
      <c r="F461" s="10"/>
      <c r="H461" s="18" t="str">
        <f ca="1"/>
        <v xml:space="preserve">    _inp1, first_array,</v>
      </c>
    </row>
    <row r="462" spans="2:8" x14ac:dyDescent="0.3">
      <c r="C462" s="23" t="s">
        <v>74</v>
      </c>
      <c r="D462" s="10" t="s">
        <v>135</v>
      </c>
      <c r="E462" s="10" t="s">
        <v>136</v>
      </c>
      <c r="F462" s="10" t="s">
        <v>137</v>
      </c>
      <c r="H462" s="18" t="str">
        <f ca="1"/>
        <v xml:space="preserve">    _inp2, second_array,</v>
      </c>
    </row>
    <row r="463" spans="2:8" x14ac:dyDescent="0.3">
      <c r="C463" s="23" t="s">
        <v>75</v>
      </c>
      <c r="D463" s="10" t="b">
        <v>1</v>
      </c>
      <c r="H463" s="18" t="str">
        <f ca="1"/>
        <v xml:space="preserve">    _cc1, COLUMNS(_inp1),</v>
      </c>
    </row>
    <row r="464" spans="2:8" x14ac:dyDescent="0.3">
      <c r="C464" s="23" t="s">
        <v>76</v>
      </c>
      <c r="D464" s="10"/>
      <c r="H464" s="18" t="str">
        <f ca="1"/>
        <v xml:space="preserve">    _cc2, COLUMNS(_inp2),</v>
      </c>
    </row>
    <row r="465" spans="3:8" x14ac:dyDescent="0.3">
      <c r="C465" s="23"/>
      <c r="H465" s="18" t="str">
        <f ca="1"/>
        <v xml:space="preserve">    _ttl1, IF( ISOMITTED(first_titles),</v>
      </c>
    </row>
    <row r="466" spans="3:8" x14ac:dyDescent="0.3">
      <c r="C466" s="23"/>
      <c r="H466" s="18" t="str">
        <f ca="1"/>
        <v xml:space="preserve">      SEQUENCE(1, _cc1, 1),</v>
      </c>
    </row>
    <row r="467" spans="3:8" x14ac:dyDescent="0.3">
      <c r="C467" s="23"/>
      <c r="H467" s="18" t="str">
        <f ca="1"/>
        <v xml:space="preserve">      TAKE(first_titles, 1)),</v>
      </c>
    </row>
    <row r="468" spans="3:8" x14ac:dyDescent="0.3">
      <c r="C468" s="23"/>
      <c r="H468" s="18" t="str">
        <f ca="1"/>
        <v xml:space="preserve">    _ttl2, IF( ISOMITTED(second_titles),</v>
      </c>
    </row>
    <row r="469" spans="3:8" x14ac:dyDescent="0.3">
      <c r="C469" s="23"/>
      <c r="H469" s="18" t="str">
        <f ca="1"/>
        <v xml:space="preserve">      SEQUENCE(1, _cc2, _cc1 + 1),</v>
      </c>
    </row>
    <row r="470" spans="3:8" x14ac:dyDescent="0.3">
      <c r="C470" s="23"/>
      <c r="H470" s="18" t="str">
        <f ca="1"/>
        <v xml:space="preserve">      TAKE(second_titles, 1)),</v>
      </c>
    </row>
    <row r="471" spans="3:8" x14ac:dyDescent="0.3">
      <c r="C471" s="23"/>
      <c r="H471" s="18" t="str">
        <f ca="1"/>
        <v xml:space="preserve">    _hdr, IF( ISOMITTED(output_titles), 0, output_titles),</v>
      </c>
    </row>
    <row r="472" spans="3:8" x14ac:dyDescent="0.3">
      <c r="C472" s="23"/>
      <c r="H472" s="18" t="str">
        <f ca="1"/>
        <v xml:space="preserve">    _ccH, COLUMNS(_hdr),</v>
      </c>
    </row>
    <row r="473" spans="3:8" x14ac:dyDescent="0.3">
      <c r="C473" s="23"/>
      <c r="H473" s="18" t="str">
        <f ca="1"/>
        <v xml:space="preserve">    _inc, IF( AND(_ccH = 1, OR(ISLOGICAL(_hdr), ISNUMBER(_hdr))),</v>
      </c>
    </row>
    <row r="474" spans="3:8" x14ac:dyDescent="0.3">
      <c r="C474" s="23"/>
      <c r="H474" s="18" t="str">
        <f ca="1"/>
        <v xml:space="preserve">      IF(_hdr, 1, 0),</v>
      </c>
    </row>
    <row r="475" spans="3:8" x14ac:dyDescent="0.3">
      <c r="C475" s="23"/>
      <c r="H475" s="18" t="str">
        <f ca="1"/>
        <v xml:space="preserve">      -1),</v>
      </c>
    </row>
    <row r="476" spans="3:8" x14ac:dyDescent="0.3">
      <c r="C476" s="23"/>
      <c r="H476" s="18" t="str">
        <f ca="1"/>
        <v xml:space="preserve">    _stk, IF( ISOMITTED(simple_stack), FALSE, simple_stack),</v>
      </c>
    </row>
    <row r="477" spans="3:8" x14ac:dyDescent="0.3">
      <c r="C477" s="23"/>
      <c r="H477" s="18" t="str">
        <f ca="1"/>
        <v xml:space="preserve">    _rep, IF( ISOMITTED(replace_na),</v>
      </c>
    </row>
    <row r="478" spans="3:8" x14ac:dyDescent="0.3">
      <c r="C478" s="23"/>
      <c r="H478" s="18" t="str">
        <f ca="1"/>
        <v xml:space="preserve">      FALSE,</v>
      </c>
    </row>
    <row r="479" spans="3:8" x14ac:dyDescent="0.3">
      <c r="C479" s="23"/>
      <c r="H479" s="18" t="str">
        <f ca="1"/>
        <v xml:space="preserve">      IF( AND( ISLOGICAL(replace_na), replace_na = FALSE), FALSE, TRUE)),</v>
      </c>
    </row>
    <row r="480" spans="3:8" x14ac:dyDescent="0.3">
      <c r="C480" s="23"/>
      <c r="H480" s="18" t="str">
        <f ca="1"/>
        <v xml:space="preserve">    _str, IF( ISOMITTED(replace_na), 0,</v>
      </c>
    </row>
    <row r="481" spans="3:8" x14ac:dyDescent="0.3">
      <c r="C481" s="23"/>
      <c r="H481" s="18" t="str">
        <f ca="1"/>
        <v xml:space="preserve">      IF( AND( ISLOGICAL(replace_na), replace_na), "", replace_na)),</v>
      </c>
    </row>
    <row r="482" spans="3:8" x14ac:dyDescent="0.3">
      <c r="C482" s="23"/>
      <c r="H482" s="18" t="str">
        <f ca="1"/>
        <v xml:space="preserve">    _inpChk, IFS(</v>
      </c>
    </row>
    <row r="483" spans="3:8" x14ac:dyDescent="0.3">
      <c r="C483" s="23"/>
      <c r="H483" s="18" t="str">
        <f ca="1"/>
        <v xml:space="preserve">      OR(</v>
      </c>
    </row>
    <row r="484" spans="3:8" x14ac:dyDescent="0.3">
      <c r="C484" s="23"/>
      <c r="H484" s="18" t="str">
        <f ca="1"/>
        <v xml:space="preserve">        COLUMNS(_ttl1) &lt;&gt; _cc1,</v>
      </c>
    </row>
    <row r="485" spans="3:8" x14ac:dyDescent="0.3">
      <c r="C485" s="23"/>
      <c r="H485" s="18" t="str">
        <f ca="1"/>
        <v xml:space="preserve">        COLUMNS(_ttl2) &lt;&gt; _cc2</v>
      </c>
    </row>
    <row r="486" spans="3:8" x14ac:dyDescent="0.3">
      <c r="C486" s="23"/>
      <c r="H486" s="18" t="str">
        <f ca="1"/>
        <v xml:space="preserve">      ), 2,</v>
      </c>
    </row>
    <row r="487" spans="3:8" x14ac:dyDescent="0.3">
      <c r="C487" s="23"/>
      <c r="H487" s="18" t="str">
        <f ca="1"/>
        <v xml:space="preserve">      OR(</v>
      </c>
    </row>
    <row r="488" spans="3:8" x14ac:dyDescent="0.3">
      <c r="C488" s="23"/>
      <c r="H488" s="18" t="str">
        <f ca="1"/>
        <v xml:space="preserve">        ROWS(_hdr) &lt;&gt; 1,</v>
      </c>
    </row>
    <row r="489" spans="3:8" x14ac:dyDescent="0.3">
      <c r="C489" s="23"/>
      <c r="H489" s="18" t="str">
        <f ca="1"/>
        <v xml:space="preserve">        ROWS(_str) &lt;&gt; 1, COLUMNS(_str) &lt;&gt; 1, ISERROR(_str),</v>
      </c>
    </row>
    <row r="490" spans="3:8" x14ac:dyDescent="0.3">
      <c r="C490" s="23"/>
      <c r="H490" s="18" t="str">
        <f ca="1"/>
        <v xml:space="preserve">        ROWS(_stk) &lt;&gt; 1, COLUMNS(_stk) &lt;&gt; 1,</v>
      </c>
    </row>
    <row r="491" spans="3:8" x14ac:dyDescent="0.3">
      <c r="C491" s="23"/>
      <c r="H491" s="18" t="str">
        <f ca="1"/>
        <v xml:space="preserve">        AND(NOT(ISLOGICAL(_stk)), NOT(ISNUMBER(_stk)))</v>
      </c>
    </row>
    <row r="492" spans="3:8" x14ac:dyDescent="0.3">
      <c r="C492" s="23"/>
      <c r="H492" s="18" t="str">
        <f ca="1"/>
        <v xml:space="preserve">      ), 3,</v>
      </c>
    </row>
    <row r="493" spans="3:8" x14ac:dyDescent="0.3">
      <c r="C493" s="23"/>
      <c r="H493" s="18" t="str">
        <f ca="1"/>
        <v xml:space="preserve">      TRUE, 1</v>
      </c>
    </row>
    <row r="494" spans="3:8" x14ac:dyDescent="0.3">
      <c r="C494" s="23"/>
      <c r="H494" s="18" t="str">
        <f ca="1"/>
        <v xml:space="preserve">    ),</v>
      </c>
    </row>
    <row r="495" spans="3:8" x14ac:dyDescent="0.3">
      <c r="C495" s="23"/>
      <c r="H495" s="18" t="str">
        <f ca="1"/>
        <v xml:space="preserve">    _rtn, "OK",</v>
      </c>
    </row>
    <row r="496" spans="3:8" x14ac:dyDescent="0.3">
      <c r="C496" s="23"/>
      <c r="H496" s="18" t="str">
        <f ca="1"/>
        <v xml:space="preserve">    CHOOSE(_inpChk, _rtn, LAMBDA(0), #VALUE!)</v>
      </c>
    </row>
    <row r="497" spans="2:8" x14ac:dyDescent="0.3">
      <c r="C497" s="23"/>
      <c r="H497" s="18" t="str">
        <f ca="1"/>
        <v xml:space="preserve">  )</v>
      </c>
    </row>
    <row r="498" spans="2:8" x14ac:dyDescent="0.3">
      <c r="C498" s="23"/>
      <c r="H498" s="18" t="str">
        <f ca="1"/>
        <v>)(D458:E458, D459:E459, D460:E460, D461:E461, D462:F462, D463, D464)</v>
      </c>
    </row>
    <row r="499" spans="2:8" x14ac:dyDescent="0.3">
      <c r="C499" s="23"/>
    </row>
    <row r="501" spans="2:8" s="13" customFormat="1" ht="16.2" thickBot="1" x14ac:dyDescent="0.35">
      <c r="B501" s="15">
        <f xml:space="preserve"> MAX(B$1:B500) + 1</f>
        <v>2</v>
      </c>
      <c r="C501" s="13" t="s">
        <v>54</v>
      </c>
    </row>
    <row r="503" spans="2:8" x14ac:dyDescent="0.3">
      <c r="B503" s="3" t="s">
        <v>90</v>
      </c>
    </row>
    <row r="504" spans="2:8" x14ac:dyDescent="0.3">
      <c r="C504" t="s">
        <v>111</v>
      </c>
    </row>
    <row r="505" spans="2:8" x14ac:dyDescent="0.3">
      <c r="C505" t="s">
        <v>112</v>
      </c>
    </row>
    <row r="506" spans="2:8" x14ac:dyDescent="0.3">
      <c r="C506" t="s">
        <v>113</v>
      </c>
    </row>
    <row r="507" spans="2:8" x14ac:dyDescent="0.3">
      <c r="C507" t="s">
        <v>220</v>
      </c>
    </row>
    <row r="509" spans="2:8" x14ac:dyDescent="0.3">
      <c r="B509" s="3" t="s">
        <v>91</v>
      </c>
    </row>
    <row r="510" spans="2:8" x14ac:dyDescent="0.3">
      <c r="C510" s="39" t="s">
        <v>95</v>
      </c>
      <c r="E510" s="41" t="s">
        <v>101</v>
      </c>
      <c r="F510" t="s">
        <v>116</v>
      </c>
    </row>
    <row r="511" spans="2:8" x14ac:dyDescent="0.3">
      <c r="C511" s="39" t="s">
        <v>94</v>
      </c>
      <c r="E511" s="41" t="s">
        <v>101</v>
      </c>
      <c r="F511" t="s">
        <v>103</v>
      </c>
    </row>
    <row r="512" spans="2:8" x14ac:dyDescent="0.3">
      <c r="C512" s="39" t="s">
        <v>100</v>
      </c>
      <c r="E512" s="40" t="s">
        <v>102</v>
      </c>
      <c r="F512" t="s">
        <v>231</v>
      </c>
    </row>
    <row r="513" spans="3:6" x14ac:dyDescent="0.3">
      <c r="F513" s="32" t="s">
        <v>117</v>
      </c>
    </row>
    <row r="514" spans="3:6" x14ac:dyDescent="0.3">
      <c r="F514" s="32" t="s">
        <v>119</v>
      </c>
    </row>
    <row r="515" spans="3:6" x14ac:dyDescent="0.3">
      <c r="C515" s="39" t="s">
        <v>99</v>
      </c>
      <c r="E515" s="40" t="s">
        <v>102</v>
      </c>
      <c r="F515" t="s">
        <v>232</v>
      </c>
    </row>
    <row r="516" spans="3:6" x14ac:dyDescent="0.3">
      <c r="C516" s="39"/>
      <c r="F516" s="32" t="s">
        <v>120</v>
      </c>
    </row>
    <row r="517" spans="3:6" x14ac:dyDescent="0.3">
      <c r="F517" s="32" t="s">
        <v>117</v>
      </c>
    </row>
    <row r="518" spans="3:6" x14ac:dyDescent="0.3">
      <c r="F518" s="32" t="s">
        <v>121</v>
      </c>
    </row>
    <row r="519" spans="3:6" x14ac:dyDescent="0.3">
      <c r="C519" s="39" t="s">
        <v>98</v>
      </c>
      <c r="E519" s="40" t="s">
        <v>102</v>
      </c>
      <c r="F519" t="s">
        <v>104</v>
      </c>
    </row>
    <row r="520" spans="3:6" x14ac:dyDescent="0.3">
      <c r="F520" s="32" t="s">
        <v>123</v>
      </c>
    </row>
    <row r="521" spans="3:6" x14ac:dyDescent="0.3">
      <c r="F521" s="32" t="s">
        <v>124</v>
      </c>
    </row>
    <row r="522" spans="3:6" x14ac:dyDescent="0.3">
      <c r="F522" s="32" t="s">
        <v>122</v>
      </c>
    </row>
    <row r="523" spans="3:6" x14ac:dyDescent="0.3">
      <c r="C523" s="39" t="s">
        <v>97</v>
      </c>
      <c r="E523" s="40" t="s">
        <v>102</v>
      </c>
      <c r="F523" t="s">
        <v>105</v>
      </c>
    </row>
    <row r="524" spans="3:6" x14ac:dyDescent="0.3">
      <c r="C524" s="39"/>
      <c r="F524" t="s">
        <v>108</v>
      </c>
    </row>
    <row r="525" spans="3:6" x14ac:dyDescent="0.3">
      <c r="C525" s="39"/>
      <c r="F525" t="s">
        <v>125</v>
      </c>
    </row>
    <row r="526" spans="3:6" x14ac:dyDescent="0.3">
      <c r="C526" s="39" t="s">
        <v>96</v>
      </c>
      <c r="E526" s="40" t="s">
        <v>102</v>
      </c>
      <c r="F526" t="s">
        <v>106</v>
      </c>
    </row>
    <row r="527" spans="3:6" x14ac:dyDescent="0.3">
      <c r="F527" s="32" t="s">
        <v>109</v>
      </c>
    </row>
    <row r="528" spans="3:6" x14ac:dyDescent="0.3">
      <c r="F528" s="32" t="s">
        <v>118</v>
      </c>
    </row>
    <row r="529" spans="2:6" x14ac:dyDescent="0.3">
      <c r="F529" s="32" t="s">
        <v>107</v>
      </c>
    </row>
    <row r="531" spans="2:6" x14ac:dyDescent="0.3">
      <c r="B531" s="3" t="s">
        <v>92</v>
      </c>
    </row>
    <row r="532" spans="2:6" x14ac:dyDescent="0.3">
      <c r="C532" s="42" t="e">
        <v>#VALUE!</v>
      </c>
      <c r="E532" t="s">
        <v>216</v>
      </c>
    </row>
    <row r="533" spans="2:6" x14ac:dyDescent="0.3">
      <c r="C533" s="42" t="e" vm="1">
        <v>#VALUE!</v>
      </c>
      <c r="E533" t="s">
        <v>217</v>
      </c>
    </row>
    <row r="534" spans="2:6" x14ac:dyDescent="0.3">
      <c r="C534" s="42" t="e">
        <v>#VALUE!</v>
      </c>
      <c r="E534" t="s">
        <v>219</v>
      </c>
    </row>
    <row r="535" spans="2:6" x14ac:dyDescent="0.3">
      <c r="C535" s="42" t="e">
        <v>#VALUE!</v>
      </c>
      <c r="E535" s="52" t="s">
        <v>218</v>
      </c>
    </row>
    <row r="537" spans="2:6" x14ac:dyDescent="0.3">
      <c r="B537" s="3" t="s">
        <v>110</v>
      </c>
    </row>
    <row r="538" spans="2:6" x14ac:dyDescent="0.3">
      <c r="C538" t="s">
        <v>221</v>
      </c>
    </row>
    <row r="539" spans="2:6" x14ac:dyDescent="0.3">
      <c r="C539" t="s">
        <v>222</v>
      </c>
    </row>
    <row r="540" spans="2:6" x14ac:dyDescent="0.3">
      <c r="C540" t="s">
        <v>220</v>
      </c>
    </row>
    <row r="541" spans="2:6" x14ac:dyDescent="0.3">
      <c r="C541" t="s">
        <v>223</v>
      </c>
    </row>
    <row r="543" spans="2:6" x14ac:dyDescent="0.3">
      <c r="B543" s="3" t="s">
        <v>93</v>
      </c>
    </row>
    <row r="544" spans="2:6" x14ac:dyDescent="0.3">
      <c r="C544" s="43" t="s">
        <v>178</v>
      </c>
    </row>
    <row r="545" spans="3:3" x14ac:dyDescent="0.3">
      <c r="C545" s="50" t="s">
        <v>194</v>
      </c>
    </row>
    <row r="546" spans="3:3" x14ac:dyDescent="0.3">
      <c r="C546" s="45" t="s">
        <v>185</v>
      </c>
    </row>
    <row r="547" spans="3:3" x14ac:dyDescent="0.3">
      <c r="C547" s="45" t="s">
        <v>184</v>
      </c>
    </row>
    <row r="548" spans="3:3" x14ac:dyDescent="0.3">
      <c r="C548" s="45" t="s">
        <v>183</v>
      </c>
    </row>
    <row r="549" spans="3:3" x14ac:dyDescent="0.3">
      <c r="C549" s="45" t="s">
        <v>182</v>
      </c>
    </row>
    <row r="550" spans="3:3" x14ac:dyDescent="0.3">
      <c r="C550" s="45" t="s">
        <v>181</v>
      </c>
    </row>
    <row r="551" spans="3:3" x14ac:dyDescent="0.3">
      <c r="C551" s="45" t="s">
        <v>180</v>
      </c>
    </row>
    <row r="552" spans="3:3" x14ac:dyDescent="0.3">
      <c r="C552" s="45" t="s">
        <v>179</v>
      </c>
    </row>
    <row r="553" spans="3:3" x14ac:dyDescent="0.3">
      <c r="C553" s="50" t="s">
        <v>195</v>
      </c>
    </row>
    <row r="554" spans="3:3" x14ac:dyDescent="0.3">
      <c r="C554" s="46" t="s">
        <v>138</v>
      </c>
    </row>
    <row r="555" spans="3:3" x14ac:dyDescent="0.3">
      <c r="C555" s="47" t="s">
        <v>139</v>
      </c>
    </row>
    <row r="556" spans="3:3" x14ac:dyDescent="0.3">
      <c r="C556" s="47" t="s">
        <v>140</v>
      </c>
    </row>
    <row r="557" spans="3:3" x14ac:dyDescent="0.3">
      <c r="C557" s="47" t="s">
        <v>141</v>
      </c>
    </row>
    <row r="558" spans="3:3" x14ac:dyDescent="0.3">
      <c r="C558" s="47" t="s">
        <v>142</v>
      </c>
    </row>
    <row r="559" spans="3:3" x14ac:dyDescent="0.3">
      <c r="C559" s="51" t="s">
        <v>196</v>
      </c>
    </row>
    <row r="560" spans="3:3" x14ac:dyDescent="0.3">
      <c r="C560" s="51" t="s">
        <v>205</v>
      </c>
    </row>
    <row r="561" spans="3:3" x14ac:dyDescent="0.3">
      <c r="C561" s="47" t="s">
        <v>143</v>
      </c>
    </row>
    <row r="562" spans="3:3" x14ac:dyDescent="0.3">
      <c r="C562" s="48" t="s">
        <v>144</v>
      </c>
    </row>
    <row r="563" spans="3:3" x14ac:dyDescent="0.3">
      <c r="C563" s="48" t="s">
        <v>145</v>
      </c>
    </row>
    <row r="564" spans="3:3" x14ac:dyDescent="0.3">
      <c r="C564" s="47" t="s">
        <v>146</v>
      </c>
    </row>
    <row r="565" spans="3:3" x14ac:dyDescent="0.3">
      <c r="C565" s="48" t="s">
        <v>147</v>
      </c>
    </row>
    <row r="566" spans="3:3" x14ac:dyDescent="0.3">
      <c r="C566" s="48" t="s">
        <v>148</v>
      </c>
    </row>
    <row r="567" spans="3:3" x14ac:dyDescent="0.3">
      <c r="C567" s="47" t="s">
        <v>149</v>
      </c>
    </row>
    <row r="568" spans="3:3" x14ac:dyDescent="0.3">
      <c r="C568" s="47" t="s">
        <v>150</v>
      </c>
    </row>
    <row r="569" spans="3:3" x14ac:dyDescent="0.3">
      <c r="C569" s="47" t="s">
        <v>151</v>
      </c>
    </row>
    <row r="570" spans="3:3" x14ac:dyDescent="0.3">
      <c r="C570" s="48" t="s">
        <v>152</v>
      </c>
    </row>
    <row r="571" spans="3:3" x14ac:dyDescent="0.3">
      <c r="C571" s="48" t="s">
        <v>153</v>
      </c>
    </row>
    <row r="572" spans="3:3" x14ac:dyDescent="0.3">
      <c r="C572" s="47" t="s">
        <v>154</v>
      </c>
    </row>
    <row r="573" spans="3:3" x14ac:dyDescent="0.3">
      <c r="C573" s="47" t="s">
        <v>155</v>
      </c>
    </row>
    <row r="574" spans="3:3" x14ac:dyDescent="0.3">
      <c r="C574" s="48" t="s">
        <v>156</v>
      </c>
    </row>
    <row r="575" spans="3:3" x14ac:dyDescent="0.3">
      <c r="C575" s="48" t="s">
        <v>157</v>
      </c>
    </row>
    <row r="576" spans="3:3" x14ac:dyDescent="0.3">
      <c r="C576" s="47" t="s">
        <v>224</v>
      </c>
    </row>
    <row r="577" spans="3:3" x14ac:dyDescent="0.3">
      <c r="C577" s="48" t="s">
        <v>225</v>
      </c>
    </row>
    <row r="578" spans="3:3" x14ac:dyDescent="0.3">
      <c r="C578" s="51" t="s">
        <v>197</v>
      </c>
    </row>
    <row r="579" spans="3:3" x14ac:dyDescent="0.3">
      <c r="C579" s="51" t="s">
        <v>207</v>
      </c>
    </row>
    <row r="580" spans="3:3" x14ac:dyDescent="0.3">
      <c r="C580" s="51" t="s">
        <v>206</v>
      </c>
    </row>
    <row r="581" spans="3:3" x14ac:dyDescent="0.3">
      <c r="C581" s="51" t="s">
        <v>210</v>
      </c>
    </row>
    <row r="582" spans="3:3" x14ac:dyDescent="0.3">
      <c r="C582" s="47" t="s">
        <v>186</v>
      </c>
    </row>
    <row r="583" spans="3:3" x14ac:dyDescent="0.3">
      <c r="C583" s="48" t="s">
        <v>187</v>
      </c>
    </row>
    <row r="584" spans="3:3" x14ac:dyDescent="0.3">
      <c r="C584" s="49" t="s">
        <v>188</v>
      </c>
    </row>
    <row r="585" spans="3:3" x14ac:dyDescent="0.3">
      <c r="C585" s="49" t="s">
        <v>189</v>
      </c>
    </row>
    <row r="586" spans="3:3" x14ac:dyDescent="0.3">
      <c r="C586" s="48" t="s">
        <v>190</v>
      </c>
    </row>
    <row r="587" spans="3:3" x14ac:dyDescent="0.3">
      <c r="C587" s="48" t="s">
        <v>187</v>
      </c>
    </row>
    <row r="588" spans="3:3" x14ac:dyDescent="0.3">
      <c r="C588" s="49" t="s">
        <v>226</v>
      </c>
    </row>
    <row r="589" spans="3:3" x14ac:dyDescent="0.3">
      <c r="C589" s="49" t="s">
        <v>227</v>
      </c>
    </row>
    <row r="590" spans="3:3" x14ac:dyDescent="0.3">
      <c r="C590" s="49" t="s">
        <v>228</v>
      </c>
    </row>
    <row r="591" spans="3:3" x14ac:dyDescent="0.3">
      <c r="C591" s="49" t="s">
        <v>229</v>
      </c>
    </row>
    <row r="592" spans="3:3" x14ac:dyDescent="0.3">
      <c r="C592" s="48" t="s">
        <v>191</v>
      </c>
    </row>
    <row r="593" spans="3:3" x14ac:dyDescent="0.3">
      <c r="C593" s="48" t="s">
        <v>192</v>
      </c>
    </row>
    <row r="594" spans="3:3" x14ac:dyDescent="0.3">
      <c r="C594" s="47" t="s">
        <v>163</v>
      </c>
    </row>
    <row r="595" spans="3:3" x14ac:dyDescent="0.3">
      <c r="C595" s="51" t="s">
        <v>211</v>
      </c>
    </row>
    <row r="596" spans="3:3" x14ac:dyDescent="0.3">
      <c r="C596" s="51" t="s">
        <v>208</v>
      </c>
    </row>
    <row r="597" spans="3:3" x14ac:dyDescent="0.3">
      <c r="C597" s="47" t="s">
        <v>158</v>
      </c>
    </row>
    <row r="598" spans="3:3" x14ac:dyDescent="0.3">
      <c r="C598" s="48" t="s">
        <v>159</v>
      </c>
    </row>
    <row r="599" spans="3:3" x14ac:dyDescent="0.3">
      <c r="C599" s="49" t="s">
        <v>160</v>
      </c>
    </row>
    <row r="600" spans="3:3" x14ac:dyDescent="0.3">
      <c r="C600" s="48" t="s">
        <v>161</v>
      </c>
    </row>
    <row r="601" spans="3:3" x14ac:dyDescent="0.3">
      <c r="C601" s="48" t="s">
        <v>162</v>
      </c>
    </row>
    <row r="602" spans="3:3" x14ac:dyDescent="0.3">
      <c r="C602" s="47" t="s">
        <v>163</v>
      </c>
    </row>
    <row r="603" spans="3:3" x14ac:dyDescent="0.3">
      <c r="C603" s="51" t="s">
        <v>212</v>
      </c>
    </row>
    <row r="604" spans="3:3" x14ac:dyDescent="0.3">
      <c r="C604" s="47" t="s">
        <v>164</v>
      </c>
    </row>
    <row r="605" spans="3:3" x14ac:dyDescent="0.3">
      <c r="C605" s="48" t="s">
        <v>165</v>
      </c>
    </row>
    <row r="606" spans="3:3" x14ac:dyDescent="0.3">
      <c r="C606" s="47" t="s">
        <v>161</v>
      </c>
    </row>
    <row r="607" spans="3:3" x14ac:dyDescent="0.3">
      <c r="C607" s="51" t="s">
        <v>213</v>
      </c>
    </row>
    <row r="608" spans="3:3" x14ac:dyDescent="0.3">
      <c r="C608" s="47" t="s">
        <v>166</v>
      </c>
    </row>
    <row r="609" spans="3:3" x14ac:dyDescent="0.3">
      <c r="C609" s="48" t="s">
        <v>167</v>
      </c>
    </row>
    <row r="610" spans="3:3" x14ac:dyDescent="0.3">
      <c r="C610" s="48" t="s">
        <v>159</v>
      </c>
    </row>
    <row r="611" spans="3:3" x14ac:dyDescent="0.3">
      <c r="C611" s="49" t="s">
        <v>168</v>
      </c>
    </row>
    <row r="612" spans="3:3" x14ac:dyDescent="0.3">
      <c r="C612" s="48" t="s">
        <v>169</v>
      </c>
    </row>
    <row r="613" spans="3:3" x14ac:dyDescent="0.3">
      <c r="C613" s="47" t="s">
        <v>163</v>
      </c>
    </row>
    <row r="614" spans="3:3" x14ac:dyDescent="0.3">
      <c r="C614" s="47" t="s">
        <v>170</v>
      </c>
    </row>
    <row r="615" spans="3:3" x14ac:dyDescent="0.3">
      <c r="C615" s="51" t="s">
        <v>214</v>
      </c>
    </row>
    <row r="616" spans="3:3" x14ac:dyDescent="0.3">
      <c r="C616" s="47" t="s">
        <v>171</v>
      </c>
    </row>
    <row r="617" spans="3:3" x14ac:dyDescent="0.3">
      <c r="C617" s="51" t="s">
        <v>209</v>
      </c>
    </row>
    <row r="618" spans="3:3" x14ac:dyDescent="0.3">
      <c r="C618" s="51" t="s">
        <v>215</v>
      </c>
    </row>
    <row r="619" spans="3:3" x14ac:dyDescent="0.3">
      <c r="C619" s="47" t="s">
        <v>172</v>
      </c>
    </row>
    <row r="620" spans="3:3" x14ac:dyDescent="0.3">
      <c r="C620" s="48" t="s">
        <v>173</v>
      </c>
    </row>
    <row r="621" spans="3:3" x14ac:dyDescent="0.3">
      <c r="C621" s="47" t="s">
        <v>163</v>
      </c>
    </row>
    <row r="622" spans="3:3" x14ac:dyDescent="0.3">
      <c r="C622" s="51" t="s">
        <v>200</v>
      </c>
    </row>
    <row r="623" spans="3:3" x14ac:dyDescent="0.3">
      <c r="C623" s="47" t="s">
        <v>174</v>
      </c>
    </row>
    <row r="624" spans="3:3" x14ac:dyDescent="0.3">
      <c r="C624" s="48" t="s">
        <v>175</v>
      </c>
    </row>
    <row r="625" spans="2:3" x14ac:dyDescent="0.3">
      <c r="C625" s="48" t="s">
        <v>176</v>
      </c>
    </row>
    <row r="626" spans="2:3" x14ac:dyDescent="0.3">
      <c r="C626" s="47" t="s">
        <v>163</v>
      </c>
    </row>
    <row r="627" spans="2:3" x14ac:dyDescent="0.3">
      <c r="C627" s="51" t="s">
        <v>199</v>
      </c>
    </row>
    <row r="628" spans="2:3" x14ac:dyDescent="0.3">
      <c r="C628" s="47" t="s">
        <v>193</v>
      </c>
    </row>
    <row r="629" spans="2:3" x14ac:dyDescent="0.3">
      <c r="C629" s="46" t="s">
        <v>177</v>
      </c>
    </row>
    <row r="630" spans="2:3" x14ac:dyDescent="0.3">
      <c r="C630" s="44" t="s">
        <v>177</v>
      </c>
    </row>
    <row r="633" spans="2:3" x14ac:dyDescent="0.3">
      <c r="C633" s="3" t="s">
        <v>198</v>
      </c>
    </row>
    <row r="634" spans="2:3" x14ac:dyDescent="0.3">
      <c r="C634" s="43" t="s">
        <v>230</v>
      </c>
    </row>
    <row r="636" spans="2:3" ht="14.4" thickBot="1" x14ac:dyDescent="0.35"/>
    <row r="637" spans="2:3" s="28" customFormat="1" x14ac:dyDescent="0.3">
      <c r="B637" s="28" t="s">
        <v>31</v>
      </c>
    </row>
  </sheetData>
  <conditionalFormatting sqref="C127:F137 C145:F155 C215:F225 C228:G238">
    <cfRule type="expression" dxfId="26" priority="23">
      <formula>ISNA(C127)</formula>
    </cfRule>
    <cfRule type="expression" dxfId="25" priority="24">
      <formula>NOT(ISBLANK(C127))</formula>
    </cfRule>
  </conditionalFormatting>
  <conditionalFormatting sqref="C127:F137">
    <cfRule type="expression" dxfId="24" priority="22">
      <formula>AND($I$127=1,NOT(ISBLANK(C127)),(ROW(C127)-ROW($C$127)) = 0)</formula>
    </cfRule>
  </conditionalFormatting>
  <conditionalFormatting sqref="C145:F155">
    <cfRule type="expression" dxfId="23" priority="21">
      <formula>AND($I$145=1,NOT(ISBLANK(C145)),(ROW(C145)-ROW($C$145)) = 0)</formula>
    </cfRule>
  </conditionalFormatting>
  <conditionalFormatting sqref="C215:F225">
    <cfRule type="expression" dxfId="22" priority="20">
      <formula>AND($I$216=1,NOT(ISBLANK(C215)),(ROW(C215)-ROW($C$215)) = 0)</formula>
    </cfRule>
  </conditionalFormatting>
  <conditionalFormatting sqref="C267:F277">
    <cfRule type="expression" dxfId="21" priority="7">
      <formula>AND($J$267=1,NOT(ISBLANK(C267)),(ROW(C267)-ROW($C$267)) = 0)</formula>
    </cfRule>
    <cfRule type="expression" dxfId="20" priority="8">
      <formula>ISNA(C267)</formula>
    </cfRule>
    <cfRule type="expression" dxfId="19" priority="9">
      <formula>NOT(ISBLANK(C267))</formula>
    </cfRule>
  </conditionalFormatting>
  <conditionalFormatting sqref="C228:G238">
    <cfRule type="expression" dxfId="18" priority="19">
      <formula>AND($J$229=1,NOT(ISBLANK(C228)),(ROW(C228)-ROW($C$228)) = 0)</formula>
    </cfRule>
  </conditionalFormatting>
  <conditionalFormatting sqref="C280:G290">
    <cfRule type="expression" dxfId="17" priority="10">
      <formula>AND($J$280=1,NOT(ISBLANK(C280)),(ROW(C280)-ROW($C$280)) = 0)</formula>
    </cfRule>
    <cfRule type="expression" dxfId="16" priority="11">
      <formula>ISNA(C280)</formula>
    </cfRule>
    <cfRule type="expression" dxfId="15" priority="12">
      <formula>NOT(ISBLANK(C280))</formula>
    </cfRule>
  </conditionalFormatting>
  <conditionalFormatting sqref="C345:G355">
    <cfRule type="expression" dxfId="14" priority="13">
      <formula>AND($J$345,NOT(ISBLANK(C345)),(ROW(C345)-ROW($C$345)) = 0)</formula>
    </cfRule>
    <cfRule type="expression" dxfId="13" priority="14">
      <formula>ISNA(C345)</formula>
    </cfRule>
    <cfRule type="expression" dxfId="12" priority="15">
      <formula>NOT(ISBLANK(C345))</formula>
    </cfRule>
  </conditionalFormatting>
  <conditionalFormatting sqref="C358:G368">
    <cfRule type="expression" dxfId="11" priority="4">
      <formula>AND($J$358,NOT(ISBLANK(C358)),(ROW(C358)-ROW($C$358)) = 0)</formula>
    </cfRule>
    <cfRule type="expression" dxfId="10" priority="5">
      <formula>ISNA(C358)</formula>
    </cfRule>
    <cfRule type="expression" dxfId="9" priority="6">
      <formula>NOT(ISBLANK(C358))</formula>
    </cfRule>
  </conditionalFormatting>
  <dataValidations disablePrompts="1" count="3">
    <dataValidation type="list" allowBlank="1" showInputMessage="1" showErrorMessage="1" sqref="I81 I127 I145 I192 I215:I216 J228:J229 J280:J281 J346 J267:J268 J359" xr:uid="{787983F6-C5B1-49D3-AEAD-CAC388479B00}">
      <formula1>_YesNo</formula1>
    </dataValidation>
    <dataValidation type="list" allowBlank="1" showInputMessage="1" showErrorMessage="1" sqref="C11 F11 I11" xr:uid="{46362E29-59E6-4349-8072-FC8C6C7FDEB1}">
      <formula1>TitleList1</formula1>
    </dataValidation>
    <dataValidation type="list" allowBlank="1" showInputMessage="1" showErrorMessage="1" sqref="D11 G11 J11" xr:uid="{62AFB40B-FD1F-4408-8AF4-262F99C7A4ED}">
      <formula1>TitleList2</formula1>
    </dataValidation>
  </dataValidations>
  <pageMargins left="0.7" right="0.7" top="0.75" bottom="0.75" header="0.3" footer="0.3"/>
  <pageSetup paperSize="9" orientation="portrait" r:id="rId1"/>
  <ignoredErrors>
    <ignoredError sqref="C72:D76 E67:E71 F67:F71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98F8-B6BA-4BB2-993B-49A3C369AB06}">
  <sheetPr codeName="Sheet2"/>
  <dimension ref="B1:T17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3" width="4.33203125" customWidth="1"/>
    <col min="4" max="4" width="8.88671875" customWidth="1"/>
  </cols>
  <sheetData>
    <row r="1" spans="2:20" s="2" customFormat="1" ht="30" customHeight="1" x14ac:dyDescent="0.3">
      <c r="C1" s="20" t="s">
        <v>27</v>
      </c>
    </row>
    <row r="2" spans="2:20" s="13" customFormat="1" ht="16.2" thickBot="1" x14ac:dyDescent="0.35">
      <c r="B2" s="15">
        <f xml:space="preserve"> MAX(B$1:B1) + 1</f>
        <v>1</v>
      </c>
      <c r="C2" s="13" t="s">
        <v>234</v>
      </c>
    </row>
    <row r="4" spans="2:20" x14ac:dyDescent="0.3">
      <c r="D4" s="53" t="s">
        <v>235</v>
      </c>
      <c r="E4" t="s">
        <v>238</v>
      </c>
    </row>
    <row r="5" spans="2:20" x14ac:dyDescent="0.3">
      <c r="D5" s="53" t="s">
        <v>236</v>
      </c>
      <c r="E5" t="s">
        <v>239</v>
      </c>
    </row>
    <row r="6" spans="2:20" x14ac:dyDescent="0.3">
      <c r="E6" t="s">
        <v>246</v>
      </c>
    </row>
    <row r="7" spans="2:20" x14ac:dyDescent="0.3">
      <c r="E7" t="s">
        <v>247</v>
      </c>
    </row>
    <row r="8" spans="2:20" x14ac:dyDescent="0.3">
      <c r="D8" s="53" t="s">
        <v>237</v>
      </c>
      <c r="E8" s="54" t="s">
        <v>240</v>
      </c>
    </row>
    <row r="11" spans="2:20" x14ac:dyDescent="0.3">
      <c r="B11" s="17" t="s">
        <v>241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3" spans="2:20" x14ac:dyDescent="0.3">
      <c r="C13" s="4" t="s">
        <v>242</v>
      </c>
    </row>
    <row r="14" spans="2:20" x14ac:dyDescent="0.3">
      <c r="C14" s="4"/>
      <c r="H14" s="60" t="s">
        <v>295</v>
      </c>
      <c r="I14" s="61" t="s">
        <v>294</v>
      </c>
      <c r="J14" s="61" t="s">
        <v>62</v>
      </c>
    </row>
    <row r="15" spans="2:20" x14ac:dyDescent="0.3">
      <c r="D15" s="60" t="s">
        <v>293</v>
      </c>
      <c r="E15" s="61" t="s">
        <v>313</v>
      </c>
      <c r="F15" s="61" t="s">
        <v>312</v>
      </c>
      <c r="H15" s="60" t="s">
        <v>293</v>
      </c>
      <c r="I15" s="61" t="s">
        <v>313</v>
      </c>
      <c r="J15" s="61" t="s">
        <v>312</v>
      </c>
      <c r="L15" s="60" t="s">
        <v>293</v>
      </c>
      <c r="M15" s="61" t="s">
        <v>312</v>
      </c>
      <c r="N15" s="61" t="s">
        <v>313</v>
      </c>
    </row>
    <row r="16" spans="2:20" x14ac:dyDescent="0.3">
      <c r="D16" s="10" t="s">
        <v>296</v>
      </c>
      <c r="E16" s="59">
        <v>170000</v>
      </c>
      <c r="F16" s="59">
        <v>204000</v>
      </c>
      <c r="H16" s="10" t="s">
        <v>301</v>
      </c>
      <c r="I16" s="59">
        <v>160000</v>
      </c>
      <c r="J16" s="59">
        <v>192000</v>
      </c>
      <c r="L16" s="10" t="s">
        <v>301</v>
      </c>
      <c r="M16" s="59">
        <v>192000</v>
      </c>
      <c r="N16" s="59">
        <v>160000</v>
      </c>
    </row>
    <row r="17" spans="3:14" x14ac:dyDescent="0.3">
      <c r="D17" s="10" t="s">
        <v>297</v>
      </c>
      <c r="E17" s="59">
        <v>165000</v>
      </c>
      <c r="F17" s="59">
        <v>198000</v>
      </c>
      <c r="H17" s="10" t="s">
        <v>302</v>
      </c>
      <c r="I17" s="59">
        <v>240000</v>
      </c>
      <c r="J17" s="59">
        <v>288000</v>
      </c>
      <c r="L17" s="10" t="s">
        <v>302</v>
      </c>
      <c r="M17" s="59">
        <v>288000</v>
      </c>
      <c r="N17" s="59">
        <v>240000</v>
      </c>
    </row>
    <row r="18" spans="3:14" x14ac:dyDescent="0.3">
      <c r="D18" s="10" t="s">
        <v>298</v>
      </c>
      <c r="E18" s="59">
        <v>130000</v>
      </c>
      <c r="F18" s="59">
        <v>156000</v>
      </c>
      <c r="H18" s="10" t="s">
        <v>303</v>
      </c>
      <c r="I18" s="59">
        <v>175000</v>
      </c>
      <c r="J18" s="59">
        <v>210000</v>
      </c>
      <c r="L18" s="10" t="s">
        <v>303</v>
      </c>
      <c r="M18" s="59">
        <v>210000</v>
      </c>
      <c r="N18" s="59">
        <v>175000</v>
      </c>
    </row>
    <row r="19" spans="3:14" x14ac:dyDescent="0.3">
      <c r="D19" s="10" t="s">
        <v>299</v>
      </c>
      <c r="E19" s="59">
        <v>110000</v>
      </c>
      <c r="F19" s="59">
        <v>132000</v>
      </c>
      <c r="H19" s="10" t="s">
        <v>304</v>
      </c>
      <c r="I19" s="59">
        <v>110000</v>
      </c>
      <c r="J19" s="59">
        <v>132000</v>
      </c>
      <c r="L19" s="10" t="s">
        <v>304</v>
      </c>
      <c r="M19" s="59">
        <v>132000</v>
      </c>
      <c r="N19" s="59">
        <v>110000</v>
      </c>
    </row>
    <row r="20" spans="3:14" x14ac:dyDescent="0.3">
      <c r="D20" s="10" t="s">
        <v>300</v>
      </c>
      <c r="E20" s="59">
        <v>240000</v>
      </c>
      <c r="F20" s="59">
        <v>288000</v>
      </c>
      <c r="H20" s="10" t="s">
        <v>305</v>
      </c>
      <c r="I20" s="59">
        <v>215000</v>
      </c>
      <c r="J20" s="59">
        <v>258000</v>
      </c>
      <c r="L20" s="10" t="s">
        <v>305</v>
      </c>
      <c r="M20" s="59">
        <v>258000</v>
      </c>
      <c r="N20" s="59">
        <v>215000</v>
      </c>
    </row>
    <row r="21" spans="3:14" x14ac:dyDescent="0.3">
      <c r="E21" s="62"/>
      <c r="H21" s="62"/>
    </row>
    <row r="23" spans="3:14" x14ac:dyDescent="0.3">
      <c r="C23" s="4" t="s">
        <v>243</v>
      </c>
    </row>
    <row r="24" spans="3:14" x14ac:dyDescent="0.3">
      <c r="D24" t="s">
        <v>306</v>
      </c>
    </row>
    <row r="25" spans="3:14" x14ac:dyDescent="0.3">
      <c r="D25" t="s">
        <v>307</v>
      </c>
    </row>
    <row r="26" spans="3:14" x14ac:dyDescent="0.3">
      <c r="D26" s="14" t="str" cm="1">
        <f t="array" ref="D26:G35" xml:space="preserve"> RXL_Union($D$16:$E$20, $H$16:$I$20)</f>
        <v>ABC-001</v>
      </c>
      <c r="E26" s="11">
        <v>170000</v>
      </c>
      <c r="F26" s="11" t="e">
        <v>#N/A</v>
      </c>
      <c r="G26" s="11" t="e">
        <v>#N/A</v>
      </c>
    </row>
    <row r="27" spans="3:14" x14ac:dyDescent="0.3">
      <c r="D27" s="11" t="str">
        <v>ABC-002</v>
      </c>
      <c r="E27" s="11">
        <v>165000</v>
      </c>
      <c r="F27" s="11" t="e">
        <v>#N/A</v>
      </c>
      <c r="G27" s="11" t="e">
        <v>#N/A</v>
      </c>
    </row>
    <row r="28" spans="3:14" x14ac:dyDescent="0.3">
      <c r="D28" s="11" t="str">
        <v>ABC-003</v>
      </c>
      <c r="E28" s="11">
        <v>130000</v>
      </c>
      <c r="F28" s="11" t="e">
        <v>#N/A</v>
      </c>
      <c r="G28" s="11" t="e">
        <v>#N/A</v>
      </c>
    </row>
    <row r="29" spans="3:14" x14ac:dyDescent="0.3">
      <c r="D29" s="11" t="str">
        <v>ABC-004</v>
      </c>
      <c r="E29" s="11">
        <v>110000</v>
      </c>
      <c r="F29" s="11" t="e">
        <v>#N/A</v>
      </c>
      <c r="G29" s="11" t="e">
        <v>#N/A</v>
      </c>
    </row>
    <row r="30" spans="3:14" x14ac:dyDescent="0.3">
      <c r="D30" s="11" t="str">
        <v>ABC-005</v>
      </c>
      <c r="E30" s="11">
        <v>240000</v>
      </c>
      <c r="F30" s="11" t="e">
        <v>#N/A</v>
      </c>
      <c r="G30" s="11" t="e">
        <v>#N/A</v>
      </c>
    </row>
    <row r="31" spans="3:14" x14ac:dyDescent="0.3">
      <c r="D31" s="11" t="e">
        <v>#N/A</v>
      </c>
      <c r="E31" s="11" t="e">
        <v>#N/A</v>
      </c>
      <c r="F31" s="11" t="str">
        <v>ABC-006</v>
      </c>
      <c r="G31" s="11">
        <v>160000</v>
      </c>
    </row>
    <row r="32" spans="3:14" x14ac:dyDescent="0.3">
      <c r="D32" s="11" t="e">
        <v>#N/A</v>
      </c>
      <c r="E32" s="11" t="e">
        <v>#N/A</v>
      </c>
      <c r="F32" s="11" t="str">
        <v>ABC-007</v>
      </c>
      <c r="G32" s="11">
        <v>240000</v>
      </c>
    </row>
    <row r="33" spans="4:11" x14ac:dyDescent="0.3">
      <c r="D33" s="11" t="e">
        <v>#N/A</v>
      </c>
      <c r="E33" s="11" t="e">
        <v>#N/A</v>
      </c>
      <c r="F33" s="11" t="str">
        <v>ABC-008</v>
      </c>
      <c r="G33" s="11">
        <v>175000</v>
      </c>
    </row>
    <row r="34" spans="4:11" x14ac:dyDescent="0.3">
      <c r="D34" s="11" t="e">
        <v>#N/A</v>
      </c>
      <c r="E34" s="11" t="e">
        <v>#N/A</v>
      </c>
      <c r="F34" s="11" t="str">
        <v>ABC-009</v>
      </c>
      <c r="G34" s="11">
        <v>110000</v>
      </c>
    </row>
    <row r="35" spans="4:11" x14ac:dyDescent="0.3">
      <c r="D35" s="11" t="e">
        <v>#N/A</v>
      </c>
      <c r="E35" s="11" t="e">
        <v>#N/A</v>
      </c>
      <c r="F35" s="11" t="str">
        <v>ABC-010</v>
      </c>
      <c r="G35" s="11">
        <v>215000</v>
      </c>
    </row>
    <row r="36" spans="4:11" x14ac:dyDescent="0.3">
      <c r="D36" s="18" t="str">
        <f ca="1" xml:space="preserve"> _xlfn.FORMULATEXT(D26)</f>
        <v>= RXL_Union($D$16:$E$20, $H$16:$I$20)</v>
      </c>
    </row>
    <row r="39" spans="4:11" x14ac:dyDescent="0.3">
      <c r="D39" t="s">
        <v>308</v>
      </c>
      <c r="I39" t="s">
        <v>308</v>
      </c>
    </row>
    <row r="40" spans="4:11" x14ac:dyDescent="0.3">
      <c r="D40" s="63" t="s">
        <v>310</v>
      </c>
      <c r="I40" s="63" t="s">
        <v>309</v>
      </c>
    </row>
    <row r="41" spans="4:11" x14ac:dyDescent="0.3">
      <c r="D41" s="14" t="str" cm="1">
        <f t="array" ref="D41:G50" xml:space="preserve"> RXL_Union($D$16:$E$20, $H$16:$I$20, $D$15:$E$15, $H$14:$I$14)</f>
        <v>ABC-001</v>
      </c>
      <c r="E41" s="11">
        <v>170000</v>
      </c>
      <c r="F41" s="11" t="e">
        <v>#N/A</v>
      </c>
      <c r="G41" s="11" t="e">
        <v>#N/A</v>
      </c>
      <c r="I41" s="14" t="str" cm="1">
        <f t="array" ref="I41:J50" xml:space="preserve"> RXL_Union($D$16:$E$20, $H$16:$I$20, $D$15:$E$15, $H$15:$I$15)</f>
        <v>ABC-001</v>
      </c>
      <c r="J41" s="11">
        <v>170000</v>
      </c>
      <c r="K41" s="18" t="str">
        <f ca="1" xml:space="preserve"> _xlfn.FORMULATEXT(I41)</f>
        <v>= RXL_Union($D$16:$E$20, $H$16:$I$20, $D$15:$E$15, $H$15:$I$15)</v>
      </c>
    </row>
    <row r="42" spans="4:11" x14ac:dyDescent="0.3">
      <c r="D42" s="11" t="str">
        <v>ABC-002</v>
      </c>
      <c r="E42" s="11">
        <v>165000</v>
      </c>
      <c r="F42" s="11" t="e">
        <v>#N/A</v>
      </c>
      <c r="G42" s="11" t="e">
        <v>#N/A</v>
      </c>
      <c r="I42" s="11" t="str">
        <v>ABC-002</v>
      </c>
      <c r="J42" s="11">
        <v>165000</v>
      </c>
    </row>
    <row r="43" spans="4:11" x14ac:dyDescent="0.3">
      <c r="D43" s="11" t="str">
        <v>ABC-003</v>
      </c>
      <c r="E43" s="11">
        <v>130000</v>
      </c>
      <c r="F43" s="11" t="e">
        <v>#N/A</v>
      </c>
      <c r="G43" s="11" t="e">
        <v>#N/A</v>
      </c>
      <c r="I43" s="11" t="str">
        <v>ABC-003</v>
      </c>
      <c r="J43" s="11">
        <v>130000</v>
      </c>
    </row>
    <row r="44" spans="4:11" x14ac:dyDescent="0.3">
      <c r="D44" s="11" t="str">
        <v>ABC-004</v>
      </c>
      <c r="E44" s="11">
        <v>110000</v>
      </c>
      <c r="F44" s="11" t="e">
        <v>#N/A</v>
      </c>
      <c r="G44" s="11" t="e">
        <v>#N/A</v>
      </c>
      <c r="I44" s="11" t="str">
        <v>ABC-004</v>
      </c>
      <c r="J44" s="11">
        <v>110000</v>
      </c>
    </row>
    <row r="45" spans="4:11" x14ac:dyDescent="0.3">
      <c r="D45" s="11" t="str">
        <v>ABC-005</v>
      </c>
      <c r="E45" s="11">
        <v>240000</v>
      </c>
      <c r="F45" s="11" t="e">
        <v>#N/A</v>
      </c>
      <c r="G45" s="11" t="e">
        <v>#N/A</v>
      </c>
      <c r="I45" s="11" t="str">
        <v>ABC-005</v>
      </c>
      <c r="J45" s="11">
        <v>240000</v>
      </c>
    </row>
    <row r="46" spans="4:11" x14ac:dyDescent="0.3">
      <c r="D46" s="11" t="e">
        <v>#N/A</v>
      </c>
      <c r="E46" s="11" t="e">
        <v>#N/A</v>
      </c>
      <c r="F46" s="11" t="str">
        <v>ABC-006</v>
      </c>
      <c r="G46" s="11">
        <v>160000</v>
      </c>
      <c r="I46" s="11" t="str">
        <v>ABC-006</v>
      </c>
      <c r="J46" s="11">
        <v>160000</v>
      </c>
    </row>
    <row r="47" spans="4:11" x14ac:dyDescent="0.3">
      <c r="D47" s="11" t="e">
        <v>#N/A</v>
      </c>
      <c r="E47" s="11" t="e">
        <v>#N/A</v>
      </c>
      <c r="F47" s="11" t="str">
        <v>ABC-007</v>
      </c>
      <c r="G47" s="11">
        <v>240000</v>
      </c>
      <c r="I47" s="11" t="str">
        <v>ABC-007</v>
      </c>
      <c r="J47" s="11">
        <v>240000</v>
      </c>
    </row>
    <row r="48" spans="4:11" x14ac:dyDescent="0.3">
      <c r="D48" s="11" t="e">
        <v>#N/A</v>
      </c>
      <c r="E48" s="11" t="e">
        <v>#N/A</v>
      </c>
      <c r="F48" s="11" t="str">
        <v>ABC-008</v>
      </c>
      <c r="G48" s="11">
        <v>175000</v>
      </c>
      <c r="I48" s="11" t="str">
        <v>ABC-008</v>
      </c>
      <c r="J48" s="11">
        <v>175000</v>
      </c>
    </row>
    <row r="49" spans="4:13" x14ac:dyDescent="0.3">
      <c r="D49" s="11" t="e">
        <v>#N/A</v>
      </c>
      <c r="E49" s="11" t="e">
        <v>#N/A</v>
      </c>
      <c r="F49" s="11" t="str">
        <v>ABC-009</v>
      </c>
      <c r="G49" s="11">
        <v>110000</v>
      </c>
      <c r="I49" s="11" t="str">
        <v>ABC-009</v>
      </c>
      <c r="J49" s="11">
        <v>110000</v>
      </c>
    </row>
    <row r="50" spans="4:13" x14ac:dyDescent="0.3">
      <c r="D50" s="11" t="e">
        <v>#N/A</v>
      </c>
      <c r="E50" s="11" t="e">
        <v>#N/A</v>
      </c>
      <c r="F50" s="11" t="str">
        <v>ABC-010</v>
      </c>
      <c r="G50" s="11">
        <v>215000</v>
      </c>
      <c r="I50" s="11" t="str">
        <v>ABC-010</v>
      </c>
      <c r="J50" s="11">
        <v>215000</v>
      </c>
    </row>
    <row r="51" spans="4:13" x14ac:dyDescent="0.3">
      <c r="D51" s="18" t="str">
        <f ca="1" xml:space="preserve"> _xlfn.FORMULATEXT(D41)</f>
        <v>= RXL_Union($D$16:$E$20, $H$16:$I$20, $D$15:$E$15, $H$14:$I$14)</v>
      </c>
    </row>
    <row r="54" spans="4:13" x14ac:dyDescent="0.3">
      <c r="D54" t="s">
        <v>311</v>
      </c>
      <c r="J54" t="s">
        <v>311</v>
      </c>
    </row>
    <row r="55" spans="4:13" x14ac:dyDescent="0.3">
      <c r="D55" t="s">
        <v>310</v>
      </c>
      <c r="J55" t="s">
        <v>309</v>
      </c>
    </row>
    <row r="56" spans="4:13" x14ac:dyDescent="0.3">
      <c r="D56" s="14" t="str" cm="1">
        <f t="array" ref="D56:H65" xml:space="preserve"> RXL_Union($D$16:$E$20, $H$16:$J$20, $D$15:$E$15, $H$14:$J$14)</f>
        <v>ABC-001</v>
      </c>
      <c r="E56" s="11">
        <v>170000</v>
      </c>
      <c r="F56" s="11" t="e">
        <v>#N/A</v>
      </c>
      <c r="G56" s="11" t="e">
        <v>#N/A</v>
      </c>
      <c r="H56" s="11" t="e">
        <v>#N/A</v>
      </c>
      <c r="J56" s="14" t="str" cm="1">
        <f t="array" ref="J56:L65" xml:space="preserve"> RXL_Union($D$16:$E$20, $H$16:$J$20, $D$15:$E$15, $H$15:$J$15)</f>
        <v>ABC-001</v>
      </c>
      <c r="K56" s="11">
        <v>170000</v>
      </c>
      <c r="L56" s="11" t="e">
        <v>#N/A</v>
      </c>
      <c r="M56" s="18" t="str">
        <f ca="1" xml:space="preserve"> _xlfn.FORMULATEXT(J56)</f>
        <v>= RXL_Union($D$16:$E$20, $H$16:$J$20, $D$15:$E$15, $H$15:$J$15)</v>
      </c>
    </row>
    <row r="57" spans="4:13" x14ac:dyDescent="0.3">
      <c r="D57" s="11" t="str">
        <v>ABC-002</v>
      </c>
      <c r="E57" s="11">
        <v>165000</v>
      </c>
      <c r="F57" s="11" t="e">
        <v>#N/A</v>
      </c>
      <c r="G57" s="11" t="e">
        <v>#N/A</v>
      </c>
      <c r="H57" s="11" t="e">
        <v>#N/A</v>
      </c>
      <c r="J57" s="11" t="str">
        <v>ABC-002</v>
      </c>
      <c r="K57" s="11">
        <v>165000</v>
      </c>
      <c r="L57" s="11" t="e">
        <v>#N/A</v>
      </c>
    </row>
    <row r="58" spans="4:13" x14ac:dyDescent="0.3">
      <c r="D58" s="11" t="str">
        <v>ABC-003</v>
      </c>
      <c r="E58" s="11">
        <v>130000</v>
      </c>
      <c r="F58" s="11" t="e">
        <v>#N/A</v>
      </c>
      <c r="G58" s="11" t="e">
        <v>#N/A</v>
      </c>
      <c r="H58" s="11" t="e">
        <v>#N/A</v>
      </c>
      <c r="J58" s="11" t="str">
        <v>ABC-003</v>
      </c>
      <c r="K58" s="11">
        <v>130000</v>
      </c>
      <c r="L58" s="11" t="e">
        <v>#N/A</v>
      </c>
    </row>
    <row r="59" spans="4:13" x14ac:dyDescent="0.3">
      <c r="D59" s="11" t="str">
        <v>ABC-004</v>
      </c>
      <c r="E59" s="11">
        <v>110000</v>
      </c>
      <c r="F59" s="11" t="e">
        <v>#N/A</v>
      </c>
      <c r="G59" s="11" t="e">
        <v>#N/A</v>
      </c>
      <c r="H59" s="11" t="e">
        <v>#N/A</v>
      </c>
      <c r="J59" s="11" t="str">
        <v>ABC-004</v>
      </c>
      <c r="K59" s="11">
        <v>110000</v>
      </c>
      <c r="L59" s="11" t="e">
        <v>#N/A</v>
      </c>
    </row>
    <row r="60" spans="4:13" x14ac:dyDescent="0.3">
      <c r="D60" s="11" t="str">
        <v>ABC-005</v>
      </c>
      <c r="E60" s="11">
        <v>240000</v>
      </c>
      <c r="F60" s="11" t="e">
        <v>#N/A</v>
      </c>
      <c r="G60" s="11" t="e">
        <v>#N/A</v>
      </c>
      <c r="H60" s="11" t="e">
        <v>#N/A</v>
      </c>
      <c r="J60" s="11" t="str">
        <v>ABC-005</v>
      </c>
      <c r="K60" s="11">
        <v>240000</v>
      </c>
      <c r="L60" s="11" t="e">
        <v>#N/A</v>
      </c>
    </row>
    <row r="61" spans="4:13" x14ac:dyDescent="0.3">
      <c r="D61" s="11" t="e">
        <v>#N/A</v>
      </c>
      <c r="E61" s="11" t="e">
        <v>#N/A</v>
      </c>
      <c r="F61" s="11" t="str">
        <v>ABC-006</v>
      </c>
      <c r="G61" s="11">
        <v>160000</v>
      </c>
      <c r="H61" s="11">
        <v>192000</v>
      </c>
      <c r="J61" s="11" t="str">
        <v>ABC-006</v>
      </c>
      <c r="K61" s="11">
        <v>160000</v>
      </c>
      <c r="L61" s="11">
        <v>192000</v>
      </c>
    </row>
    <row r="62" spans="4:13" x14ac:dyDescent="0.3">
      <c r="D62" s="11" t="e">
        <v>#N/A</v>
      </c>
      <c r="E62" s="11" t="e">
        <v>#N/A</v>
      </c>
      <c r="F62" s="11" t="str">
        <v>ABC-007</v>
      </c>
      <c r="G62" s="11">
        <v>240000</v>
      </c>
      <c r="H62" s="11">
        <v>288000</v>
      </c>
      <c r="J62" s="11" t="str">
        <v>ABC-007</v>
      </c>
      <c r="K62" s="11">
        <v>240000</v>
      </c>
      <c r="L62" s="11">
        <v>288000</v>
      </c>
    </row>
    <row r="63" spans="4:13" x14ac:dyDescent="0.3">
      <c r="D63" s="11" t="e">
        <v>#N/A</v>
      </c>
      <c r="E63" s="11" t="e">
        <v>#N/A</v>
      </c>
      <c r="F63" s="11" t="str">
        <v>ABC-008</v>
      </c>
      <c r="G63" s="11">
        <v>175000</v>
      </c>
      <c r="H63" s="11">
        <v>210000</v>
      </c>
      <c r="J63" s="11" t="str">
        <v>ABC-008</v>
      </c>
      <c r="K63" s="11">
        <v>175000</v>
      </c>
      <c r="L63" s="11">
        <v>210000</v>
      </c>
    </row>
    <row r="64" spans="4:13" x14ac:dyDescent="0.3">
      <c r="D64" s="11" t="e">
        <v>#N/A</v>
      </c>
      <c r="E64" s="11" t="e">
        <v>#N/A</v>
      </c>
      <c r="F64" s="11" t="str">
        <v>ABC-009</v>
      </c>
      <c r="G64" s="11">
        <v>110000</v>
      </c>
      <c r="H64" s="11">
        <v>132000</v>
      </c>
      <c r="J64" s="11" t="str">
        <v>ABC-009</v>
      </c>
      <c r="K64" s="11">
        <v>110000</v>
      </c>
      <c r="L64" s="11">
        <v>132000</v>
      </c>
    </row>
    <row r="65" spans="4:13" x14ac:dyDescent="0.3">
      <c r="D65" s="11" t="e">
        <v>#N/A</v>
      </c>
      <c r="E65" s="11" t="e">
        <v>#N/A</v>
      </c>
      <c r="F65" s="11" t="str">
        <v>ABC-010</v>
      </c>
      <c r="G65" s="11">
        <v>215000</v>
      </c>
      <c r="H65" s="11">
        <v>258000</v>
      </c>
      <c r="J65" s="11" t="str">
        <v>ABC-010</v>
      </c>
      <c r="K65" s="11">
        <v>215000</v>
      </c>
      <c r="L65" s="11">
        <v>258000</v>
      </c>
    </row>
    <row r="66" spans="4:13" x14ac:dyDescent="0.3">
      <c r="D66" s="18" t="str">
        <f ca="1" xml:space="preserve"> _xlfn.FORMULATEXT(D56)</f>
        <v>= RXL_Union($D$16:$E$20, $H$16:$J$20, $D$15:$E$15, $H$14:$J$14)</v>
      </c>
    </row>
    <row r="69" spans="4:13" x14ac:dyDescent="0.3">
      <c r="D69" t="s">
        <v>314</v>
      </c>
      <c r="J69" t="s">
        <v>314</v>
      </c>
    </row>
    <row r="70" spans="4:13" x14ac:dyDescent="0.3">
      <c r="D70" t="s">
        <v>315</v>
      </c>
      <c r="J70" t="s">
        <v>316</v>
      </c>
    </row>
    <row r="71" spans="4:13" x14ac:dyDescent="0.3">
      <c r="D71" s="14" t="str" cm="1">
        <f t="array" ref="D71:F80" xml:space="preserve"> RXL_Union($D$16:$F$20, $L$16:$N$20, $D$15:$F$15, $L$15:$N$15)</f>
        <v>ABC-001</v>
      </c>
      <c r="E71" s="11">
        <v>170000</v>
      </c>
      <c r="F71" s="11">
        <v>204000</v>
      </c>
      <c r="J71" s="14" t="str" cm="1">
        <f t="array" ref="J71:L80" xml:space="preserve"> RXL_Union($D$16:$F$20, $L$16:$N$20, , {1,3,2})</f>
        <v>ABC-001</v>
      </c>
      <c r="K71" s="11">
        <v>170000</v>
      </c>
      <c r="L71" s="11">
        <v>204000</v>
      </c>
      <c r="M71" s="18" t="str">
        <f ca="1" xml:space="preserve"> _xlfn.FORMULATEXT(J71)</f>
        <v>= RXL_Union($D$16:$F$20, $L$16:$N$20, , {1,3,2})</v>
      </c>
    </row>
    <row r="72" spans="4:13" x14ac:dyDescent="0.3">
      <c r="D72" s="11" t="str">
        <v>ABC-002</v>
      </c>
      <c r="E72" s="11">
        <v>165000</v>
      </c>
      <c r="F72" s="11">
        <v>198000</v>
      </c>
      <c r="J72" s="11" t="str">
        <v>ABC-002</v>
      </c>
      <c r="K72" s="11">
        <v>165000</v>
      </c>
      <c r="L72" s="11">
        <v>198000</v>
      </c>
    </row>
    <row r="73" spans="4:13" x14ac:dyDescent="0.3">
      <c r="D73" s="11" t="str">
        <v>ABC-003</v>
      </c>
      <c r="E73" s="11">
        <v>130000</v>
      </c>
      <c r="F73" s="11">
        <v>156000</v>
      </c>
      <c r="J73" s="11" t="str">
        <v>ABC-003</v>
      </c>
      <c r="K73" s="11">
        <v>130000</v>
      </c>
      <c r="L73" s="11">
        <v>156000</v>
      </c>
    </row>
    <row r="74" spans="4:13" x14ac:dyDescent="0.3">
      <c r="D74" s="11" t="str">
        <v>ABC-004</v>
      </c>
      <c r="E74" s="11">
        <v>110000</v>
      </c>
      <c r="F74" s="11">
        <v>132000</v>
      </c>
      <c r="J74" s="11" t="str">
        <v>ABC-004</v>
      </c>
      <c r="K74" s="11">
        <v>110000</v>
      </c>
      <c r="L74" s="11">
        <v>132000</v>
      </c>
    </row>
    <row r="75" spans="4:13" x14ac:dyDescent="0.3">
      <c r="D75" s="11" t="str">
        <v>ABC-005</v>
      </c>
      <c r="E75" s="11">
        <v>240000</v>
      </c>
      <c r="F75" s="11">
        <v>288000</v>
      </c>
      <c r="J75" s="11" t="str">
        <v>ABC-005</v>
      </c>
      <c r="K75" s="11">
        <v>240000</v>
      </c>
      <c r="L75" s="11">
        <v>288000</v>
      </c>
    </row>
    <row r="76" spans="4:13" x14ac:dyDescent="0.3">
      <c r="D76" s="11" t="str">
        <v>ABC-006</v>
      </c>
      <c r="E76" s="11">
        <v>160000</v>
      </c>
      <c r="F76" s="11">
        <v>192000</v>
      </c>
      <c r="J76" s="11" t="str">
        <v>ABC-006</v>
      </c>
      <c r="K76" s="11">
        <v>160000</v>
      </c>
      <c r="L76" s="11">
        <v>192000</v>
      </c>
    </row>
    <row r="77" spans="4:13" x14ac:dyDescent="0.3">
      <c r="D77" s="11" t="str">
        <v>ABC-007</v>
      </c>
      <c r="E77" s="11">
        <v>240000</v>
      </c>
      <c r="F77" s="11">
        <v>288000</v>
      </c>
      <c r="J77" s="11" t="str">
        <v>ABC-007</v>
      </c>
      <c r="K77" s="11">
        <v>240000</v>
      </c>
      <c r="L77" s="11">
        <v>288000</v>
      </c>
    </row>
    <row r="78" spans="4:13" x14ac:dyDescent="0.3">
      <c r="D78" s="11" t="str">
        <v>ABC-008</v>
      </c>
      <c r="E78" s="11">
        <v>175000</v>
      </c>
      <c r="F78" s="11">
        <v>210000</v>
      </c>
      <c r="J78" s="11" t="str">
        <v>ABC-008</v>
      </c>
      <c r="K78" s="11">
        <v>175000</v>
      </c>
      <c r="L78" s="11">
        <v>210000</v>
      </c>
    </row>
    <row r="79" spans="4:13" x14ac:dyDescent="0.3">
      <c r="D79" s="11" t="str">
        <v>ABC-009</v>
      </c>
      <c r="E79" s="11">
        <v>110000</v>
      </c>
      <c r="F79" s="11">
        <v>132000</v>
      </c>
      <c r="J79" s="11" t="str">
        <v>ABC-009</v>
      </c>
      <c r="K79" s="11">
        <v>110000</v>
      </c>
      <c r="L79" s="11">
        <v>132000</v>
      </c>
    </row>
    <row r="80" spans="4:13" x14ac:dyDescent="0.3">
      <c r="D80" s="11" t="str">
        <v>ABC-010</v>
      </c>
      <c r="E80" s="11">
        <v>215000</v>
      </c>
      <c r="F80" s="11">
        <v>258000</v>
      </c>
      <c r="J80" s="11" t="str">
        <v>ABC-010</v>
      </c>
      <c r="K80" s="11">
        <v>215000</v>
      </c>
      <c r="L80" s="11">
        <v>258000</v>
      </c>
    </row>
    <row r="81" spans="3:8" x14ac:dyDescent="0.3">
      <c r="D81" s="18" t="str">
        <f ca="1" xml:space="preserve"> _xlfn.FORMULATEXT(D71)</f>
        <v>= RXL_Union($D$16:$F$20, $L$16:$N$20, $D$15:$F$15, $L$15:$N$15)</v>
      </c>
    </row>
    <row r="84" spans="3:8" x14ac:dyDescent="0.3">
      <c r="C84" s="4" t="s">
        <v>245</v>
      </c>
    </row>
    <row r="85" spans="3:8" x14ac:dyDescent="0.3">
      <c r="D85" t="s">
        <v>311</v>
      </c>
    </row>
    <row r="86" spans="3:8" x14ac:dyDescent="0.3">
      <c r="D86" t="s">
        <v>310</v>
      </c>
    </row>
    <row r="87" spans="3:8" x14ac:dyDescent="0.3">
      <c r="D87" t="s">
        <v>318</v>
      </c>
    </row>
    <row r="88" spans="3:8" x14ac:dyDescent="0.3">
      <c r="D88" s="14" t="str" cm="1">
        <f t="array" ref="D88:H97" xml:space="preserve"> RXL_Union($D$16:$E$20, $H$16:$J$20, $D$15:$E$15, $H$14:$J$14, , , FALSE)</f>
        <v>ABC-001</v>
      </c>
      <c r="E88" s="11">
        <v>170000</v>
      </c>
      <c r="F88" s="11" t="e">
        <v>#N/A</v>
      </c>
      <c r="G88" s="11" t="e">
        <v>#N/A</v>
      </c>
      <c r="H88" s="11" t="e">
        <v>#N/A</v>
      </c>
    </row>
    <row r="89" spans="3:8" x14ac:dyDescent="0.3">
      <c r="D89" s="11" t="str">
        <v>ABC-002</v>
      </c>
      <c r="E89" s="11">
        <v>165000</v>
      </c>
      <c r="F89" s="11" t="e">
        <v>#N/A</v>
      </c>
      <c r="G89" s="11" t="e">
        <v>#N/A</v>
      </c>
      <c r="H89" s="11" t="e">
        <v>#N/A</v>
      </c>
    </row>
    <row r="90" spans="3:8" x14ac:dyDescent="0.3">
      <c r="D90" s="11" t="str">
        <v>ABC-003</v>
      </c>
      <c r="E90" s="11">
        <v>130000</v>
      </c>
      <c r="F90" s="11" t="e">
        <v>#N/A</v>
      </c>
      <c r="G90" s="11" t="e">
        <v>#N/A</v>
      </c>
      <c r="H90" s="11" t="e">
        <v>#N/A</v>
      </c>
    </row>
    <row r="91" spans="3:8" x14ac:dyDescent="0.3">
      <c r="D91" s="11" t="str">
        <v>ABC-004</v>
      </c>
      <c r="E91" s="11">
        <v>110000</v>
      </c>
      <c r="F91" s="11" t="e">
        <v>#N/A</v>
      </c>
      <c r="G91" s="11" t="e">
        <v>#N/A</v>
      </c>
      <c r="H91" s="11" t="e">
        <v>#N/A</v>
      </c>
    </row>
    <row r="92" spans="3:8" x14ac:dyDescent="0.3">
      <c r="D92" s="11" t="str">
        <v>ABC-005</v>
      </c>
      <c r="E92" s="11">
        <v>240000</v>
      </c>
      <c r="F92" s="11" t="e">
        <v>#N/A</v>
      </c>
      <c r="G92" s="11" t="e">
        <v>#N/A</v>
      </c>
      <c r="H92" s="11" t="e">
        <v>#N/A</v>
      </c>
    </row>
    <row r="93" spans="3:8" x14ac:dyDescent="0.3">
      <c r="D93" s="11" t="e">
        <v>#N/A</v>
      </c>
      <c r="E93" s="11" t="e">
        <v>#N/A</v>
      </c>
      <c r="F93" s="11" t="str">
        <v>ABC-006</v>
      </c>
      <c r="G93" s="11">
        <v>160000</v>
      </c>
      <c r="H93" s="11">
        <v>192000</v>
      </c>
    </row>
    <row r="94" spans="3:8" x14ac:dyDescent="0.3">
      <c r="D94" s="11" t="e">
        <v>#N/A</v>
      </c>
      <c r="E94" s="11" t="e">
        <v>#N/A</v>
      </c>
      <c r="F94" s="11" t="str">
        <v>ABC-007</v>
      </c>
      <c r="G94" s="11">
        <v>240000</v>
      </c>
      <c r="H94" s="11">
        <v>288000</v>
      </c>
    </row>
    <row r="95" spans="3:8" x14ac:dyDescent="0.3">
      <c r="D95" s="11" t="e">
        <v>#N/A</v>
      </c>
      <c r="E95" s="11" t="e">
        <v>#N/A</v>
      </c>
      <c r="F95" s="11" t="str">
        <v>ABC-008</v>
      </c>
      <c r="G95" s="11">
        <v>175000</v>
      </c>
      <c r="H95" s="11">
        <v>210000</v>
      </c>
    </row>
    <row r="96" spans="3:8" x14ac:dyDescent="0.3">
      <c r="D96" s="11" t="e">
        <v>#N/A</v>
      </c>
      <c r="E96" s="11" t="e">
        <v>#N/A</v>
      </c>
      <c r="F96" s="11" t="str">
        <v>ABC-009</v>
      </c>
      <c r="G96" s="11">
        <v>110000</v>
      </c>
      <c r="H96" s="11">
        <v>132000</v>
      </c>
    </row>
    <row r="97" spans="4:13" x14ac:dyDescent="0.3">
      <c r="D97" s="11" t="e">
        <v>#N/A</v>
      </c>
      <c r="E97" s="11" t="e">
        <v>#N/A</v>
      </c>
      <c r="F97" s="11" t="str">
        <v>ABC-010</v>
      </c>
      <c r="G97" s="11">
        <v>215000</v>
      </c>
      <c r="H97" s="11">
        <v>258000</v>
      </c>
    </row>
    <row r="98" spans="4:13" x14ac:dyDescent="0.3">
      <c r="D98" s="18" t="str">
        <f ca="1" xml:space="preserve"> _xlfn.FORMULATEXT(D88)</f>
        <v>= RXL_Union($D$16:$E$20, $H$16:$J$20, $D$15:$E$15, $H$14:$J$14, , , FALSE)</v>
      </c>
    </row>
    <row r="101" spans="4:13" x14ac:dyDescent="0.3">
      <c r="D101" t="s">
        <v>311</v>
      </c>
      <c r="J101" t="s">
        <v>311</v>
      </c>
    </row>
    <row r="102" spans="4:13" x14ac:dyDescent="0.3">
      <c r="D102" t="s">
        <v>310</v>
      </c>
      <c r="J102" t="s">
        <v>309</v>
      </c>
    </row>
    <row r="103" spans="4:13" x14ac:dyDescent="0.3">
      <c r="D103" t="s">
        <v>317</v>
      </c>
      <c r="J103" t="s">
        <v>317</v>
      </c>
    </row>
    <row r="104" spans="4:13" x14ac:dyDescent="0.3">
      <c r="D104" s="14" t="str" cm="1">
        <f t="array" ref="D104:H113" xml:space="preserve"> RXL_Union($D$16:$E$20, $H$16:$J$20, $D$15:$E$15, $H$14:$J$14, , , TRUE)</f>
        <v>ABC-001</v>
      </c>
      <c r="E104" s="11">
        <v>170000</v>
      </c>
      <c r="F104" s="11" t="str">
        <v/>
      </c>
      <c r="G104" s="11" t="str">
        <v/>
      </c>
      <c r="H104" s="11" t="str">
        <v/>
      </c>
      <c r="J104" s="14" t="str" cm="1">
        <f t="array" ref="J104:L113" xml:space="preserve"> RXL_Union($D$16:$E$20, $H$16:$J$20, $D$15:$E$15, $H$15:$J$15, , , TRUE)</f>
        <v>ABC-001</v>
      </c>
      <c r="K104" s="11">
        <v>170000</v>
      </c>
      <c r="L104" s="11" t="str">
        <v/>
      </c>
      <c r="M104" s="18" t="str">
        <f ca="1" xml:space="preserve"> _xlfn.FORMULATEXT(J104)</f>
        <v>= RXL_Union($D$16:$E$20, $H$16:$J$20, $D$15:$E$15, $H$15:$J$15, , , TRUE)</v>
      </c>
    </row>
    <row r="105" spans="4:13" x14ac:dyDescent="0.3">
      <c r="D105" s="11" t="str">
        <v>ABC-002</v>
      </c>
      <c r="E105" s="11">
        <v>165000</v>
      </c>
      <c r="F105" s="11" t="str">
        <v/>
      </c>
      <c r="G105" s="11" t="str">
        <v/>
      </c>
      <c r="H105" s="11" t="str">
        <v/>
      </c>
      <c r="J105" s="11" t="str">
        <v>ABC-002</v>
      </c>
      <c r="K105" s="11">
        <v>165000</v>
      </c>
      <c r="L105" s="11" t="str">
        <v/>
      </c>
    </row>
    <row r="106" spans="4:13" x14ac:dyDescent="0.3">
      <c r="D106" s="11" t="str">
        <v>ABC-003</v>
      </c>
      <c r="E106" s="11">
        <v>130000</v>
      </c>
      <c r="F106" s="11" t="str">
        <v/>
      </c>
      <c r="G106" s="11" t="str">
        <v/>
      </c>
      <c r="H106" s="11" t="str">
        <v/>
      </c>
      <c r="J106" s="11" t="str">
        <v>ABC-003</v>
      </c>
      <c r="K106" s="11">
        <v>130000</v>
      </c>
      <c r="L106" s="11" t="str">
        <v/>
      </c>
    </row>
    <row r="107" spans="4:13" x14ac:dyDescent="0.3">
      <c r="D107" s="11" t="str">
        <v>ABC-004</v>
      </c>
      <c r="E107" s="11">
        <v>110000</v>
      </c>
      <c r="F107" s="11" t="str">
        <v/>
      </c>
      <c r="G107" s="11" t="str">
        <v/>
      </c>
      <c r="H107" s="11" t="str">
        <v/>
      </c>
      <c r="J107" s="11" t="str">
        <v>ABC-004</v>
      </c>
      <c r="K107" s="11">
        <v>110000</v>
      </c>
      <c r="L107" s="11" t="str">
        <v/>
      </c>
    </row>
    <row r="108" spans="4:13" x14ac:dyDescent="0.3">
      <c r="D108" s="11" t="str">
        <v>ABC-005</v>
      </c>
      <c r="E108" s="11">
        <v>240000</v>
      </c>
      <c r="F108" s="11" t="str">
        <v/>
      </c>
      <c r="G108" s="11" t="str">
        <v/>
      </c>
      <c r="H108" s="11" t="str">
        <v/>
      </c>
      <c r="J108" s="11" t="str">
        <v>ABC-005</v>
      </c>
      <c r="K108" s="11">
        <v>240000</v>
      </c>
      <c r="L108" s="11" t="str">
        <v/>
      </c>
    </row>
    <row r="109" spans="4:13" x14ac:dyDescent="0.3">
      <c r="D109" s="11" t="str">
        <v/>
      </c>
      <c r="E109" s="11" t="str">
        <v/>
      </c>
      <c r="F109" s="11" t="str">
        <v>ABC-006</v>
      </c>
      <c r="G109" s="11">
        <v>160000</v>
      </c>
      <c r="H109" s="11">
        <v>192000</v>
      </c>
      <c r="J109" s="11" t="str">
        <v>ABC-006</v>
      </c>
      <c r="K109" s="11">
        <v>160000</v>
      </c>
      <c r="L109" s="11">
        <v>192000</v>
      </c>
    </row>
    <row r="110" spans="4:13" x14ac:dyDescent="0.3">
      <c r="D110" s="11" t="str">
        <v/>
      </c>
      <c r="E110" s="11" t="str">
        <v/>
      </c>
      <c r="F110" s="11" t="str">
        <v>ABC-007</v>
      </c>
      <c r="G110" s="11">
        <v>240000</v>
      </c>
      <c r="H110" s="11">
        <v>288000</v>
      </c>
      <c r="J110" s="11" t="str">
        <v>ABC-007</v>
      </c>
      <c r="K110" s="11">
        <v>240000</v>
      </c>
      <c r="L110" s="11">
        <v>288000</v>
      </c>
    </row>
    <row r="111" spans="4:13" x14ac:dyDescent="0.3">
      <c r="D111" s="11" t="str">
        <v/>
      </c>
      <c r="E111" s="11" t="str">
        <v/>
      </c>
      <c r="F111" s="11" t="str">
        <v>ABC-008</v>
      </c>
      <c r="G111" s="11">
        <v>175000</v>
      </c>
      <c r="H111" s="11">
        <v>210000</v>
      </c>
      <c r="J111" s="11" t="str">
        <v>ABC-008</v>
      </c>
      <c r="K111" s="11">
        <v>175000</v>
      </c>
      <c r="L111" s="11">
        <v>210000</v>
      </c>
    </row>
    <row r="112" spans="4:13" x14ac:dyDescent="0.3">
      <c r="D112" s="11" t="str">
        <v/>
      </c>
      <c r="E112" s="11" t="str">
        <v/>
      </c>
      <c r="F112" s="11" t="str">
        <v>ABC-009</v>
      </c>
      <c r="G112" s="11">
        <v>110000</v>
      </c>
      <c r="H112" s="11">
        <v>132000</v>
      </c>
      <c r="J112" s="11" t="str">
        <v>ABC-009</v>
      </c>
      <c r="K112" s="11">
        <v>110000</v>
      </c>
      <c r="L112" s="11">
        <v>132000</v>
      </c>
    </row>
    <row r="113" spans="4:13" x14ac:dyDescent="0.3">
      <c r="D113" s="11" t="str">
        <v/>
      </c>
      <c r="E113" s="11" t="str">
        <v/>
      </c>
      <c r="F113" s="11" t="str">
        <v>ABC-010</v>
      </c>
      <c r="G113" s="11">
        <v>215000</v>
      </c>
      <c r="H113" s="11">
        <v>258000</v>
      </c>
      <c r="J113" s="11" t="str">
        <v>ABC-010</v>
      </c>
      <c r="K113" s="11">
        <v>215000</v>
      </c>
      <c r="L113" s="11">
        <v>258000</v>
      </c>
    </row>
    <row r="114" spans="4:13" x14ac:dyDescent="0.3">
      <c r="D114" s="18" t="str">
        <f ca="1" xml:space="preserve"> _xlfn.FORMULATEXT(D104)</f>
        <v>= RXL_Union($D$16:$E$20, $H$16:$J$20, $D$15:$E$15, $H$14:$J$14, , , TRUE)</v>
      </c>
    </row>
    <row r="117" spans="4:13" x14ac:dyDescent="0.3">
      <c r="D117" t="s">
        <v>311</v>
      </c>
      <c r="J117" t="s">
        <v>311</v>
      </c>
    </row>
    <row r="118" spans="4:13" x14ac:dyDescent="0.3">
      <c r="D118" t="s">
        <v>310</v>
      </c>
      <c r="J118" t="s">
        <v>309</v>
      </c>
    </row>
    <row r="119" spans="4:13" x14ac:dyDescent="0.3">
      <c r="D119" t="s">
        <v>319</v>
      </c>
      <c r="J119" t="s">
        <v>320</v>
      </c>
    </row>
    <row r="120" spans="4:13" x14ac:dyDescent="0.3">
      <c r="D120" s="14" t="str" cm="1">
        <f t="array" ref="D120:H129" xml:space="preserve"> RXL_Union($D$16:$E$20, $H$16:$J$20, $D$15:$E$15, $H$14:$J$14, , , 0)</f>
        <v>ABC-001</v>
      </c>
      <c r="E120" s="11">
        <v>170000</v>
      </c>
      <c r="F120" s="11">
        <v>0</v>
      </c>
      <c r="G120" s="11">
        <v>0</v>
      </c>
      <c r="H120" s="11">
        <v>0</v>
      </c>
      <c r="J120" s="14" t="str" cm="1">
        <f t="array" ref="J120:L129" xml:space="preserve"> RXL_Union($D$16:$E$20, $H$16:$J$20, $D$15:$E$15, $H$15:$J$15, , , "(null)")</f>
        <v>ABC-001</v>
      </c>
      <c r="K120" s="11">
        <v>170000</v>
      </c>
      <c r="L120" s="11" t="str">
        <v>(null)</v>
      </c>
      <c r="M120" s="18" t="str">
        <f ca="1" xml:space="preserve"> _xlfn.FORMULATEXT(J120)</f>
        <v>= RXL_Union($D$16:$E$20, $H$16:$J$20, $D$15:$E$15, $H$15:$J$15, , , "(null)")</v>
      </c>
    </row>
    <row r="121" spans="4:13" x14ac:dyDescent="0.3">
      <c r="D121" s="11" t="str">
        <v>ABC-002</v>
      </c>
      <c r="E121" s="11">
        <v>165000</v>
      </c>
      <c r="F121" s="11">
        <v>0</v>
      </c>
      <c r="G121" s="11">
        <v>0</v>
      </c>
      <c r="H121" s="11">
        <v>0</v>
      </c>
      <c r="J121" s="11" t="str">
        <v>ABC-002</v>
      </c>
      <c r="K121" s="11">
        <v>165000</v>
      </c>
      <c r="L121" s="11" t="str">
        <v>(null)</v>
      </c>
    </row>
    <row r="122" spans="4:13" x14ac:dyDescent="0.3">
      <c r="D122" s="11" t="str">
        <v>ABC-003</v>
      </c>
      <c r="E122" s="11">
        <v>130000</v>
      </c>
      <c r="F122" s="11">
        <v>0</v>
      </c>
      <c r="G122" s="11">
        <v>0</v>
      </c>
      <c r="H122" s="11">
        <v>0</v>
      </c>
      <c r="J122" s="11" t="str">
        <v>ABC-003</v>
      </c>
      <c r="K122" s="11">
        <v>130000</v>
      </c>
      <c r="L122" s="11" t="str">
        <v>(null)</v>
      </c>
    </row>
    <row r="123" spans="4:13" x14ac:dyDescent="0.3">
      <c r="D123" s="11" t="str">
        <v>ABC-004</v>
      </c>
      <c r="E123" s="11">
        <v>110000</v>
      </c>
      <c r="F123" s="11">
        <v>0</v>
      </c>
      <c r="G123" s="11">
        <v>0</v>
      </c>
      <c r="H123" s="11">
        <v>0</v>
      </c>
      <c r="J123" s="11" t="str">
        <v>ABC-004</v>
      </c>
      <c r="K123" s="11">
        <v>110000</v>
      </c>
      <c r="L123" s="11" t="str">
        <v>(null)</v>
      </c>
    </row>
    <row r="124" spans="4:13" x14ac:dyDescent="0.3">
      <c r="D124" s="11" t="str">
        <v>ABC-005</v>
      </c>
      <c r="E124" s="11">
        <v>240000</v>
      </c>
      <c r="F124" s="11">
        <v>0</v>
      </c>
      <c r="G124" s="11">
        <v>0</v>
      </c>
      <c r="H124" s="11">
        <v>0</v>
      </c>
      <c r="J124" s="11" t="str">
        <v>ABC-005</v>
      </c>
      <c r="K124" s="11">
        <v>240000</v>
      </c>
      <c r="L124" s="11" t="str">
        <v>(null)</v>
      </c>
    </row>
    <row r="125" spans="4:13" x14ac:dyDescent="0.3">
      <c r="D125" s="11">
        <v>0</v>
      </c>
      <c r="E125" s="11">
        <v>0</v>
      </c>
      <c r="F125" s="11" t="str">
        <v>ABC-006</v>
      </c>
      <c r="G125" s="11">
        <v>160000</v>
      </c>
      <c r="H125" s="11">
        <v>192000</v>
      </c>
      <c r="J125" s="11" t="str">
        <v>ABC-006</v>
      </c>
      <c r="K125" s="11">
        <v>160000</v>
      </c>
      <c r="L125" s="11">
        <v>192000</v>
      </c>
    </row>
    <row r="126" spans="4:13" x14ac:dyDescent="0.3">
      <c r="D126" s="11">
        <v>0</v>
      </c>
      <c r="E126" s="11">
        <v>0</v>
      </c>
      <c r="F126" s="11" t="str">
        <v>ABC-007</v>
      </c>
      <c r="G126" s="11">
        <v>240000</v>
      </c>
      <c r="H126" s="11">
        <v>288000</v>
      </c>
      <c r="J126" s="11" t="str">
        <v>ABC-007</v>
      </c>
      <c r="K126" s="11">
        <v>240000</v>
      </c>
      <c r="L126" s="11">
        <v>288000</v>
      </c>
    </row>
    <row r="127" spans="4:13" x14ac:dyDescent="0.3">
      <c r="D127" s="11">
        <v>0</v>
      </c>
      <c r="E127" s="11">
        <v>0</v>
      </c>
      <c r="F127" s="11" t="str">
        <v>ABC-008</v>
      </c>
      <c r="G127" s="11">
        <v>175000</v>
      </c>
      <c r="H127" s="11">
        <v>210000</v>
      </c>
      <c r="J127" s="11" t="str">
        <v>ABC-008</v>
      </c>
      <c r="K127" s="11">
        <v>175000</v>
      </c>
      <c r="L127" s="11">
        <v>210000</v>
      </c>
    </row>
    <row r="128" spans="4:13" x14ac:dyDescent="0.3">
      <c r="D128" s="11">
        <v>0</v>
      </c>
      <c r="E128" s="11">
        <v>0</v>
      </c>
      <c r="F128" s="11" t="str">
        <v>ABC-009</v>
      </c>
      <c r="G128" s="11">
        <v>110000</v>
      </c>
      <c r="H128" s="11">
        <v>132000</v>
      </c>
      <c r="J128" s="11" t="str">
        <v>ABC-009</v>
      </c>
      <c r="K128" s="11">
        <v>110000</v>
      </c>
      <c r="L128" s="11">
        <v>132000</v>
      </c>
    </row>
    <row r="129" spans="3:13" x14ac:dyDescent="0.3">
      <c r="D129" s="11">
        <v>0</v>
      </c>
      <c r="E129" s="11">
        <v>0</v>
      </c>
      <c r="F129" s="11" t="str">
        <v>ABC-010</v>
      </c>
      <c r="G129" s="11">
        <v>215000</v>
      </c>
      <c r="H129" s="11">
        <v>258000</v>
      </c>
      <c r="J129" s="11" t="str">
        <v>ABC-010</v>
      </c>
      <c r="K129" s="11">
        <v>215000</v>
      </c>
      <c r="L129" s="11">
        <v>258000</v>
      </c>
    </row>
    <row r="130" spans="3:13" x14ac:dyDescent="0.3">
      <c r="D130" s="18" t="str">
        <f ca="1" xml:space="preserve"> _xlfn.FORMULATEXT(D120)</f>
        <v>= RXL_Union($D$16:$E$20, $H$16:$J$20, $D$15:$E$15, $H$14:$J$14, , , 0)</v>
      </c>
    </row>
    <row r="133" spans="3:13" x14ac:dyDescent="0.3">
      <c r="C133" s="4" t="s">
        <v>244</v>
      </c>
    </row>
    <row r="134" spans="3:13" x14ac:dyDescent="0.3">
      <c r="D134" t="s">
        <v>311</v>
      </c>
      <c r="J134" t="s">
        <v>311</v>
      </c>
    </row>
    <row r="135" spans="3:13" x14ac:dyDescent="0.3">
      <c r="D135" t="s">
        <v>310</v>
      </c>
      <c r="J135" t="s">
        <v>309</v>
      </c>
    </row>
    <row r="136" spans="3:13" x14ac:dyDescent="0.3">
      <c r="D136" t="s">
        <v>323</v>
      </c>
      <c r="J136" t="s">
        <v>323</v>
      </c>
    </row>
    <row r="137" spans="3:13" x14ac:dyDescent="0.3">
      <c r="D137" t="s">
        <v>322</v>
      </c>
      <c r="F137" s="29">
        <v>1</v>
      </c>
      <c r="J137" t="s">
        <v>322</v>
      </c>
      <c r="L137" s="29">
        <v>1</v>
      </c>
    </row>
    <row r="138" spans="3:13" x14ac:dyDescent="0.3">
      <c r="D138" s="14" t="str" cm="1">
        <f t="array" ref="D138:H148" xml:space="preserve"> RXL_Union($D$16:$E$20, $H$16:$J$20, $D$15:$E$15, $H$14:$J$14, F137, , 0)</f>
        <v>Account</v>
      </c>
      <c r="E138" t="str">
        <v>Income</v>
      </c>
      <c r="F138" t="str">
        <v>Customer</v>
      </c>
      <c r="G138" t="str">
        <v>Sales</v>
      </c>
      <c r="H138" t="str">
        <v>Other</v>
      </c>
      <c r="J138" s="14" t="str" cm="1">
        <f t="array" ref="J138:L148" xml:space="preserve"> RXL_Union($D$16:$E$20, $H$16:$J$20, $D$15:$E$15, $H$15:$J$15, L137, , 0)</f>
        <v>Account</v>
      </c>
      <c r="K138" t="str">
        <v>Income</v>
      </c>
      <c r="L138" t="str">
        <v>inc. Tax</v>
      </c>
      <c r="M138" s="18" t="str">
        <f ca="1" xml:space="preserve"> _xlfn.FORMULATEXT(J138)</f>
        <v>= RXL_Union($D$16:$E$20, $H$16:$J$20, $D$15:$E$15, $H$15:$J$15, L137, , 0)</v>
      </c>
    </row>
    <row r="139" spans="3:13" x14ac:dyDescent="0.3">
      <c r="D139" t="str">
        <v>ABC-001</v>
      </c>
      <c r="E139">
        <v>170000</v>
      </c>
      <c r="F139">
        <v>0</v>
      </c>
      <c r="G139">
        <v>0</v>
      </c>
      <c r="H139">
        <v>0</v>
      </c>
      <c r="J139" t="str">
        <v>ABC-001</v>
      </c>
      <c r="K139">
        <v>170000</v>
      </c>
      <c r="L139">
        <v>0</v>
      </c>
    </row>
    <row r="140" spans="3:13" x14ac:dyDescent="0.3">
      <c r="D140" t="str">
        <v>ABC-002</v>
      </c>
      <c r="E140">
        <v>165000</v>
      </c>
      <c r="F140">
        <v>0</v>
      </c>
      <c r="G140">
        <v>0</v>
      </c>
      <c r="H140">
        <v>0</v>
      </c>
      <c r="J140" t="str">
        <v>ABC-002</v>
      </c>
      <c r="K140">
        <v>165000</v>
      </c>
      <c r="L140">
        <v>0</v>
      </c>
    </row>
    <row r="141" spans="3:13" x14ac:dyDescent="0.3">
      <c r="D141" t="str">
        <v>ABC-003</v>
      </c>
      <c r="E141">
        <v>130000</v>
      </c>
      <c r="F141">
        <v>0</v>
      </c>
      <c r="G141">
        <v>0</v>
      </c>
      <c r="H141">
        <v>0</v>
      </c>
      <c r="J141" t="str">
        <v>ABC-003</v>
      </c>
      <c r="K141">
        <v>130000</v>
      </c>
      <c r="L141">
        <v>0</v>
      </c>
    </row>
    <row r="142" spans="3:13" x14ac:dyDescent="0.3">
      <c r="D142" t="str">
        <v>ABC-004</v>
      </c>
      <c r="E142">
        <v>110000</v>
      </c>
      <c r="F142">
        <v>0</v>
      </c>
      <c r="G142">
        <v>0</v>
      </c>
      <c r="H142">
        <v>0</v>
      </c>
      <c r="J142" t="str">
        <v>ABC-004</v>
      </c>
      <c r="K142">
        <v>110000</v>
      </c>
      <c r="L142">
        <v>0</v>
      </c>
    </row>
    <row r="143" spans="3:13" x14ac:dyDescent="0.3">
      <c r="D143" t="str">
        <v>ABC-005</v>
      </c>
      <c r="E143">
        <v>240000</v>
      </c>
      <c r="F143">
        <v>0</v>
      </c>
      <c r="G143">
        <v>0</v>
      </c>
      <c r="H143">
        <v>0</v>
      </c>
      <c r="J143" t="str">
        <v>ABC-005</v>
      </c>
      <c r="K143">
        <v>240000</v>
      </c>
      <c r="L143">
        <v>0</v>
      </c>
    </row>
    <row r="144" spans="3:13" x14ac:dyDescent="0.3">
      <c r="D144">
        <v>0</v>
      </c>
      <c r="E144">
        <v>0</v>
      </c>
      <c r="F144" t="str">
        <v>ABC-006</v>
      </c>
      <c r="G144">
        <v>160000</v>
      </c>
      <c r="H144">
        <v>192000</v>
      </c>
      <c r="J144" t="str">
        <v>ABC-006</v>
      </c>
      <c r="K144">
        <v>160000</v>
      </c>
      <c r="L144">
        <v>192000</v>
      </c>
    </row>
    <row r="145" spans="4:13" x14ac:dyDescent="0.3">
      <c r="D145">
        <v>0</v>
      </c>
      <c r="E145">
        <v>0</v>
      </c>
      <c r="F145" t="str">
        <v>ABC-007</v>
      </c>
      <c r="G145">
        <v>240000</v>
      </c>
      <c r="H145">
        <v>288000</v>
      </c>
      <c r="J145" t="str">
        <v>ABC-007</v>
      </c>
      <c r="K145">
        <v>240000</v>
      </c>
      <c r="L145">
        <v>288000</v>
      </c>
    </row>
    <row r="146" spans="4:13" x14ac:dyDescent="0.3">
      <c r="D146">
        <v>0</v>
      </c>
      <c r="E146">
        <v>0</v>
      </c>
      <c r="F146" t="str">
        <v>ABC-008</v>
      </c>
      <c r="G146">
        <v>175000</v>
      </c>
      <c r="H146">
        <v>210000</v>
      </c>
      <c r="J146" t="str">
        <v>ABC-008</v>
      </c>
      <c r="K146">
        <v>175000</v>
      </c>
      <c r="L146">
        <v>210000</v>
      </c>
    </row>
    <row r="147" spans="4:13" x14ac:dyDescent="0.3">
      <c r="D147">
        <v>0</v>
      </c>
      <c r="E147">
        <v>0</v>
      </c>
      <c r="F147" t="str">
        <v>ABC-009</v>
      </c>
      <c r="G147">
        <v>110000</v>
      </c>
      <c r="H147">
        <v>132000</v>
      </c>
      <c r="J147" t="str">
        <v>ABC-009</v>
      </c>
      <c r="K147">
        <v>110000</v>
      </c>
      <c r="L147">
        <v>132000</v>
      </c>
    </row>
    <row r="148" spans="4:13" x14ac:dyDescent="0.3">
      <c r="D148">
        <v>0</v>
      </c>
      <c r="E148">
        <v>0</v>
      </c>
      <c r="F148" t="str">
        <v>ABC-010</v>
      </c>
      <c r="G148">
        <v>215000</v>
      </c>
      <c r="H148">
        <v>258000</v>
      </c>
      <c r="J148" t="str">
        <v>ABC-010</v>
      </c>
      <c r="K148">
        <v>215000</v>
      </c>
      <c r="L148">
        <v>258000</v>
      </c>
    </row>
    <row r="149" spans="4:13" x14ac:dyDescent="0.3">
      <c r="D149" s="18" t="str">
        <f ca="1" xml:space="preserve"> _xlfn.FORMULATEXT(D138)</f>
        <v>= RXL_Union($D$16:$E$20, $H$16:$J$20, $D$15:$E$15, $H$14:$J$14, F137, , 0)</v>
      </c>
    </row>
    <row r="152" spans="4:13" x14ac:dyDescent="0.3">
      <c r="D152" t="s">
        <v>314</v>
      </c>
      <c r="J152" t="s">
        <v>314</v>
      </c>
    </row>
    <row r="153" spans="4:13" x14ac:dyDescent="0.3">
      <c r="D153" t="s">
        <v>316</v>
      </c>
      <c r="J153" t="s">
        <v>316</v>
      </c>
    </row>
    <row r="154" spans="4:13" x14ac:dyDescent="0.3">
      <c r="D154" t="s">
        <v>323</v>
      </c>
      <c r="J154" t="s">
        <v>323</v>
      </c>
    </row>
    <row r="155" spans="4:13" x14ac:dyDescent="0.3">
      <c r="D155" t="s">
        <v>324</v>
      </c>
      <c r="J155" t="s">
        <v>321</v>
      </c>
    </row>
    <row r="156" spans="4:13" x14ac:dyDescent="0.3">
      <c r="D156" s="14" t="str" cm="1">
        <f t="array" ref="D156:F166" xml:space="preserve"> RXL_Union($D$16:$F$20, $L$16:$N$20, , {1,3,2}, $D$15:$F$15, , 0)</f>
        <v>Account</v>
      </c>
      <c r="E156" t="str">
        <v>Income</v>
      </c>
      <c r="F156" t="str">
        <v>inc. Tax</v>
      </c>
      <c r="J156" s="14" t="str" cm="1">
        <f t="array" ref="J156:L166" xml:space="preserve"> RXL_Union($D$16:$F$20, $L$16:$N$20, , {1,3,2}, {"Col_Acc","Col_Rev","Col_VAT"}, , 0)</f>
        <v>Col_Acc</v>
      </c>
      <c r="K156" t="str">
        <v>Col_Rev</v>
      </c>
      <c r="L156" t="str">
        <v>Col_VAT</v>
      </c>
      <c r="M156" s="18" t="str">
        <f ca="1" xml:space="preserve"> _xlfn.FORMULATEXT(J156)</f>
        <v>= RXL_Union($D$16:$F$20, $L$16:$N$20, , {1,3,2}, {"Col_Acc","Col_Rev","Col_VAT"}, , 0)</v>
      </c>
    </row>
    <row r="157" spans="4:13" x14ac:dyDescent="0.3">
      <c r="D157" t="str">
        <v>ABC-001</v>
      </c>
      <c r="E157">
        <v>170000</v>
      </c>
      <c r="F157">
        <v>204000</v>
      </c>
      <c r="J157" t="str">
        <v>ABC-001</v>
      </c>
      <c r="K157">
        <v>170000</v>
      </c>
      <c r="L157">
        <v>204000</v>
      </c>
    </row>
    <row r="158" spans="4:13" x14ac:dyDescent="0.3">
      <c r="D158" t="str">
        <v>ABC-002</v>
      </c>
      <c r="E158">
        <v>165000</v>
      </c>
      <c r="F158">
        <v>198000</v>
      </c>
      <c r="J158" t="str">
        <v>ABC-002</v>
      </c>
      <c r="K158">
        <v>165000</v>
      </c>
      <c r="L158">
        <v>198000</v>
      </c>
    </row>
    <row r="159" spans="4:13" x14ac:dyDescent="0.3">
      <c r="D159" t="str">
        <v>ABC-003</v>
      </c>
      <c r="E159">
        <v>130000</v>
      </c>
      <c r="F159">
        <v>156000</v>
      </c>
      <c r="J159" t="str">
        <v>ABC-003</v>
      </c>
      <c r="K159">
        <v>130000</v>
      </c>
      <c r="L159">
        <v>156000</v>
      </c>
    </row>
    <row r="160" spans="4:13" x14ac:dyDescent="0.3">
      <c r="D160" t="str">
        <v>ABC-004</v>
      </c>
      <c r="E160">
        <v>110000</v>
      </c>
      <c r="F160">
        <v>132000</v>
      </c>
      <c r="J160" t="str">
        <v>ABC-004</v>
      </c>
      <c r="K160">
        <v>110000</v>
      </c>
      <c r="L160">
        <v>132000</v>
      </c>
    </row>
    <row r="161" spans="2:12" x14ac:dyDescent="0.3">
      <c r="D161" t="str">
        <v>ABC-005</v>
      </c>
      <c r="E161">
        <v>240000</v>
      </c>
      <c r="F161">
        <v>288000</v>
      </c>
      <c r="J161" t="str">
        <v>ABC-005</v>
      </c>
      <c r="K161">
        <v>240000</v>
      </c>
      <c r="L161">
        <v>288000</v>
      </c>
    </row>
    <row r="162" spans="2:12" x14ac:dyDescent="0.3">
      <c r="D162" t="str">
        <v>ABC-006</v>
      </c>
      <c r="E162">
        <v>160000</v>
      </c>
      <c r="F162">
        <v>192000</v>
      </c>
      <c r="J162" t="str">
        <v>ABC-006</v>
      </c>
      <c r="K162">
        <v>160000</v>
      </c>
      <c r="L162">
        <v>192000</v>
      </c>
    </row>
    <row r="163" spans="2:12" x14ac:dyDescent="0.3">
      <c r="D163" t="str">
        <v>ABC-007</v>
      </c>
      <c r="E163">
        <v>240000</v>
      </c>
      <c r="F163">
        <v>288000</v>
      </c>
      <c r="J163" t="str">
        <v>ABC-007</v>
      </c>
      <c r="K163">
        <v>240000</v>
      </c>
      <c r="L163">
        <v>288000</v>
      </c>
    </row>
    <row r="164" spans="2:12" x14ac:dyDescent="0.3">
      <c r="D164" t="str">
        <v>ABC-008</v>
      </c>
      <c r="E164">
        <v>175000</v>
      </c>
      <c r="F164">
        <v>210000</v>
      </c>
      <c r="J164" t="str">
        <v>ABC-008</v>
      </c>
      <c r="K164">
        <v>175000</v>
      </c>
      <c r="L164">
        <v>210000</v>
      </c>
    </row>
    <row r="165" spans="2:12" x14ac:dyDescent="0.3">
      <c r="D165" t="str">
        <v>ABC-009</v>
      </c>
      <c r="E165">
        <v>110000</v>
      </c>
      <c r="F165">
        <v>132000</v>
      </c>
      <c r="J165" t="str">
        <v>ABC-009</v>
      </c>
      <c r="K165">
        <v>110000</v>
      </c>
      <c r="L165">
        <v>132000</v>
      </c>
    </row>
    <row r="166" spans="2:12" x14ac:dyDescent="0.3">
      <c r="D166" t="str">
        <v>ABC-010</v>
      </c>
      <c r="E166">
        <v>215000</v>
      </c>
      <c r="F166">
        <v>258000</v>
      </c>
      <c r="J166" t="str">
        <v>ABC-010</v>
      </c>
      <c r="K166">
        <v>215000</v>
      </c>
      <c r="L166">
        <v>258000</v>
      </c>
    </row>
    <row r="167" spans="2:12" x14ac:dyDescent="0.3">
      <c r="D167" s="18" t="str">
        <f ca="1" xml:space="preserve"> _xlfn.FORMULATEXT(D156)</f>
        <v>= RXL_Union($D$16:$F$20, $L$16:$N$20, , {1,3,2}, $D$15:$F$15, , 0)</v>
      </c>
    </row>
    <row r="169" spans="2:12" ht="14.4" thickBot="1" x14ac:dyDescent="0.35"/>
    <row r="170" spans="2:12" s="28" customFormat="1" x14ac:dyDescent="0.3">
      <c r="B170" s="28" t="s">
        <v>31</v>
      </c>
    </row>
  </sheetData>
  <conditionalFormatting sqref="D156:F166">
    <cfRule type="expression" dxfId="8" priority="4">
      <formula>AND(NOT(ISBLANK(D156)),(ROW(D156)-ROW($D$156))=0)</formula>
    </cfRule>
  </conditionalFormatting>
  <conditionalFormatting sqref="D26:G35 D41:G50 I41:J50 D56:H65 J56:L65 D88:H97">
    <cfRule type="expression" dxfId="7" priority="10">
      <formula>ISNA(D26)</formula>
    </cfRule>
  </conditionalFormatting>
  <conditionalFormatting sqref="D138:H148 J138:L148 D156:F166">
    <cfRule type="expression" dxfId="6" priority="8">
      <formula>ISNA(D138)</formula>
    </cfRule>
    <cfRule type="expression" dxfId="5" priority="9">
      <formula>NOT(ISBLANK(D138))</formula>
    </cfRule>
  </conditionalFormatting>
  <conditionalFormatting sqref="D138:H148">
    <cfRule type="expression" dxfId="4" priority="6">
      <formula>AND($F$137=1,NOT(ISBLANK(D138)),(ROW(D138)-ROW($D$138))=0)</formula>
    </cfRule>
  </conditionalFormatting>
  <conditionalFormatting sqref="J138:L148">
    <cfRule type="expression" dxfId="3" priority="5">
      <formula>AND($L$137=1,NOT(ISBLANK(J138)),(ROW(J138)-ROW($J$138))=0)</formula>
    </cfRule>
  </conditionalFormatting>
  <conditionalFormatting sqref="J156:L166">
    <cfRule type="expression" dxfId="2" priority="1">
      <formula>AND(NOT(ISBLANK(J156)),(ROW(J156)-ROW($D$156))=0)</formula>
    </cfRule>
    <cfRule type="expression" dxfId="1" priority="2">
      <formula>ISNA(J156)</formula>
    </cfRule>
    <cfRule type="expression" dxfId="0" priority="3">
      <formula>NOT(ISBLANK(J156))</formula>
    </cfRule>
  </conditionalFormatting>
  <dataValidations disablePrompts="1" count="1">
    <dataValidation type="list" allowBlank="1" showInputMessage="1" showErrorMessage="1" sqref="F137 L137" xr:uid="{433BD0AE-A43A-4A44-8307-22C7B7EDF580}">
      <formula1>_YesNo</formula1>
    </dataValidation>
  </dataValidations>
  <hyperlinks>
    <hyperlink ref="E8" r:id="rId1" xr:uid="{6B91AE82-D135-4DC8-B572-F497254B8205}"/>
  </hyperlinks>
  <pageMargins left="0.7" right="0.7" top="0.75" bottom="0.75" header="0.3" footer="0.3"/>
  <ignoredErrors>
    <ignoredError sqref="F26:G30 D31:E35 F41:G45 D46:E50 F56:H60 D61:E65 L56:L60 F88:H92 D93:E97" evalError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D0F2-4F6A-4E2A-9975-23D7E15926EC}">
  <sheetPr codeName="Sheet3"/>
  <dimension ref="B1:C110"/>
  <sheetViews>
    <sheetView showGridLines="0" workbookViewId="0"/>
  </sheetViews>
  <sheetFormatPr defaultRowHeight="13.8" x14ac:dyDescent="0.3"/>
  <cols>
    <col min="1" max="2" width="4.33203125" customWidth="1"/>
  </cols>
  <sheetData>
    <row r="1" spans="2:3" s="2" customFormat="1" ht="30" customHeight="1" x14ac:dyDescent="0.3">
      <c r="C1" s="20" t="s">
        <v>27</v>
      </c>
    </row>
    <row r="2" spans="2:3" s="13" customFormat="1" ht="16.2" thickBot="1" x14ac:dyDescent="0.35">
      <c r="B2" s="15">
        <f xml:space="preserve"> MAX(B$1:B1) + 1</f>
        <v>1</v>
      </c>
      <c r="C2" s="13" t="s">
        <v>248</v>
      </c>
    </row>
    <row r="4" spans="2:3" x14ac:dyDescent="0.3">
      <c r="C4" t="s">
        <v>250</v>
      </c>
    </row>
    <row r="6" spans="2:3" x14ac:dyDescent="0.3">
      <c r="B6" s="23" t="s">
        <v>251</v>
      </c>
      <c r="C6" t="s">
        <v>252</v>
      </c>
    </row>
    <row r="7" spans="2:3" x14ac:dyDescent="0.3">
      <c r="B7" s="23" t="s">
        <v>253</v>
      </c>
      <c r="C7" t="s">
        <v>254</v>
      </c>
    </row>
    <row r="8" spans="2:3" x14ac:dyDescent="0.3">
      <c r="C8" s="58"/>
    </row>
    <row r="17" spans="2:3" x14ac:dyDescent="0.3">
      <c r="B17" s="23" t="s">
        <v>255</v>
      </c>
      <c r="C17" t="s">
        <v>256</v>
      </c>
    </row>
    <row r="38" spans="2:3" x14ac:dyDescent="0.3">
      <c r="B38" s="23" t="s">
        <v>257</v>
      </c>
      <c r="C38" t="s">
        <v>258</v>
      </c>
    </row>
    <row r="39" spans="2:3" x14ac:dyDescent="0.3">
      <c r="B39" s="23" t="s">
        <v>259</v>
      </c>
      <c r="C39" t="s">
        <v>260</v>
      </c>
    </row>
    <row r="40" spans="2:3" x14ac:dyDescent="0.3">
      <c r="C40" t="s">
        <v>261</v>
      </c>
    </row>
    <row r="64" spans="2:3" x14ac:dyDescent="0.3">
      <c r="B64" s="23" t="s">
        <v>262</v>
      </c>
      <c r="C64" t="s">
        <v>263</v>
      </c>
    </row>
    <row r="71" spans="2:3" s="13" customFormat="1" ht="16.2" thickBot="1" x14ac:dyDescent="0.35">
      <c r="B71" s="15">
        <f xml:space="preserve"> MAX(B$1:B70) + 1</f>
        <v>2</v>
      </c>
      <c r="C71" s="13" t="s">
        <v>249</v>
      </c>
    </row>
    <row r="73" spans="2:3" x14ac:dyDescent="0.3">
      <c r="C73" s="55" t="s">
        <v>279</v>
      </c>
    </row>
    <row r="74" spans="2:3" x14ac:dyDescent="0.3">
      <c r="C74" s="55"/>
    </row>
    <row r="75" spans="2:3" x14ac:dyDescent="0.3">
      <c r="C75" s="55" t="s">
        <v>281</v>
      </c>
    </row>
    <row r="76" spans="2:3" x14ac:dyDescent="0.3">
      <c r="C76" s="55" t="s">
        <v>282</v>
      </c>
    </row>
    <row r="77" spans="2:3" x14ac:dyDescent="0.3">
      <c r="C77" s="55" t="s">
        <v>264</v>
      </c>
    </row>
    <row r="78" spans="2:3" x14ac:dyDescent="0.3">
      <c r="C78" s="56" t="s">
        <v>265</v>
      </c>
    </row>
    <row r="79" spans="2:3" x14ac:dyDescent="0.3">
      <c r="C79" s="55" t="s">
        <v>280</v>
      </c>
    </row>
    <row r="80" spans="2:3" x14ac:dyDescent="0.3">
      <c r="C80" s="55" t="s">
        <v>264</v>
      </c>
    </row>
    <row r="81" spans="3:3" x14ac:dyDescent="0.3">
      <c r="C81" s="57" t="s">
        <v>266</v>
      </c>
    </row>
    <row r="82" spans="3:3" x14ac:dyDescent="0.3">
      <c r="C82" s="56" t="s">
        <v>267</v>
      </c>
    </row>
    <row r="83" spans="3:3" x14ac:dyDescent="0.3">
      <c r="C83" s="55" t="s">
        <v>283</v>
      </c>
    </row>
    <row r="84" spans="3:3" x14ac:dyDescent="0.3">
      <c r="C84" s="57" t="s">
        <v>268</v>
      </c>
    </row>
    <row r="85" spans="3:3" x14ac:dyDescent="0.3">
      <c r="C85" s="55" t="s">
        <v>284</v>
      </c>
    </row>
    <row r="86" spans="3:3" x14ac:dyDescent="0.3">
      <c r="C86" s="55" t="s">
        <v>285</v>
      </c>
    </row>
    <row r="87" spans="3:3" x14ac:dyDescent="0.3">
      <c r="C87" s="57" t="s">
        <v>269</v>
      </c>
    </row>
    <row r="88" spans="3:3" x14ac:dyDescent="0.3">
      <c r="C88" s="57" t="s">
        <v>270</v>
      </c>
    </row>
    <row r="89" spans="3:3" x14ac:dyDescent="0.3">
      <c r="C89" s="55" t="s">
        <v>264</v>
      </c>
    </row>
    <row r="90" spans="3:3" x14ac:dyDescent="0.3">
      <c r="C90" s="57" t="s">
        <v>266</v>
      </c>
    </row>
    <row r="91" spans="3:3" x14ac:dyDescent="0.3">
      <c r="C91" s="55" t="s">
        <v>286</v>
      </c>
    </row>
    <row r="92" spans="3:3" x14ac:dyDescent="0.3">
      <c r="C92" s="55" t="s">
        <v>287</v>
      </c>
    </row>
    <row r="93" spans="3:3" x14ac:dyDescent="0.3">
      <c r="C93" s="55" t="s">
        <v>271</v>
      </c>
    </row>
    <row r="94" spans="3:3" x14ac:dyDescent="0.3">
      <c r="C94" s="55" t="s">
        <v>288</v>
      </c>
    </row>
    <row r="95" spans="3:3" x14ac:dyDescent="0.3">
      <c r="C95" s="55" t="s">
        <v>272</v>
      </c>
    </row>
    <row r="96" spans="3:3" x14ac:dyDescent="0.3">
      <c r="C96" s="55" t="s">
        <v>273</v>
      </c>
    </row>
    <row r="97" spans="2:3" x14ac:dyDescent="0.3">
      <c r="C97" s="55" t="s">
        <v>289</v>
      </c>
    </row>
    <row r="98" spans="2:3" x14ac:dyDescent="0.3">
      <c r="C98" s="55" t="s">
        <v>274</v>
      </c>
    </row>
    <row r="99" spans="2:3" x14ac:dyDescent="0.3">
      <c r="C99" s="55" t="s">
        <v>290</v>
      </c>
    </row>
    <row r="100" spans="2:3" x14ac:dyDescent="0.3">
      <c r="C100" s="57" t="s">
        <v>275</v>
      </c>
    </row>
    <row r="101" spans="2:3" x14ac:dyDescent="0.3">
      <c r="C101" s="55" t="s">
        <v>291</v>
      </c>
    </row>
    <row r="102" spans="2:3" x14ac:dyDescent="0.3">
      <c r="C102" s="57" t="s">
        <v>276</v>
      </c>
    </row>
    <row r="103" spans="2:3" x14ac:dyDescent="0.3">
      <c r="C103" s="57" t="s">
        <v>277</v>
      </c>
    </row>
    <row r="104" spans="2:3" x14ac:dyDescent="0.3">
      <c r="C104" s="55" t="s">
        <v>292</v>
      </c>
    </row>
    <row r="105" spans="2:3" x14ac:dyDescent="0.3">
      <c r="C105" s="57" t="s">
        <v>270</v>
      </c>
    </row>
    <row r="106" spans="2:3" x14ac:dyDescent="0.3">
      <c r="C106" s="55" t="s">
        <v>264</v>
      </c>
    </row>
    <row r="107" spans="2:3" x14ac:dyDescent="0.3">
      <c r="C107" s="57" t="s">
        <v>278</v>
      </c>
    </row>
    <row r="109" spans="2:3" ht="14.4" thickBot="1" x14ac:dyDescent="0.35"/>
    <row r="110" spans="2:3" s="28" customFormat="1" x14ac:dyDescent="0.3">
      <c r="B110" s="28" t="s">
        <v>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2EC9-017B-47C2-904B-18191FC0F19F}">
  <sheetPr codeName="Sheet4"/>
  <dimension ref="B1:D19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4" s="2" customFormat="1" ht="30" customHeight="1" x14ac:dyDescent="0.3">
      <c r="C1" s="20" t="s">
        <v>28</v>
      </c>
    </row>
    <row r="3" spans="2:4" x14ac:dyDescent="0.3">
      <c r="B3" s="24">
        <v>1</v>
      </c>
      <c r="C3" s="25">
        <v>1</v>
      </c>
    </row>
    <row r="4" spans="2:4" x14ac:dyDescent="0.3">
      <c r="B4" s="24">
        <v>0</v>
      </c>
      <c r="C4" s="25">
        <v>0</v>
      </c>
      <c r="D4" s="27" t="s">
        <v>29</v>
      </c>
    </row>
    <row r="6" spans="2:4" x14ac:dyDescent="0.3">
      <c r="B6" s="24">
        <v>1</v>
      </c>
      <c r="C6" s="26">
        <v>1</v>
      </c>
    </row>
    <row r="7" spans="2:4" x14ac:dyDescent="0.3">
      <c r="B7" s="24">
        <v>0</v>
      </c>
      <c r="C7" s="26">
        <v>0</v>
      </c>
      <c r="D7" s="27" t="s">
        <v>30</v>
      </c>
    </row>
    <row r="10" spans="2:4" x14ac:dyDescent="0.3">
      <c r="C10" s="22" t="s">
        <v>10</v>
      </c>
    </row>
    <row r="11" spans="2:4" x14ac:dyDescent="0.3">
      <c r="C11" s="22" t="s">
        <v>12</v>
      </c>
    </row>
    <row r="12" spans="2:4" x14ac:dyDescent="0.3">
      <c r="C12" s="22" t="s">
        <v>25</v>
      </c>
      <c r="D12" s="27" t="s">
        <v>32</v>
      </c>
    </row>
    <row r="14" spans="2:4" x14ac:dyDescent="0.3">
      <c r="C14" s="22" t="s">
        <v>11</v>
      </c>
    </row>
    <row r="15" spans="2:4" x14ac:dyDescent="0.3">
      <c r="C15" s="22" t="s">
        <v>13</v>
      </c>
    </row>
    <row r="16" spans="2:4" x14ac:dyDescent="0.3">
      <c r="C16" s="22" t="s">
        <v>26</v>
      </c>
      <c r="D16" s="27" t="s">
        <v>233</v>
      </c>
    </row>
    <row r="18" spans="2:2" ht="14.4" thickBot="1" x14ac:dyDescent="0.35"/>
    <row r="19" spans="2:2" s="28" customFormat="1" x14ac:dyDescent="0.3">
      <c r="B19" s="28" t="s">
        <v>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8AKgAgACAAUgBYAEwAXwBVAG4AaQBvAG4AIABGAHUAbgBjAHQAaQBvAG4AXABuACAAIAAgACAAIAAgACAAIAB2AGUAcgBzAGkAbwBuACAAMQAuADAANQAgACAAKAAwADMALwAwADcALwAyADAAMgA1ACkAXABuACAAIAAgACAAIAAgACAAIABSACAAUwBpAGwAawAsACAAUgBYAEwAIABEAGUAdgBlAGwAbwBwAG0AZQBuAHQAXABuACAAIAAgACAAIAAgACAAIABoAHQAdABwAHMAOgAvAC8AZwBpAHMAdAAuAGcAaQB0AGgAdQBiAC4AYwBvAG0ALwByAC0AcwBpAGwAawAvADkAZAAwADUAMAA1AGEAMQAzADIAZAAwAGEANQA0AGIAOQBkAGUANgAzADMAMQAzAGYAZABiADEANwA2AGEANgBcAG4AKgAvAFwAbgAvACoAXABuACAAIAAgACAATgBhAG0AZQA6ACAAIAAgACAAIAAgACAAIABVAG4AaQBvAG4AKAApAFwAbgAgACAAIAAgAEQAZQBzAGMAcgBpAHAAdABpAG8AbgA6ACAAKgAvAC8AKgAqAFMAdABhAGMAawBzACAAdAB3AG8AIABkAGEAdABhACAAdABhAGIAbABlAHMAIAB0AG8AZwBlAHQAaABlAHIAIABtAGEAdABjAGgAaQBuAGcAIABkAGEAdABhACAAYwBvAGwAdQBtAG4AcwAgAGIAYQBzAGUAZAAgAG8AbgAgAGMAbwBsAHUAbQBuACAAdABpAHQAbABlAHMALwBoAGUAYQBkAGUAcgBzADsAIABzAGkAbQBpAGwAYQByACAAdABvACAAdABoAGUAIABTAFEATAAgAFUATgBJAE8ATgAgAG8AcABlAHIAYQB0AGkAbwBuACoALwAvACoAXABuACAAIAAgACAAUABhAHIAYQBtAGUAdABlAHIAcwA6AFwAbgAgACAAIAAgACAAIAAgACAAKwAgAGYAaQByAHMAdABfAGEAcgByAGEAeQAgACAAIAA9ACAAKAByAGUAcQB1AGkAcgBlAGQAKQAgAFQAaABlACAAZgBpAHIAcwB0ACAAbwByACAAbQBhAGkAbgAgACgAcAByAGkAbQBhAHIAeQApACAAZABhAHQAYQAgAGEAcgByAGEAeQAsACAAdABvACAAdwBoAGkAYwBoACAAdABoAGUAIABzAGUAYwBvAG4AZAAgACgAcwBlAGMAbwBuAGQAYQByAHkAKQAgAGQAYQB0AGEAIABhAHIAcgBhAHkAIAB3AGkAbABsACAAYgBlACAAYQBkAGQAZQBkAFwAbgAgACAAIAAgACAAIAAgACAAKwAgAHMAZQBjAG8AbgBkAF8AYQByAHIAYQB5ACAAIAA9ACAAKAByAGUAcQB1AGkAcgBlAGQAKQAgAFQAaABlACAAcwBlAGMAbwBuAGQAIAAoAHMAZQBjAG8AbgBkAGEAcgB5ACkAIABkAGEAdABhACAAYQByAHIAYQB5ACwAIAB3AGgAaQBjAGgAIABpAHMAIABhAGQAZABlAGQAIAB0AG8AIAB0AGgAZQAgAGYAaQByAHMAdAAgACgAcAByAGkAbQBhAHIAeQApACAAZABhAHQAYQAgAGEAcgByAGEAeQBcAG4AIAAgACAAIAAgACAAIAAgACsAIABmAGkAcgBzAHQAXwB0AGkAdABsAGUAcwAgACAAPQAgACgAbwBwAHQAaQBvAG4AYQBsACkAIABUAGgAZQAgAGMAbwBsAHUAbQBuACAAdABpAHQAbABlAHMALwBoAGUAYQBkAGUAcgBzACAAYQBzAHMAbwBjAGkAYQB0AGUAZAAgAHcAaQB0AGgAIAB0AGgAZQAgAGYAaQByAHMAdAAgACgAcAByAGkAbQBhAHIAeQApACAAaQBuAHAAdQB0ACAAZABhAHQAYQAgAGEAcgByAGEAeQBcAG4AIAAgACAAIAAgACAAIAAgACAAIAAgACAAIAAgACAAIAAgACAAIAAgACAAIAAgACAAIAAgACAAIAAgACAAIAAgACAAIAAgACAAIABUAGgAZQAgAGMAbwBsAHUAbQBuACAAdABpAHQAbABlAHMAIABjAGEAbgAgAGIAZQAgAHAAYQBzAHMAZQBkACAAYQBzACAAYQAgAHIAYQBuAGcAZQAvAGMAZQBsAGwAIAByAGUAZgBlAHIAZQBuAGMAZQBzACAAbwByACAAYQBzACAAYQAgAG0AYQBuAHUAYQBsAGwAeQAgAGkAbgBwAHUAdAAgAGEAcgByAGEAeQBcAG4AIAAgACAAIAAgACAAIAAgACAAIAAgACAAIAAgACAAIAAgACAAIAAgACAAIAAgACAAIAAgACAAIAAgACAAIAAgACAAIAAgACAAIABJAGYAIABuAG8AIABpAG4AcAB1AHQAIABpAHMAIABwAHIAbwB2AGkAZABlAGQAIAB0AGgAZQAgAHIAZQBsAGEAdABpAHYAZQAgAHAAbwBzAGkAdABpAG8AbgAgAG8AZgAgAHQAaABlACAAYwBvAGwAdQBtAG4AcwAgAGkAbgAgAHQAaABlACAAZgBpAHIAcwB0AF8AYQByAHIAYQB5ACAAaQBuAHAAdQB0ACAAaQBzACAAdQBzAGUAZAAgAHQAbwAgAGwAYQBiAGUAbAAgAHQAaABlACAAYwBvAGwAdQBtAG4AcwBcAG4AIAAgACAAIAAgACAAIAAgACsAIABzAGUAYwBvAG4AZABfAHQAaQB0AGwAZQBzACAAPQAgACgAbwBwAHQAaQBvAG4AYQBsACkAIABUAGgAZQAgAGMAbwBsAHUAbQBuACAAdABpAHQAbABlAHMALwBoAGUAYQBkAGUAcgBzACAAYQBzAHMAbwBjAGkAYQB0AGUAZAAgAHcAaQB0AGgAIAB0AGgAZQAgAHMAZQBjAG8AbgBkACAAKABzAGUAYwBvAG4AZABhAHIAeQApACAAaQBuAHAAdQB0ACAAZABhAHQAYQAgAGEAcgByAGEAeQBcAG4AIAAgACAAIAAgACAAIAAgACAAIAAgACAAIAAgACAAIAAgACAAIAAgACAAIAAgACAAIAAgACAAIAAgACAAIAAgACAAIAAgACAAIABBAHMAIAB0AGgAZQAgAGYAaQByAHMAdAAgACgAcAByAGkAbQBhAHIAeQApACAAZABhAHQAYQAgAGEAcgByAGEAeQAgAGkAcwAgAHUAcwBlAGQAIABhAHMAIAB0AGgAZQAgAGIAYQBzAGkAcwAgAGYAbwByACAAbQBhAHQAYwBoAGkAbgBnACwAIAB0AGgAZQAgAHUAcwBlAHIAIABjAGEAbgAgAGUAbgB0AGUAcgAgAGEAbgAgAGEAcgByAGEAeQAgAG8AZgAgAG4AdQBtAGUAcgBpAGMAIAB2AGEAbAB1AGUAcwAgAHQAbwAgAGcAaQB2AGUAIAB0AGgAZQAgAHAAbwBzAGkAdABpAG8AbgAgAG8AZgAgAHQAaABlACAAcwBlAGMAbwBuAGQAXwBhAHIAcgBhAHkAIABjAG8AbAB1AG0AbgBzACAAcgBlAGwAYQB0AGkAdgBlACAAdABvACAAdABoAGUAIABmAGkAcgBzAHQAXwBhAHIAcgBhAHkAXABuACAAIAAgACAAIAAgACAAIAAgACAAIAAgACAAIAAgACAAIAAgACAAIAAgACAAIAAgACAAIAAgACAAIAAgACAAIAAgACAAIAAgACAAVABoAGUAIABjAG8AbAB1AG0AbgAgAHQAaQB0AGwAZQBzACAAYwBhAG4AIABiAGUAIABwAGEAcwBzAGUAZAAgAGEAcwAgAGEAIAByAGEAbgBnAGUALwBjAGUAbABsACAAcgBlAGYAZQByAGUAbgBjAGUAcwAgAG8AcgAgAGEAcwAgAGEAIABtAGEAbgB1AGEAbABsAHkAIABpAG4AcAB1AHQAIABhAHIAcgBhAHkAXABuACAAIAAgACAAIAAgACAAIAAgACAAIAAgACAAIAAgACAAIAAgACAAIAAgACAAIAAgACAAIAAgACAAIAAgACAAIAAgACAAIAAgACAASQBmACAAbgBvACAAaQBuAHAAdQB0ACAAaQBzACAAcAByAG8AdgBpAGQAZQBkACAAdABoAGUAIAByAGUAbABhAHQAaQB2AGUAIABwAG8AcwBpAHQAaQBvAG4AIABvAGYAIAB0AGgAZQAgAGMAbwBsAHUAbQBuAHMAIABpAG4AIAB0AGgAZQAgAHMAZQBjAG8AbgBkAF8AYQByAHIAYQB5ACAAaQBuAHAAdQB0ACAAaQBzACAAdQBzAGUAZAAgAHQAbwAgAGwAYQBiAGUAbAAgAHQAaABlACAAYwBvAGwAdQBtAG4AcwBcAG4AIAAgACAAIAAgACAAIAAgACsAIABvAHUAdABwAHUAdABfAHQAaQB0AGwAZQBzACAAPQAgACgAbwBwAHQAaQBvAG4AYQBsACkAIABEAGUAdABlAHIAbQBpAG4AZQBzACAAdwBoAGUAdABoAGUAcgAgAHQAbwAgAGkAbgBjAGwAdQBkAGUAIABjAG8AbAB1AG0AbgAgAHQAaQB0AGwAZQBzAC8AaABlAGEAZABlAHIAcwAgAGEAcwAgAHQAaABlACAAZgBpAHIAcwB0ACAAcgBvAHcAIABvAGYAIAB0AGgAZQAgAGYAdQBuAGMAdABpAG8AbgAgAG8AdQB0AHAAdQB0AFwAbgAgACAAIAAgACAAIAAgACAAIAAgACAAIAAgACAAIAAgACAAIAAgACAAIAAgACAAIAAgACAAIAAgACAAIAAgACAAIAAgACAAIAAgACAAIAAgAEkAZgAgAGkAbgBwAHUAdAAgAGEAcwAgAEYAQQBMAFMARQAvADAAIAAoAGQAZQBmAGEAdQBsAHQAKQAgAHQAaABlAG4AIABuAG8AIAB0AGkAdABsAGUAcwAgAHIAbwB3ACAAaQBzACAAYQBkAGQAZQBkACAAdABvACAAdABoAGUAIABvAHUAdABwAHUAdABcAG4AIAAgACAAIAAgACAAIAAgACAAIAAgACAAIAAgACAAIAAgACAAIAAgACAAIAAgACAAIAAgACAAIAAgACAAIAAgACAAIAAgACAAIAAgACAAIABJAGYAIABpAG4AcAB1AHQAIABhAHMAIABUAFIAVQBFAC8AMQAgAHQAaABlAG4AIABhACAAdABpAHQAbABlAHMAIAByAG8AdwAgAGkAcwAgAGEAZABkAGUAZAAgAHQAbwAgAHQAaABlACAAbwB1AHQAcAB1AHQAIABtAGEAZABlACAAdQBwACAAbwBmACAAdABoAGUAIABjAG8AbQBiAGkAbgBlAGQALwBtAGEAdABjAGgAZQBkACAAYQByAHIAYQB5ACAAdABpAHQAbABlAHMAIABmAHIAbwBtACAAdABoAGUAIABmAGkAcgBzAHQAXwB0AGkAdABsAGUAcwAgAGEAbgBkACAAcwBlAGMAbwBuAGQAXwB0AGkAdABsAGUAcwAgAGkAbgBwAHUAdABzAFwAbgAgACAAIAAgACAAIAAgACAAIAAgACAAIAAgACAAIAAgACAAIAAgACAAIAAgACAAIAAgACAAIAAgACAAIAAgACAAIAAgACAAIAAgACAAIAAgAEkAZgAgAGEAbgAgAGEAcgByAGEAeQAgAG8AZgAgAHYAYQBsAHUAZQBzACAAbwByACAAYQBuAHkAIABvAHQAaABlAHIAIAB2AGEAbAB1AGUAIAAoAGkALgBlAC4AIABuAG8AdAAgAGEAIABzAGkAbgBnAGwAZQAgAGwAbwBnAGkAYwBhAGwAIABvAHIAIABuAHUAbQBlAHIAaQBjACAAdgBhAGwAdQBlACkAIABpAHMAIABwAHIAbwB2AGkAZABlAGQAIAB0AGgAaQBzACAAdwBpAGwAbAAgAGIAZQAgAHUAcwBlAGQAIABhAHMAIAB0AGgAZQAgAGMAbwBsAHUAbQBuACAAdABpAHQAbABlAHMAIAByAG8AdwAgAGkAbgAgAHQAaABlACAAbwB1AHQAcAB1AHQAXABuACAAIAAgACAAIAAgACAAIAArACAAcwBpAG0AcABsAGUAXwBzAHQAYQBjAGsAIAAgAD0AIAAoAG8AcAB0AGkAbwBuAGEAbAApACAARABlAHQAZQByAG0AaQBuAGUAcwAgAHcAaABlAHQAaABlAHIAIAB0AG8AIAB1AHMAZQAgAHMAaQBtAHAAbABlACAAcwB0AGEAYwBrAGkAbgBnACAAZgBvAHIAIAB0AGgAZQAgAHUAbgBpAG8AbgAgAG8AcgAgAHQAbwAgAHUAcwBlACAAdABoAGUAIABjAG8AbAB1AG0AbgAgAG0AYQB0AGMAaABpAG4AZwAgAHUAbgBpAG8AbgAgAGYAdQBuAGMAdABpAG8AbgBhAGwAaQB0AHkAXABuACAAIAAgACAAIAAgACAAIAAgACAAIAAgACAAIAAgACAAIAAgACAAIAAgACAAIAAgACAAIAAgACAAIAAgACAAIAAgACAAIAAgACAAQwBhAG4AIABiAGUAIABpAG4AcAB1AHQAIABhAHMAIABlAGkAdABoAGUAcgAgAFQAUgBVAEUALwBGAEEATABTAEUAIABvAHIAIAAxAC8AMABcAG4AIAAgACAAIAAgACAAIAAgACAAIAAgACAAIAAgACAAIAAgACAAIAAgACAAIAAgACAAIAAgACAAIAAgACAAIAAgACAAIAAgACAAIABXAGkAbABsACAAZABlAGYAYQB1AGwAdAAgAHQAbwAgAEYAQQBMAFMARQAvADAAIABpAGYAIABuAG8AIABpAG4AcAB1AHQAIABpAHMAIABwAHIAbwB2AGkAZABlAGQAIAAoAD0APgAgAGMAbwBsAHUAbQBuACAAbQBhAHQAYwBoAGkAbgBnACkAXABuACAAIAAgACAAIAAgACAAIAArACAAcgBlAHAAbABhAGMAZQBfAG4AYQAgACAAIAAgAD0AIAAoAG8AcAB0AGkAbwBuAGEAbAApACAARABlAHQAZQByAG0AaQBuAGUAcwAgAHcAaABlAHQAaABlAHIAIAB0AG8AIAByAGUAcABsAGEAYwBlACAAIwBOAC8AQQAgAHYAYQBsAHUAZQBzACAAaQBuACAAdABoAGUAIABmAHUAbgBjAHQAaQBvAG4AIABvAHUAdABwAHUAdAAgAHcAaQB0AGgAIABhACAAZABpAGYAZgBlAHIAZQBuAHQAIAB2AGEAbAB1AGUAXABuACAAIAAgACAAIAAgACAAIAAgACAAIAAgACAAIAAgACAAIAAgACAAIAAgACAAIAAgACAAIAAgACAAIAAgACAAIAAgACAAIAAgACAAIAAgACAASQBmACAAaQBuAHAAdQB0ACAAYQBzACAARgBBAEwAUwBFAC8AMAAgACgAZABlAGYAYQB1AGwAdAApACAAdABoAGUAbgAgACMATgAvAEEAIAB2AGEAbAB1AGUAcwAgAHcAaQBsAGwAIABuAG8AdAAgAGIAZQAgAHIAZQBwAGwAYQBjAGUAXABuACAAIAAgACAAIAAgACAAIAAgACAAIAAgACAAIAAgACAAIAAgACAAIAAgACAAIAAgACAAIAAgACAAIAAgACAAIAAgACAAIAAgACAAIAAgACAASQBmACAAaQBuAHAAdQB0ACAAYQBzACAAVABSAFUARQAvADEAIAB0AGgAZQBuACAAIwBOAC8AQQAgAHYAYQBsAHUAZQBzACAAdwBpAGwAbAAgAGIAZQAgAHIAZQBwAGwAYQBjAGUAZAAgAHcAaQB0AGgAIABhACAAYgBsAGEAbgBrACAAcwB0AHIAaQBuAGcAIAAoAFwAIgBcACIAKQBcAG4AIAAgACAAIAAgACAAIAAgACAAIAAgACAAIAAgACAAIAAgACAAIAAgACAAIAAgACAAIAAgACAAIAAgACAAIAAgACAAIAAgACAAIAAgACAAIABJAGYAIABhAG4AeQAgAG8AdABoAGUAcgAgAHYAYQBsAHUAZQAgAGkAcwAgAHAAcgBvAHYAaQBkAGUAZAAgAHQAaABlAG4AIAB0AGgAaQBzACAAdwBpAGwAbAAgAGIAZQAgAHUAcwBlAGQAIAB0AG8AIAByAGUAcABsAGEAYwBlACAAYQBuAHkAIAAjAE4ALwBBACAAdgBhAGwAdQBlAHMAXABuACAAIAAgACAARQByAHIAbwByACAAYwBvAGQAZQBzADoAXABuACAAIAAgACAAIAAgACAAIAAgACAAIAAgACMAVgBBAEwAVQBFACEAIAAgACAAIAAgAD0AIABSAGUAcQB1AGkAcgBlAGQAIABpAG4AcAB1AHQAIABwAGEAcgBhAG0AZQB0AGUAcgBzACAAKABmAGkAcgBzAHQAXwBhAHIAcgBhAHkALAAgAHMAZQBjAG8AbgBkAF8AYQByAHIAYQB5ACkAIABoAGEAdgBlACAAbgBvAHQAIABiAGUAZQBuACAAcAByAG8AdgBpAGQAZQBkACAAbwByACAAYQByAGUAIABpAG4AdgBhAGwAaQBkAFwAbgAgACAAIAAgACAAIAAgACAAIAAgACAAIAAjAEMAQQBMAEMAIQAgACAAIAAgACAAIAA9ACAAVABoAGUAIABuAHUAbQBiAGUAcgAgAG8AZgAgAGMAbwBsAHUAbQBuAHMAIABpAG4AIAB0AGgAZQAgAGYAaQByAHMAdABfAHQAaQB0AGwAZQBzACAAYQBuAGQAIABzAGUAYwBvAG4AZABfAHQAaQB0AGwAZQBzACAAaQBuAHAAdQB0AHMAIABkAG8AIABuAG8AdAAgAG0AYQB0AGMAaAAgAHQAaABvAHMAZQAgAG8AZgAgAHQAaABlACAAZgBpAHIAcwB0AF8AYQByAHIAYQB5ACAAYQBuAGQAIABzAGUAYwBvAG4AZABfAGEAcgByAGEAeQAgAGkAbgBwAHUAdABzACAAcgBlAHMAcABlAGMAdABpAHYAZQBsAHkAXABuACAAIAAgACAAIAAgACAAIAAgACAAIAAgACMAVgBBAEwAVQBFACEAIAAgACAAIAAgAD0AIABJAGYAIAB0AGgAZQAgAG8AdQB0AHAAdQB0AF8AdABpAHQAbABlAHMAIABpAG4AcAB1AHQAIABwAGEAcgBhAG0AZQB0AGUAcgAgAGkAcwAgAHAAcgBvAHYAaQBkAGUAZAAgAGEAcwAgAGEAbgAgAGEAcgByAGEAeQAgAG8AZgAgAHYAYQBsAHUAZQBzACAAdABoAGkAcwAgAG0AdQBzAHQAIABiAGUAIABhACAAMQBEACAAYQByAHIAYQB5ACAAdwBpAHQAaAAgAGEAIABzAGkAbgBnAGwAZQAgAHIAbwB3ACAAbwBuAGwAeQBcAG4AIAAgACAAIAAgACAAIAAgACAAIAAgACAAIwBWAEEATABVAEUAIQAgACAAIAAgACAAPQAgAG8AdQB0AHAAdQB0AF8AdABpAHQAbABlAHMALAAgAHMAaQBtAHAAbABlAF8AcwB0AGEAYwBrACwAIABvAHIAIAByAGUAcABsAGEAYwBlAF8AbgBhACAAaQBuAHAAdQB0ACAAcABhAHIAYQBtAGUAdABlAHIAcwAgAGEAcgBlACAAaQBuAHYAYQBsAGkAZAAgAC0ALQAgAHMAaQBtAHAAbABlAF8AcwB0AGEAYwBrACAAcwBoAG8AdQBsAGQAIABiAGUAIABhACAATABvAGcAaQBjAGEAbAAgAG8AcgAgAG4AdQBtAGUAcgBpAGMAIAB2AGEAbAB1AGUAOwAgAHIAZQBwAGwAYQBjAGUAXwBuAGEAIABpAG4AcAB1AHQAIABtAHUAcwB0ACAAYgBlACAAYQAgAHMAaQBuAGcAbABlACAAdgBhAGwAdQBlACwAIABhAG4AZAAgAG4AbwBuAC0ARQB4AGMAZQBsACAAZQByAHIAbwByACAAdgBhAGwAdQBlAFwAbgAgACAAIAAgAE4AbwB0AGUAcwA6AFwAbgAgACAAIAAgACAAIAAgACAALQAgAEEAdAB0AGUAbQBwAHQAcwAgAHQAbwAgAHIAZQBwAGwAaQBjAGEAdABlACAAdABoAGUAIABTAFEATAAgAFUATgBJAE8ATgAgAG8AcABlAHIAYQB0AGkAbwBuACAAcwB0AGEAYwBrAGkAbgBnACAAZABhAHQAYQAgAHQAYQBiAGwAZQBzACAAbQBhAHQAYwBoAGkAbgBnACAAYwBvAGwAdQBtAG4AcwAgAGIAeQAgAGYAaQBlAGwAZAAgAG4AYQBtAGUALwB0AGkAdABsAGUALwBoAGUAYQBkAGUAcgBcAG4AIAAgACAAIAAgACAAIAAgAC0AIABUAGgAZQAgAGYAaQByAHMAdABfAGEAcgByAGEAeQAgAGkAcwAgAGcAaQB2AGUAbgAgAHAAcgBlAGYAZQByAGUAbgBjAGUAIABhAG4AZAAgAHQAaABlACAAcwBlAGMAbwBuAGQAXwBhAHIAcgBhAHkAIABpAHMAIABtAGEAdABjAGgAZQBkACAAdABvACAAdABoAGkAcwAsACAAbQBlAGEAbgBpAG4AZwAgAHQAaABhAHQAIAB0AGgAZQAgAG8AcgBkAGUAcgAgAG8AZgAgAHQAaABlACAAYwBvAGwAdQBtAG4AcwAgAGkAbgAgAHQAaABlACAAZgBpAHIAcwB0AF8AYQByAHIAYQB5ACAAdwBpAGwAbAAgAGIAZQAgAHUAbgBjAGgAYQBuAGcAZQBkAFwAbgAgACAAIAAgACAAIAAgACAALQAgAEMAbwBsAHUAbQBuACAAdABpAHQAbABlAHMAIAAoAGkAbgAgAHAAYQByAHQALgAgAHMAZQBjAG8AbgBkAF8AdABpAHQAbABlAHMAKQAgAGMAYQBuACAAYgBlACAAcABhAHMAcwBlAGQAIABhAHMAIABhAG4AIABhAHIAcgBhAHkAIABvAGYAIABuAHUAbQBiAGUAcgBzACAAcwBoAG8AdwBpAG4AZwAgAHQAaABlACAAaQBuAHQAZQBuAGQAZQBkACAAbwB1AHQAcAB1AHQAIABwAG8AcwBpAHQAaQBvAG4AIAByAGUAbABhAHQAaQB2AGUAIAB0AG8AIAB0AGgAZQAgAGYAaQByAHMAdABfAGEAcgByAGEAeQAgAGMAbwBsAHUAbQBuAHMAIABvAHIAZABlAHIAXABuACAAIAAgACAAIAAgACAAIAAtACAAVABoAGUAIABmAHUAbgBjAHQAaQBvAG4AIABvAHUAdABwAHUAdAAgAGMAYQBuACAAbwBwAHQAaQBvAG4AYQBsAGwAeQAgAGkAbgBjAGwAdQBkAGUAIABjAG8AbAB1AG0AbgAgAHQAaQB0AGwAZQBzAC8AaABlAGEAZABlAHIAcwAgAGkAbgAgAHQAaABlACAAbwB1AHQAcAB1AHQAIABhAHMAIAB0AGgAZQAgAGYAaQByAHMAdAAgAHIAbwB3ACwAIABlAGkAdABoAGUAcgAgAGMAcgBlAGEAdABpAG4AZwAgAGEAIABjAG8AbQBiAGkAbgBlAGQAIABhAHIAcgBhAHkAIABvAGYAIAB0AGkAdABsAGUAcwAgAG8AcgAgAHcAaQB0AGgAIABhACAAdQBzAGUAcgAgAGkAbgBwAHUAdAAgAGEAcgByAGEAeQAgAG8AZgAgAHQAaQB0AGwAZQBzAFwAbgAgACAAIAAgACAAIAAgACAAIAAgACAAIAAtAC0AIABXAGgAZQByAGUAIABhACAAdQBzAGUAcgAgAGkAbgBwAHUAdAAgAGEAcgByAGEAeQAgAG8AZgAgAGMAbwBsAHUAbQBuACAAdABpAHQAbABlAHMAIABpAHMAIAB1AHMAZQBkACAAdABoAGUAIABvAHUAdABwAHUAdAAgAHcAaQBsAGwAIABiAGUAIAByAGUAcwB0AHIAaQBjAHQAZQBkACAAdABvACAAdABoAGUAIABuAHUAbQBiAGUAcgAgAG8AZgAgAGMAbwBsAHUAbQBuAHMAIABpAG4AIAB0AGgAZQAgAGMAbwBtAGIAaQBuAGUAZAAvAHMAdABhAGMAawBlAGQAIABkAGEAdABhACAAdABhAGIAbABlAHMAIABcAG4AKgAvAFwAbgBSAFgATABfAFUAbgBpAG8AbgAgAD0AIABMAEEATQBCAEQAQQAoAFwAbgAgACAAIAAgAC8ALwAgAFAAYQByAGEAbQBlAHQAZQByACAAZABlAGMAbABhAHIAYQB0AGkAbwBuAHMAXABuACAAIAAgACAAZgBpAHIAcwB0AF8AYQByAHIAYQB5ACwAXABuACAAIAAgACAAcwBlAGMAbwBuAGQAXwBhAHIAcgBhAHkALABcAG4AIAAgACAAIABbAGYAaQByAHMAdABfAHQAaQB0AGwAZQBzAF0ALABcAG4AIAAgACAAIABbAHMAZQBjAG8AbgBkAF8AdABpAHQAbABlAHMAXQAsAFwAbgAgACAAIAAgAFsAbwB1AHQAcAB1AHQAXwB0AGkAdABsAGUAcwBdACwAXABuACAAIAAgACAAWwBzAGkAbQBwAGwAZQBfAHMAdABhAGMAawBdACwAXABuACAAIAAgACAAWwByAGUAcABsAGEAYwBlAF8AbgBhAF0ALABcAG4AIAAgACAAIAAvAC8AIABNAGEAaQBuACAAcAByAG8AYwBlAGQAdQByAGUAXABuACAAIAAgACAATABFAFQAKABcAG4AIAAgACAAIAAgACAAIAAgAF8AaQBuAHAAMQAsACAAZgBpAHIAcwB0AF8AYQByAHIAYQB5ACwAXABuACAAIAAgACAAIAAgACAAIABfAGkAbgBwADIALAAgAHMAZQBjAG8AbgBkAF8AYQByAHIAYQB5ACwAXABuACAAIAAgACAAIAAgACAAIABfAGMAYwAxACwAIABDAE8ATABVAE0ATgBTACgAXwBpAG4AcAAxACkALABcAG4AIAAgACAAIAAgACAAIAAgAF8AYwBjADIALAAgAEMATwBMAFUATQBOAFMAKABfAGkAbgBwADIAKQAsAFwAbgAgACAAIAAgACAAIAAgACAALwAvACAARABlAGEAbAAgAHcAaQB0AGgAIABvAHAAdABpAG8AbgBhAGwAIABpAG4AcAB1AHQAIABwAGEAcgBhAG0AZQB0AGUAcgBzACAAYQBuAGQAIABzAGUAdAAgAGQAZQBmAGEAdQBsAHQAIAB2AGEAbAB1AGUAcwAgAGYAbwByACAAYQBuAHkAIABvAG0AaQB0AHQAZQBkACAAcABhAHIAYQBtAGUAdABlAHIAcwBcAG4AIAAgACAAIAAgACAAIAAgAC8ALwAgACAALQAtAD4AIAByAGUAcwB0AHIAaQBjAHQAcwAgAHQAaABlACAAYwBvAGwAdQBtAG4AIAB0AGkAdABsAGUAcwAgAHQAbwAgAGEAIABzAGkAbgBnAGwAZQAgAHIAbwB3ACwAIABhAG4AZAAgAHUAcwBlAHMAIABwAG8AcwBpAHQAaQBvAG4AYQBsACAAbgB1AG0AZQByAGkAYwAgAHYAYQBsAHUAZQBzACAAaQBmACAAbwBtAGkAdAB0AGUAZABcAG4AIAAgACAAIAAgACAAIAAgAF8AdAB0AGwAMQAsACAASQBGACgAIABJAFMATwBNAEkAVABUAEUARAAoAGYAaQByAHMAdABfAHQAaQB0AGwAZQBzACkALABcAG4AIAAgACAAIAAgACAAIAAgACAAIAAgACAAUwBFAFEAVQBFAE4AQwBFACgAMQAsACAAXwBjAGMAMQAsACAAMQApACwAXABuACAAIAAgACAAIAAgACAAIAAgACAAIAAgAFQAQQBLAEUAKABmAGkAcgBzAHQAXwB0AGkAdABsAGUAcwAsACAAMQApACkALABcAG4AIAAgACAAIAAgACAAIAAgAF8AdAB0AGwAMgAsACAASQBGACgAIABJAFMATwBNAEkAVABUAEUARAAoAHMAZQBjAG8AbgBkAF8AdABpAHQAbABlAHMAKQAsAFwAbgAgACAAIAAgACAAIAAgACAAIAAgACAAIABTAEUAUQBVAEUATgBDAEUAKAAxACwAIABfAGMAYwAyACwAIABfAGMAYwAxACAAKwAgADEAKQAsAFwAbgAgACAAIAAgACAAIAAgACAAIAAgACAAIABUAEEASwBFACgAcwBlAGMAbwBuAGQAXwB0AGkAdABsAGUAcwAsACAAMQApACkALABcAG4AIAAgACAAIAAgACAAIAAgAF8AaABkAHIALAAgAEkARgAoACAASQBTAE8ATQBJAFQAVABFAEQAKABvAHUAdABwAHUAdABfAHQAaQB0AGwAZQBzACkALAAgADAALAAgAG8AdQB0AHAAdQB0AF8AdABpAHQAbABlAHMAKQAsAFwAbgAgACAAIAAgACAAIAAgACAAXwBjAGMASAAsACAAQwBPAEwAVQBNAE4AUwAoAF8AaABkAHIAKQAsAFwAbgAgACAAIAAgACAAIAAgACAAXwBpAG4AYwAsACAASQBGACgAIABBAE4ARAAoAF8AYwBjAEgAIAA9ACAAMQAsACAATwBSACgASQBTAEwATwBHAEkAQwBBAEwAKABfAGgAZAByACkALAAgAEkAUwBOAFUATQBCAEUAUgAoAF8AaABkAHIAKQApACkALABcAG4AIAAgACAAIAAgACAAIAAgACAAIAAgACAASQBGACgAXwBoAGQAcgAsACAAMQAsACAAMAApACwAXABuACAAIAAgACAAIAAgACAAIAAgACAAIAAgAC0AMQApACwAXABuACAAIAAgACAAIAAgACAAIABfAHMAdABrACwAIABJAEYAKAAgAEkAUwBPAE0ASQBUAFQARQBEACgAcwBpAG0AcABsAGUAXwBzAHQAYQBjAGsAKQAsACAARgBBAEwAUwBFACwAIABzAGkAbQBwAGwAZQBfAHMAdABhAGMAawApACwAXABuACAAIAAgACAAIAAgACAAIABfAHIAZQBwACwAIABJAEYAKAAgAEkAUwBPAE0ASQBUAFQARQBEACgAcgBlAHAAbABhAGMAZQBfAG4AYQApACwAXABuACAAIAAgACAAIAAgACAAIAAgACAAIAAgAEYAQQBMAFMARQAsAFwAbgAgACAAIAAgACAAIAAgACAAIAAgACAAIABJAEYAKAAgAEEATgBEACgAIABJAFMATABPAEcASQBDAEEATAAoAHIAZQBwAGwAYQBjAGUAXwBuAGEAKQAsACAAcgBlAHAAbABhAGMAZQBfAG4AYQAgAD0AIABGAEEATABTAEUAKQAsACAARgBBAEwAUwBFACwAIABUAFIAVQBFACkAKQAsAFwAbgAgACAAIAAgACAAIAAgACAAXwBzAHQAcgAsACAASQBGACgAIABJAFMATwBNAEkAVABUAEUARAAoAHIAZQBwAGwAYQBjAGUAXwBuAGEAKQAsACAAMAAsACAAXABuACAAIAAgACAAIAAgACAAIAAgACAAIAAgAEkARgAoACAAQQBOAEQAKAAgAEkAUwBMAE8ARwBJAEMAQQBMACgAcgBlAHAAbABhAGMAZQBfAG4AYQApACwAIAByAGUAcABsAGEAYwBlAF8AbgBhACkALAAgAFwAIgBcACIALAAgAHIAZQBwAGwAYQBjAGUAXwBuAGEAKQApACwAXABuACAAIAAgACAAIAAgACAAIAAvAC8AIABDAGgAZQBjAGsAIABpAG4AcAB1AHQAcwBcAG4AIAAgACAAIAAgACAAIAAgAC8ALwAgACAALQAtAD4AIABlAG4AcwB1AHIAZQBzACAAdABoAGEAdAAgAHQAaABlACAAbgB1AG0AYgBlAHIAIABvAGYAIABjAG8AbAB1AG0AbgBzACAAaQBuACAAdABoAGUAIABhAHMAcwBvAGMAaQBhAHQAZQBkACAAYwBvAGwAdQBtAG4AIAB0AGkAdABsAGUAcwAgAGkAbgBwAHUAdABzACAAbQBhAHQAYwBoACAAdABoAGUAIABuAHUAbQBiAGUAcgAgAG8AZgAgAGMAbwBsAHUAbQBuAHMAIABpAG4AIAB0AGgAZQAgAGQAYQB0AGEAIAB0AGEAYgBsAGUAIABpAG4AcAB1AHQAcwBcAG4AIAAgACAAIAAgACAAIAAgAC8ALwAgACAALQAtAD4AIABlAG4AcwB1AHIAZQBzACAAaQBmACAAYwB1AHMAdABvAG0AIABvAHUAdABwAHUAdAAgAGMAbwBsAHUAbQBuACAAdABpAHQAbABlAHMAIABhAHIAZQAgAHAAcgBvAHYAaQBkAGUAZAAgAHQAaABlAHkAIABhAHIAZQAgAHIAZQBzAHQAcgBpAGMAdABlAGQAIAB0AG8AIABhACAAcwBpAG4AZwBsAGUAIAByAG8AdwAgACgAMQBEACAAYQByAHIAYQB5ACkAXABuACAAIAAgACAAIAAgACAAIAAvAC8AIAAgAC0ALQA+ACAAZQBuAHMAdQByAGUAcwAgAHQAaABhAHQAIABhAG4AeQAgAHIAZQBwAGwAYQBjAGUAXwBuAGEAIABpAG4AcAB1AHQAIABpAHMAIABhACAAcwBpAG4AZwBsAGUAIAB2AGEAbAB1AGUAIAAoAG4AbwBuAC0AYQByAHIAYQB5ACkAIABhAG4AZAAgAGkAcwAgAG4AbwB0ACAAYQBuACAAZQByAHIAbwByACAAdgBhAGwAdQBlAFwAbgAgACAAIAAgACAAIAAgACAAXwBpAG4AcABDAGgAawAsACAASQBGAFMAKABcAG4AIAAgACAAIAAgACAAIAAgACAAIAAgACAATwBSACgAXABuACAAIAAgACAAIAAgACAAIAAgACAAIAAgACAAIAAgACAAQwBPAEwAVQBNAE4AUwAoAF8AdAB0AGwAMQApACAAPAA+ACAAXwBjAGMAMQAsAFwAbgAgACAAIAAgACAAIAAgACAAIAAgACAAIAAgACAAIAAgAEMATwBMAFUATQBOAFMAKABfAHQAdABsADIAKQAgADwAPgAgAF8AYwBjADIAXABuACAAIAAgACAAIAAgACAAIAAgACAAIAAgACkALAAgADIALABcAG4AIAAgACAAIAAgACAAIAAgACAAIAAgACAATwBSACgAXABuACAAIAAgACAAIAAgACAAIAAgACAAIAAgACAAIAAgACAAUgBPAFcAUwAoAF8AaABkAHIAKQAgADwAPgAgADEALABcAG4AIAAgACAAIAAgACAAIAAgACAAIAAgACAAIAAgACAAIABSAE8AVwBTACgAXwBzAHQAcgApACAAPAA+ACAAMQAsACAAQwBPAEwAVQBNAE4AUwAoAF8AcwB0AHIAKQAgADwAPgAgADEALAAgAEkAUwBFAFIAUgBPAFIAKABfAHMAdAByACkALABcAG4AIAAgACAAIAAgACAAIAAgACAAIAAgACAAIAAgACAAIABSAE8AVwBTACgAXwBzAHQAawApACAAPAA+ACAAMQAsACAAQwBPAEwAVQBNAE4AUwAoAF8AcwB0AGsAKQAgADwAPgAgADEALABcAG4AIAAgACAAIAAgACAAIAAgACAAIAAgACAAIAAgACAAIABBAE4ARAAoAE4ATwBUACgASQBTAEwATwBHAEkAQwBBAEwAKABfAHMAdABrACkAKQAsACAATgBPAFQAKABJAFMATgBVAE0AQgBFAFIAKABfAHMAdABrACkAKQApAFwAbgAgACAAIAAgACAAIAAgACAAIAAgACAAIAApACwAIAAzACwAXABuACAAIAAgACAAIAAgACAAIAAgACAAIAAgAFQAUgBVAEUALAAgADEAXABuACAAIAAgACAAIAAgACAAIAApACwAXABuACAAIAAgACAAIAAgACAAIAAvAC8AIABTAHQAYQByAHQAcwAgAGIAeQAgAGEAdAB0AGUAbQBwAHQAaQBuAGcAIAB0AG8AIABtAGEAdABjAGgAIAB0AGgAZQAgAHMAZQBjAG8AbgBkAF8AdABpAHQAbABlAHMAIABhAHIAcgBhAHkAIAAoAF8AdAB0AGwAMgApACAAdABvACAAdABoAGUAIABmAGkAcgBzAHQAXwB0AGkAdABsAGUAcwAgAGEAcgByAGEAeQAgACgAXwB0AHQAbAAxACkAIABhAG4AZAAgAGMAbwBuAHMAdAByAHUAYwB0AHMAIABhACAAYwBvAG0AYgBpAG4AZQBkACAAdABpAHQAbABlAHMAIABhAHIAcgBhAHkAIAAoAF8AdAB0AGwAQwApAFwAbgAgACAAIAAgACAAIAAgACAALwAvACAAIAAtAC0APgAgAGkAZgAgAGEAIABzAGkAbQBwAGwAZQAgAHMAdABhAGMAawAgAG8AdQB0AHAAdQB0ACAAaQBzACAAYwBoAG8AcwBlAG4ALAAgAHQAaABlACAAYwBvAG0AYgBpAG4AZQBkACAAdABpAHQAbABlAHMAIABhAHIAcgBhAHkAIABpAHMAIABhAHMAIAB3AGkAZABlACAAYQBzACAAdABoAGUAIABtAGEAeABpAG0AdQBtACAAbgB1AG0AYgBlAHIAIABvAGYAIABpAG4AcAB1AHQAIABjAG8AbAB1AG0AbgBzACAAYQBuAGQAIABnAGkAdgBlAHMAIABwAHIAZQBmAGUAcgBlAG4AYwBlACAAdABvACAAZgBpAHIAcwB0AF8AdABpAHQAbABlAHMAIAB2AGEAbAB1AGUAcwBcAG4AIAAgACAAIAAgACAAIAAgAF8AdAB0AGwAQwAsACAASQBGACgAXwBzAHQAawAsAFwAbgAgACAAIAAgACAAIAAgACAAIAAgACAAIABEAFIATwBQACgAXABuACAAIAAgACAAIAAgACAAIAAgACAAIAAgACAAIAAgACAAUgBFAEQAVQBDAEUAKABcACIAXAAiACwAIABTAEUAUQBVAEUATgBDAEUAKAAxACwAIABNAEEAWAAoAF8AYwBjADEALAAgAF8AYwBjADIAKQApACwAIABMAEEATQBCAEQAQQAoAF8AYQBjAGMALABfAHYAYQBsACwAIABIAFMAVABBAEMASwAoAF8AYQBjAGMALAAgAEkARgAoAF8AdgBhAGwAIAA8AD0AIABfAGMAYwAxACwAIABJAE4ARABFAFgAKABfAHQAdABsADEALAAgACwAIABfAHYAYQBsACkALAAgAEkATgBEAEUAWAAoAF8AdAB0AGwAMgAsACAALAAgAF8AdgBhAGwAKQApACkAKQApACwAXABuACAAIAAgACAAIAAgACAAIAAgACAAIAAgACwAIAAxACkALABcAG4AIAAgACAAIAAgACAAIAAgACAAIAAgACAAUgBFAEQAVQBDAEUAKABfAHQAdABsADEALAAgAF8AdAB0AGwAMgAsACAATABBAE0AQgBEAEEAKABfAGEAYwBjACwAXwB2AGEAbAAsACAASQBGACgAIABJAFMATgBBACgAIABNAEEAVABDAEgAKABfAHYAYQBsACwAIABfAHQAdABsADEALAAgADAAKQApACwAIABIAFMAVABBAEMASwAoAF8AYQBjAGMALAAgAF8AdgBhAGwAKQAsACAAXwBhAGMAYwApACkAKQBcAG4AIAAgACAAIAAgACAAIAAgACkALABcAG4AIAAgACAAIAAgACAAIAAgAC8ALwAgAEEAbgAgAGEAcgByAGEAeQAgAG8AZgAgAGMAbwBsAHUAbQBuACAAaQBuAGQAZQB4AC8AcABvAHMAaQB0AGkAbwBuACAAdgBhAGwAdQBlAHMAIABmAG8AcgAgAHQAaABlACAAcwBlAGMAbwBuAGQAIABkAGEAdABhACAAdABhAGIAbABlACAAaQBzACAAYwByAGUAYQB0AGUAZAAgACgAXwBpAGQAeAApAFwAbgAgACAAIAAgACAAIAAgACAAXwBpAGQAeAAsACAARABSAE8AUAAoAFwAbgAgACAAIAAgACAAIAAgACAAIAAgACAAIABSAEUARABVAEMARQAoADAALAAgAF8AdAB0AGwAQwAsACAATABBAE0AQgBEAEEAKABfAGEAYwBjACwAXwB2AGEAbAAsACAASABTAFQAQQBDAEsAKABfAGEAYwBjACwAIABJAEYATgBBACgATQBBAFQAQwBIACgAXwB2AGEAbAAsACAAXwB0AHQAbAAyACwAIAAwACkALAAgADAAKQApACkAKQAsAFwAbgAgACAAIAAgACAAIAAgACAALAAgADEAKQAsAFwAbgAgACAAIAAgACAAIAAgACAALwAvACAAVQBzAGkAbgBnACAAdABoAGUAIABzAGUAYwBvAG4AZAAgAGQAYQB0AGEAIAB0AGEAYgBsAGUAIABpAG4AZABlAHgAIABhAHIAcgBhAHkAIAAoAF8AaQBkAHgAKQAgAGEAIABuAGUAdwAgAHMAZQBjAG8AbgBkACAAZABhAHQAYQAgAGEAcgByAGEAeQAgAGkAcwAgAGMAbwBuAHMAdAByAHUAYwB0AGUAZAAgACgAXwBhAHIAcgApACAAdwBoAGkAYwBoACAAdwBpAGwAbAAgAGMAbwByAHIAZQBjAHQAbAB5ACAAbABpAG4AZQAgAHUAcAAgAHcAaQB0AGgAIAB0AGgAZQAgAGYAaQByAHMAdAAgAGQAYQB0AGEAIAB0AGEAYgBsAGUAIAB3AGgAZQBuACAAcwB0AGEAYwBrAGUAZABcAG4AIAAgACAAIAAgACAAIAAgAF8AYQByAHIALAAgAEkARgAoAF8AcwB0AGsALABcAG4AIAAgACAAIAAgACAAIAAgACAAIAAgACAAXwBpAG4AcAAyACwAXABuACAAIAAgACAAIAAgACAAIAAgACAAIAAgAEQAUgBPAFAAKABcAG4AIAAgACAAIAAgACAAIAAgACAAIAAgACAAIAAgACAAIABSAEUARABVAEMARQAoADAALAAgAF8AaQBkAHgALAAgAEwAQQBNAEIARABBACgAXwBhAGMAYwAsAF8AdgBhAGwALAAgAEgAUwBUAEEAQwBLACgAXwBhAGMAYwAsACAASQBGACgAXwB2AGEAbAAgAD4AIAAwACwAIABDAEgATwBPAFMARQBDAE8ATABTACgAXwBpAG4AcAAyACwAIABfAHYAYQBsACkALAAgAFwAIgCmAFwAIgApACkAKQApACwAXABuACAAIAAgACAAIAAgACAAIAAgACAAIAAgACwAIAAxACkAXABuACAAIAAgACAAIAAgACAAIAApACwAXABuACAAIAAgACAAIAAgACAAIABfAG4AZQB3ACwAIABJAEYAKABfAGEAcgByACAAPQAgAFwAIgCmAFwAIgAsACAATgBBACgAKQAsACAAXwBhAHIAcgApACwAXABuACAAIAAgACAAIAAgACAAIAAvAC8AIABTAHQAYQBjAGsAcwAgAHQAaABlACAAZgBpAHIAcwB0ACAAKABfAGkAbgBwADEAKQAgAGEAbgBkACAAdQBwAGQAYQB0AGUAZAAgAHMAZQBjAG8AbgBkACAAKABfAGEAcgByACkAIABkAGEAdABhACAAdABhAGIAbABlAHMAIAB2AGUAcgB0AGkAYwBhAGwAbAB5ADsAIABzAGUAYwBvAG4AZAAgAGIAZQBsAG8AdwAgAGYAaQByAHMAdABcAG4AIAAgACAAIAAgACAAIAAgAF8AYwBhAGwAYwAsACAAVgBTAFQAQQBDAEsAKABfAGkAbgBwADEALAAgAF8AbgBlAHcAKQAsAFwAbgAgACAAIAAgACAAIAAgACAALwAvACAAQQBkAGQAcwAgAHQAaABlACAAYwBvAGwAdQBtAG4AIAB0AGkAdABsAGUAcwAvAGgAZQBhAGQAZQByAHMAIABhAHMAIAB0AGgAZQAgAGYAaQByAHMAdAAgAHIAbwB3ACAAbwBmACAAdABoAGUAIABvAHUAdABwAHUAdAAgAGEAcgByAGEAeQAgAGEAcwAgAHIAZQBxAHUAaQByAGUAZABcAG4AIAAgACAAIAAgACAAIAAgAC8ALwAgACAALQAtAD4AIAB0AGgAZQAgAF8AaQBuAGMAIAB2AGEAcgBpAGEAYgBsAGUAcwAgAGQAZQB0AGUAcgBtAGkAbgBlAHMAIAB3AGgAZQB0AGgAZQByACAAdABvACAAYQBkAGQAIAB0AGgAZQAgAGMAcgBlAGEAdABlAGQAIABjAG8AbQBiAGkAbgBlAGQAIAB0AGkAdABsAGUAcwAgAGEAcgByAGEAeQAgACgAMQAgAD0AIABfAHQAdABsAEMAKQAsACAAdABoAGUAIABjAHUAcwB0AG8AbQAgAHUAcwBlAHIAIAB0AGkAdABsAGUAcwAgACgALQAxACAAPQAgAF8AaABkAHIAKQAsACAAbwByACAAbgBvACAAdABpAHQAbABlAHMAIAAoADAAKQBcAG4AIAAgACAAIAAgACAAIAAgAF8AbwB1AHQALAAgAEkARgAoAF8AaQBuAGMAIAA8ACAAMAAsACAAVgBTAFQAQQBDAEsAKAAgAFQAQQBLAEUAKABfAGgAZAByACwAIAAxACwAIABNAEkATgAoAF8AYwBjAEgALAAgAEMATwBMAFUATQBOAFMAKABfAGMAYQBsAGMAKQApACkALAAgAF8AYwBhAGwAYwApACwAXABuACAAIAAgACAAIAAgACAAIAAgACAAIAAgAEkARgAoAF8AaQBuAGMAIAA+ACAAMAAsACAAVgBTAFQAQQBDAEsAKABfAHQAdABsAEMALAAgAF8AYwBhAGwAYwApACwAIABfAGMAYQBsAGMAKQBcAG4AIAAgACAAIAAgACAAIAAgACkALABcAG4AIAAgACAAIAAgACAAIAAgAC8ALwAgAEkAZgAgAHQAaABlACAAdQBzAGUAcgAgAGgAYQBzACAAYwBoAG8AcwBlAG4AIAB0AG8AIAByAGUAcABsAGEAYwBlACAAIwBOAC8AQQAgAHYAYQBsAHUAZQBzACAAKABfAHIAZQBwACkAIAB0AGgAZQBuACAAZABvACAAcwBvACAAdQBzAGkAbgBnACAAdABoAGUAIABhAHAAcAByAG8AcAByAGkAYQB0AGUAIAByAGUAcABsAGEAYwBlAG0AZQBuAHQAIAB2AGEAbAB1AGUAIAAoAF8AcwB0AHIAKQBcAG4AIAAgACAAIAAgACAAIAAgAF8AcgB0AG4ALAAgAEkARgAoAF8AcgBlAHAALABcAG4AIAAgACAAIAAgACAAIAAgACAAIAAgACAASQBGACgASQBTAE4AQQAoAF8AbwB1AHQAKQAsACAAXwBzAHQAcgAsACAAXwBvAHUAdAApACwAXABuACAAIAAgACAAIAAgACAAIAAgACAAIAAgAF8AbwB1AHQAXABuACAAIAAgACAAIAAgACAAIAApACwAXABuACAAIAAgACAAIAAgACAAIAAvAC8AIABJAGYAIAB0AGgAZQAgAGkAbgBwAHUAdAAgAGMAaABlAGMAawBzACAAKABfAGkAbgBwAEMAaABrACkAIABoAGEAdgBlACAAZgBsAGEAZwBnAGUAZAAgAHQAaABlAG4AIAByAGUAdAB1AHIAbgAgAHQAaABlACAAcgBlAHEAdQBpAHIAZQBkACAARQB4AGMAZQBsACAAZQByAHIAbwByACAAYwBvAGQAZQAsACAAbwB0AGgAZQByAHcAaQBzAGUAIAByAGUAdAB1AHIAbgAgAHQAaABlACAAYwBhAGwAYwB1AGwAYQB0AGUAZAAgAHIAZQBzAHUAbAB0ACAAKABfAHIAdABuACkAXABuACAAIAAgACAAIAAgACAAIABDAEgATwBPAFMARQAoAF8AaQBuAHAAQwBoAGsALAAgAF8AcgB0AG4ALAAgAEwAQQBNAEIARABBACgAMAApACwAIAAjAFYAQQBMAFUARQAhACkAXABuACAAIAAgACAAKQBcAG4AKQA7ACIAfQBdACwAIgBwAHIAbwBqAGUAYwB0AE4AYQBtAGUAcwAiADoAWwAiAFIAWABMAF8AVQBu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KM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ZwBiACIAfQB9AA==</AFEJSONBlob>
</file>

<file path=customXml/itemProps1.xml><?xml version="1.0" encoding="utf-8"?>
<ds:datastoreItem xmlns:ds="http://schemas.openxmlformats.org/officeDocument/2006/customXml" ds:itemID="{EB9E9688-738C-4B11-983D-49107423D7A1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Union</vt:lpstr>
      <vt:lpstr>Demo</vt:lpstr>
      <vt:lpstr>VBA</vt:lpstr>
      <vt:lpstr>Lookups</vt:lpstr>
      <vt:lpstr>_OnOff</vt:lpstr>
      <vt:lpstr>_YesNo</vt:lpstr>
      <vt:lpstr>TitleList1</vt:lpstr>
      <vt:lpstr>TitleList2</vt:lpstr>
    </vt:vector>
  </TitlesOfParts>
  <Company>RXL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RXL Union Lambda Function</dc:title>
  <dc:subject>Excel LAMBDA function development</dc:subject>
  <dc:creator>Robert Silk</dc:creator>
  <cp:keywords>https://excel-bits.net</cp:keywords>
  <cp:lastModifiedBy>Robert Silk</cp:lastModifiedBy>
  <dcterms:created xsi:type="dcterms:W3CDTF">2025-06-30T17:35:37Z</dcterms:created>
  <dcterms:modified xsi:type="dcterms:W3CDTF">2026-05-06T13:57:22Z</dcterms:modified>
  <cp:category>LAMBDA functions</cp:category>
</cp:coreProperties>
</file>