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Work\_RXL\Development\LAMBDA\"/>
    </mc:Choice>
  </mc:AlternateContent>
  <xr:revisionPtr revIDLastSave="0" documentId="13_ncr:1_{792B64B0-EB1F-4B89-A86D-6B9C05D11B11}" xr6:coauthVersionLast="47" xr6:coauthVersionMax="47" xr10:uidLastSave="{00000000-0000-0000-0000-000000000000}"/>
  <bookViews>
    <workbookView xWindow="-108" yWindow="-108" windowWidth="23256" windowHeight="12456" xr2:uid="{1605ACE6-66F7-41A1-A7B9-6E9FA9C38EDF}"/>
  </bookViews>
  <sheets>
    <sheet name="ReverseStr" sheetId="1" r:id="rId1"/>
    <sheet name="Demo" sheetId="2" r:id="rId2"/>
    <sheet name="VBA" sheetId="3" r:id="rId3"/>
    <sheet name="Lookups" sheetId="4" r:id="rId4"/>
  </sheets>
  <definedNames>
    <definedName name="_OnOff">Lookups!$C$6:$C$7</definedName>
    <definedName name="_YesNo">Lookups!$C$3:$C$4</definedName>
    <definedName name="RXL_ReverseStr" comment="Reverses the characters in a text string">_xlfn.LAMBDA(_xlpm.text,_xlop.ignore_nontext,_xlop.replace_na, _xlfn.LET(_xlpm._ign, IF(_xlfn.ISOMITTED(_xlpm.ignore_nontext), 0, INT(_xlpm.ignore_nontext)), _xlpm._nInp, IF(_xlfn.ISOMITTED(_xlpm.replace_na), FALSE, INDEX(_xlpm.replace_na, 1, 1)), _xlpm._rep, IF(ISLOGICAL(_xlpm._nInp), IF(_xlpm._nInp, "", NA()), _xlpm._nInp), _xlpm._inpChk, IF(OR(ISERROR(_xlpm._ign), _xlpm._ign &lt; 0, _xlpm._ign &gt; 1), 2, 1), _xlpm._calc, _xlfn.SCAN(0, _xlpm.text, _xlfn.LAMBDA(_xlpm._acc,_xlpm._str, IF(AND(ISNONTEXT(_xlpm._str), _xlpm._ign), _xlpm._str, _xlfn.LET(_xlpm._arr, _xlfn.REGEXEXTRACT(_xlpm._str, ".", 1), _xlpm._cc, COLUMNS(_xlpm._arr), _xlpm._idx, _xlfn.SEQUENCE(1, _xlpm._cc, _xlpm._cc, -1), _xlfn.CONCAT(_xlfn.SCAN(0, _xlpm._idx, _xlfn.LAMBDA(_xlpm._acc,_xlpm._val, INDEX(_xlpm._arr, 1, _xlpm._val)))))))), _xlpm._rtn, IF(ISNA(_xlpm._rep), _xlpm._calc, IF(ISNA(_xlpm._calc), _xlpm._rep, _xlpm._calc)), CHOOSE(_xlpm._inpChk, _xlpm._rtn, #VALUE!)))</definedName>
    <definedName name="RXL_ReverseStrNR" comment="(Non-RegEx version) Reverses the characters in a text string">_xlfn.LAMBDA(_xlpm.text,_xlop.ignore_nontext,_xlop.replace_na,_xlfn.LET(_xlpm._ign,IF(_xlfn.ISOMITTED(_xlpm.ignore_nontext),0,INT(_xlpm.ignore_nontext)),_xlpm._nInp,IF(_xlfn.ISOMITTED(_xlpm.replace_na),FALSE,INDEX(_xlpm.replace_na,1,1)),_xlpm._rep,IF(ISLOGICAL(_xlpm._nInp),IF(_xlpm._nInp,"",NA()),_xlpm._nInp),_xlpm._inpChk,IF(OR(ISERROR(_xlpm._ign),_xlpm._ign&lt;0,_xlpm._ign&gt;1),2,1),_xlpm._calc,_xlfn.SCAN(0,_xlpm.text,_xlfn.LAMBDA(_xlpm._acc,_xlpm._str,IF(AND(ISNONTEXT(_xlpm._str),_xlpm._ign),_xlpm._str,IF(ISBLANK(_xlpm._str),NA(),_xlfn.LET(_xlpm._arr,MID(_xlpm._str,_xlfn.SEQUENCE(1,LEN(_xlpm._str)),1),_xlpm._cc,COLUMNS(_xlpm._arr),_xlpm._idx,_xlfn.SEQUENCE(1,_xlpm._cc,_xlpm._cc,-1),_xlfn.CONCAT(_xlfn.SCAN(0,_xlpm._idx,_xlfn.LAMBDA(_xlpm._acc,_xlpm._val,INDEX(_xlpm._arr,1,_xlpm._val))))))))),_xlpm._rtn,IF(ISNA(_xlpm._rep),_xlpm._calc,IF(ISNA(_xlpm._calc),_xlpm._rep,_xlpm._calc)),CHOOSE(_xlpm._inpChk,_xlpm._rtn,#VALUE!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33" i="1" l="1" a="1"/>
  <c r="R233" i="1" s="1"/>
  <c r="Q233" i="1" a="1"/>
  <c r="Q233" i="1" s="1"/>
  <c r="F75" i="2" a="1"/>
  <c r="F67" i="2" a="1"/>
  <c r="G75" i="2"/>
  <c r="G67" i="2"/>
  <c r="H57" i="2" a="1"/>
  <c r="H62" i="2"/>
  <c r="H49" i="2" a="1"/>
  <c r="H41" i="2" a="1"/>
  <c r="E233" i="1" a="1"/>
  <c r="E233" i="1" s="1"/>
  <c r="F233" i="1" a="1"/>
  <c r="F233" i="1" s="1"/>
  <c r="H54" i="2"/>
  <c r="H46" i="2"/>
  <c r="H31" i="2" a="1"/>
  <c r="H36" i="2"/>
  <c r="H23" i="2"/>
  <c r="E26" i="2"/>
  <c r="H22" i="2" a="1"/>
  <c r="E21" i="2" a="1"/>
  <c r="E15" i="2" a="1"/>
  <c r="E15" i="2" s="1"/>
  <c r="E16" i="2"/>
  <c r="E160" i="1" a="1"/>
  <c r="E160" i="1" s="1"/>
  <c r="K202" i="1" a="1"/>
  <c r="K202" i="1" s="1"/>
  <c r="C201" i="1" a="1"/>
  <c r="E184" i="1" a="1"/>
  <c r="E184" i="1" s="1"/>
  <c r="D184" i="1"/>
  <c r="F160" i="1" a="1"/>
  <c r="F160" i="1" s="1"/>
  <c r="C153" i="1"/>
  <c r="E153" i="1" s="1" a="1"/>
  <c r="E153" i="1" s="1"/>
  <c r="K131" i="1" a="1"/>
  <c r="K131" i="1" s="1"/>
  <c r="C130" i="1" a="1"/>
  <c r="K110" i="1" a="1"/>
  <c r="K110" i="1" s="1"/>
  <c r="C109" i="1" a="1"/>
  <c r="C96" i="1" a="1"/>
  <c r="C96" i="1" s="1"/>
  <c r="C99" i="1" s="1" a="1"/>
  <c r="C99" i="1" s="1"/>
  <c r="F81" i="1" a="1"/>
  <c r="F81" i="1" s="1"/>
  <c r="C81" i="1" a="1"/>
  <c r="C81" i="1" s="1"/>
  <c r="E81" i="1" s="1" a="1"/>
  <c r="E81" i="1" s="1"/>
  <c r="C73" i="1"/>
  <c r="G73" i="1" s="1" a="1"/>
  <c r="G73" i="1" s="1"/>
  <c r="C70" i="1"/>
  <c r="G70" i="1" s="1" a="1"/>
  <c r="G70" i="1" s="1"/>
  <c r="C71" i="1"/>
  <c r="G71" i="1" s="1" a="1"/>
  <c r="G71" i="1" s="1"/>
  <c r="C72" i="1"/>
  <c r="G72" i="1" s="1" a="1"/>
  <c r="G72" i="1" s="1"/>
  <c r="F58" i="1" a="1"/>
  <c r="F58" i="1" s="1"/>
  <c r="C57" i="1"/>
  <c r="F57" i="1" s="1" a="1"/>
  <c r="F57" i="1" s="1"/>
  <c r="F44" i="1" a="1"/>
  <c r="F44" i="1" s="1"/>
  <c r="C41" i="1"/>
  <c r="F40" i="1" s="1" a="1"/>
  <c r="F40" i="1" s="1"/>
  <c r="F30" i="1" a="1"/>
  <c r="F30" i="1" s="1"/>
  <c r="C29" i="1"/>
  <c r="F28" i="1" s="1" a="1"/>
  <c r="F28" i="1" s="1"/>
  <c r="B2" i="2"/>
  <c r="B71" i="3"/>
  <c r="B2" i="3"/>
  <c r="B17" i="1"/>
  <c r="F75" i="2" l="1"/>
  <c r="F67" i="2"/>
  <c r="H57" i="2"/>
  <c r="H49" i="2"/>
  <c r="H41" i="2"/>
  <c r="H22" i="2"/>
  <c r="E21" i="2"/>
  <c r="H31" i="2"/>
  <c r="C201" i="1"/>
  <c r="J201" i="1" s="1" a="1"/>
  <c r="C130" i="1"/>
  <c r="J130" i="1" s="1" a="1"/>
  <c r="C109" i="1"/>
  <c r="J109" i="1" s="1" a="1"/>
  <c r="B26" i="1" a="1"/>
  <c r="B26" i="1" s="1"/>
  <c r="J130" i="1" l="1"/>
  <c r="J201" i="1"/>
  <c r="J109" i="1"/>
  <c r="B38" i="1" a="1"/>
  <c r="B38" i="1" s="1"/>
  <c r="B55" i="1" l="1" a="1"/>
  <c r="B55" i="1" s="1"/>
  <c r="B68" i="1" l="1" a="1"/>
  <c r="B68" i="1" s="1"/>
  <c r="B79" i="1" l="1" a="1"/>
  <c r="B79" i="1" s="1"/>
  <c r="B106" i="1" l="1" a="1"/>
  <c r="B106" i="1" s="1"/>
  <c r="B127" i="1" l="1" a="1"/>
  <c r="B127" i="1" s="1"/>
  <c r="B151" i="1" l="1" a="1"/>
  <c r="B151" i="1" s="1"/>
  <c r="B156" i="1" l="1" a="1"/>
  <c r="B156" i="1" s="1"/>
  <c r="B180" i="1" l="1" a="1"/>
  <c r="B180" i="1" s="1"/>
  <c r="B197" i="1" l="1" a="1"/>
  <c r="B197" i="1" s="1"/>
  <c r="B229" i="1" s="1" a="1"/>
  <c r="B229" i="1" s="1"/>
  <c r="B264" i="1" s="1"/>
  <c r="B33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<sst xmlns="http://schemas.openxmlformats.org/spreadsheetml/2006/main" count="383" uniqueCount="213">
  <si>
    <t>Purpose:</t>
  </si>
  <si>
    <t>Input data tables:</t>
  </si>
  <si>
    <t>Development</t>
  </si>
  <si>
    <t>Approach:</t>
  </si>
  <si>
    <t>Final Version</t>
  </si>
  <si>
    <t>End of Sheet</t>
  </si>
  <si>
    <t>Description:</t>
  </si>
  <si>
    <t>Parameters:</t>
  </si>
  <si>
    <t>Errors:</t>
  </si>
  <si>
    <t>Function:</t>
  </si>
  <si>
    <t>Minimised version:</t>
  </si>
  <si>
    <t>[required]</t>
  </si>
  <si>
    <t>[optional]</t>
  </si>
  <si>
    <t>One</t>
  </si>
  <si>
    <t>Two</t>
  </si>
  <si>
    <t>Three</t>
  </si>
  <si>
    <t>Four</t>
  </si>
  <si>
    <t>Five</t>
  </si>
  <si>
    <t>Instructions</t>
  </si>
  <si>
    <t>VBA Code</t>
  </si>
  <si>
    <t>A.</t>
  </si>
  <si>
    <t>Start by ensuring that you have this Workbook and the Workbook you wish to copy the function to open in the same Excel instance</t>
  </si>
  <si>
    <t>B.</t>
  </si>
  <si>
    <t>Open the VB Editor window</t>
  </si>
  <si>
    <t>C.</t>
  </si>
  <si>
    <t>D.</t>
  </si>
  <si>
    <t>In the code window which opens for ThisWorkbook, paste the VBA code from below exactly as written</t>
  </si>
  <si>
    <t>E.</t>
  </si>
  <si>
    <t>After copying the VBA code into code window, update line 11 replacing the text "Example.xlsx" with the name of your Excel Workbook/file</t>
  </si>
  <si>
    <t>F.</t>
  </si>
  <si>
    <t>Run the CopyLambda sub routine in ThisWorkbook module and check the Immediate window for the feedback message</t>
  </si>
  <si>
    <t xml:space="preserve">    </t>
  </si>
  <si>
    <t xml:space="preserve">    'Name of custom Lambda function to copy</t>
  </si>
  <si>
    <t xml:space="preserve">    On Error Resume Next</t>
  </si>
  <si>
    <t xml:space="preserve">        'Update "Example.xlsx" with name of the Workbook you wish to copy the function to</t>
  </si>
  <si>
    <t xml:space="preserve">    On Error GoTo 0</t>
  </si>
  <si>
    <t xml:space="preserve">        Exit Sub</t>
  </si>
  <si>
    <t xml:space="preserve">    End If</t>
  </si>
  <si>
    <t xml:space="preserve">        Err.Clear</t>
  </si>
  <si>
    <t xml:space="preserve">                              RefersTo:=nm.RefersTo, _</t>
  </si>
  <si>
    <t xml:space="preserve">                              Visible:=nm.Visible)</t>
  </si>
  <si>
    <t xml:space="preserve">            fn.Comment = nm.Comment</t>
  </si>
  <si>
    <t xml:space="preserve">        Else</t>
  </si>
  <si>
    <t xml:space="preserve">        End If</t>
  </si>
  <si>
    <t xml:space="preserve">    Else</t>
  </si>
  <si>
    <t>End Sub</t>
  </si>
  <si>
    <r>
      <rPr>
        <sz val="10"/>
        <color rgb="FF1E4FA8"/>
        <rFont val="Consolas"/>
        <family val="3"/>
      </rPr>
      <t>Private Sub</t>
    </r>
    <r>
      <rPr>
        <sz val="10"/>
        <color rgb="FF002138"/>
        <rFont val="Consolas"/>
        <family val="3"/>
      </rPr>
      <t xml:space="preserve"> CopyLambda()</t>
    </r>
  </si>
  <si>
    <r>
      <t xml:space="preserve">    </t>
    </r>
    <r>
      <rPr>
        <sz val="10"/>
        <color rgb="FF1E4FA8"/>
        <rFont val="Consolas"/>
        <family val="3"/>
      </rPr>
      <t>Dim</t>
    </r>
    <r>
      <rPr>
        <sz val="10"/>
        <color rgb="FF002138"/>
        <rFont val="Consolas"/>
        <family val="3"/>
      </rPr>
      <t xml:space="preserve"> wb </t>
    </r>
    <r>
      <rPr>
        <sz val="10"/>
        <color rgb="FF1E4FA8"/>
        <rFont val="Consolas"/>
        <family val="3"/>
      </rPr>
      <t>As</t>
    </r>
    <r>
      <rPr>
        <sz val="10"/>
        <color rgb="FF002138"/>
        <rFont val="Consolas"/>
        <family val="3"/>
      </rPr>
      <t xml:space="preserve"> Workbook, nm </t>
    </r>
    <r>
      <rPr>
        <sz val="10"/>
        <color rgb="FF1E4FA8"/>
        <rFont val="Consolas"/>
        <family val="3"/>
      </rPr>
      <t>As</t>
    </r>
    <r>
      <rPr>
        <sz val="10"/>
        <color rgb="FF002138"/>
        <rFont val="Consolas"/>
        <family val="3"/>
      </rPr>
      <t xml:space="preserve"> Name, fn </t>
    </r>
    <r>
      <rPr>
        <sz val="10"/>
        <color rgb="FF1E4FA8"/>
        <rFont val="Consolas"/>
        <family val="3"/>
      </rPr>
      <t>As</t>
    </r>
    <r>
      <rPr>
        <sz val="10"/>
        <color rgb="FF002138"/>
        <rFont val="Consolas"/>
        <family val="3"/>
      </rPr>
      <t xml:space="preserve"> Name</t>
    </r>
  </si>
  <si>
    <r>
      <t xml:space="preserve">    </t>
    </r>
    <r>
      <rPr>
        <sz val="10"/>
        <color rgb="FF1E4FA8"/>
        <rFont val="Consolas"/>
        <family val="3"/>
      </rPr>
      <t>Dim</t>
    </r>
    <r>
      <rPr>
        <sz val="10"/>
        <color rgb="FF002138"/>
        <rFont val="Consolas"/>
        <family val="3"/>
      </rPr>
      <t xml:space="preserve"> strLambda </t>
    </r>
    <r>
      <rPr>
        <sz val="10"/>
        <color rgb="FF1E4FA8"/>
        <rFont val="Consolas"/>
        <family val="3"/>
      </rPr>
      <t>As String</t>
    </r>
  </si>
  <si>
    <r>
      <t xml:space="preserve">        </t>
    </r>
    <r>
      <rPr>
        <sz val="10"/>
        <color rgb="FF1E4FA8"/>
        <rFont val="Consolas"/>
        <family val="3"/>
      </rPr>
      <t>Set</t>
    </r>
    <r>
      <rPr>
        <sz val="10"/>
        <color rgb="FF002138"/>
        <rFont val="Consolas"/>
        <family val="3"/>
      </rPr>
      <t xml:space="preserve"> wb = Application.Workbooks("Example.xlsx")</t>
    </r>
  </si>
  <si>
    <r>
      <t xml:space="preserve">    </t>
    </r>
    <r>
      <rPr>
        <sz val="10"/>
        <color rgb="FF1E4FA8"/>
        <rFont val="Consolas"/>
        <family val="3"/>
      </rPr>
      <t>If</t>
    </r>
    <r>
      <rPr>
        <sz val="10"/>
        <color rgb="FF002138"/>
        <rFont val="Consolas"/>
        <family val="3"/>
      </rPr>
      <t xml:space="preserve"> wb </t>
    </r>
    <r>
      <rPr>
        <sz val="10"/>
        <color rgb="FF1E4FA8"/>
        <rFont val="Consolas"/>
        <family val="3"/>
      </rPr>
      <t>Is Nothing Then</t>
    </r>
  </si>
  <si>
    <r>
      <t xml:space="preserve">        </t>
    </r>
    <r>
      <rPr>
        <sz val="10"/>
        <color rgb="FF1E4FA8"/>
        <rFont val="Consolas"/>
        <family val="3"/>
      </rPr>
      <t>Set</t>
    </r>
    <r>
      <rPr>
        <sz val="10"/>
        <color rgb="FF002138"/>
        <rFont val="Consolas"/>
        <family val="3"/>
      </rPr>
      <t xml:space="preserve"> nm = ThisWorkbook.Names(strLambda)</t>
    </r>
  </si>
  <si>
    <r>
      <t xml:space="preserve">    </t>
    </r>
    <r>
      <rPr>
        <sz val="10"/>
        <color rgb="FF1E4FA8"/>
        <rFont val="Consolas"/>
        <family val="3"/>
      </rPr>
      <t>If Not</t>
    </r>
    <r>
      <rPr>
        <sz val="10"/>
        <color rgb="FF002138"/>
        <rFont val="Consolas"/>
        <family val="3"/>
      </rPr>
      <t xml:space="preserve"> nm </t>
    </r>
    <r>
      <rPr>
        <sz val="10"/>
        <color rgb="FF1E4FA8"/>
        <rFont val="Consolas"/>
        <family val="3"/>
      </rPr>
      <t>Is Nothing Then</t>
    </r>
  </si>
  <si>
    <r>
      <t xml:space="preserve">        </t>
    </r>
    <r>
      <rPr>
        <sz val="10"/>
        <color rgb="FF1E4FA8"/>
        <rFont val="Consolas"/>
        <family val="3"/>
      </rPr>
      <t>Set</t>
    </r>
    <r>
      <rPr>
        <sz val="10"/>
        <color rgb="FF002138"/>
        <rFont val="Consolas"/>
        <family val="3"/>
      </rPr>
      <t xml:space="preserve"> fn = wb.Names.Add(Name:=nm.Name, _</t>
    </r>
  </si>
  <si>
    <r>
      <t xml:space="preserve">        </t>
    </r>
    <r>
      <rPr>
        <sz val="10"/>
        <color rgb="FF1E4FA8"/>
        <rFont val="Consolas"/>
        <family val="3"/>
      </rPr>
      <t>If</t>
    </r>
    <r>
      <rPr>
        <sz val="10"/>
        <color rgb="FF002138"/>
        <rFont val="Consolas"/>
        <family val="3"/>
      </rPr>
      <t xml:space="preserve"> Err.Number = 0 </t>
    </r>
    <r>
      <rPr>
        <sz val="10"/>
        <color rgb="FF1E4FA8"/>
        <rFont val="Consolas"/>
        <family val="3"/>
      </rPr>
      <t>Then</t>
    </r>
  </si>
  <si>
    <t>Lookup Tables</t>
  </si>
  <si>
    <t>_YesNo</t>
  </si>
  <si>
    <t>_OnOff</t>
  </si>
  <si>
    <t>Note:</t>
  </si>
  <si>
    <t xml:space="preserve">Output: </t>
  </si>
  <si>
    <t>Main Functionality Development</t>
  </si>
  <si>
    <t>Input Checks &amp; Conversion to LAMBDA() Function</t>
  </si>
  <si>
    <t>Testing input checks</t>
  </si>
  <si>
    <t>LET(</t>
  </si>
  <si>
    <t>_inpChk, IF(</t>
  </si>
  <si>
    <t>OR(</t>
  </si>
  <si>
    <t>),</t>
  </si>
  <si>
    <t>)</t>
  </si>
  <si>
    <t>)),</t>
  </si>
  <si>
    <t>= LAMBDA(</t>
  </si>
  <si>
    <t>// Parameter definitions</t>
  </si>
  <si>
    <t>// Main function body/calculations</t>
  </si>
  <si>
    <t>// Dealing with optional parameters &amp; setting default values</t>
  </si>
  <si>
    <t>// If the input checks (_inpChk) have flagged then the required Excel error code is returned,</t>
  </si>
  <si>
    <t>// otherwise the calculated result (_rtn) is returned</t>
  </si>
  <si>
    <r>
      <t xml:space="preserve"> - must be either a number (</t>
    </r>
    <r>
      <rPr>
        <sz val="10"/>
        <color rgb="FF0000FF"/>
        <rFont val="Consolas"/>
        <family val="3"/>
      </rPr>
      <t>0</t>
    </r>
    <r>
      <rPr>
        <sz val="10"/>
        <color rgb="FF002138"/>
        <rFont val="Calibri"/>
        <family val="2"/>
        <scheme val="minor"/>
      </rPr>
      <t xml:space="preserve"> or </t>
    </r>
    <r>
      <rPr>
        <sz val="10"/>
        <color rgb="FF0000FF"/>
        <rFont val="Consolas"/>
        <family val="3"/>
      </rPr>
      <t>1</t>
    </r>
    <r>
      <rPr>
        <sz val="10"/>
        <color rgb="FF002138"/>
        <rFont val="Calibri"/>
        <family val="2"/>
        <scheme val="minor"/>
      </rPr>
      <t>) or a logical/Boolean value (</t>
    </r>
    <r>
      <rPr>
        <sz val="10"/>
        <color rgb="FF0000FF"/>
        <rFont val="Consolas"/>
        <family val="3"/>
      </rPr>
      <t>TRUE</t>
    </r>
    <r>
      <rPr>
        <sz val="10"/>
        <color rgb="FF002138"/>
        <rFont val="Calibri"/>
        <family val="2"/>
        <scheme val="minor"/>
      </rPr>
      <t>/</t>
    </r>
    <r>
      <rPr>
        <sz val="10"/>
        <color rgb="FF0000FF"/>
        <rFont val="Consolas"/>
        <family val="3"/>
      </rPr>
      <t>FALSE</t>
    </r>
    <r>
      <rPr>
        <sz val="10"/>
        <color rgb="FF002138"/>
        <rFont val="Calibri"/>
        <family val="2"/>
        <scheme val="minor"/>
      </rPr>
      <t>)</t>
    </r>
  </si>
  <si>
    <t xml:space="preserve">Name: </t>
  </si>
  <si>
    <t xml:space="preserve">Description: </t>
  </si>
  <si>
    <t xml:space="preserve">Gist URL: </t>
  </si>
  <si>
    <t>Demonstrating Function Usage</t>
  </si>
  <si>
    <t>Alpha</t>
  </si>
  <si>
    <t>Bravo</t>
  </si>
  <si>
    <t>Charlie</t>
  </si>
  <si>
    <t>Delta</t>
  </si>
  <si>
    <t>Echo</t>
  </si>
  <si>
    <t>Reverse String Function</t>
  </si>
  <si>
    <t>RXL_ReverseStr</t>
  </si>
  <si>
    <t>ReverseStr()</t>
  </si>
  <si>
    <t>In order to copy across the RXL_ReverseStr() function from this Workbook to your own project you can use the instructions and VBA code below .</t>
  </si>
  <si>
    <t>In the VB Editor Project Explorer window, select this Workbook (RXL_ReverseStr.xlsx) and double click on the object named "ThisWorkbook"</t>
  </si>
  <si>
    <t>Also check line 7 of the code has the correct name of the function you wish to copy (i.e. "RXL_ReverseStr")</t>
  </si>
  <si>
    <t xml:space="preserve">    strLambda = "RXL_ReverseStr"</t>
  </si>
  <si>
    <t>A custom Lambda function to more easily allow for reversing a text string</t>
  </si>
  <si>
    <t>Ideally the function would allow for the user providing multiple input strings and then return all of these as reversed strings</t>
  </si>
  <si>
    <t xml:space="preserve"> -&gt; e.g. replicating the action of newer Excel Dynamic Array enabled function, where an array of inputs is provided and the function acts on each input individually</t>
  </si>
  <si>
    <t>Hello World!</t>
  </si>
  <si>
    <t>ABCDEFGHIJKLMNOPQRSTUVWXYZ</t>
  </si>
  <si>
    <t>This is some test text.</t>
  </si>
  <si>
    <t xml:space="preserve"> - Start by taking a single input string and breaking it into an array of individual characters</t>
  </si>
  <si>
    <t>Dynamically convert input string to array of characters</t>
  </si>
  <si>
    <t>Input:</t>
  </si>
  <si>
    <t>Output:</t>
  </si>
  <si>
    <t>Use reverse character array index + SCAN() function to reverse the character array</t>
  </si>
  <si>
    <t>Update version (B) functionality with CONCAT() function to output simple string</t>
  </si>
  <si>
    <t>This is some test text which contains 
a new-line character [ = CHAR(10) ]</t>
  </si>
  <si>
    <t xml:space="preserve"> - Reverse the order of the created character array, then recombine to a single string using concatenation</t>
  </si>
  <si>
    <t>Testing version (C) with longer input strings and more complex strings</t>
  </si>
  <si>
    <t>Current approach using REGEXEXTRACT() does not recognise the new-line character meaning that this character</t>
  </si>
  <si>
    <t>is not included within the concatenated, reversed character array.</t>
  </si>
  <si>
    <t xml:space="preserve">As this seems like a niche application to be able to reverse a complex string containing new-line characters and </t>
  </si>
  <si>
    <t>preserve the new-line formatting in the function output, I'm opting not to pursue the issue further.</t>
  </si>
  <si>
    <t>Updating version (C) to allow for an array of multiple strings as input</t>
  </si>
  <si>
    <t>This approach using a REDUCE() function and a STACK() function works well to iterate through an array of strings to reverse.</t>
  </si>
  <si>
    <t>However, the current version using a VSTACK() only preserves the output dimensions for a 1D column of inputs, for a 1D row</t>
  </si>
  <si>
    <t>of inputs is output as a 1D column of outputs.</t>
  </si>
  <si>
    <t>In order to cope with this issue and a potential 2D array input, could use a VSTACK() approach to the created outputs and then</t>
  </si>
  <si>
    <t>add a MAKEARRAY() function to return the calculated outputs to the original input array dimensions.</t>
  </si>
  <si>
    <t>Updating version (C) with MAKEARRAY() function to deal with different input array dimensions</t>
  </si>
  <si>
    <t>Use rows?</t>
  </si>
  <si>
    <t>Simplifying version (F) to avoid need for final MAKEARRAY() calculation step</t>
  </si>
  <si>
    <t>The SCAN() function will output an array with the same dimensions as the function</t>
  </si>
  <si>
    <t>input array, or return a #CALC! error if the calculated output array does not match</t>
  </si>
  <si>
    <t>the dimensions of the input array.</t>
  </si>
  <si>
    <t xml:space="preserve">The default functionality of the SCAN() function is not affected by the size or dimensions </t>
  </si>
  <si>
    <t>a row from left to right, then down to the next row).</t>
  </si>
  <si>
    <t xml:space="preserve">of the input array, and will iterate through the input array in row-major order (e.g. across </t>
  </si>
  <si>
    <t>As the order of iteration is not import for this custom function, nor is the need to</t>
  </si>
  <si>
    <t>actually use an accumulated output value, the REDUCE() function is not necessary which</t>
  </si>
  <si>
    <t>also removes the need to use a MAKEARRAY() function to reconstruct the dimensions of</t>
  </si>
  <si>
    <t>the original input array.</t>
  </si>
  <si>
    <t>Testing version (G) with a numeric input</t>
  </si>
  <si>
    <t>Extending Functionality for Non-Text Inputs</t>
  </si>
  <si>
    <t>Adding option to ignore non-text values</t>
  </si>
  <si>
    <t xml:space="preserve">Ignore non-text values? </t>
  </si>
  <si>
    <t xml:space="preserve">Ignore non-text: </t>
  </si>
  <si>
    <t>text</t>
  </si>
  <si>
    <t>ignore_nontext</t>
  </si>
  <si>
    <t>Combining versions (I) and (J) + conversion to LAMBDA() function</t>
  </si>
  <si>
    <t xml:space="preserve">Ignore non-text? </t>
  </si>
  <si>
    <r>
      <t xml:space="preserve">The optional parameter </t>
    </r>
    <r>
      <rPr>
        <sz val="10"/>
        <color rgb="FF0065A8"/>
        <rFont val="Consolas"/>
        <family val="3"/>
      </rPr>
      <t>ignore_nontext</t>
    </r>
    <r>
      <rPr>
        <sz val="10"/>
        <color rgb="FF002138"/>
        <rFont val="Calibri"/>
        <family val="2"/>
        <scheme val="minor"/>
      </rPr>
      <t xml:space="preserve"> input value provided is invalid</t>
    </r>
  </si>
  <si>
    <r>
      <t>Required input parameters (</t>
    </r>
    <r>
      <rPr>
        <sz val="10"/>
        <color rgb="FF0065A8"/>
        <rFont val="Consolas"/>
        <family val="3"/>
      </rPr>
      <t>text</t>
    </r>
    <r>
      <rPr>
        <sz val="10"/>
        <color rgb="FF002138"/>
        <rFont val="Calibri"/>
        <family val="2"/>
        <scheme val="minor"/>
      </rPr>
      <t>) have not been provided</t>
    </r>
  </si>
  <si>
    <t>_ign, IF( ISOMITTED(ignore_nontext), 0, INT(ignore_nontext)),</t>
  </si>
  <si>
    <t>ISERROR(_ign),</t>
  </si>
  <si>
    <t>_ign &lt; 0, _ign &gt; 1</t>
  </si>
  <si>
    <t>), 2,</t>
  </si>
  <si>
    <t>1</t>
  </si>
  <si>
    <t>IF( AND(ISNONTEXT(_str), _ign),</t>
  </si>
  <si>
    <t>_str,</t>
  </si>
  <si>
    <t>_arr, REGEXEXTRACT(_str, ".", 1),</t>
  </si>
  <si>
    <t>_cc, COLUMNS(_arr),</t>
  </si>
  <si>
    <t>_idx, SEQUENCE(1, _cc, _cc, -1),</t>
  </si>
  <si>
    <t>CONCAT( SCAN(0, _idx, LAMBDA(_acc,_val, INDEX(_arr, 1, _val))))</t>
  </si>
  <si>
    <t>CHOOSE(_inpChk, _rtn, #VALUE!)</t>
  </si>
  <si>
    <t>[ignore_nontext],</t>
  </si>
  <si>
    <t>text,</t>
  </si>
  <si>
    <t>// returning the _inpChk value as 1 or 2</t>
  </si>
  <si>
    <t>// Input checks for the optional parameters and required parameters,</t>
  </si>
  <si>
    <t xml:space="preserve">// Converts the individual string value to a character array, reverses the </t>
  </si>
  <si>
    <t>// order of the characters, and concatenates back to a single string</t>
  </si>
  <si>
    <t>// Main calculation - uses SCAN() to iterate through an array of input values</t>
  </si>
  <si>
    <t>Where an array is input, each value in the array is processed individually and an array is output preserving the dimensions of the input array</t>
  </si>
  <si>
    <r>
      <t xml:space="preserve">determines whether any non-text values (e.g. numbers) in the </t>
    </r>
    <r>
      <rPr>
        <sz val="10"/>
        <color rgb="FF0065A8"/>
        <rFont val="Consolas"/>
        <family val="3"/>
      </rPr>
      <t>text</t>
    </r>
    <r>
      <rPr>
        <sz val="10"/>
        <color rgb="FF002138"/>
        <rFont val="Calibri"/>
        <family val="2"/>
        <scheme val="minor"/>
      </rPr>
      <t xml:space="preserve"> input are ignored (not processed) and returned unchanged</t>
    </r>
  </si>
  <si>
    <t>the original text string which is to be reversed -&gt; can be input as a single value or an array of values</t>
  </si>
  <si>
    <t>Custom Lambda function which allows the user to reverse the order of characters in a text string</t>
  </si>
  <si>
    <t>By default the function will convert non-text values to text string and then reverse the order of the characters. This behaviour can be prevented using the ignore_nontext input parameter.</t>
  </si>
  <si>
    <t>https://gist.github.com/r-silk/cbe733fc195cef40f2fbffde992d3af9</t>
  </si>
  <si>
    <t>Reverses the characters in a text string</t>
  </si>
  <si>
    <t>By default, non-text values are converted to text strings and then the order of characters reversed - this can be prevented using the ignore_nontext input</t>
  </si>
  <si>
    <t>Demonstrating basic usage with a single value</t>
  </si>
  <si>
    <t xml:space="preserve">Input: </t>
  </si>
  <si>
    <t>Demonstrating basic usage with 1D array of values</t>
  </si>
  <si>
    <t>Demonstrating basic usage with a 2D array of values</t>
  </si>
  <si>
    <t>ABC</t>
  </si>
  <si>
    <t>DEF</t>
  </si>
  <si>
    <t>GHI</t>
  </si>
  <si>
    <t>JKL</t>
  </si>
  <si>
    <t>MNO</t>
  </si>
  <si>
    <t>PQR</t>
  </si>
  <si>
    <t>STU</t>
  </si>
  <si>
    <t>VWX</t>
  </si>
  <si>
    <t>YZ</t>
  </si>
  <si>
    <t>Extending Functionality</t>
  </si>
  <si>
    <t>Updating version (K) to deal with potential #N/A values from an empty string</t>
  </si>
  <si>
    <t xml:space="preserve">Replace #N/A: </t>
  </si>
  <si>
    <t>replace_na</t>
  </si>
  <si>
    <t>_nInp, IF( ISOMITTED(replace_na), FALSE, INDEX(replace_na, 1, 1)),</t>
  </si>
  <si>
    <t>_rep, IF( ISLOGICAL(_nInp), IF(_nInp, "", NA()), _nInp),</t>
  </si>
  <si>
    <t>_calc, SCAN(0, text, LAMBDA(_acc,_str,</t>
  </si>
  <si>
    <t>_rtn, IF( ISNA(_rep),</t>
  </si>
  <si>
    <t>_calc,</t>
  </si>
  <si>
    <t>IF( ISNA(_calc), _rep, _calc)</t>
  </si>
  <si>
    <t>=LAMBDA(text,[ignore_nontext],[replace_na],LET(_ign,IF(ISOMITTED(ignore_nontext),0,INT(ignore_nontext)),_nInp,IF(ISOMITTED(replace_na),FALSE,INDEX(replace_na,1,1)),_rep,IF(ISLOGICAL(_nInp),IF(_nInp,"",NA()),_nInp),_inpChk,IF(OR(ISERROR(_ign),_ign&lt;0,_ign&gt;1),2,1),_calc,SCAN(0,text,LAMBDA(_acc,_str,IF(AND(ISNONTEXT(_str),_ign),_str,LET(_arr,REGEXEXTRACT(_str,".",1),_cc,COLUMNS(_arr),_idx,SEQUENCE(1,_cc,_cc,-1),CONCAT(SCAN(0,_idx,LAMBDA(_acc,_val,INDEX(_arr,1,_val)))))))),_rtn,IF(ISNA(_rep),_calc,IF(ISNA(_calc),_rep,_calc)),CHOOSE(_inpChk,_rtn,#VALUE!)))</t>
  </si>
  <si>
    <t>[replace_na],</t>
  </si>
  <si>
    <t>// If required check for #N/A values in the calculated output and replace with chosen value</t>
  </si>
  <si>
    <t>Demonstrating use of replace_na input parameter</t>
  </si>
  <si>
    <t>Demonstrating use of ignore_nontext input parameter</t>
  </si>
  <si>
    <t>A blank string value is considered non-text by Excel</t>
  </si>
  <si>
    <t>As such, when ignore_nontext is set to FALSE (default) an empty string value is converted to a true empty string and will return a #N/A value</t>
  </si>
  <si>
    <t>when ignore_nontext is set to TRUE, an empty string value is read as a zero (0) value with no further processing and will return a zero (0) value</t>
  </si>
  <si>
    <t>Can be input as either a logical (Boolean) value or any other value</t>
  </si>
  <si>
    <t>[other]</t>
  </si>
  <si>
    <r>
      <t xml:space="preserve">determines whether any </t>
    </r>
    <r>
      <rPr>
        <sz val="10"/>
        <color rgb="FFC00000"/>
        <rFont val="Consolas"/>
        <family val="3"/>
      </rPr>
      <t>#N/A</t>
    </r>
    <r>
      <rPr>
        <sz val="10"/>
        <color rgb="FF002138"/>
        <rFont val="Calibri"/>
        <family val="2"/>
        <scheme val="minor"/>
      </rPr>
      <t xml:space="preserve"> values in the calculated output are replaced with given value</t>
    </r>
  </si>
  <si>
    <r>
      <t xml:space="preserve">= (default) does not replace </t>
    </r>
    <r>
      <rPr>
        <sz val="10"/>
        <color rgb="FFC00000"/>
        <rFont val="Consolas"/>
        <family val="3"/>
      </rPr>
      <t>#N/A</t>
    </r>
    <r>
      <rPr>
        <sz val="10"/>
        <color rgb="FF002138"/>
        <rFont val="Calibri"/>
        <family val="2"/>
        <scheme val="minor"/>
      </rPr>
      <t xml:space="preserve"> values</t>
    </r>
  </si>
  <si>
    <r>
      <t xml:space="preserve">= replaces </t>
    </r>
    <r>
      <rPr>
        <sz val="10"/>
        <color rgb="FFC00000"/>
        <rFont val="Consolas"/>
        <family val="3"/>
      </rPr>
      <t>#N/A</t>
    </r>
    <r>
      <rPr>
        <sz val="10"/>
        <color rgb="FF002138"/>
        <rFont val="Calibri"/>
        <family val="2"/>
        <scheme val="minor"/>
      </rPr>
      <t xml:space="preserve"> values with a blank string (</t>
    </r>
    <r>
      <rPr>
        <sz val="10"/>
        <color rgb="FF002138"/>
        <rFont val="Consolas"/>
        <family val="3"/>
      </rPr>
      <t>""</t>
    </r>
    <r>
      <rPr>
        <sz val="10"/>
        <color rgb="FF002138"/>
        <rFont val="Calibri"/>
        <family val="2"/>
        <scheme val="minor"/>
      </rPr>
      <t>)</t>
    </r>
  </si>
  <si>
    <r>
      <t xml:space="preserve">= replace </t>
    </r>
    <r>
      <rPr>
        <sz val="10"/>
        <color rgb="FFC00000"/>
        <rFont val="Consolas"/>
        <family val="3"/>
      </rPr>
      <t>#N/A</t>
    </r>
    <r>
      <rPr>
        <sz val="10"/>
        <color rgb="FF002138"/>
        <rFont val="Calibri"/>
        <family val="2"/>
        <scheme val="minor"/>
      </rPr>
      <t xml:space="preserve"> values with input value provided</t>
    </r>
  </si>
  <si>
    <t>Non-RegEx Version</t>
  </si>
  <si>
    <t>IF( ISBLANK(_str), NA(),</t>
  </si>
  <si>
    <t>_arr, MID(_str, SEQUENCE(1, LEN(_str)), 1),</t>
  </si>
  <si>
    <t>=LAMBDA(text,[ignore_nontext],[replace_na],LET(_ign,IF(ISOMITTED(ignore_nontext),0,INT(ignore_nontext)),_nInp,IF(ISOMITTED(replace_na),FALSE,INDEX(replace_na,1,1)),_rep,IF(ISLOGICAL(_nInp),IF(_nInp,"",NA()),_nInp),_inpChk,IF(OR(ISERROR(_ign),_ign&lt;0,_ign&gt;1),2,1),_calc,SCAN(0,text,LAMBDA(_acc,_str,IF(AND(ISNONTEXT(_str),_ign),_str,IF(ISBLANK(_str),NA(),LET(_arr,MID(_str,SEQUENCE(1,LEN(_str)),1),_cc,COLUMNS(_arr),_idx,SEQUENCE(1,_cc,_cc,-1),CONCAT(SCAN(0,_idx,LAMBDA(_acc,_val,INDEX(_arr,1,_val))))))))),_rtn,IF(ISNA(_rep),_calc,IF(ISNA(_calc),_rep,_calc)),CHOOSE(_inpChk,_rtn,#VALUE!)))</t>
  </si>
  <si>
    <r>
      <t xml:space="preserve">        </t>
    </r>
    <r>
      <rPr>
        <sz val="10"/>
        <color rgb="FF1E4FA8"/>
        <rFont val="Consolas"/>
        <family val="3"/>
      </rPr>
      <t>Debug</t>
    </r>
    <r>
      <rPr>
        <sz val="10"/>
        <rFont val="Consolas"/>
        <family val="3"/>
      </rPr>
      <t>.</t>
    </r>
    <r>
      <rPr>
        <sz val="10"/>
        <color rgb="FF1E4FA8"/>
        <rFont val="Consolas"/>
        <family val="3"/>
      </rPr>
      <t>Print</t>
    </r>
    <r>
      <rPr>
        <sz val="10"/>
        <color rgb="FF002138"/>
        <rFont val="Consolas"/>
        <family val="3"/>
      </rPr>
      <t xml:space="preserve"> "ERROR: Destination Workbook not found - please ensure it is open"</t>
    </r>
  </si>
  <si>
    <r>
      <t xml:space="preserve">            </t>
    </r>
    <r>
      <rPr>
        <sz val="10"/>
        <color rgb="FF1E4FA8"/>
        <rFont val="Consolas"/>
        <family val="3"/>
      </rPr>
      <t>Debug</t>
    </r>
    <r>
      <rPr>
        <sz val="10"/>
        <rFont val="Consolas"/>
        <family val="3"/>
      </rPr>
      <t>.</t>
    </r>
    <r>
      <rPr>
        <sz val="10"/>
        <color rgb="FF1E4FA8"/>
        <rFont val="Consolas"/>
        <family val="3"/>
      </rPr>
      <t>Print</t>
    </r>
    <r>
      <rPr>
        <sz val="10"/>
        <color rgb="FF002138"/>
        <rFont val="Consolas"/>
        <family val="3"/>
      </rPr>
      <t xml:space="preserve"> "Success! -&gt; " &amp; strLambda &amp; " copied to " &amp; wb.Name</t>
    </r>
  </si>
  <si>
    <r>
      <t xml:space="preserve">            </t>
    </r>
    <r>
      <rPr>
        <sz val="10"/>
        <color rgb="FF1E4FA8"/>
        <rFont val="Consolas"/>
        <family val="3"/>
      </rPr>
      <t>Debug</t>
    </r>
    <r>
      <rPr>
        <sz val="10"/>
        <rFont val="Consolas"/>
        <family val="3"/>
      </rPr>
      <t>.</t>
    </r>
    <r>
      <rPr>
        <sz val="10"/>
        <color rgb="FF1E4FA8"/>
        <rFont val="Consolas"/>
        <family val="3"/>
      </rPr>
      <t>Print</t>
    </r>
    <r>
      <rPr>
        <sz val="10"/>
        <color rgb="FF002138"/>
        <rFont val="Consolas"/>
        <family val="3"/>
      </rPr>
      <t xml:space="preserve"> "ERROR: Unable to copy " &amp; strLambda &amp; " to " &amp; wb.Name</t>
    </r>
  </si>
  <si>
    <r>
      <t xml:space="preserve">        </t>
    </r>
    <r>
      <rPr>
        <sz val="10"/>
        <color rgb="FF1E4FA8"/>
        <rFont val="Consolas"/>
        <family val="3"/>
      </rPr>
      <t>Debug</t>
    </r>
    <r>
      <rPr>
        <sz val="10"/>
        <rFont val="Consolas"/>
        <family val="3"/>
      </rPr>
      <t>.</t>
    </r>
    <r>
      <rPr>
        <sz val="10"/>
        <color rgb="FF1E4FA8"/>
        <rFont val="Consolas"/>
        <family val="3"/>
      </rPr>
      <t>Print</t>
    </r>
    <r>
      <rPr>
        <sz val="10"/>
        <color rgb="FF002138"/>
        <rFont val="Consolas"/>
        <family val="3"/>
      </rPr>
      <t xml:space="preserve"> "ERROR: " &amp; strLambda &amp; " not found"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</si>
</sst>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##0_);\(#,##0\);\-_)"/>
    <numFmt numFmtId="165" formatCode="0.00%;\(0.00\)%;&quot;--&quot;_)"/>
    <numFmt numFmtId="166" formatCode="d\-mmm\-yyyy"/>
    <numFmt numFmtId="167" formatCode="_(* #,##0.00_);_(* \(#,##0.00\);_(* &quot;-&quot;??_);_(@_)"/>
    <numFmt numFmtId="168" formatCode="#,##0_);\(#,##0\);\ \-_)"/>
    <numFmt numFmtId="169" formatCode="0_);\(0\);\-_)"/>
    <numFmt numFmtId="170" formatCode="_(&quot;£&quot;* #,##0.00_);_(&quot;£&quot;* \(#,##0.00\);_(&quot;£&quot;* &quot;-&quot;??_);_(@_)"/>
    <numFmt numFmtId="171" formatCode="&quot;£&quot;#,##0.0,\ \K_);&quot;£&quot;\(#,##0.0,\ \K\);&quot;£&quot;0_)"/>
    <numFmt numFmtId="172" formatCode="[Red]&quot;CHECK&quot;;[Red]&quot;ERROR&quot;;&quot;OK&quot;"/>
    <numFmt numFmtId="173" formatCode="#,##0_);[Red]\(#,##0\);\ \-_)"/>
    <numFmt numFmtId="174" formatCode="0.00%;[Red]\(0.00\)%;&quot;--&quot;_)"/>
    <numFmt numFmtId="175" formatCode="mmm\-yyyy_)"/>
    <numFmt numFmtId="176" formatCode="0_);[Red]\(0\);\-_)"/>
    <numFmt numFmtId="177" formatCode="00\."/>
    <numFmt numFmtId="178" formatCode="&quot;Yes (1)&quot;;[Red]&quot;Err&quot;;&quot;No (0)&quot;"/>
    <numFmt numFmtId="179" formatCode="&quot;On (1)&quot;;[Red]&quot;Err&quot;;&quot;Off (0)&quot;"/>
  </numFmts>
  <fonts count="50" x14ac:knownFonts="1">
    <font>
      <sz val="10"/>
      <color rgb="FF002138"/>
      <name val="Calibri"/>
      <family val="2"/>
      <scheme val="minor"/>
    </font>
    <font>
      <sz val="10"/>
      <color theme="1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rgb="FF9C000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3F9C35"/>
      <name val="Consolas"/>
      <family val="3"/>
    </font>
    <font>
      <sz val="10"/>
      <color rgb="FF002138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10"/>
      <color rgb="FF808080"/>
      <name val="Calibri"/>
      <family val="2"/>
      <scheme val="minor"/>
    </font>
    <font>
      <b/>
      <i/>
      <sz val="10"/>
      <color rgb="FF195C89"/>
      <name val="Calibri"/>
      <family val="2"/>
      <scheme val="minor"/>
    </font>
    <font>
      <sz val="10"/>
      <color rgb="FF006100"/>
      <name val="Calibri"/>
      <family val="2"/>
      <scheme val="minor"/>
    </font>
    <font>
      <b/>
      <sz val="12"/>
      <color rgb="FFFFFFFF"/>
      <name val="Arial"/>
      <family val="2"/>
      <scheme val="major"/>
    </font>
    <font>
      <b/>
      <sz val="11"/>
      <color rgb="FFFFFFFF"/>
      <name val="Arial"/>
      <family val="2"/>
      <scheme val="major"/>
    </font>
    <font>
      <b/>
      <sz val="10"/>
      <color rgb="FF595959"/>
      <name val="Arial"/>
      <family val="2"/>
      <scheme val="major"/>
    </font>
    <font>
      <sz val="10"/>
      <color theme="0" tint="-0.249977111117893"/>
      <name val="Calibri"/>
      <family val="2"/>
      <scheme val="minor"/>
    </font>
    <font>
      <sz val="10"/>
      <color rgb="FF195C89"/>
      <name val="Calibri"/>
      <family val="2"/>
      <scheme val="minor"/>
    </font>
    <font>
      <sz val="12"/>
      <color rgb="FF195C89"/>
      <name val="Arial"/>
      <family val="2"/>
      <scheme val="major"/>
    </font>
    <font>
      <sz val="10"/>
      <color theme="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i/>
      <sz val="10"/>
      <color rgb="FF33B9F2"/>
      <name val="Calibri"/>
      <family val="2"/>
      <scheme val="minor"/>
    </font>
    <font>
      <sz val="10"/>
      <color rgb="FF9C5700"/>
      <name val="Calibri"/>
      <family val="2"/>
      <scheme val="minor"/>
    </font>
    <font>
      <i/>
      <sz val="10"/>
      <color rgb="FFFF8225"/>
      <name val="Calibri"/>
      <family val="2"/>
      <scheme val="minor"/>
    </font>
    <font>
      <sz val="10"/>
      <color rgb="FFB400B4"/>
      <name val="Calibri"/>
      <family val="2"/>
      <scheme val="minor"/>
    </font>
    <font>
      <sz val="10"/>
      <color rgb="FF8C0000"/>
      <name val="Calibri"/>
      <family val="2"/>
      <scheme val="minor"/>
    </font>
    <font>
      <b/>
      <sz val="12"/>
      <color rgb="FF195C89"/>
      <name val="Arial"/>
      <family val="2"/>
      <scheme val="major"/>
    </font>
    <font>
      <b/>
      <sz val="16"/>
      <color rgb="FF0E2550"/>
      <name val="Arial"/>
      <family val="2"/>
      <scheme val="major"/>
    </font>
    <font>
      <sz val="10"/>
      <color rgb="FFB4B4B4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4"/>
      <color rgb="FFFFFFFF"/>
      <name val="Arial"/>
      <family val="2"/>
      <scheme val="major"/>
    </font>
    <font>
      <b/>
      <sz val="10"/>
      <color rgb="FF002138"/>
      <name val="Calibri"/>
      <family val="2"/>
      <scheme val="minor"/>
    </font>
    <font>
      <b/>
      <i/>
      <sz val="10"/>
      <color rgb="FF002138"/>
      <name val="Calibri"/>
      <family val="2"/>
      <scheme val="minor"/>
    </font>
    <font>
      <u/>
      <sz val="10"/>
      <color rgb="FF002138"/>
      <name val="Calibri"/>
      <family val="2"/>
      <scheme val="minor"/>
    </font>
    <font>
      <sz val="10"/>
      <color rgb="FF0065A8"/>
      <name val="Consolas"/>
      <family val="3"/>
    </font>
    <font>
      <sz val="10"/>
      <color rgb="FFC00000"/>
      <name val="Consolas"/>
      <family val="3"/>
    </font>
    <font>
      <b/>
      <sz val="10"/>
      <color rgb="FFB75EE1"/>
      <name val="Calibri"/>
      <family val="2"/>
      <scheme val="minor"/>
    </font>
    <font>
      <b/>
      <sz val="10"/>
      <color rgb="FFFC6017"/>
      <name val="Calibri"/>
      <family val="2"/>
      <scheme val="minor"/>
    </font>
    <font>
      <sz val="10"/>
      <color rgb="FF002138"/>
      <name val="Consolas"/>
      <family val="3"/>
    </font>
    <font>
      <sz val="10"/>
      <color rgb="FF1E4FA8"/>
      <name val="Consolas"/>
      <family val="3"/>
    </font>
    <font>
      <b/>
      <i/>
      <u/>
      <sz val="10"/>
      <color rgb="FFFF8225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0000FF"/>
      <name val="Consolas"/>
      <family val="3"/>
    </font>
    <font>
      <b/>
      <sz val="10"/>
      <color rgb="FF1E4FA8"/>
      <name val="Calibri"/>
      <family val="2"/>
      <scheme val="minor"/>
    </font>
    <font>
      <sz val="10"/>
      <color theme="7" tint="0.39997558519241921"/>
      <name val="Calibri"/>
      <family val="2"/>
      <scheme val="minor"/>
    </font>
    <font>
      <sz val="10"/>
      <name val="Consolas"/>
      <family val="3"/>
    </font>
  </fonts>
  <fills count="2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rgb="FFFEE6CE"/>
        <bgColor indexed="64"/>
      </patternFill>
    </fill>
    <fill>
      <patternFill patternType="solid">
        <fgColor rgb="FF198B83"/>
        <bgColor indexed="64"/>
      </patternFill>
    </fill>
    <fill>
      <patternFill patternType="solid">
        <fgColor rgb="FF56BAB8"/>
        <bgColor indexed="64"/>
      </patternFill>
    </fill>
    <fill>
      <patternFill patternType="solid">
        <fgColor rgb="FFE6D3B8"/>
        <bgColor indexed="64"/>
      </patternFill>
    </fill>
    <fill>
      <patternFill patternType="solid">
        <fgColor rgb="FFF7ECDD"/>
        <bgColor indexed="64"/>
      </patternFill>
    </fill>
    <fill>
      <patternFill patternType="solid">
        <fgColor rgb="FFFFFFD2"/>
        <bgColor indexed="64"/>
      </patternFill>
    </fill>
    <fill>
      <patternFill patternType="solid">
        <fgColor rgb="FFF9E7FF"/>
        <bgColor indexed="64"/>
      </patternFill>
    </fill>
    <fill>
      <patternFill patternType="solid">
        <fgColor rgb="FFEBFAFA"/>
        <bgColor indexed="64"/>
      </patternFill>
    </fill>
    <fill>
      <patternFill patternType="solid">
        <fgColor rgb="FFFF4F4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8F200"/>
        <bgColor indexed="64"/>
      </patternFill>
    </fill>
    <fill>
      <patternFill patternType="solid">
        <fgColor rgb="FFBEE4E3"/>
        <bgColor indexed="64"/>
      </patternFill>
    </fill>
    <fill>
      <patternFill patternType="lightUp">
        <fgColor theme="0" tint="-0.34998626667073579"/>
        <bgColor auto="1"/>
      </patternFill>
    </fill>
    <fill>
      <patternFill patternType="solid">
        <fgColor rgb="FFE4E6E8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thin">
        <color theme="1" tint="0.24994659260841701"/>
      </top>
      <bottom style="double">
        <color theme="1" tint="0.24994659260841701"/>
      </bottom>
      <diagonal/>
    </border>
    <border>
      <left/>
      <right/>
      <top style="medium">
        <color theme="5"/>
      </top>
      <bottom/>
      <diagonal/>
    </border>
    <border>
      <left style="thin">
        <color rgb="FF198B83"/>
      </left>
      <right style="thin">
        <color rgb="FF198B83"/>
      </right>
      <top style="thin">
        <color rgb="FF198B83"/>
      </top>
      <bottom style="thin">
        <color rgb="FF198B83"/>
      </bottom>
      <diagonal/>
    </border>
    <border>
      <left style="thin">
        <color rgb="FF56BAB8"/>
      </left>
      <right style="thin">
        <color rgb="FF56BAB8"/>
      </right>
      <top style="thin">
        <color rgb="FF56BAB8"/>
      </top>
      <bottom style="thin">
        <color rgb="FF56BAB8"/>
      </bottom>
      <diagonal/>
    </border>
    <border>
      <left style="thin">
        <color rgb="FFE6D3B8"/>
      </left>
      <right style="thin">
        <color rgb="FFE6D3B8"/>
      </right>
      <top style="thin">
        <color rgb="FFE6D3B8"/>
      </top>
      <bottom style="thin">
        <color rgb="FFE6D3B8"/>
      </bottom>
      <diagonal/>
    </border>
    <border>
      <left style="thin">
        <color rgb="FFF7ECDD"/>
      </left>
      <right style="thin">
        <color rgb="FFF7ECDD"/>
      </right>
      <top style="thin">
        <color rgb="FFF7ECDD"/>
      </top>
      <bottom style="thin">
        <color rgb="FFF7ECDD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medium">
        <color theme="5"/>
      </bottom>
      <diagonal/>
    </border>
    <border>
      <left style="hair">
        <color rgb="FF0082B3"/>
      </left>
      <right style="hair">
        <color rgb="FF0082B3"/>
      </right>
      <top style="hair">
        <color rgb="FF0082B3"/>
      </top>
      <bottom style="hair">
        <color rgb="FF0082B3"/>
      </bottom>
      <diagonal/>
    </border>
    <border>
      <left style="hair">
        <color theme="1" tint="0.24994659260841701"/>
      </left>
      <right/>
      <top style="hair">
        <color theme="1" tint="0.24994659260841701"/>
      </top>
      <bottom style="hair">
        <color theme="1" tint="0.24994659260841701"/>
      </bottom>
      <diagonal/>
    </border>
    <border>
      <left/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/>
      <top style="hair">
        <color theme="1" tint="0.24994659260841701"/>
      </top>
      <bottom style="hair">
        <color theme="1" tint="0.24994659260841701"/>
      </bottom>
      <diagonal/>
    </border>
  </borders>
  <cellStyleXfs count="72">
    <xf numFmtId="0" fontId="0" fillId="0" borderId="0"/>
    <xf numFmtId="167" fontId="12" fillId="0" borderId="0" applyNumberFormat="0" applyAlignment="0" applyProtection="0"/>
    <xf numFmtId="170" fontId="12" fillId="0" borderId="0" applyNumberFormat="0" applyAlignment="0" applyProtection="0"/>
    <xf numFmtId="171" fontId="1" fillId="0" borderId="0" applyFont="0" applyFill="0" applyBorder="0" applyAlignment="0" applyProtection="0"/>
    <xf numFmtId="9" fontId="12" fillId="0" borderId="0" applyNumberFormat="0" applyAlignment="0" applyProtection="0"/>
    <xf numFmtId="0" fontId="31" fillId="0" borderId="0" applyAlignment="0" applyProtection="0"/>
    <xf numFmtId="0" fontId="17" fillId="10" borderId="11" applyNumberFormat="0" applyAlignment="0" applyProtection="0"/>
    <xf numFmtId="0" fontId="18" fillId="11" borderId="12" applyNumberFormat="0" applyAlignment="0" applyProtection="0"/>
    <xf numFmtId="0" fontId="19" fillId="12" borderId="13" applyNumberFormat="0" applyAlignment="0" applyProtection="0"/>
    <xf numFmtId="0" fontId="19" fillId="13" borderId="14" applyNumberFormat="0" applyAlignment="0" applyProtection="0"/>
    <xf numFmtId="0" fontId="16" fillId="2" borderId="0" applyNumberFormat="0" applyBorder="0" applyAlignment="0" applyProtection="0"/>
    <xf numFmtId="0" fontId="8" fillId="3" borderId="0" applyNumberFormat="0" applyBorder="0" applyAlignment="0" applyProtection="0"/>
    <xf numFmtId="0" fontId="26" fillId="4" borderId="0" applyNumberFormat="0" applyBorder="0" applyAlignment="0" applyProtection="0"/>
    <xf numFmtId="0" fontId="2" fillId="5" borderId="1" applyNumberFormat="0" applyAlignment="0" applyProtection="0"/>
    <xf numFmtId="0" fontId="3" fillId="6" borderId="2" applyNumberFormat="0" applyAlignment="0" applyProtection="0"/>
    <xf numFmtId="0" fontId="4" fillId="6" borderId="1" applyNumberFormat="0" applyAlignment="0" applyProtection="0"/>
    <xf numFmtId="0" fontId="5" fillId="0" borderId="3" applyNumberFormat="0" applyFill="0" applyAlignment="0" applyProtection="0"/>
    <xf numFmtId="0" fontId="6" fillId="7" borderId="4" applyNumberFormat="0" applyAlignment="0" applyProtection="0"/>
    <xf numFmtId="164" fontId="33" fillId="0" borderId="0" applyNumberFormat="0" applyFill="0" applyBorder="0" applyAlignment="0" applyProtection="0"/>
    <xf numFmtId="0" fontId="1" fillId="8" borderId="5" applyNumberFormat="0" applyFont="0" applyAlignment="0" applyProtection="0"/>
    <xf numFmtId="164" fontId="14" fillId="0" borderId="0" applyNumberFormat="0" applyFill="0" applyBorder="0" applyAlignment="0" applyProtection="0"/>
    <xf numFmtId="0" fontId="7" fillId="0" borderId="6" applyNumberFormat="0" applyFill="0" applyAlignment="0" applyProtection="0"/>
    <xf numFmtId="164" fontId="9" fillId="0" borderId="7" applyAlignment="0"/>
    <xf numFmtId="165" fontId="9" fillId="0" borderId="7" applyAlignment="0"/>
    <xf numFmtId="166" fontId="9" fillId="0" borderId="7" applyAlignment="0"/>
    <xf numFmtId="164" fontId="9" fillId="0" borderId="8" applyNumberFormat="0" applyAlignment="0"/>
    <xf numFmtId="164" fontId="10" fillId="0" borderId="9" applyNumberFormat="0" applyAlignment="0"/>
    <xf numFmtId="0" fontId="11" fillId="0" borderId="0" applyFill="0" applyBorder="0" applyAlignment="0"/>
    <xf numFmtId="168" fontId="13" fillId="9" borderId="7" applyAlignment="0">
      <protection locked="0"/>
    </xf>
    <xf numFmtId="165" fontId="13" fillId="9" borderId="7" applyAlignment="0">
      <protection locked="0"/>
    </xf>
    <xf numFmtId="166" fontId="13" fillId="9" borderId="7" applyAlignment="0">
      <protection locked="0"/>
    </xf>
    <xf numFmtId="169" fontId="13" fillId="9" borderId="7" applyAlignment="0">
      <protection locked="0"/>
    </xf>
    <xf numFmtId="0" fontId="15" fillId="0" borderId="10" applyFill="0">
      <alignment vertical="center"/>
    </xf>
    <xf numFmtId="172" fontId="20" fillId="0" borderId="0" applyFill="0">
      <alignment horizontal="center"/>
    </xf>
    <xf numFmtId="168" fontId="13" fillId="14" borderId="7" applyAlignment="0">
      <protection locked="0"/>
    </xf>
    <xf numFmtId="165" fontId="13" fillId="14" borderId="7" applyAlignment="0">
      <protection locked="0"/>
    </xf>
    <xf numFmtId="166" fontId="13" fillId="14" borderId="7" applyAlignment="0">
      <protection locked="0"/>
    </xf>
    <xf numFmtId="169" fontId="13" fillId="14" borderId="7" applyAlignment="0">
      <protection locked="0"/>
    </xf>
    <xf numFmtId="164" fontId="21" fillId="15" borderId="7" applyAlignment="0">
      <protection locked="0"/>
    </xf>
    <xf numFmtId="0" fontId="22" fillId="0" borderId="0">
      <alignment vertical="center"/>
    </xf>
    <xf numFmtId="168" fontId="13" fillId="16" borderId="7" applyAlignment="0"/>
    <xf numFmtId="164" fontId="23" fillId="17" borderId="0">
      <alignment horizontal="center"/>
    </xf>
    <xf numFmtId="164" fontId="23" fillId="18" borderId="0">
      <alignment horizontal="center"/>
    </xf>
    <xf numFmtId="164" fontId="24" fillId="19" borderId="0">
      <alignment horizontal="center"/>
    </xf>
    <xf numFmtId="0" fontId="25" fillId="0" borderId="0"/>
    <xf numFmtId="0" fontId="27" fillId="0" borderId="0" applyNumberFormat="0" applyFill="0" applyBorder="0" applyAlignment="0"/>
    <xf numFmtId="0" fontId="21" fillId="0" borderId="0" applyNumberFormat="0" applyFill="0" applyBorder="0" applyAlignment="0"/>
    <xf numFmtId="173" fontId="9" fillId="0" borderId="0" applyFill="0" applyAlignment="0"/>
    <xf numFmtId="174" fontId="9" fillId="0" borderId="0" applyFill="0" applyAlignment="0"/>
    <xf numFmtId="175" fontId="9" fillId="0" borderId="0" applyFill="0" applyAlignment="0"/>
    <xf numFmtId="164" fontId="10" fillId="0" borderId="15" applyNumberFormat="0" applyFill="0" applyAlignment="0"/>
    <xf numFmtId="176" fontId="9" fillId="0" borderId="0" applyFill="0" applyAlignment="0"/>
    <xf numFmtId="164" fontId="10" fillId="0" borderId="6" applyNumberFormat="0" applyFill="0" applyAlignment="0"/>
    <xf numFmtId="168" fontId="28" fillId="0" borderId="7" applyAlignment="0"/>
    <xf numFmtId="165" fontId="28" fillId="0" borderId="7" applyAlignment="0"/>
    <xf numFmtId="166" fontId="28" fillId="0" borderId="7" applyAlignment="0"/>
    <xf numFmtId="168" fontId="28" fillId="0" borderId="8" applyNumberFormat="0" applyAlignment="0"/>
    <xf numFmtId="169" fontId="28" fillId="0" borderId="7" applyAlignment="0"/>
    <xf numFmtId="168" fontId="29" fillId="0" borderId="7" applyAlignment="0"/>
    <xf numFmtId="165" fontId="29" fillId="0" borderId="7" applyAlignment="0"/>
    <xf numFmtId="166" fontId="29" fillId="0" borderId="7" applyAlignment="0"/>
    <xf numFmtId="168" fontId="29" fillId="0" borderId="8" applyNumberFormat="0" applyAlignment="0"/>
    <xf numFmtId="169" fontId="29" fillId="0" borderId="7" applyAlignment="0"/>
    <xf numFmtId="0" fontId="30" fillId="0" borderId="16"/>
    <xf numFmtId="169" fontId="9" fillId="20" borderId="0" applyAlignment="0" applyProtection="0"/>
    <xf numFmtId="0" fontId="32" fillId="0" borderId="0" applyNumberFormat="0" applyFill="0" applyBorder="0">
      <alignment horizontal="center"/>
    </xf>
    <xf numFmtId="0" fontId="24" fillId="21" borderId="17" applyNumberFormat="0" applyBorder="0" applyAlignment="0" applyProtection="0"/>
    <xf numFmtId="164" fontId="9" fillId="22" borderId="7"/>
    <xf numFmtId="165" fontId="9" fillId="22" borderId="7"/>
    <xf numFmtId="164" fontId="9" fillId="22" borderId="8" applyNumberFormat="0"/>
    <xf numFmtId="164" fontId="9" fillId="22" borderId="9" applyNumberFormat="0"/>
    <xf numFmtId="0" fontId="45" fillId="0" borderId="0" applyNumberFormat="0" applyFill="0" applyBorder="0" applyAlignment="0" applyProtection="0"/>
  </cellStyleXfs>
  <cellXfs count="87">
    <xf numFmtId="0" fontId="0" fillId="0" borderId="0" xfId="0"/>
    <xf numFmtId="0" fontId="17" fillId="10" borderId="11" xfId="6"/>
    <xf numFmtId="0" fontId="34" fillId="10" borderId="11" xfId="6" applyFont="1" applyAlignment="1">
      <alignment horizontal="left" vertical="center" indent="1"/>
    </xf>
    <xf numFmtId="0" fontId="35" fillId="0" borderId="0" xfId="0" applyFont="1"/>
    <xf numFmtId="0" fontId="36" fillId="0" borderId="0" xfId="0" applyFont="1"/>
    <xf numFmtId="0" fontId="30" fillId="0" borderId="16" xfId="63"/>
    <xf numFmtId="177" fontId="30" fillId="0" borderId="16" xfId="63" applyNumberFormat="1"/>
    <xf numFmtId="0" fontId="19" fillId="13" borderId="14" xfId="9"/>
    <xf numFmtId="0" fontId="19" fillId="13" borderId="14" xfId="9" applyAlignment="1">
      <alignment horizontal="left" indent="1"/>
    </xf>
    <xf numFmtId="0" fontId="37" fillId="0" borderId="0" xfId="0" applyFont="1"/>
    <xf numFmtId="0" fontId="35" fillId="0" borderId="0" xfId="0" applyFont="1" applyAlignment="1">
      <alignment horizontal="center"/>
    </xf>
    <xf numFmtId="0" fontId="15" fillId="0" borderId="10" xfId="32">
      <alignment vertical="center"/>
    </xf>
    <xf numFmtId="0" fontId="38" fillId="0" borderId="0" xfId="27" applyFont="1"/>
    <xf numFmtId="0" fontId="39" fillId="0" borderId="0" xfId="27" applyFont="1"/>
    <xf numFmtId="0" fontId="40" fillId="0" borderId="0" xfId="0" applyFont="1"/>
    <xf numFmtId="0" fontId="41" fillId="0" borderId="0" xfId="0" applyFont="1"/>
    <xf numFmtId="0" fontId="0" fillId="0" borderId="0" xfId="0" applyAlignment="1">
      <alignment horizontal="right"/>
    </xf>
    <xf numFmtId="0" fontId="42" fillId="0" borderId="0" xfId="0" applyFont="1"/>
    <xf numFmtId="0" fontId="11" fillId="0" borderId="0" xfId="0" applyFont="1"/>
    <xf numFmtId="0" fontId="43" fillId="0" borderId="0" xfId="0" applyFont="1"/>
    <xf numFmtId="0" fontId="32" fillId="0" borderId="0" xfId="0" applyFont="1"/>
    <xf numFmtId="0" fontId="25" fillId="0" borderId="0" xfId="44"/>
    <xf numFmtId="178" fontId="13" fillId="16" borderId="7" xfId="40" applyNumberFormat="1"/>
    <xf numFmtId="179" fontId="13" fillId="16" borderId="7" xfId="40" applyNumberFormat="1"/>
    <xf numFmtId="0" fontId="0" fillId="0" borderId="0" xfId="0" applyAlignment="1">
      <alignment horizontal="left" indent="1"/>
    </xf>
    <xf numFmtId="164" fontId="9" fillId="0" borderId="7" xfId="22"/>
    <xf numFmtId="164" fontId="9" fillId="0" borderId="7" xfId="22" applyAlignment="1">
      <alignment horizontal="center"/>
    </xf>
    <xf numFmtId="168" fontId="13" fillId="14" borderId="7" xfId="34">
      <protection locked="0"/>
    </xf>
    <xf numFmtId="0" fontId="11" fillId="0" borderId="0" xfId="27"/>
    <xf numFmtId="0" fontId="27" fillId="0" borderId="0" xfId="45" applyAlignment="1">
      <alignment horizontal="left" indent="1"/>
    </xf>
    <xf numFmtId="178" fontId="13" fillId="14" borderId="7" xfId="34" applyNumberFormat="1" applyAlignment="1">
      <alignment horizontal="center"/>
      <protection locked="0"/>
    </xf>
    <xf numFmtId="169" fontId="28" fillId="0" borderId="7" xfId="57"/>
    <xf numFmtId="0" fontId="38" fillId="0" borderId="0" xfId="27" quotePrefix="1" applyFont="1"/>
    <xf numFmtId="0" fontId="11" fillId="0" borderId="0" xfId="27" quotePrefix="1" applyAlignment="1">
      <alignment horizontal="left" indent="2"/>
    </xf>
    <xf numFmtId="0" fontId="11" fillId="0" borderId="0" xfId="27" quotePrefix="1" applyAlignment="1">
      <alignment horizontal="left" indent="4"/>
    </xf>
    <xf numFmtId="0" fontId="45" fillId="0" borderId="0" xfId="71"/>
    <xf numFmtId="0" fontId="35" fillId="0" borderId="0" xfId="0" applyFont="1" applyAlignment="1">
      <alignment horizontal="right"/>
    </xf>
    <xf numFmtId="0" fontId="38" fillId="0" borderId="0" xfId="27" quotePrefix="1" applyFont="1" applyAlignment="1">
      <alignment horizontal="left" indent="2"/>
    </xf>
    <xf numFmtId="169" fontId="13" fillId="14" borderId="7" xfId="37">
      <protection locked="0"/>
    </xf>
    <xf numFmtId="169" fontId="13" fillId="14" borderId="18" xfId="37" applyBorder="1">
      <protection locked="0"/>
    </xf>
    <xf numFmtId="169" fontId="13" fillId="14" borderId="19" xfId="37" applyBorder="1">
      <protection locked="0"/>
    </xf>
    <xf numFmtId="169" fontId="13" fillId="14" borderId="20" xfId="37" applyBorder="1">
      <protection locked="0"/>
    </xf>
    <xf numFmtId="169" fontId="13" fillId="14" borderId="7" xfId="37" applyAlignment="1">
      <protection locked="0"/>
    </xf>
    <xf numFmtId="169" fontId="28" fillId="0" borderId="18" xfId="57" applyBorder="1"/>
    <xf numFmtId="169" fontId="28" fillId="0" borderId="19" xfId="57" applyBorder="1"/>
    <xf numFmtId="164" fontId="9" fillId="0" borderId="18" xfId="22" applyBorder="1"/>
    <xf numFmtId="164" fontId="9" fillId="0" borderId="19" xfId="22" applyBorder="1"/>
    <xf numFmtId="169" fontId="28" fillId="0" borderId="20" xfId="57" applyBorder="1"/>
    <xf numFmtId="164" fontId="9" fillId="0" borderId="20" xfId="22" applyBorder="1"/>
    <xf numFmtId="0" fontId="27" fillId="0" borderId="0" xfId="45"/>
    <xf numFmtId="0" fontId="44" fillId="0" borderId="0" xfId="45" applyFont="1" applyAlignment="1">
      <alignment horizontal="right"/>
    </xf>
    <xf numFmtId="0" fontId="47" fillId="0" borderId="0" xfId="0" applyFont="1"/>
    <xf numFmtId="164" fontId="48" fillId="0" borderId="7" xfId="22" applyFont="1" applyAlignment="1">
      <alignment horizontal="center"/>
    </xf>
    <xf numFmtId="0" fontId="44" fillId="0" borderId="0" xfId="45" applyFont="1"/>
    <xf numFmtId="168" fontId="28" fillId="0" borderId="7" xfId="53"/>
    <xf numFmtId="168" fontId="13" fillId="14" borderId="7" xfId="34" quotePrefix="1">
      <protection locked="0"/>
    </xf>
    <xf numFmtId="0" fontId="47" fillId="0" borderId="0" xfId="0" applyFont="1" applyAlignment="1">
      <alignment horizontal="right"/>
    </xf>
    <xf numFmtId="0" fontId="38" fillId="0" borderId="0" xfId="27" quotePrefix="1" applyFont="1" applyAlignment="1">
      <alignment horizontal="left" indent="4"/>
    </xf>
    <xf numFmtId="0" fontId="38" fillId="0" borderId="0" xfId="27" quotePrefix="1" applyFont="1" applyAlignment="1">
      <alignment horizontal="left" indent="6"/>
    </xf>
    <xf numFmtId="0" fontId="38" fillId="0" borderId="0" xfId="27" quotePrefix="1" applyFont="1" applyAlignment="1">
      <alignment horizontal="left" indent="8"/>
    </xf>
    <xf numFmtId="0" fontId="38" fillId="0" borderId="0" xfId="27" quotePrefix="1" applyFont="1" applyAlignment="1">
      <alignment horizontal="left" indent="10"/>
    </xf>
    <xf numFmtId="0" fontId="38" fillId="0" borderId="0" xfId="27" quotePrefix="1" applyFont="1" applyAlignment="1">
      <alignment horizontal="left"/>
    </xf>
    <xf numFmtId="0" fontId="11" fillId="0" borderId="0" xfId="27" quotePrefix="1" applyAlignment="1">
      <alignment horizontal="left" indent="8"/>
    </xf>
    <xf numFmtId="0" fontId="27" fillId="0" borderId="0" xfId="45" applyAlignment="1">
      <alignment horizontal="left" indent="5"/>
    </xf>
    <xf numFmtId="0" fontId="0" fillId="0" borderId="0" xfId="0" quotePrefix="1"/>
    <xf numFmtId="0" fontId="46" fillId="0" borderId="0" xfId="0" applyFont="1"/>
    <xf numFmtId="0" fontId="46" fillId="0" borderId="0" xfId="0" applyFont="1" applyAlignment="1">
      <alignment horizontal="center"/>
    </xf>
    <xf numFmtId="0" fontId="11" fillId="0" borderId="0" xfId="27" applyAlignment="1">
      <alignment horizontal="left" indent="2"/>
    </xf>
    <xf numFmtId="0" fontId="11" fillId="0" borderId="0" xfId="27" applyAlignment="1">
      <alignment horizontal="left" indent="4"/>
    </xf>
    <xf numFmtId="0" fontId="11" fillId="0" borderId="0" xfId="27" applyAlignment="1">
      <alignment horizontal="left" indent="10"/>
    </xf>
    <xf numFmtId="0" fontId="11" fillId="0" borderId="0" xfId="27" applyBorder="1" applyAlignment="1">
      <alignment horizontal="left" indent="4"/>
    </xf>
    <xf numFmtId="0" fontId="38" fillId="0" borderId="0" xfId="27" applyFont="1" applyAlignment="1">
      <alignment horizontal="left" indent="2"/>
    </xf>
    <xf numFmtId="0" fontId="38" fillId="0" borderId="0" xfId="27" applyFont="1" applyAlignment="1">
      <alignment horizontal="left" indent="4"/>
    </xf>
    <xf numFmtId="0" fontId="38" fillId="0" borderId="0" xfId="27" applyFont="1" applyAlignment="1">
      <alignment horizontal="left" indent="6"/>
    </xf>
    <xf numFmtId="0" fontId="38" fillId="0" borderId="0" xfId="27" applyFont="1" applyAlignment="1">
      <alignment horizontal="left" indent="8"/>
    </xf>
    <xf numFmtId="0" fontId="38" fillId="0" borderId="0" xfId="27" applyFont="1" applyAlignment="1">
      <alignment horizontal="left" indent="10"/>
    </xf>
    <xf numFmtId="0" fontId="38" fillId="0" borderId="0" xfId="27" applyFont="1" applyAlignment="1">
      <alignment horizontal="left" indent="12"/>
    </xf>
    <xf numFmtId="9" fontId="0" fillId="0" borderId="0" xfId="0" applyNumberFormat="1"/>
    <xf numFmtId="169" fontId="13" fillId="14" borderId="18" xfId="37" applyBorder="1" applyAlignment="1">
      <alignment wrapText="1"/>
      <protection locked="0"/>
    </xf>
    <xf numFmtId="169" fontId="13" fillId="14" borderId="20" xfId="37" applyBorder="1" applyAlignment="1">
      <alignment wrapText="1"/>
      <protection locked="0"/>
    </xf>
    <xf numFmtId="169" fontId="13" fillId="14" borderId="19" xfId="37" applyBorder="1" applyAlignment="1">
      <alignment wrapText="1"/>
      <protection locked="0"/>
    </xf>
    <xf numFmtId="169" fontId="28" fillId="0" borderId="18" xfId="57" applyBorder="1" applyAlignment="1">
      <alignment wrapText="1"/>
    </xf>
    <xf numFmtId="169" fontId="28" fillId="0" borderId="20" xfId="57" applyBorder="1" applyAlignment="1">
      <alignment wrapText="1"/>
    </xf>
    <xf numFmtId="169" fontId="28" fillId="0" borderId="19" xfId="57" applyBorder="1" applyAlignment="1">
      <alignment wrapText="1"/>
    </xf>
    <xf numFmtId="164" fontId="9" fillId="0" borderId="18" xfId="22" applyBorder="1" applyAlignment="1">
      <alignment wrapText="1"/>
    </xf>
    <xf numFmtId="164" fontId="9" fillId="0" borderId="20" xfId="22" applyBorder="1" applyAlignment="1">
      <alignment wrapText="1"/>
    </xf>
    <xf numFmtId="164" fontId="9" fillId="0" borderId="19" xfId="22" applyBorder="1" applyAlignment="1">
      <alignment wrapText="1"/>
    </xf>
  </cellXfs>
  <cellStyles count="72">
    <cellStyle name="Bad" xfId="11" builtinId="27" customBuiltin="1"/>
    <cellStyle name="Calc - #" xfId="22" xr:uid="{F527EAFB-9F21-4BF1-AB18-B9A0BD4A7DCE}"/>
    <cellStyle name="Calc - %" xfId="23" xr:uid="{B73BDC4B-EC5F-495F-B8DD-9CC9AFA094CD}"/>
    <cellStyle name="Calc - Date" xfId="24" xr:uid="{7FC39344-F211-4BFD-800E-6EDBD190C715}"/>
    <cellStyle name="Calc - SubTotal" xfId="25" xr:uid="{B747823A-4DDD-4DE0-8CFC-14512AD7E0EC}"/>
    <cellStyle name="Calc - Total" xfId="26" xr:uid="{AAC59D60-FCEA-4BC1-8825-5BF7455A753C}"/>
    <cellStyle name="Calculation" xfId="15" builtinId="22" hidden="1"/>
    <cellStyle name="Check Cell" xfId="17" builtinId="23" hidden="1"/>
    <cellStyle name="Code" xfId="27" xr:uid="{CC17487D-1AEE-4EC7-95C2-6FF3200998CE}"/>
    <cellStyle name="Comma" xfId="1" builtinId="3" customBuiltin="1"/>
    <cellStyle name="Const - #" xfId="28" xr:uid="{16DDC202-7BE8-49F5-BB4C-EE2E04B76A7F}"/>
    <cellStyle name="Const - %" xfId="29" xr:uid="{01FF21C3-3B2C-4872-A64A-2DA3A9CC2CC7}"/>
    <cellStyle name="Const - Date" xfId="30" xr:uid="{DF3B3F73-88CF-4712-8230-73E32434CCD2}"/>
    <cellStyle name="Const - Text" xfId="31" xr:uid="{5ACFC0C8-67F1-4096-8A9A-F661A0E2B434}"/>
    <cellStyle name="Currency" xfId="2" builtinId="4" customBuiltin="1"/>
    <cellStyle name="Currency [0]" xfId="3" builtinId="7" customBuiltin="1"/>
    <cellStyle name="Explanatory Text" xfId="20" builtinId="53" customBuiltin="1"/>
    <cellStyle name="Footer" xfId="32" xr:uid="{1F9EB5B0-555B-40BD-876F-473041F25D9B}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Hyperlink" xfId="71" builtinId="8"/>
    <cellStyle name="Inline Check" xfId="33" xr:uid="{101F02E8-2838-41A7-8214-0374CC7B518D}"/>
    <cellStyle name="Input" xfId="13" builtinId="20" hidden="1"/>
    <cellStyle name="Input - #" xfId="34" xr:uid="{7B84B54C-D703-46E5-A833-103D69CE7DFA}"/>
    <cellStyle name="Input - %" xfId="35" xr:uid="{44A14ABD-7FFF-4BF3-AED0-80584C5E846D}"/>
    <cellStyle name="Input - Date" xfId="36" xr:uid="{3C2CCE4F-178E-41A3-8F73-93CBCAEA609E}"/>
    <cellStyle name="Input - Text" xfId="37" xr:uid="{CDF2651F-12F5-47E9-8BA0-4DABC80B02F2}"/>
    <cellStyle name="Linked Cell" xfId="16" builtinId="24" hidden="1"/>
    <cellStyle name="Macro Paste" xfId="38" xr:uid="{F1812E6D-12D4-49DB-B2D2-E551232C423E}"/>
    <cellStyle name="Message Bar" xfId="39" xr:uid="{A02976FC-7976-42D2-82C5-EA274F32FABA}"/>
    <cellStyle name="Model Author Input" xfId="40" xr:uid="{C583F0F1-45A6-4586-96E8-75EC31CF0666}"/>
    <cellStyle name="Model Error" xfId="41" xr:uid="{644AECB1-54C0-48FF-82A0-E08709610E24}"/>
    <cellStyle name="Model Input Error" xfId="42" xr:uid="{B3A7F809-DFBD-41F6-9CF0-B40624C75F27}"/>
    <cellStyle name="Model Warning" xfId="43" xr:uid="{A03939A6-C7BA-4E9A-B549-967583859A6A}"/>
    <cellStyle name="Named Range" xfId="44" xr:uid="{275844C8-9B52-409F-AE9B-84FF95DA1E68}"/>
    <cellStyle name="Neutral" xfId="12" builtinId="28" customBuiltin="1"/>
    <cellStyle name="Normal" xfId="0" builtinId="0" customBuiltin="1"/>
    <cellStyle name="Note" xfId="19" builtinId="10" hidden="1"/>
    <cellStyle name="Notes" xfId="45" xr:uid="{20FE8002-5D33-459F-98D1-E4338740A446}"/>
    <cellStyle name="Notes - Alt Text" xfId="46" xr:uid="{C09C7139-A902-4225-9E3F-63561174F775}"/>
    <cellStyle name="Output" xfId="14" builtinId="21" hidden="1"/>
    <cellStyle name="Output - #" xfId="47" xr:uid="{E631C746-0265-491F-8B40-ED707907FAAE}"/>
    <cellStyle name="Output - %" xfId="48" xr:uid="{D5D89274-E7F3-41FD-8BE0-9595E54AAFF2}"/>
    <cellStyle name="Output - Date" xfId="49" xr:uid="{64D62534-B1AA-4F78-A3DB-2CC792E6288A}"/>
    <cellStyle name="Output - SubTotal" xfId="50" xr:uid="{A4E183F7-93B2-4EB8-82EC-694F7AB1B5B7}"/>
    <cellStyle name="Output - Text" xfId="51" xr:uid="{D1B0CAC4-52BC-4A57-BB70-DDEA4F26E6DF}"/>
    <cellStyle name="Output - Total" xfId="52" xr:uid="{F98D9ABB-35B4-4033-B70D-CC0B41C2DBCA}"/>
    <cellStyle name="Per cent" xfId="4" builtinId="5" customBuiltin="1"/>
    <cellStyle name="Ref.In - #" xfId="53" xr:uid="{41310CFB-2DF5-4CA0-92AF-BE6CB4385395}"/>
    <cellStyle name="Ref.In - %" xfId="54" xr:uid="{958DF7C1-B4A8-46BF-924D-810B84053D05}"/>
    <cellStyle name="Ref.In - Date" xfId="55" xr:uid="{C87005B1-84FB-4B52-8185-D8D785D9052C}"/>
    <cellStyle name="Ref.In - SubTotal" xfId="56" xr:uid="{F89760D9-25EC-4993-885C-E98BCF99273B}"/>
    <cellStyle name="Ref.In - Text" xfId="57" xr:uid="{AC350664-1E77-4BCE-90C4-CFE384C1A2E5}"/>
    <cellStyle name="Ref.Out - #" xfId="58" xr:uid="{434685C1-1F86-4041-B1C9-885D53C5482F}"/>
    <cellStyle name="Ref.Out - %" xfId="59" xr:uid="{EE04B78B-3C5A-41C8-AED7-611620098EF0}"/>
    <cellStyle name="Ref.Out - Date" xfId="60" xr:uid="{06B45D01-090D-4C0C-8112-4B418F857554}"/>
    <cellStyle name="Ref.Out - SubTotal" xfId="61" xr:uid="{62F08507-ECFC-4F0F-9EAB-4B323DBE7583}"/>
    <cellStyle name="Ref.Out - Text" xfId="62" xr:uid="{021B4016-0690-4161-8F6E-35C55FC37C79}"/>
    <cellStyle name="SubTitle" xfId="63" xr:uid="{142B9831-CAD2-46E9-9016-267120C83808}"/>
    <cellStyle name="Time Line" xfId="64" xr:uid="{2EBAD60B-CF70-4D6C-A510-578356F6A31F}"/>
    <cellStyle name="Title" xfId="5" builtinId="15" customBuiltin="1"/>
    <cellStyle name="Total" xfId="21" builtinId="25" hidden="1"/>
    <cellStyle name="Units Label" xfId="65" xr:uid="{11E93F07-8FCD-453E-A771-47821A05E7F2}"/>
    <cellStyle name="Unused" xfId="66" xr:uid="{471A4086-F6A4-4469-A395-49FE623CA01A}"/>
    <cellStyle name="Variance - #" xfId="67" xr:uid="{8AB82A9F-321D-4E37-AD6E-F6BEBE18CCBC}"/>
    <cellStyle name="Variance - %" xfId="68" xr:uid="{00300491-D755-4C48-BD67-2DD65D84CA95}"/>
    <cellStyle name="Variance - SubTotal" xfId="69" xr:uid="{67CB1D2E-ED93-49F0-8940-8BB9FA2CBF62}"/>
    <cellStyle name="Variance - Total" xfId="70" xr:uid="{90E21E44-5177-4D55-8CF1-3C1B8979A605}"/>
    <cellStyle name="Warning Text" xfId="18" builtinId="11" customBuiltin="1"/>
  </cellStyles>
  <dxfs count="0"/>
  <tableStyles count="0" defaultTableStyle="TableStyleMedium2" defaultPivotStyle="PivotStyleLight16"/>
  <colors>
    <mruColors>
      <color rgb="FF0065A8"/>
      <color rgb="FF0000FF"/>
      <color rgb="FF1E4FA8"/>
      <color rgb="FF3F9C35"/>
      <color rgb="FFB4B4B4"/>
      <color rgb="FFFC6017"/>
      <color rgb="FFB75E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40005</xdr:rowOff>
    </xdr:from>
    <xdr:to>
      <xdr:col>2</xdr:col>
      <xdr:colOff>45720</xdr:colOff>
      <xdr:row>0</xdr:row>
      <xdr:rowOff>357447</xdr:rowOff>
    </xdr:to>
    <xdr:pic>
      <xdr:nvPicPr>
        <xdr:cNvPr id="2" name="Logo_Small" descr="A black and white logo&#10;&#10;AI-generated content may be incorrect.">
          <a:extLst>
            <a:ext uri="{FF2B5EF4-FFF2-40B4-BE49-F238E27FC236}">
              <a16:creationId xmlns:a16="http://schemas.microsoft.com/office/drawing/2014/main" id="{D7B8D236-8F0F-4A21-AAB5-1437009F3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40005"/>
          <a:ext cx="609600" cy="3174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40005</xdr:rowOff>
    </xdr:from>
    <xdr:to>
      <xdr:col>2</xdr:col>
      <xdr:colOff>45720</xdr:colOff>
      <xdr:row>0</xdr:row>
      <xdr:rowOff>357447</xdr:rowOff>
    </xdr:to>
    <xdr:pic>
      <xdr:nvPicPr>
        <xdr:cNvPr id="2" name="Logo_Small" descr="A black and white logo&#10;&#10;AI-generated content may be incorrect.">
          <a:extLst>
            <a:ext uri="{FF2B5EF4-FFF2-40B4-BE49-F238E27FC236}">
              <a16:creationId xmlns:a16="http://schemas.microsoft.com/office/drawing/2014/main" id="{EF595F1A-1B28-4FE6-A15A-EB28991B1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40005"/>
          <a:ext cx="609600" cy="3174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40005</xdr:rowOff>
    </xdr:from>
    <xdr:to>
      <xdr:col>2</xdr:col>
      <xdr:colOff>45720</xdr:colOff>
      <xdr:row>0</xdr:row>
      <xdr:rowOff>357447</xdr:rowOff>
    </xdr:to>
    <xdr:pic>
      <xdr:nvPicPr>
        <xdr:cNvPr id="2" name="Logo_Small" descr="A black and white logo&#10;&#10;AI-generated content may be incorrect.">
          <a:extLst>
            <a:ext uri="{FF2B5EF4-FFF2-40B4-BE49-F238E27FC236}">
              <a16:creationId xmlns:a16="http://schemas.microsoft.com/office/drawing/2014/main" id="{80EF98B5-2B2B-422C-AE28-0A1B13703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40005"/>
          <a:ext cx="609600" cy="317442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7</xdr:row>
      <xdr:rowOff>45721</xdr:rowOff>
    </xdr:from>
    <xdr:to>
      <xdr:col>10</xdr:col>
      <xdr:colOff>470616</xdr:colOff>
      <xdr:row>15</xdr:row>
      <xdr:rowOff>30008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343772-5A20-2154-9147-44521D679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4361" y="1508761"/>
          <a:ext cx="5347415" cy="138636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60960</xdr:rowOff>
    </xdr:from>
    <xdr:to>
      <xdr:col>8</xdr:col>
      <xdr:colOff>511122</xdr:colOff>
      <xdr:row>36</xdr:row>
      <xdr:rowOff>30941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3A33A1-0924-BF47-8642-432458E12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4360" y="3276600"/>
          <a:ext cx="4168722" cy="32999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45721</xdr:rowOff>
    </xdr:from>
    <xdr:to>
      <xdr:col>17</xdr:col>
      <xdr:colOff>443298</xdr:colOff>
      <xdr:row>62</xdr:row>
      <xdr:rowOff>23396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F50A8F-77FB-B7F4-B6AA-29A4E461D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4360" y="7292341"/>
          <a:ext cx="9587298" cy="38333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30480</xdr:rowOff>
    </xdr:from>
    <xdr:to>
      <xdr:col>8</xdr:col>
      <xdr:colOff>305353</xdr:colOff>
      <xdr:row>68</xdr:row>
      <xdr:rowOff>122030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1EB7B4B-45D8-869C-3912-EA442A03A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4360" y="11483340"/>
          <a:ext cx="3962953" cy="7925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40005</xdr:rowOff>
    </xdr:from>
    <xdr:to>
      <xdr:col>2</xdr:col>
      <xdr:colOff>45720</xdr:colOff>
      <xdr:row>0</xdr:row>
      <xdr:rowOff>357447</xdr:rowOff>
    </xdr:to>
    <xdr:pic>
      <xdr:nvPicPr>
        <xdr:cNvPr id="2" name="Logo_Small" descr="A black and white logo&#10;&#10;AI-generated content may be incorrect.">
          <a:extLst>
            <a:ext uri="{FF2B5EF4-FFF2-40B4-BE49-F238E27FC236}">
              <a16:creationId xmlns:a16="http://schemas.microsoft.com/office/drawing/2014/main" id="{D9D81A61-76F2-4DB1-8E70-310D7B4E7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40005"/>
          <a:ext cx="609600" cy="317442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#N/A</fb>
    <v>6</v>
    <v>7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RXL Custom Theme">
  <a:themeElements>
    <a:clrScheme name="RXL Custom Theme">
      <a:dk1>
        <a:srgbClr val="002138"/>
      </a:dk1>
      <a:lt1>
        <a:sysClr val="window" lastClr="FFFFFF"/>
      </a:lt1>
      <a:dk2>
        <a:srgbClr val="002138"/>
      </a:dk2>
      <a:lt2>
        <a:srgbClr val="F8F8F8"/>
      </a:lt2>
      <a:accent1>
        <a:srgbClr val="198B83"/>
      </a:accent1>
      <a:accent2>
        <a:srgbClr val="56BAB8"/>
      </a:accent2>
      <a:accent3>
        <a:srgbClr val="FC6017"/>
      </a:accent3>
      <a:accent4>
        <a:srgbClr val="F88D24"/>
      </a:accent4>
      <a:accent5>
        <a:srgbClr val="E6D3B8"/>
      </a:accent5>
      <a:accent6>
        <a:srgbClr val="B75EE1"/>
      </a:accent6>
      <a:hlink>
        <a:srgbClr val="467886"/>
      </a:hlink>
      <a:folHlink>
        <a:srgbClr val="96607D"/>
      </a:folHlink>
    </a:clrScheme>
    <a:fontScheme name="RXL Custom Them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3"/>
        </a:solidFill>
        <a:ln w="28575">
          <a:solidFill>
            <a:schemeClr val="accent3">
              <a:lumMod val="75000"/>
            </a:schemeClr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a:spPr>
      <a:bodyPr vertOverflow="clip" horzOverflow="clip" rtlCol="0" anchor="ctr"/>
      <a:lstStyle>
        <a:defPPr algn="ctr">
          <a:defRPr sz="1200" kern="1200">
            <a:solidFill>
              <a:schemeClr val="bg1"/>
            </a:solidFill>
            <a:latin typeface="+mj-lt"/>
            <a:cs typeface="Arial" panose="020B0604020202020204" pitchFamily="34" charset="0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54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236887-46F9-465C-B704-C46299D12C85}">
  <we:reference id="wa200003696" version="1.3.0.0" store="en-GB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4B0F4647-0577-40E7-865D-28E0BE3676F9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gist.github.com/r-silk/cbe733fc195cef40f2fbffde992d3af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52DF-5E7E-48A8-8173-924613C01CE9}">
  <sheetPr codeName="Sheet1"/>
  <dimension ref="B1:T408"/>
  <sheetViews>
    <sheetView showGridLines="0" tabSelected="1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  <col min="3" max="3" width="9.109375" customWidth="1"/>
  </cols>
  <sheetData>
    <row r="1" spans="2:12" s="1" customFormat="1" ht="30" customHeight="1" x14ac:dyDescent="0.3">
      <c r="C1" s="2" t="s">
        <v>85</v>
      </c>
    </row>
    <row r="3" spans="2:12" x14ac:dyDescent="0.3">
      <c r="B3" s="4" t="s">
        <v>0</v>
      </c>
    </row>
    <row r="4" spans="2:12" x14ac:dyDescent="0.3">
      <c r="C4" t="s">
        <v>92</v>
      </c>
    </row>
    <row r="5" spans="2:12" x14ac:dyDescent="0.3">
      <c r="C5" t="s">
        <v>93</v>
      </c>
    </row>
    <row r="6" spans="2:12" x14ac:dyDescent="0.3">
      <c r="C6" s="24" t="s">
        <v>94</v>
      </c>
    </row>
    <row r="8" spans="2:12" x14ac:dyDescent="0.3">
      <c r="B8" s="4" t="s">
        <v>1</v>
      </c>
    </row>
    <row r="9" spans="2:12" x14ac:dyDescent="0.3">
      <c r="C9" s="39" t="s">
        <v>95</v>
      </c>
      <c r="D9" s="41"/>
      <c r="E9" s="41"/>
      <c r="F9" s="40"/>
      <c r="H9" s="38" t="s">
        <v>80</v>
      </c>
      <c r="I9" s="38" t="s">
        <v>81</v>
      </c>
      <c r="J9" s="38" t="s">
        <v>82</v>
      </c>
      <c r="K9" s="38" t="s">
        <v>83</v>
      </c>
      <c r="L9" s="38" t="s">
        <v>84</v>
      </c>
    </row>
    <row r="10" spans="2:12" x14ac:dyDescent="0.3">
      <c r="C10" s="39" t="s">
        <v>97</v>
      </c>
      <c r="D10" s="41"/>
      <c r="E10" s="41"/>
      <c r="F10" s="40"/>
      <c r="H10" s="38" t="s">
        <v>81</v>
      </c>
    </row>
    <row r="11" spans="2:12" x14ac:dyDescent="0.3">
      <c r="C11" s="39" t="s">
        <v>96</v>
      </c>
      <c r="D11" s="41"/>
      <c r="E11" s="41"/>
      <c r="F11" s="40"/>
      <c r="H11" s="38" t="s">
        <v>82</v>
      </c>
    </row>
    <row r="12" spans="2:12" x14ac:dyDescent="0.3">
      <c r="C12" s="42">
        <v>123456</v>
      </c>
      <c r="H12" s="38" t="s">
        <v>83</v>
      </c>
    </row>
    <row r="13" spans="2:12" x14ac:dyDescent="0.3">
      <c r="H13" s="38" t="s">
        <v>84</v>
      </c>
    </row>
    <row r="14" spans="2:12" ht="27.6" customHeight="1" x14ac:dyDescent="0.3">
      <c r="C14" s="78" t="s">
        <v>104</v>
      </c>
      <c r="D14" s="79"/>
      <c r="E14" s="79"/>
      <c r="F14" s="80"/>
    </row>
    <row r="17" spans="2:20" s="5" customFormat="1" ht="16.2" thickBot="1" x14ac:dyDescent="0.35">
      <c r="B17" s="6">
        <f xml:space="preserve"> MAX(B$1:B16) + 1</f>
        <v>1</v>
      </c>
      <c r="C17" s="5" t="s">
        <v>2</v>
      </c>
    </row>
    <row r="19" spans="2:20" x14ac:dyDescent="0.3">
      <c r="B19" s="8" t="s">
        <v>60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1" spans="2:20" x14ac:dyDescent="0.3">
      <c r="C21" s="9" t="s">
        <v>3</v>
      </c>
    </row>
    <row r="22" spans="2:20" x14ac:dyDescent="0.3">
      <c r="C22" t="s">
        <v>98</v>
      </c>
    </row>
    <row r="23" spans="2:20" x14ac:dyDescent="0.3">
      <c r="C23" t="s">
        <v>105</v>
      </c>
    </row>
    <row r="26" spans="2:20" x14ac:dyDescent="0.3">
      <c r="B26" s="10" t="str" cm="1">
        <f t="array" ref="B26" xml:space="preserve"> "(" &amp; _xlfn.UNICHAR( 65 + SUMPRODUCT(--(_xlfn.REGEXTEST(B$1:B24, "^\([A-Z]\)$")))) &amp; ")"</f>
        <v>(A)</v>
      </c>
      <c r="C26" s="3" t="s">
        <v>99</v>
      </c>
    </row>
    <row r="27" spans="2:20" x14ac:dyDescent="0.3">
      <c r="F27" s="51" t="s">
        <v>101</v>
      </c>
    </row>
    <row r="28" spans="2:20" x14ac:dyDescent="0.3">
      <c r="C28" s="51" t="s">
        <v>100</v>
      </c>
      <c r="F28" s="52" cm="1">
        <f t="array" ref="F28:Q29" xml:space="preserve"> _xlfn.LET(
  _xlpm._str,_xlfn.ANCHORARRAY( C29),
  _xlpm._arr, _xlfn.REGEXEXTRACT(_xlpm._str, ".", 1),
  _xlpm._idx, _xlfn.SEQUENCE(1, COLUMNS(_xlpm._arr)),
  _xlpm._rtn, _xlfn.VSTACK(_xlpm._idx, _xlpm._arr),
  _xlpm._rtn
)</f>
        <v>1</v>
      </c>
      <c r="G28" s="52">
        <v>2</v>
      </c>
      <c r="H28" s="52">
        <v>3</v>
      </c>
      <c r="I28" s="52">
        <v>4</v>
      </c>
      <c r="J28" s="52">
        <v>5</v>
      </c>
      <c r="K28" s="52">
        <v>6</v>
      </c>
      <c r="L28" s="52">
        <v>7</v>
      </c>
      <c r="M28" s="52">
        <v>8</v>
      </c>
      <c r="N28" s="52">
        <v>9</v>
      </c>
      <c r="O28" s="52">
        <v>10</v>
      </c>
      <c r="P28" s="52">
        <v>11</v>
      </c>
      <c r="Q28" s="52">
        <v>12</v>
      </c>
    </row>
    <row r="29" spans="2:20" x14ac:dyDescent="0.3">
      <c r="C29" s="43" t="str">
        <f xml:space="preserve"> $C$9</f>
        <v>Hello World!</v>
      </c>
      <c r="D29" s="44"/>
      <c r="F29" s="26" t="str">
        <v>H</v>
      </c>
      <c r="G29" s="26" t="str">
        <v>e</v>
      </c>
      <c r="H29" s="26" t="str">
        <v>l</v>
      </c>
      <c r="I29" s="26" t="str">
        <v>l</v>
      </c>
      <c r="J29" s="26" t="str">
        <v>o</v>
      </c>
      <c r="K29" s="26" t="str">
        <v xml:space="preserve"> </v>
      </c>
      <c r="L29" s="26" t="str">
        <v>W</v>
      </c>
      <c r="M29" s="26" t="str">
        <v>o</v>
      </c>
      <c r="N29" s="26" t="str">
        <v>r</v>
      </c>
      <c r="O29" s="26" t="str">
        <v>l</v>
      </c>
      <c r="P29" s="26" t="str">
        <v>d</v>
      </c>
      <c r="Q29" s="26" t="str">
        <v>!</v>
      </c>
    </row>
    <row r="30" spans="2:20" x14ac:dyDescent="0.3">
      <c r="F30" s="28" t="str" cm="1">
        <f t="array" aca="1" ref="F30:F36" ca="1" xml:space="preserve"> _xlfn.TEXTSPLIT( _xlfn.FORMULATEXT(F28), , CHAR(10))</f>
        <v>= LET(</v>
      </c>
    </row>
    <row r="31" spans="2:20" x14ac:dyDescent="0.3">
      <c r="F31" s="28" t="str">
        <f ca="1"/>
        <v xml:space="preserve">  _str, C29#,</v>
      </c>
    </row>
    <row r="32" spans="2:20" x14ac:dyDescent="0.3">
      <c r="F32" s="28" t="str">
        <f ca="1"/>
        <v xml:space="preserve">  _arr, REGEXEXTRACT(_str, ".", 1),</v>
      </c>
    </row>
    <row r="33" spans="2:17" x14ac:dyDescent="0.3">
      <c r="F33" s="28" t="str">
        <f ca="1"/>
        <v xml:space="preserve">  _idx, SEQUENCE(1, COLUMNS(_arr)),</v>
      </c>
    </row>
    <row r="34" spans="2:17" x14ac:dyDescent="0.3">
      <c r="F34" s="28" t="str">
        <f ca="1"/>
        <v xml:space="preserve">  _rtn, VSTACK(_idx, _arr),</v>
      </c>
    </row>
    <row r="35" spans="2:17" x14ac:dyDescent="0.3">
      <c r="F35" s="28" t="str">
        <f ca="1"/>
        <v xml:space="preserve">  _rtn</v>
      </c>
    </row>
    <row r="36" spans="2:17" x14ac:dyDescent="0.3">
      <c r="F36" s="28" t="str">
        <f ca="1"/>
        <v>)</v>
      </c>
    </row>
    <row r="38" spans="2:17" x14ac:dyDescent="0.3">
      <c r="B38" s="10" t="str" cm="1">
        <f t="array" ref="B38" xml:space="preserve"> "(" &amp; _xlfn.UNICHAR( 65 + SUMPRODUCT(--(_xlfn.REGEXTEST(B$1:B37, "^\([A-Z]\)$")))) &amp; ")"</f>
        <v>(B)</v>
      </c>
      <c r="C38" s="3" t="s">
        <v>102</v>
      </c>
    </row>
    <row r="39" spans="2:17" x14ac:dyDescent="0.3">
      <c r="F39" s="51" t="s">
        <v>101</v>
      </c>
    </row>
    <row r="40" spans="2:17" x14ac:dyDescent="0.3">
      <c r="C40" s="51" t="s">
        <v>100</v>
      </c>
      <c r="F40" s="52" cm="1">
        <f t="array" ref="F40:Q43" xml:space="preserve"> _xlfn.LET(
  _xlpm._str,_xlfn.ANCHORARRAY( C41),
  _xlpm._arr, _xlfn.REGEXEXTRACT(_xlpm._str, ".", 1),
  _xlpm._cc, COLUMNS(_xlpm._arr),
  _xlpm._idx, _xlfn.SEQUENCE(1, _xlpm._cc),
  _xlpm._rIdx, _xlfn.SEQUENCE(1, _xlpm._cc, _xlpm._cc, -1),
  _xlpm._rev, _xlfn.SCAN(0, _xlpm._rIdx, _xlfn.LAMBDA(_xlpm._acc,_xlpm._val, INDEX(_xlpm._arr, 1, _xlpm._val))),
  _xlpm._rtn, _xlfn.VSTACK(_xlpm._idx, _xlpm._arr, _xlpm._rIdx, _xlpm._rev),
  _xlpm._rtn
)</f>
        <v>1</v>
      </c>
      <c r="G40" s="52">
        <v>2</v>
      </c>
      <c r="H40" s="52">
        <v>3</v>
      </c>
      <c r="I40" s="52">
        <v>4</v>
      </c>
      <c r="J40" s="52">
        <v>5</v>
      </c>
      <c r="K40" s="52">
        <v>6</v>
      </c>
      <c r="L40" s="52">
        <v>7</v>
      </c>
      <c r="M40" s="52">
        <v>8</v>
      </c>
      <c r="N40" s="52">
        <v>9</v>
      </c>
      <c r="O40" s="52">
        <v>10</v>
      </c>
      <c r="P40" s="52">
        <v>11</v>
      </c>
      <c r="Q40" s="52">
        <v>12</v>
      </c>
    </row>
    <row r="41" spans="2:17" x14ac:dyDescent="0.3">
      <c r="C41" s="43" t="str">
        <f xml:space="preserve"> $C$9</f>
        <v>Hello World!</v>
      </c>
      <c r="D41" s="44"/>
      <c r="F41" s="26" t="str">
        <v>H</v>
      </c>
      <c r="G41" s="26" t="str">
        <v>e</v>
      </c>
      <c r="H41" s="26" t="str">
        <v>l</v>
      </c>
      <c r="I41" s="26" t="str">
        <v>l</v>
      </c>
      <c r="J41" s="26" t="str">
        <v>o</v>
      </c>
      <c r="K41" s="26" t="str">
        <v xml:space="preserve"> </v>
      </c>
      <c r="L41" s="26" t="str">
        <v>W</v>
      </c>
      <c r="M41" s="26" t="str">
        <v>o</v>
      </c>
      <c r="N41" s="26" t="str">
        <v>r</v>
      </c>
      <c r="O41" s="26" t="str">
        <v>l</v>
      </c>
      <c r="P41" s="26" t="str">
        <v>d</v>
      </c>
      <c r="Q41" s="26" t="str">
        <v>!</v>
      </c>
    </row>
    <row r="42" spans="2:17" x14ac:dyDescent="0.3">
      <c r="F42" s="52">
        <v>12</v>
      </c>
      <c r="G42" s="52">
        <v>11</v>
      </c>
      <c r="H42" s="52">
        <v>10</v>
      </c>
      <c r="I42" s="52">
        <v>9</v>
      </c>
      <c r="J42" s="52">
        <v>8</v>
      </c>
      <c r="K42" s="52">
        <v>7</v>
      </c>
      <c r="L42" s="52">
        <v>6</v>
      </c>
      <c r="M42" s="52">
        <v>5</v>
      </c>
      <c r="N42" s="52">
        <v>4</v>
      </c>
      <c r="O42" s="52">
        <v>3</v>
      </c>
      <c r="P42" s="52">
        <v>2</v>
      </c>
      <c r="Q42" s="52">
        <v>1</v>
      </c>
    </row>
    <row r="43" spans="2:17" x14ac:dyDescent="0.3">
      <c r="F43" s="26" t="str">
        <v>!</v>
      </c>
      <c r="G43" s="26" t="str">
        <v>d</v>
      </c>
      <c r="H43" s="26" t="str">
        <v>l</v>
      </c>
      <c r="I43" s="26" t="str">
        <v>r</v>
      </c>
      <c r="J43" s="26" t="str">
        <v>o</v>
      </c>
      <c r="K43" s="26" t="str">
        <v>W</v>
      </c>
      <c r="L43" s="26" t="str">
        <v xml:space="preserve"> </v>
      </c>
      <c r="M43" s="26" t="str">
        <v>o</v>
      </c>
      <c r="N43" s="26" t="str">
        <v>l</v>
      </c>
      <c r="O43" s="26" t="str">
        <v>l</v>
      </c>
      <c r="P43" s="26" t="str">
        <v>e</v>
      </c>
      <c r="Q43" s="26" t="str">
        <v>H</v>
      </c>
    </row>
    <row r="44" spans="2:17" x14ac:dyDescent="0.3">
      <c r="F44" s="28" t="str" cm="1">
        <f t="array" aca="1" ref="F44:F53" ca="1" xml:space="preserve"> _xlfn.TEXTSPLIT( _xlfn.FORMULATEXT(F40), , CHAR(10))</f>
        <v>= LET(</v>
      </c>
    </row>
    <row r="45" spans="2:17" x14ac:dyDescent="0.3">
      <c r="F45" s="28" t="str">
        <f ca="1"/>
        <v xml:space="preserve">  _str, C41#,</v>
      </c>
    </row>
    <row r="46" spans="2:17" x14ac:dyDescent="0.3">
      <c r="F46" s="28" t="str">
        <f ca="1"/>
        <v xml:space="preserve">  _arr, REGEXEXTRACT(_str, ".", 1),</v>
      </c>
    </row>
    <row r="47" spans="2:17" x14ac:dyDescent="0.3">
      <c r="F47" s="28" t="str">
        <f ca="1"/>
        <v xml:space="preserve">  _cc, COLUMNS(_arr),</v>
      </c>
    </row>
    <row r="48" spans="2:17" x14ac:dyDescent="0.3">
      <c r="F48" s="28" t="str">
        <f ca="1"/>
        <v xml:space="preserve">  _idx, SEQUENCE(1, _cc),</v>
      </c>
    </row>
    <row r="49" spans="2:7" x14ac:dyDescent="0.3">
      <c r="F49" s="28" t="str">
        <f ca="1"/>
        <v xml:space="preserve">  _rIdx, SEQUENCE(1, _cc, _cc, -1),</v>
      </c>
    </row>
    <row r="50" spans="2:7" x14ac:dyDescent="0.3">
      <c r="F50" s="28" t="str">
        <f ca="1"/>
        <v xml:space="preserve">  _rev, SCAN(0, _rIdx, LAMBDA(_acc,_val, INDEX(_arr, 1, _val))),</v>
      </c>
    </row>
    <row r="51" spans="2:7" x14ac:dyDescent="0.3">
      <c r="F51" s="28" t="str">
        <f ca="1"/>
        <v xml:space="preserve">  _rtn, VSTACK(_idx, _arr, _rIdx, _rev),</v>
      </c>
    </row>
    <row r="52" spans="2:7" x14ac:dyDescent="0.3">
      <c r="F52" s="28" t="str">
        <f ca="1"/>
        <v xml:space="preserve">  _rtn</v>
      </c>
    </row>
    <row r="53" spans="2:7" x14ac:dyDescent="0.3">
      <c r="F53" s="28" t="str">
        <f ca="1"/>
        <v>)</v>
      </c>
    </row>
    <row r="55" spans="2:7" x14ac:dyDescent="0.3">
      <c r="B55" s="10" t="str" cm="1">
        <f t="array" ref="B55" xml:space="preserve"> "(" &amp; _xlfn.UNICHAR( 65 + SUMPRODUCT(--(_xlfn.REGEXTEST(B$1:B54, "^\([A-Z]\)$")))) &amp; ")"</f>
        <v>(C)</v>
      </c>
      <c r="C55" s="3" t="s">
        <v>103</v>
      </c>
    </row>
    <row r="56" spans="2:7" x14ac:dyDescent="0.3">
      <c r="C56" s="51" t="s">
        <v>100</v>
      </c>
      <c r="F56" s="51" t="s">
        <v>101</v>
      </c>
    </row>
    <row r="57" spans="2:7" x14ac:dyDescent="0.3">
      <c r="C57" s="43" t="str">
        <f xml:space="preserve"> $C$9</f>
        <v>Hello World!</v>
      </c>
      <c r="D57" s="44"/>
      <c r="F57" s="45" t="str" cm="1">
        <f t="array" ref="F57" xml:space="preserve"> _xlfn.LET(
  _xlpm._str, C57,
  _xlpm._arr, _xlfn.REGEXEXTRACT(_xlpm._str, ".", 1),
  _xlpm._cc, COLUMNS(_xlpm._arr),
  _xlpm._idx, _xlfn.SEQUENCE(1, _xlpm._cc, _xlpm._cc, -1),
  _xlpm._rev, _xlfn.CONCAT( _xlfn.SCAN(0, _xlpm._idx, _xlfn.LAMBDA(_xlpm._acc,_xlpm._val, INDEX(_xlpm._arr, 1, _xlpm._val)))),
  _xlpm._rtn, _xlpm._rev,
  _xlpm._rtn
)</f>
        <v>!dlroW olleH</v>
      </c>
      <c r="G57" s="46"/>
    </row>
    <row r="58" spans="2:7" x14ac:dyDescent="0.3">
      <c r="F58" s="28" t="str" cm="1">
        <f t="array" aca="1" ref="F58:F66" ca="1" xml:space="preserve"> _xlfn.TEXTSPLIT( _xlfn.FORMULATEXT(F57), , CHAR(10))</f>
        <v>= LET(</v>
      </c>
    </row>
    <row r="59" spans="2:7" x14ac:dyDescent="0.3">
      <c r="F59" s="28" t="str">
        <f ca="1"/>
        <v xml:space="preserve">  _str, C57,</v>
      </c>
    </row>
    <row r="60" spans="2:7" x14ac:dyDescent="0.3">
      <c r="F60" s="28" t="str">
        <f ca="1"/>
        <v xml:space="preserve">  _arr, REGEXEXTRACT(_str, ".", 1),</v>
      </c>
    </row>
    <row r="61" spans="2:7" x14ac:dyDescent="0.3">
      <c r="F61" s="28" t="str">
        <f ca="1"/>
        <v xml:space="preserve">  _cc, COLUMNS(_arr),</v>
      </c>
    </row>
    <row r="62" spans="2:7" x14ac:dyDescent="0.3">
      <c r="F62" s="28" t="str">
        <f ca="1"/>
        <v xml:space="preserve">  _idx, SEQUENCE(1, _cc, _cc, -1),</v>
      </c>
    </row>
    <row r="63" spans="2:7" x14ac:dyDescent="0.3">
      <c r="F63" s="28" t="str">
        <f ca="1"/>
        <v xml:space="preserve">  _rev, CONCAT( SCAN(0, _idx, LAMBDA(_acc,_val, INDEX(_arr, 1, _val)))),</v>
      </c>
    </row>
    <row r="64" spans="2:7" x14ac:dyDescent="0.3">
      <c r="F64" s="28" t="str">
        <f ca="1"/>
        <v xml:space="preserve">  _rtn, _rev,</v>
      </c>
    </row>
    <row r="65" spans="2:10" x14ac:dyDescent="0.3">
      <c r="F65" s="28" t="str">
        <f ca="1"/>
        <v xml:space="preserve">  _rtn</v>
      </c>
    </row>
    <row r="66" spans="2:10" x14ac:dyDescent="0.3">
      <c r="F66" s="28" t="str">
        <f ca="1"/>
        <v>)</v>
      </c>
    </row>
    <row r="68" spans="2:10" x14ac:dyDescent="0.3">
      <c r="B68" s="10" t="str" cm="1">
        <f t="array" ref="B68" xml:space="preserve"> "(" &amp; _xlfn.UNICHAR( 65 + SUMPRODUCT(--(_xlfn.REGEXTEST(B$1:B67, "^\([A-Z]\)$")))) &amp; ")"</f>
        <v>(D)</v>
      </c>
      <c r="C68" s="3" t="s">
        <v>106</v>
      </c>
    </row>
    <row r="69" spans="2:10" x14ac:dyDescent="0.3">
      <c r="C69" s="51" t="s">
        <v>100</v>
      </c>
      <c r="G69" s="51" t="s">
        <v>101</v>
      </c>
    </row>
    <row r="70" spans="2:10" x14ac:dyDescent="0.3">
      <c r="C70" s="43" t="str">
        <f xml:space="preserve"> $C$9</f>
        <v>Hello World!</v>
      </c>
      <c r="D70" s="47"/>
      <c r="E70" s="47"/>
      <c r="F70" s="44"/>
      <c r="G70" s="45" t="str" cm="1">
        <f t="array" ref="G70" xml:space="preserve"> _xlfn.LET(
  _xlpm._str, C70,
  _xlpm._arr, _xlfn.REGEXEXTRACT(_xlpm._str, ".", 1),
  _xlpm._cc, COLUMNS(_xlpm._arr),
  _xlpm._idx, _xlfn.SEQUENCE(1, _xlpm._cc, _xlpm._cc, -1),
  _xlpm._rev, _xlfn.CONCAT( _xlfn.SCAN(0, _xlpm._idx, _xlfn.LAMBDA(_xlpm._acc,_xlpm._val, INDEX(_xlpm._arr, 1, _xlpm._val)))),
  _xlpm._rtn, _xlpm._rev,
  _xlpm._rtn
)</f>
        <v>!dlroW olleH</v>
      </c>
      <c r="H70" s="48"/>
      <c r="I70" s="48"/>
      <c r="J70" s="46"/>
    </row>
    <row r="71" spans="2:10" x14ac:dyDescent="0.3">
      <c r="C71" s="43" t="str">
        <f xml:space="preserve"> $C$10</f>
        <v>This is some test text.</v>
      </c>
      <c r="D71" s="47"/>
      <c r="E71" s="47"/>
      <c r="F71" s="44"/>
      <c r="G71" s="45" t="str" cm="1">
        <f t="array" ref="G71" xml:space="preserve"> _xlfn.LET(
  _xlpm._str, C71,
  _xlpm._arr, _xlfn.REGEXEXTRACT(_xlpm._str, ".", 1),
  _xlpm._cc, COLUMNS(_xlpm._arr),
  _xlpm._idx, _xlfn.SEQUENCE(1, _xlpm._cc, _xlpm._cc, -1),
  _xlpm._rev, _xlfn.CONCAT( _xlfn.SCAN(0, _xlpm._idx, _xlfn.LAMBDA(_xlpm._acc,_xlpm._val, INDEX(_xlpm._arr, 1, _xlpm._val)))),
  _xlpm._rtn, _xlpm._rev,
  _xlpm._rtn
)</f>
        <v>.txet tset emos si sihT</v>
      </c>
      <c r="H71" s="48"/>
      <c r="I71" s="48"/>
      <c r="J71" s="46"/>
    </row>
    <row r="72" spans="2:10" x14ac:dyDescent="0.3">
      <c r="C72" s="43" t="str">
        <f xml:space="preserve"> $C$11</f>
        <v>ABCDEFGHIJKLMNOPQRSTUVWXYZ</v>
      </c>
      <c r="D72" s="47"/>
      <c r="E72" s="47"/>
      <c r="F72" s="44"/>
      <c r="G72" s="45" t="str" cm="1">
        <f t="array" ref="G72" xml:space="preserve"> _xlfn.LET(
  _xlpm._str, C72,
  _xlpm._arr, _xlfn.REGEXEXTRACT(_xlpm._str, ".", 1),
  _xlpm._cc, COLUMNS(_xlpm._arr),
  _xlpm._idx, _xlfn.SEQUENCE(1, _xlpm._cc, _xlpm._cc, -1),
  _xlpm._rev, _xlfn.CONCAT( _xlfn.SCAN(0, _xlpm._idx, _xlfn.LAMBDA(_xlpm._acc,_xlpm._val, INDEX(_xlpm._arr, 1, _xlpm._val)))),
  _xlpm._rtn, _xlpm._rev,
  _xlpm._rtn
)</f>
        <v>ZYXWVUTSRQPONMLKJIHGFEDCBA</v>
      </c>
      <c r="H72" s="48"/>
      <c r="I72" s="48"/>
      <c r="J72" s="46"/>
    </row>
    <row r="73" spans="2:10" ht="27.6" customHeight="1" x14ac:dyDescent="0.3">
      <c r="C73" s="81" t="str">
        <f xml:space="preserve"> $C$14</f>
        <v>This is some test text which contains 
a new-line character [ = CHAR(10) ]</v>
      </c>
      <c r="D73" s="82"/>
      <c r="E73" s="82"/>
      <c r="F73" s="83"/>
      <c r="G73" s="84" t="str" cm="1">
        <f t="array" ref="G73" xml:space="preserve"> _xlfn.LET(
  _xlpm._str, C73,
  _xlpm._arr, _xlfn.REGEXEXTRACT(_xlpm._str, ".", 1),
  _xlpm._cc, COLUMNS(_xlpm._arr),
  _xlpm._idx, _xlfn.SEQUENCE(1, _xlpm._cc, _xlpm._cc, -1),
  _xlpm._rev, _xlfn.CONCAT( _xlfn.SCAN(0, _xlpm._idx, _xlfn.LAMBDA(_xlpm._acc,_xlpm._val, INDEX(_xlpm._arr, 1, _xlpm._val)))),
  _xlpm._rtn, _xlpm._rev,
  _xlpm._rtn
)</f>
        <v>] )01(RAHC = [ retcarahc enil-wen a sniatnoc hcihw txet tset emos si sihT</v>
      </c>
      <c r="H73" s="85"/>
      <c r="I73" s="85"/>
      <c r="J73" s="86"/>
    </row>
    <row r="74" spans="2:10" x14ac:dyDescent="0.3">
      <c r="G74" s="50" t="s">
        <v>58</v>
      </c>
      <c r="H74" s="49" t="s">
        <v>107</v>
      </c>
    </row>
    <row r="75" spans="2:10" x14ac:dyDescent="0.3">
      <c r="H75" s="49" t="s">
        <v>108</v>
      </c>
    </row>
    <row r="76" spans="2:10" x14ac:dyDescent="0.3">
      <c r="H76" s="49" t="s">
        <v>109</v>
      </c>
    </row>
    <row r="77" spans="2:10" x14ac:dyDescent="0.3">
      <c r="H77" s="49" t="s">
        <v>110</v>
      </c>
    </row>
    <row r="79" spans="2:10" x14ac:dyDescent="0.3">
      <c r="B79" s="10" t="str" cm="1">
        <f t="array" ref="B79" xml:space="preserve"> "(" &amp; _xlfn.UNICHAR( 65 + SUMPRODUCT(--(_xlfn.REGEXTEST(B$1:B78, "^\([A-Z]\)$")))) &amp; ")"</f>
        <v>(E)</v>
      </c>
      <c r="C79" s="3" t="s">
        <v>111</v>
      </c>
    </row>
    <row r="80" spans="2:10" x14ac:dyDescent="0.3">
      <c r="C80" s="51" t="s">
        <v>100</v>
      </c>
      <c r="E80" s="51" t="s">
        <v>101</v>
      </c>
    </row>
    <row r="81" spans="3:7" x14ac:dyDescent="0.3">
      <c r="C81" s="31" t="str" cm="1">
        <f t="array" ref="C81:C85" xml:space="preserve"> $H$9:$H$13</f>
        <v>Alpha</v>
      </c>
      <c r="E81" s="25" t="str" cm="1">
        <f t="array" ref="E81:E85" xml:space="preserve"> _xlfn.LET(
  _xlpm._inp,_xlfn.ANCHORARRAY( C81),
  _xlpm._rtn, _xlfn.DROP( _xlfn.REDUCE(0, _xlpm._inp, _xlfn.LAMBDA(_xlpm._acc,_xlpm._str,
    _xlfn.LET(
      _xlpm._arr, _xlfn.REGEXEXTRACT(_xlpm._str, ".", 1),
      _xlpm._cc, COLUMNS(_xlpm._arr),
      _xlpm._idx, _xlfn.SEQUENCE(1, _xlpm._cc, _xlpm._cc, -1),
      _xlpm._rev, _xlfn.CONCAT( _xlfn.SCAN(0, _xlpm._idx, _xlfn.LAMBDA(_xlpm._acc,_xlpm._val, INDEX(_xlpm._arr, 1, _xlpm._val)))),
      _xlfn.VSTACK(_xlpm._acc,_xlpm._rev)
    )
  )), 1),
  _xlpm._rtn
)</f>
        <v>ahplA</v>
      </c>
      <c r="F81" s="28" t="str" cm="1">
        <f t="array" aca="1" ref="F81:F93" ca="1" xml:space="preserve"> _xlfn.TEXTSPLIT( _xlfn.FORMULATEXT(E81), , CHAR(10))</f>
        <v>= LET(</v>
      </c>
    </row>
    <row r="82" spans="3:7" x14ac:dyDescent="0.3">
      <c r="C82" s="31" t="str">
        <v>Bravo</v>
      </c>
      <c r="E82" s="25" t="str">
        <v>ovarB</v>
      </c>
      <c r="F82" s="28" t="str">
        <f ca="1"/>
        <v xml:space="preserve">  _inp, C81#,</v>
      </c>
    </row>
    <row r="83" spans="3:7" x14ac:dyDescent="0.3">
      <c r="C83" s="31" t="str">
        <v>Charlie</v>
      </c>
      <c r="E83" s="25" t="str">
        <v>eilrahC</v>
      </c>
      <c r="F83" s="28" t="str">
        <f ca="1"/>
        <v xml:space="preserve">  _rtn, DROP( REDUCE(0, _inp, LAMBDA(_acc,_str,</v>
      </c>
    </row>
    <row r="84" spans="3:7" x14ac:dyDescent="0.3">
      <c r="C84" s="31" t="str">
        <v>Delta</v>
      </c>
      <c r="E84" s="25" t="str">
        <v>atleD</v>
      </c>
      <c r="F84" s="28" t="str">
        <f ca="1"/>
        <v xml:space="preserve">    LET(</v>
      </c>
    </row>
    <row r="85" spans="3:7" x14ac:dyDescent="0.3">
      <c r="C85" s="31" t="str">
        <v>Echo</v>
      </c>
      <c r="E85" s="25" t="str">
        <v>ohcE</v>
      </c>
      <c r="F85" s="28" t="str">
        <f ca="1"/>
        <v xml:space="preserve">      _arr, REGEXEXTRACT(_str, ".", 1),</v>
      </c>
    </row>
    <row r="86" spans="3:7" x14ac:dyDescent="0.3">
      <c r="F86" s="28" t="str">
        <f ca="1"/>
        <v xml:space="preserve">      _cc, COLUMNS(_arr),</v>
      </c>
    </row>
    <row r="87" spans="3:7" x14ac:dyDescent="0.3">
      <c r="F87" s="28" t="str">
        <f ca="1"/>
        <v xml:space="preserve">      _idx, SEQUENCE(1, _cc, _cc, -1),</v>
      </c>
    </row>
    <row r="88" spans="3:7" x14ac:dyDescent="0.3">
      <c r="F88" s="28" t="str">
        <f ca="1"/>
        <v xml:space="preserve">      _rev, CONCAT( SCAN(0, _idx, LAMBDA(_acc,_val, INDEX(_arr, 1, _val)))),</v>
      </c>
    </row>
    <row r="89" spans="3:7" x14ac:dyDescent="0.3">
      <c r="F89" s="28" t="str">
        <f ca="1"/>
        <v xml:space="preserve">      VSTACK(_acc,_rev)</v>
      </c>
    </row>
    <row r="90" spans="3:7" x14ac:dyDescent="0.3">
      <c r="F90" s="28" t="str">
        <f ca="1"/>
        <v xml:space="preserve">    )</v>
      </c>
    </row>
    <row r="91" spans="3:7" x14ac:dyDescent="0.3">
      <c r="F91" s="28" t="str">
        <f ca="1"/>
        <v xml:space="preserve">  )), 1),</v>
      </c>
    </row>
    <row r="92" spans="3:7" x14ac:dyDescent="0.3">
      <c r="F92" s="28" t="str">
        <f ca="1"/>
        <v xml:space="preserve">  _rtn</v>
      </c>
    </row>
    <row r="93" spans="3:7" x14ac:dyDescent="0.3">
      <c r="F93" s="28" t="str">
        <f ca="1"/>
        <v>)</v>
      </c>
    </row>
    <row r="95" spans="3:7" x14ac:dyDescent="0.3">
      <c r="C95" s="51" t="s">
        <v>100</v>
      </c>
    </row>
    <row r="96" spans="3:7" x14ac:dyDescent="0.3">
      <c r="C96" s="31" t="str" cm="1">
        <f t="array" ref="C96:G96" xml:space="preserve"> $H$9:$L$9</f>
        <v>Alpha</v>
      </c>
      <c r="D96" s="31" t="str">
        <v>Bravo</v>
      </c>
      <c r="E96" s="31" t="str">
        <v>Charlie</v>
      </c>
      <c r="F96" s="31" t="str">
        <v>Delta</v>
      </c>
      <c r="G96" s="31" t="str">
        <v>Echo</v>
      </c>
    </row>
    <row r="98" spans="2:14" x14ac:dyDescent="0.3">
      <c r="C98" s="51" t="s">
        <v>101</v>
      </c>
    </row>
    <row r="99" spans="2:14" x14ac:dyDescent="0.3">
      <c r="C99" s="25" t="str" cm="1">
        <f t="array" ref="C99:C103" xml:space="preserve"> _xlfn.LET(
  _xlpm._inp,_xlfn.ANCHORARRAY( C96),
  _xlpm._rtn, _xlfn.DROP( _xlfn.REDUCE(0, _xlpm._inp, _xlfn.LAMBDA(_xlpm._acc,_xlpm._str,
    _xlfn.LET(
      _xlpm._arr, _xlfn.REGEXEXTRACT(_xlpm._str, ".", 1),
      _xlpm._cc, COLUMNS(_xlpm._arr),
      _xlpm._idx, _xlfn.SEQUENCE(1, _xlpm._cc, _xlpm._cc, -1),
      _xlpm._rev, _xlfn.CONCAT( _xlfn.SCAN(0, _xlpm._idx, _xlfn.LAMBDA(_xlpm._acc,_xlpm._val, INDEX(_xlpm._arr, 1, _xlpm._val)))),
      _xlfn.VSTACK(_xlpm._acc,_xlpm._rev)
    )
  )), 1),
  _xlpm._rtn
)</f>
        <v>ahplA</v>
      </c>
      <c r="D99" s="50" t="s">
        <v>58</v>
      </c>
      <c r="E99" s="49" t="s">
        <v>112</v>
      </c>
    </row>
    <row r="100" spans="2:14" x14ac:dyDescent="0.3">
      <c r="C100" s="25" t="str">
        <v>ovarB</v>
      </c>
      <c r="E100" s="49" t="s">
        <v>113</v>
      </c>
    </row>
    <row r="101" spans="2:14" x14ac:dyDescent="0.3">
      <c r="C101" s="25" t="str">
        <v>eilrahC</v>
      </c>
      <c r="E101" s="49" t="s">
        <v>114</v>
      </c>
    </row>
    <row r="102" spans="2:14" x14ac:dyDescent="0.3">
      <c r="C102" s="25" t="str">
        <v>atleD</v>
      </c>
      <c r="E102" s="49" t="s">
        <v>115</v>
      </c>
    </row>
    <row r="103" spans="2:14" x14ac:dyDescent="0.3">
      <c r="C103" s="25" t="str">
        <v>ohcE</v>
      </c>
      <c r="E103" s="49" t="s">
        <v>116</v>
      </c>
    </row>
    <row r="106" spans="2:14" x14ac:dyDescent="0.3">
      <c r="B106" s="10" t="str" cm="1">
        <f t="array" ref="B106" xml:space="preserve"> "(" &amp; _xlfn.UNICHAR( 65 + SUMPRODUCT(--(_xlfn.REGEXTEST(B$1:B105, "^\([A-Z]\)$")))) &amp; ")"</f>
        <v>(F)</v>
      </c>
      <c r="C106" s="3" t="s">
        <v>117</v>
      </c>
    </row>
    <row r="108" spans="2:14" x14ac:dyDescent="0.3">
      <c r="C108" s="51" t="s">
        <v>100</v>
      </c>
      <c r="H108" s="16" t="s">
        <v>118</v>
      </c>
      <c r="I108" s="30">
        <v>0</v>
      </c>
      <c r="J108" s="51" t="s">
        <v>101</v>
      </c>
    </row>
    <row r="109" spans="2:14" x14ac:dyDescent="0.3">
      <c r="C109" s="31" t="str" cm="1">
        <f t="array" ref="C109:G109" xml:space="preserve"> IF(I108, $H$9:$H$13, $H$9:$L$9)</f>
        <v>Alpha</v>
      </c>
      <c r="D109" s="31" t="str">
        <v>Bravo</v>
      </c>
      <c r="E109" s="31" t="str">
        <v>Charlie</v>
      </c>
      <c r="F109" s="31" t="str">
        <v>Delta</v>
      </c>
      <c r="G109" s="31" t="str">
        <v>Echo</v>
      </c>
      <c r="J109" s="25" t="str" cm="1">
        <f t="array" ref="J109:N109" xml:space="preserve"> _xlfn.LET(
  _xlpm._inp,_xlfn.ANCHORARRAY( C109),
  _xlpm._rows, ROWS(_xlpm._inp),
  _xlpm._cols, COLUMNS(_xlpm._inp),
  _xlpm._calc, _xlfn.DROP( _xlfn.REDUCE(0, _xlpm._inp, _xlfn.LAMBDA(_xlpm._acc,_xlpm._str,
    _xlfn.LET(
      _xlpm._arr, _xlfn.REGEXEXTRACT(_xlpm._str, ".", 1),
      _xlpm._cc, COLUMNS(_xlpm._arr),
      _xlpm._idx, _xlfn.SEQUENCE(1, _xlpm._cc, _xlpm._cc, -1),
      _xlpm._rev, _xlfn.CONCAT( _xlfn.SCAN(0, _xlpm._idx, _xlfn.LAMBDA(_xlpm._acc,_xlpm._val, INDEX(_xlpm._arr, 1, _xlpm._val)))),
      _xlfn.VSTACK(_xlpm._acc,_xlpm._rev)
    )
  )), 1),
  _xlpm._rtn, _xlfn.MAKEARRAY(_xlpm._rows, _xlpm._cols, _xlfn.LAMBDA(_xlpm._r,_xlpm._c, INDEX(_xlpm._calc, (_xlpm._r - 1) * _xlpm._cols + _xlpm._c, 1))),
  _xlpm._rtn
)</f>
        <v>ahplA</v>
      </c>
      <c r="K109" s="25" t="str">
        <v>ovarB</v>
      </c>
      <c r="L109" s="25" t="str">
        <v>eilrahC</v>
      </c>
      <c r="M109" s="25" t="str">
        <v>atleD</v>
      </c>
      <c r="N109" s="25" t="str">
        <v>ohcE</v>
      </c>
    </row>
    <row r="110" spans="2:14" x14ac:dyDescent="0.3">
      <c r="C110" s="31"/>
      <c r="J110" s="25"/>
      <c r="K110" s="28" t="str" cm="1">
        <f t="array" aca="1" ref="K110:K125" ca="1" xml:space="preserve"> _xlfn.TEXTSPLIT( _xlfn.FORMULATEXT(J109), , CHAR(10))</f>
        <v>= LET(</v>
      </c>
    </row>
    <row r="111" spans="2:14" x14ac:dyDescent="0.3">
      <c r="C111" s="31"/>
      <c r="J111" s="25"/>
      <c r="K111" s="28" t="str">
        <f ca="1"/>
        <v xml:space="preserve">  _inp, C109#,</v>
      </c>
    </row>
    <row r="112" spans="2:14" x14ac:dyDescent="0.3">
      <c r="C112" s="31"/>
      <c r="J112" s="25"/>
      <c r="K112" s="28" t="str">
        <f ca="1"/>
        <v xml:space="preserve">  _rows, ROWS(_inp),</v>
      </c>
    </row>
    <row r="113" spans="2:11" x14ac:dyDescent="0.3">
      <c r="C113" s="31"/>
      <c r="J113" s="25"/>
      <c r="K113" s="28" t="str">
        <f ca="1"/>
        <v xml:space="preserve">  _cols, COLUMNS(_inp),</v>
      </c>
    </row>
    <row r="114" spans="2:11" x14ac:dyDescent="0.3">
      <c r="K114" s="28" t="str">
        <f ca="1"/>
        <v xml:space="preserve">  _calc, DROP( REDUCE(0, _inp, LAMBDA(_acc,_str,</v>
      </c>
    </row>
    <row r="115" spans="2:11" x14ac:dyDescent="0.3">
      <c r="K115" s="28" t="str">
        <f ca="1"/>
        <v xml:space="preserve">    LET(</v>
      </c>
    </row>
    <row r="116" spans="2:11" x14ac:dyDescent="0.3">
      <c r="K116" s="28" t="str">
        <f ca="1"/>
        <v xml:space="preserve">      _arr, REGEXEXTRACT(_str, ".", 1),</v>
      </c>
    </row>
    <row r="117" spans="2:11" x14ac:dyDescent="0.3">
      <c r="K117" s="28" t="str">
        <f ca="1"/>
        <v xml:space="preserve">      _cc, COLUMNS(_arr),</v>
      </c>
    </row>
    <row r="118" spans="2:11" x14ac:dyDescent="0.3">
      <c r="K118" s="28" t="str">
        <f ca="1"/>
        <v xml:space="preserve">      _idx, SEQUENCE(1, _cc, _cc, -1),</v>
      </c>
    </row>
    <row r="119" spans="2:11" x14ac:dyDescent="0.3">
      <c r="K119" s="28" t="str">
        <f ca="1"/>
        <v xml:space="preserve">      _rev, CONCAT( SCAN(0, _idx, LAMBDA(_acc,_val, INDEX(_arr, 1, _val)))),</v>
      </c>
    </row>
    <row r="120" spans="2:11" x14ac:dyDescent="0.3">
      <c r="K120" s="28" t="str">
        <f ca="1"/>
        <v xml:space="preserve">      VSTACK(_acc,_rev)</v>
      </c>
    </row>
    <row r="121" spans="2:11" x14ac:dyDescent="0.3">
      <c r="K121" s="28" t="str">
        <f ca="1"/>
        <v xml:space="preserve">    )</v>
      </c>
    </row>
    <row r="122" spans="2:11" x14ac:dyDescent="0.3">
      <c r="K122" s="28" t="str">
        <f ca="1"/>
        <v xml:space="preserve">  )), 1),</v>
      </c>
    </row>
    <row r="123" spans="2:11" x14ac:dyDescent="0.3">
      <c r="K123" s="28" t="str">
        <f ca="1"/>
        <v xml:space="preserve">  _rtn, MAKEARRAY(_rows, _cols, LAMBDA(_r,_c, INDEX(_calc, (_r - 1) * _cols + _c, 1))),</v>
      </c>
    </row>
    <row r="124" spans="2:11" x14ac:dyDescent="0.3">
      <c r="K124" s="28" t="str">
        <f ca="1"/>
        <v xml:space="preserve">  _rtn</v>
      </c>
    </row>
    <row r="125" spans="2:11" x14ac:dyDescent="0.3">
      <c r="K125" s="28" t="str">
        <f ca="1"/>
        <v>)</v>
      </c>
    </row>
    <row r="127" spans="2:11" x14ac:dyDescent="0.3">
      <c r="B127" s="10" t="str" cm="1">
        <f t="array" ref="B127" xml:space="preserve"> "(" &amp; _xlfn.UNICHAR( 65 + SUMPRODUCT(--(_xlfn.REGEXTEST(B$1:B126, "^\([A-Z]\)$")))) &amp; ")"</f>
        <v>(G)</v>
      </c>
      <c r="C127" s="3" t="s">
        <v>119</v>
      </c>
    </row>
    <row r="129" spans="3:14" x14ac:dyDescent="0.3">
      <c r="C129" s="51" t="s">
        <v>100</v>
      </c>
      <c r="H129" s="16" t="s">
        <v>118</v>
      </c>
      <c r="I129" s="30">
        <v>0</v>
      </c>
      <c r="J129" s="51" t="s">
        <v>101</v>
      </c>
    </row>
    <row r="130" spans="3:14" x14ac:dyDescent="0.3">
      <c r="C130" s="31" t="str" cm="1">
        <f t="array" ref="C130:G130" xml:space="preserve"> IF(I129, $H$9:$H$13, $H$9:$L$9)</f>
        <v>Alpha</v>
      </c>
      <c r="D130" s="31" t="str">
        <v>Bravo</v>
      </c>
      <c r="E130" s="31" t="str">
        <v>Charlie</v>
      </c>
      <c r="F130" s="31" t="str">
        <v>Delta</v>
      </c>
      <c r="G130" s="31" t="str">
        <v>Echo</v>
      </c>
      <c r="J130" s="25" t="str" cm="1">
        <f t="array" ref="J130:N130" xml:space="preserve"> _xlfn.LET(
  _xlpm._inp,_xlfn.ANCHORARRAY( C130),
  _xlpm._calc, _xlfn.SCAN(0, _xlpm._inp, _xlfn.LAMBDA(_xlpm._acc,_xlpm._str,
    _xlfn.LET(
      _xlpm._arr, _xlfn.REGEXEXTRACT(_xlpm._str, ".", 1),
      _xlpm._cc, COLUMNS(_xlpm._arr),
      _xlpm._idx, _xlfn.SEQUENCE(1, _xlpm._cc, _xlpm._cc, -1),
      _xlfn.CONCAT( _xlfn.SCAN(0, _xlpm._idx, _xlfn.LAMBDA(_xlpm._acc,_xlpm._val, INDEX(_xlpm._arr, 1, _xlpm._val))))
    )
  )),
  _xlpm._rtn, _xlpm._calc,
  _xlpm._rtn
)</f>
        <v>ahplA</v>
      </c>
      <c r="K130" s="25" t="str">
        <v>ovarB</v>
      </c>
      <c r="L130" s="25" t="str">
        <v>eilrahC</v>
      </c>
      <c r="M130" s="25" t="str">
        <v>atleD</v>
      </c>
      <c r="N130" s="25" t="str">
        <v>ohcE</v>
      </c>
    </row>
    <row r="131" spans="3:14" x14ac:dyDescent="0.3">
      <c r="C131" s="31"/>
      <c r="J131" s="25"/>
      <c r="K131" s="28" t="str" cm="1">
        <f t="array" aca="1" ref="K131:K143" ca="1" xml:space="preserve"> _xlfn.TEXTSPLIT( _xlfn.FORMULATEXT(J130), , CHAR(10))</f>
        <v>= LET(</v>
      </c>
    </row>
    <row r="132" spans="3:14" x14ac:dyDescent="0.3">
      <c r="C132" s="31"/>
      <c r="J132" s="25"/>
      <c r="K132" s="28" t="str">
        <f ca="1"/>
        <v xml:space="preserve">  _inp, C130#,</v>
      </c>
    </row>
    <row r="133" spans="3:14" x14ac:dyDescent="0.3">
      <c r="C133" s="31"/>
      <c r="J133" s="25"/>
      <c r="K133" s="28" t="str">
        <f ca="1"/>
        <v xml:space="preserve">  _calc, SCAN(0, _inp, LAMBDA(_acc,_str,</v>
      </c>
    </row>
    <row r="134" spans="3:14" x14ac:dyDescent="0.3">
      <c r="C134" s="31"/>
      <c r="J134" s="25"/>
      <c r="K134" s="28" t="str">
        <f ca="1"/>
        <v xml:space="preserve">    LET(</v>
      </c>
    </row>
    <row r="135" spans="3:14" x14ac:dyDescent="0.3">
      <c r="K135" s="28" t="str">
        <f ca="1"/>
        <v xml:space="preserve">      _arr, REGEXEXTRACT(_str, ".", 1),</v>
      </c>
    </row>
    <row r="136" spans="3:14" x14ac:dyDescent="0.3">
      <c r="C136" s="53" t="s">
        <v>58</v>
      </c>
      <c r="K136" s="28" t="str">
        <f ca="1"/>
        <v xml:space="preserve">      _cc, COLUMNS(_arr),</v>
      </c>
    </row>
    <row r="137" spans="3:14" x14ac:dyDescent="0.3">
      <c r="C137" s="29" t="s">
        <v>120</v>
      </c>
      <c r="K137" s="28" t="str">
        <f ca="1"/>
        <v xml:space="preserve">      _idx, SEQUENCE(1, _cc, _cc, -1),</v>
      </c>
    </row>
    <row r="138" spans="3:14" x14ac:dyDescent="0.3">
      <c r="C138" s="29" t="s">
        <v>121</v>
      </c>
      <c r="K138" s="28" t="str">
        <f ca="1"/>
        <v xml:space="preserve">      CONCAT( SCAN(0, _idx, LAMBDA(_acc,_val, INDEX(_arr, 1, _val))))</v>
      </c>
    </row>
    <row r="139" spans="3:14" x14ac:dyDescent="0.3">
      <c r="C139" s="29" t="s">
        <v>122</v>
      </c>
      <c r="K139" s="28" t="str">
        <f ca="1"/>
        <v xml:space="preserve">    )</v>
      </c>
    </row>
    <row r="140" spans="3:14" x14ac:dyDescent="0.3">
      <c r="C140" s="29" t="s">
        <v>123</v>
      </c>
      <c r="K140" s="28" t="str">
        <f ca="1"/>
        <v xml:space="preserve">  )),</v>
      </c>
    </row>
    <row r="141" spans="3:14" x14ac:dyDescent="0.3">
      <c r="C141" s="29" t="s">
        <v>125</v>
      </c>
      <c r="K141" s="28" t="str">
        <f ca="1"/>
        <v xml:space="preserve">  _rtn, _calc,</v>
      </c>
    </row>
    <row r="142" spans="3:14" x14ac:dyDescent="0.3">
      <c r="C142" s="29" t="s">
        <v>124</v>
      </c>
      <c r="K142" s="28" t="str">
        <f ca="1"/>
        <v xml:space="preserve">  _rtn</v>
      </c>
    </row>
    <row r="143" spans="3:14" x14ac:dyDescent="0.3">
      <c r="C143" s="29" t="s">
        <v>126</v>
      </c>
      <c r="K143" s="28" t="str">
        <f ca="1"/>
        <v>)</v>
      </c>
    </row>
    <row r="144" spans="3:14" x14ac:dyDescent="0.3">
      <c r="C144" s="29" t="s">
        <v>127</v>
      </c>
      <c r="K144" s="28"/>
    </row>
    <row r="145" spans="2:20" x14ac:dyDescent="0.3">
      <c r="C145" s="29" t="s">
        <v>128</v>
      </c>
      <c r="K145" s="28"/>
    </row>
    <row r="146" spans="2:20" x14ac:dyDescent="0.3">
      <c r="C146" s="29" t="s">
        <v>129</v>
      </c>
    </row>
    <row r="149" spans="2:20" x14ac:dyDescent="0.3">
      <c r="B149" s="8" t="s">
        <v>131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1" spans="2:20" x14ac:dyDescent="0.3">
      <c r="B151" s="10" t="str" cm="1">
        <f t="array" ref="B151" xml:space="preserve"> "(" &amp; _xlfn.UNICHAR( 65 + SUMPRODUCT(--(_xlfn.REGEXTEST(B$1:B148, "^\([A-Z]\)$")))) &amp; ")"</f>
        <v>(H)</v>
      </c>
      <c r="C151" s="3" t="s">
        <v>130</v>
      </c>
    </row>
    <row r="152" spans="2:20" x14ac:dyDescent="0.3">
      <c r="C152" s="51" t="s">
        <v>100</v>
      </c>
      <c r="E152" s="51" t="s">
        <v>101</v>
      </c>
    </row>
    <row r="153" spans="2:20" x14ac:dyDescent="0.3">
      <c r="C153" s="31">
        <f xml:space="preserve"> C12</f>
        <v>123456</v>
      </c>
      <c r="E153" s="25" t="str" cm="1">
        <f t="array" ref="E153" xml:space="preserve"> _xlfn.LET(
  _xlpm._inp, C153,
  _xlpm._rows, ROWS( _xlpm._inp),
  _xlpm._cols, COLUMNS(_xlpm._inp),
  _xlpm._calc, _xlfn.SCAN(0, _xlpm._inp, _xlfn.LAMBDA(_xlpm._acc,_xlpm._str,
    _xlfn.LET(
      _xlpm._arr, _xlfn.REGEXEXTRACT(_xlpm._str, ".", 1),
      _xlpm._cc, COLUMNS(_xlpm._arr),
      _xlpm._idx, _xlfn.SEQUENCE(1, _xlpm._cc, _xlpm._cc, -1),
      _xlfn.CONCAT( _xlfn.SCAN(0, _xlpm._idx, _xlfn.LAMBDA(_xlpm._acc,_xlpm._val, INDEX(_xlpm._arr, 1, _xlpm._val))))
    )
  )),
  _xlpm._rtn, _xlpm._calc,
  _xlpm._rtn
)</f>
        <v>654321</v>
      </c>
    </row>
    <row r="156" spans="2:20" x14ac:dyDescent="0.3">
      <c r="B156" s="10" t="str" cm="1">
        <f t="array" ref="B156" xml:space="preserve"> "(" &amp; _xlfn.UNICHAR( 65 + SUMPRODUCT(--(_xlfn.REGEXTEST(B$1:B153, "^\([A-Z]\)$")))) &amp; ")"</f>
        <v>(I)</v>
      </c>
      <c r="C156" s="3" t="s">
        <v>132</v>
      </c>
    </row>
    <row r="158" spans="2:20" x14ac:dyDescent="0.3">
      <c r="E158" s="16" t="s">
        <v>133</v>
      </c>
      <c r="F158" s="30">
        <v>1</v>
      </c>
    </row>
    <row r="159" spans="2:20" x14ac:dyDescent="0.3">
      <c r="C159" s="51" t="s">
        <v>100</v>
      </c>
      <c r="E159" s="51" t="s">
        <v>101</v>
      </c>
    </row>
    <row r="160" spans="2:20" x14ac:dyDescent="0.3">
      <c r="C160" s="27" t="s">
        <v>80</v>
      </c>
      <c r="E160" s="25" t="str" cm="1">
        <f t="array" ref="E160:E164" xml:space="preserve"> _xlfn.LET(
  _xlpm._inp, C160:C164,
  _xlpm._ign, IF( ISBLANK(F158), 0, INT(F158)),
  _xlpm._calc, _xlfn.SCAN(0, _xlpm._inp, _xlfn.LAMBDA(_xlpm._acc,_xlpm._str,
    IF( AND(ISNONTEXT(_xlpm._str), _xlpm._ign),
      _xlpm._str,
      _xlfn.LET(
        _xlpm._arr, _xlfn.REGEXEXTRACT(_xlpm._str, ".", 1),
        _xlpm._cc, COLUMNS(_xlpm._arr),
        _xlpm._idx, _xlfn.SEQUENCE(1, _xlpm._cc, _xlpm._cc, -1),
        _xlfn.CONCAT( _xlfn.SCAN(0, _xlpm._idx, _xlfn.LAMBDA(_xlpm._acc,_xlpm._val, INDEX(_xlpm._arr, 1, _xlpm._val))))
      )
    )
  )),
  _xlpm._rtn, _xlpm._calc,
  _xlpm._rtn
)</f>
        <v>ahplA</v>
      </c>
      <c r="F160" s="28" t="str" cm="1">
        <f t="array" aca="1" ref="F160:F176" ca="1" xml:space="preserve"> _xlfn.TEXTSPLIT( _xlfn.FORMULATEXT(E160), , CHAR(10))</f>
        <v>= LET(</v>
      </c>
    </row>
    <row r="161" spans="3:6" x14ac:dyDescent="0.3">
      <c r="C161" s="27">
        <v>12345</v>
      </c>
      <c r="E161" s="25">
        <v>12345</v>
      </c>
      <c r="F161" s="28" t="str">
        <f ca="1"/>
        <v xml:space="preserve">  _inp, C160:C164,</v>
      </c>
    </row>
    <row r="162" spans="3:6" x14ac:dyDescent="0.3">
      <c r="C162" s="27" t="s">
        <v>82</v>
      </c>
      <c r="E162" s="25" t="str">
        <v>eilrahC</v>
      </c>
      <c r="F162" s="28" t="str">
        <f ca="1"/>
        <v xml:space="preserve">  _ign, IF( ISBLANK(F158), 0, INT(F158)),</v>
      </c>
    </row>
    <row r="163" spans="3:6" x14ac:dyDescent="0.3">
      <c r="C163" s="55">
        <v>67890</v>
      </c>
      <c r="E163" s="25">
        <v>67890</v>
      </c>
      <c r="F163" s="28" t="str">
        <f ca="1"/>
        <v xml:space="preserve">  _calc, SCAN(0, _inp, LAMBDA(_acc,_str,</v>
      </c>
    </row>
    <row r="164" spans="3:6" x14ac:dyDescent="0.3">
      <c r="C164" s="27" t="s">
        <v>84</v>
      </c>
      <c r="E164" s="25" t="str">
        <v>ohcE</v>
      </c>
      <c r="F164" s="28" t="str">
        <f ca="1"/>
        <v xml:space="preserve">    IF( AND(ISNONTEXT(_str), _ign),</v>
      </c>
    </row>
    <row r="165" spans="3:6" x14ac:dyDescent="0.3">
      <c r="F165" s="28" t="str">
        <f ca="1"/>
        <v xml:space="preserve">      _str,</v>
      </c>
    </row>
    <row r="166" spans="3:6" x14ac:dyDescent="0.3">
      <c r="F166" s="28" t="str">
        <f ca="1"/>
        <v xml:space="preserve">      LET(</v>
      </c>
    </row>
    <row r="167" spans="3:6" x14ac:dyDescent="0.3">
      <c r="F167" s="28" t="str">
        <f ca="1"/>
        <v xml:space="preserve">        _arr, REGEXEXTRACT(_str, ".", 1),</v>
      </c>
    </row>
    <row r="168" spans="3:6" x14ac:dyDescent="0.3">
      <c r="F168" s="28" t="str">
        <f ca="1"/>
        <v xml:space="preserve">        _cc, COLUMNS(_arr),</v>
      </c>
    </row>
    <row r="169" spans="3:6" x14ac:dyDescent="0.3">
      <c r="F169" s="28" t="str">
        <f ca="1"/>
        <v xml:space="preserve">        _idx, SEQUENCE(1, _cc, _cc, -1),</v>
      </c>
    </row>
    <row r="170" spans="3:6" x14ac:dyDescent="0.3">
      <c r="F170" s="28" t="str">
        <f ca="1"/>
        <v xml:space="preserve">        CONCAT( SCAN(0, _idx, LAMBDA(_acc,_val, INDEX(_arr, 1, _val))))</v>
      </c>
    </row>
    <row r="171" spans="3:6" x14ac:dyDescent="0.3">
      <c r="F171" s="28" t="str">
        <f ca="1"/>
        <v xml:space="preserve">      )</v>
      </c>
    </row>
    <row r="172" spans="3:6" x14ac:dyDescent="0.3">
      <c r="F172" s="28" t="str">
        <f ca="1"/>
        <v xml:space="preserve">    )</v>
      </c>
    </row>
    <row r="173" spans="3:6" x14ac:dyDescent="0.3">
      <c r="F173" s="28" t="str">
        <f ca="1"/>
        <v xml:space="preserve">  )),</v>
      </c>
    </row>
    <row r="174" spans="3:6" x14ac:dyDescent="0.3">
      <c r="F174" s="28" t="str">
        <f ca="1"/>
        <v xml:space="preserve">  _rtn, _calc,</v>
      </c>
    </row>
    <row r="175" spans="3:6" x14ac:dyDescent="0.3">
      <c r="F175" s="28" t="str">
        <f ca="1"/>
        <v xml:space="preserve">  _rtn</v>
      </c>
    </row>
    <row r="176" spans="3:6" x14ac:dyDescent="0.3">
      <c r="F176" s="28" t="str">
        <f ca="1"/>
        <v>)</v>
      </c>
    </row>
    <row r="178" spans="2:20" x14ac:dyDescent="0.3">
      <c r="B178" s="8" t="s">
        <v>61</v>
      </c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80" spans="2:20" x14ac:dyDescent="0.3">
      <c r="B180" s="10" t="str" cm="1">
        <f t="array" ref="B180" xml:space="preserve"> "(" &amp; _xlfn.UNICHAR( 65 + SUMPRODUCT(--(_xlfn.REGEXTEST(B$1:B179, "^\([A-Z]\)$")))) &amp; ")"</f>
        <v>(J)</v>
      </c>
      <c r="C180" s="3" t="s">
        <v>62</v>
      </c>
    </row>
    <row r="182" spans="2:20" x14ac:dyDescent="0.3">
      <c r="C182" s="16" t="s">
        <v>134</v>
      </c>
      <c r="D182" s="38">
        <v>1</v>
      </c>
    </row>
    <row r="184" spans="2:20" x14ac:dyDescent="0.3">
      <c r="C184" s="56" t="s">
        <v>59</v>
      </c>
      <c r="D184" s="26" t="str">
        <f xml:space="preserve"> _xlfn.LET(
  _xlpm.ignore_nontext, D182,
  _xlpm._ign, IF( ISBLANK(_xlpm.ignore_nontext), 0, INT(_xlpm.ignore_nontext)),
  _xlpm._inpChk, IF(
    OR(
      ISERROR(_xlpm._ign),
      _xlpm._ign &lt; 0, _xlpm._ign &gt; 1
    ), 2,
    1
  ),
  CHOOSE(_xlpm._inpChk, "OK", #VALUE!)
)</f>
        <v>OK</v>
      </c>
      <c r="E184" s="28" t="str" cm="1">
        <f t="array" aca="1" ref="E184:E195" ca="1" xml:space="preserve"> _xlfn.TEXTSPLIT( _xlfn.FORMULATEXT(D184), , CHAR(10))</f>
        <v>= LET(</v>
      </c>
    </row>
    <row r="185" spans="2:20" x14ac:dyDescent="0.3">
      <c r="E185" s="28" t="str">
        <f ca="1"/>
        <v xml:space="preserve">  ignore_nontext, D182,</v>
      </c>
    </row>
    <row r="186" spans="2:20" x14ac:dyDescent="0.3">
      <c r="E186" s="28" t="str">
        <f ca="1"/>
        <v xml:space="preserve">  _ign, IF( ISBLANK(ignore_nontext), 0, INT(ignore_nontext)),</v>
      </c>
    </row>
    <row r="187" spans="2:20" x14ac:dyDescent="0.3">
      <c r="E187" s="28" t="str">
        <f ca="1"/>
        <v xml:space="preserve">  _inpChk, IF(</v>
      </c>
    </row>
    <row r="188" spans="2:20" x14ac:dyDescent="0.3">
      <c r="E188" s="28" t="str">
        <f ca="1"/>
        <v xml:space="preserve">    OR(</v>
      </c>
    </row>
    <row r="189" spans="2:20" x14ac:dyDescent="0.3">
      <c r="E189" s="28" t="str">
        <f ca="1"/>
        <v xml:space="preserve">      ISERROR(_ign),</v>
      </c>
    </row>
    <row r="190" spans="2:20" x14ac:dyDescent="0.3">
      <c r="E190" s="28" t="str">
        <f ca="1"/>
        <v xml:space="preserve">      _ign &lt; 0, _ign &gt; 1</v>
      </c>
    </row>
    <row r="191" spans="2:20" x14ac:dyDescent="0.3">
      <c r="E191" s="28" t="str">
        <f ca="1"/>
        <v xml:space="preserve">    ), 2,</v>
      </c>
    </row>
    <row r="192" spans="2:20" x14ac:dyDescent="0.3">
      <c r="E192" s="28" t="str">
        <f ca="1"/>
        <v xml:space="preserve">    1</v>
      </c>
    </row>
    <row r="193" spans="2:14" x14ac:dyDescent="0.3">
      <c r="E193" s="28" t="str">
        <f ca="1"/>
        <v xml:space="preserve">  ),</v>
      </c>
    </row>
    <row r="194" spans="2:14" x14ac:dyDescent="0.3">
      <c r="E194" s="28" t="str">
        <f ca="1"/>
        <v xml:space="preserve">  CHOOSE(_inpChk, "OK", #VALUE!)</v>
      </c>
    </row>
    <row r="195" spans="2:14" x14ac:dyDescent="0.3">
      <c r="E195" s="28" t="str">
        <f ca="1"/>
        <v>)</v>
      </c>
    </row>
    <row r="197" spans="2:14" x14ac:dyDescent="0.3">
      <c r="B197" s="10" t="str" cm="1">
        <f t="array" ref="B197" xml:space="preserve"> "(" &amp; _xlfn.UNICHAR( 65 + SUMPRODUCT(--(_xlfn.REGEXTEST(B$1:B196, "^\([A-Z]\)$")))) &amp; ")"</f>
        <v>(K)</v>
      </c>
      <c r="C197" s="3" t="s">
        <v>137</v>
      </c>
    </row>
    <row r="199" spans="2:14" x14ac:dyDescent="0.3">
      <c r="H199" s="16" t="s">
        <v>118</v>
      </c>
      <c r="I199" s="30">
        <v>1</v>
      </c>
    </row>
    <row r="200" spans="2:14" x14ac:dyDescent="0.3">
      <c r="C200" s="51" t="s">
        <v>100</v>
      </c>
      <c r="H200" s="16" t="s">
        <v>138</v>
      </c>
      <c r="I200" s="30">
        <v>1</v>
      </c>
      <c r="J200" s="51" t="s">
        <v>101</v>
      </c>
    </row>
    <row r="201" spans="2:14" x14ac:dyDescent="0.3">
      <c r="C201" s="54" t="str" cm="1">
        <f t="array" ref="C201:C205" xml:space="preserve"> IF(I199, $C$160:$C$164, TRANSPOSE($C$160:$C$164))</f>
        <v>Alpha</v>
      </c>
      <c r="D201" s="54"/>
      <c r="E201" s="54"/>
      <c r="F201" s="54"/>
      <c r="G201" s="54"/>
      <c r="J201" s="25" t="str" cm="1">
        <f t="array" ref="J201:J205" xml:space="preserve"> _xlfn.LAMBDA(_xlpm.text,_xlop.ignore_nontext,
  _xlfn.LET(
    _xlpm._ign, IF( _xlfn.ISOMITTED(_xlpm.ignore_nontext), 0, INT(_xlpm.ignore_nontext)),
    _xlpm._inpChk, IF(
      OR(
        ISERROR(_xlpm._ign),
        _xlpm._ign &lt; 0, _xlpm._ign &gt; 1
      ), 2,
      1
    ),
    _xlpm._rtn, _xlfn.SCAN(0, _xlpm.text, _xlfn.LAMBDA(_xlpm._acc,_xlpm._str,
      IF( AND(ISNONTEXT(_xlpm._str), _xlpm._ign),
        _xlpm._str,
        _xlfn.LET(
          _xlpm._arr, _xlfn.REGEXEXTRACT(_xlpm._str, ".", 1),
          _xlpm._cc, COLUMNS(_xlpm._arr),
          _xlpm._idx, _xlfn.SEQUENCE(1, _xlpm._cc, _xlpm._cc, -1),
          _xlfn.CONCAT( _xlfn.SCAN(0, _xlpm._idx, _xlfn.LAMBDA(_xlpm._acc,_xlpm._val, INDEX(_xlpm._arr, 1, _xlpm._val))))
        )
      )
    )),
    CHOOSE(_xlpm._inpChk, _xlpm._rtn, #VALUE!)
  )
)(_xlfn.ANCHORARRAY(C201), I200)</f>
        <v>ahplA</v>
      </c>
      <c r="K201" s="25"/>
      <c r="L201" s="25"/>
      <c r="M201" s="25"/>
      <c r="N201" s="25"/>
    </row>
    <row r="202" spans="2:14" x14ac:dyDescent="0.3">
      <c r="C202" s="54">
        <v>12345</v>
      </c>
      <c r="J202" s="25">
        <v>12345</v>
      </c>
      <c r="K202" s="28" t="str" cm="1">
        <f t="array" aca="1" ref="K202:K225" ca="1" xml:space="preserve"> _xlfn.TEXTSPLIT( _xlfn.FORMULATEXT(J201), , CHAR(10))</f>
        <v>= LAMBDA(text,[ignore_nontext],</v>
      </c>
    </row>
    <row r="203" spans="2:14" x14ac:dyDescent="0.3">
      <c r="C203" s="54" t="str">
        <v>Charlie</v>
      </c>
      <c r="J203" s="25" t="str">
        <v>eilrahC</v>
      </c>
      <c r="K203" s="28" t="str">
        <f ca="1"/>
        <v xml:space="preserve">  LET(</v>
      </c>
    </row>
    <row r="204" spans="2:14" x14ac:dyDescent="0.3">
      <c r="C204" s="54">
        <v>67890</v>
      </c>
      <c r="J204" s="25">
        <v>67890</v>
      </c>
      <c r="K204" s="28" t="str">
        <f ca="1"/>
        <v xml:space="preserve">    _ign, IF( ISOMITTED(ignore_nontext), 0, INT(ignore_nontext)),</v>
      </c>
    </row>
    <row r="205" spans="2:14" x14ac:dyDescent="0.3">
      <c r="C205" s="54" t="str">
        <v>Echo</v>
      </c>
      <c r="J205" s="25" t="str">
        <v>ohcE</v>
      </c>
      <c r="K205" s="28" t="str">
        <f ca="1"/>
        <v xml:space="preserve">    _inpChk, IF(</v>
      </c>
    </row>
    <row r="206" spans="2:14" x14ac:dyDescent="0.3">
      <c r="K206" s="28" t="str">
        <f ca="1"/>
        <v xml:space="preserve">      OR(</v>
      </c>
    </row>
    <row r="207" spans="2:14" x14ac:dyDescent="0.3">
      <c r="K207" s="28" t="str">
        <f ca="1"/>
        <v xml:space="preserve">        ISERROR(_ign),</v>
      </c>
    </row>
    <row r="208" spans="2:14" x14ac:dyDescent="0.3">
      <c r="K208" s="28" t="str">
        <f ca="1"/>
        <v xml:space="preserve">        _ign &lt; 0, _ign &gt; 1</v>
      </c>
    </row>
    <row r="209" spans="11:11" x14ac:dyDescent="0.3">
      <c r="K209" s="28" t="str">
        <f ca="1"/>
        <v xml:space="preserve">      ), 2,</v>
      </c>
    </row>
    <row r="210" spans="11:11" x14ac:dyDescent="0.3">
      <c r="K210" s="28" t="str">
        <f ca="1"/>
        <v xml:space="preserve">      1</v>
      </c>
    </row>
    <row r="211" spans="11:11" x14ac:dyDescent="0.3">
      <c r="K211" s="28" t="str">
        <f ca="1"/>
        <v xml:space="preserve">    ),</v>
      </c>
    </row>
    <row r="212" spans="11:11" x14ac:dyDescent="0.3">
      <c r="K212" s="28" t="str">
        <f ca="1"/>
        <v xml:space="preserve">    _rtn, SCAN(0, text, LAMBDA(_acc,_str,</v>
      </c>
    </row>
    <row r="213" spans="11:11" x14ac:dyDescent="0.3">
      <c r="K213" s="28" t="str">
        <f ca="1"/>
        <v xml:space="preserve">      IF( AND(ISNONTEXT(_str), _ign),</v>
      </c>
    </row>
    <row r="214" spans="11:11" x14ac:dyDescent="0.3">
      <c r="K214" s="28" t="str">
        <f ca="1"/>
        <v xml:space="preserve">        _str,</v>
      </c>
    </row>
    <row r="215" spans="11:11" x14ac:dyDescent="0.3">
      <c r="K215" s="28" t="str">
        <f ca="1"/>
        <v xml:space="preserve">        LET(</v>
      </c>
    </row>
    <row r="216" spans="11:11" x14ac:dyDescent="0.3">
      <c r="K216" s="28" t="str">
        <f ca="1"/>
        <v xml:space="preserve">          _arr, REGEXEXTRACT(_str, ".", 1),</v>
      </c>
    </row>
    <row r="217" spans="11:11" x14ac:dyDescent="0.3">
      <c r="K217" s="28" t="str">
        <f ca="1"/>
        <v xml:space="preserve">          _cc, COLUMNS(_arr),</v>
      </c>
    </row>
    <row r="218" spans="11:11" x14ac:dyDescent="0.3">
      <c r="K218" s="28" t="str">
        <f ca="1"/>
        <v xml:space="preserve">          _idx, SEQUENCE(1, _cc, _cc, -1),</v>
      </c>
    </row>
    <row r="219" spans="11:11" x14ac:dyDescent="0.3">
      <c r="K219" s="28" t="str">
        <f ca="1"/>
        <v xml:space="preserve">          CONCAT( SCAN(0, _idx, LAMBDA(_acc,_val, INDEX(_arr, 1, _val))))</v>
      </c>
    </row>
    <row r="220" spans="11:11" x14ac:dyDescent="0.3">
      <c r="K220" s="28" t="str">
        <f ca="1"/>
        <v xml:space="preserve">        )</v>
      </c>
    </row>
    <row r="221" spans="11:11" x14ac:dyDescent="0.3">
      <c r="K221" s="28" t="str">
        <f ca="1"/>
        <v xml:space="preserve">      )</v>
      </c>
    </row>
    <row r="222" spans="11:11" x14ac:dyDescent="0.3">
      <c r="K222" s="28" t="str">
        <f ca="1"/>
        <v xml:space="preserve">    )),</v>
      </c>
    </row>
    <row r="223" spans="11:11" x14ac:dyDescent="0.3">
      <c r="K223" s="28" t="str">
        <f ca="1"/>
        <v xml:space="preserve">    CHOOSE(_inpChk, _rtn, #VALUE!)</v>
      </c>
    </row>
    <row r="224" spans="11:11" x14ac:dyDescent="0.3">
      <c r="K224" s="28" t="str">
        <f ca="1"/>
        <v xml:space="preserve">  )</v>
      </c>
    </row>
    <row r="225" spans="2:20" x14ac:dyDescent="0.3">
      <c r="K225" s="28" t="str">
        <f ca="1"/>
        <v>)(C201#, I200)</v>
      </c>
    </row>
    <row r="227" spans="2:20" x14ac:dyDescent="0.3">
      <c r="B227" s="8" t="s">
        <v>181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</row>
    <row r="229" spans="2:20" x14ac:dyDescent="0.3">
      <c r="B229" s="10" t="str" cm="1">
        <f t="array" ref="B229" xml:space="preserve"> "(" &amp; _xlfn.UNICHAR( 65 + SUMPRODUCT(--(_xlfn.REGEXTEST(B$1:B228, "^\([A-Z]\)$")))) &amp; ")"</f>
        <v>(L)</v>
      </c>
      <c r="C229" s="3" t="s">
        <v>182</v>
      </c>
    </row>
    <row r="230" spans="2:20" x14ac:dyDescent="0.3">
      <c r="D230" s="16" t="s">
        <v>138</v>
      </c>
      <c r="E230" s="30">
        <v>0</v>
      </c>
      <c r="P230" s="16" t="s">
        <v>138</v>
      </c>
      <c r="Q230" s="30">
        <v>0</v>
      </c>
    </row>
    <row r="231" spans="2:20" x14ac:dyDescent="0.3">
      <c r="D231" s="16" t="s">
        <v>183</v>
      </c>
      <c r="E231" s="38" t="b">
        <v>1</v>
      </c>
      <c r="P231" s="16" t="s">
        <v>183</v>
      </c>
      <c r="Q231" s="38" t="b">
        <v>1</v>
      </c>
    </row>
    <row r="232" spans="2:20" x14ac:dyDescent="0.3">
      <c r="C232" s="51" t="s">
        <v>100</v>
      </c>
      <c r="E232" s="51" t="s">
        <v>101</v>
      </c>
      <c r="O232" s="51" t="s">
        <v>100</v>
      </c>
      <c r="Q232" s="51" t="s">
        <v>101</v>
      </c>
    </row>
    <row r="233" spans="2:20" x14ac:dyDescent="0.3">
      <c r="C233" s="27" t="s">
        <v>80</v>
      </c>
      <c r="E233" s="25" t="str" cm="1">
        <f t="array" ref="E233:E237" xml:space="preserve"> _xlfn.LAMBDA(_xlpm.text,_xlop.ignore_nontext,_xlop.replace_na,
  _xlfn.LET(
    _xlpm._ign, IF( _xlfn.ISOMITTED(_xlpm.ignore_nontext), 0, INT(_xlpm.ignore_nontext)),
    _xlpm._nInp, IF( _xlfn.ISOMITTED(_xlpm.replace_na), FALSE, INDEX(_xlpm.replace_na, 1, 1)),
    _xlpm._rep, IF( ISLOGICAL(_xlpm._nInp), IF(_xlpm._nInp, "", NA()), _xlpm._nInp),
    _xlpm._inpChk, IF(
      OR(
        ISERROR(_xlpm._ign),
        _xlpm._ign &lt; 0, _xlpm._ign &gt; 1
      ), 2,
      1
    ),
    _xlpm._calc, _xlfn.SCAN(0, _xlpm.text, _xlfn.LAMBDA(_xlpm._acc,_xlpm._str,
      IF( AND(ISNONTEXT(_xlpm._str), _xlpm._ign),
        _xlpm._str,
        _xlfn.LET(
          _xlpm._arr, _xlfn.REGEXEXTRACT(_xlpm._str, ".", 1),
          _xlpm._cc, COLUMNS(_xlpm._arr),
          _xlpm._idx, _xlfn.SEQUENCE(1, _xlpm._cc, _xlpm._cc, -1),
          _xlfn.CONCAT( _xlfn.SCAN(0, _xlpm._idx, _xlfn.LAMBDA(_xlpm._acc,_xlpm._val, INDEX(_xlpm._arr, 1, _xlpm._val))))
        )
      )
    )),
    _xlpm._rtn, IF( ISNA(_xlpm._rep),
      _xlpm._calc,
      IF( ISNA(_xlpm._calc), _xlpm._rep, _xlpm._calc)
    ),
    CHOOSE(_xlpm._inpChk, _xlpm._rtn, #VALUE!)
  )
)(C233:C237, E230, E231)</f>
        <v>ahplA</v>
      </c>
      <c r="F233" s="28" t="str" cm="1">
        <f t="array" aca="1" ref="F233:F262" ca="1" xml:space="preserve"> _xlfn.TEXTSPLIT( _xlfn.FORMULATEXT(E233), , CHAR(10))</f>
        <v>= LAMBDA(text,[ignore_nontext],[replace_na],</v>
      </c>
      <c r="O233" s="27" t="s">
        <v>80</v>
      </c>
      <c r="Q233" s="25" t="str" cm="1">
        <f t="array" ref="Q233:Q237" xml:space="preserve"> _xlfn.LAMBDA(_xlpm.text,_xlop.ignore_nontext,_xlop.replace_na,
  _xlfn.LET(
    _xlpm._ign, IF( _xlfn.ISOMITTED(_xlpm.ignore_nontext), 0, INT(_xlpm.ignore_nontext)),
    _xlpm._nInp, IF( _xlfn.ISOMITTED(_xlpm.replace_na), FALSE, INDEX(_xlpm.replace_na, 1, 1)),
    _xlpm._rep, IF( ISLOGICAL(_xlpm._nInp), IF(_xlpm._nInp, "", NA()), _xlpm._nInp),
    _xlpm._inpChk, IF(
      OR(
        ISERROR(_xlpm._ign),
        _xlpm._ign &lt; 0, _xlpm._ign &gt; 1
      ), 2,
      1
    ),
    _xlpm._calc, _xlfn.SCAN(0, _xlpm.text, _xlfn.LAMBDA(_xlpm._acc,_xlpm._str,
      IF( AND(ISNONTEXT(_xlpm._str), _xlpm._ign),
        _xlpm._str,
        IF( ISBLANK(_xlpm._str), NA(),
          _xlfn.LET(
            _xlpm._arr, MID(_xlpm._str, _xlfn.SEQUENCE(1, LEN(_xlpm._str)), 1),
            _xlpm._cc, COLUMNS(_xlpm._arr),
            _xlpm._idx, _xlfn.SEQUENCE(1, _xlpm._cc, _xlpm._cc, -1),
            _xlfn.CONCAT( _xlfn.SCAN(0, _xlpm._idx, _xlfn.LAMBDA(_xlpm._acc,_xlpm._val, INDEX(_xlpm._arr, 1, _xlpm._val))))
          )
        )
      )
    )),
    _xlpm._rtn, IF( ISNA(_xlpm._rep),
      _xlpm._calc,
      IF( ISNA(_xlpm._calc), _xlpm._rep, _xlpm._calc)
    ),
    CHOOSE(_xlpm._inpChk, _xlpm._rtn, #VALUE!)
  )
)(O233:O237, Q230, Q231)</f>
        <v>ahplA</v>
      </c>
      <c r="R233" t="str" cm="1">
        <f t="array" aca="1" ref="R233:R264" ca="1" xml:space="preserve"> _xlfn.TEXTSPLIT( _xlfn.FORMULATEXT(Q233), , CHAR(10))</f>
        <v>= LAMBDA(text,[ignore_nontext],[replace_na],</v>
      </c>
    </row>
    <row r="234" spans="2:20" x14ac:dyDescent="0.3">
      <c r="C234" s="27" t="s">
        <v>81</v>
      </c>
      <c r="E234" s="25" t="str">
        <v>ovarB</v>
      </c>
      <c r="F234" s="28" t="str">
        <f ca="1"/>
        <v xml:space="preserve">  LET(</v>
      </c>
      <c r="O234" s="27" t="s">
        <v>81</v>
      </c>
      <c r="Q234" s="25" t="str">
        <v>ovarB</v>
      </c>
      <c r="R234" t="str">
        <f ca="1"/>
        <v xml:space="preserve">  LET(</v>
      </c>
    </row>
    <row r="235" spans="2:20" x14ac:dyDescent="0.3">
      <c r="C235" s="27"/>
      <c r="E235" s="25" t="str">
        <v/>
      </c>
      <c r="F235" s="28" t="str">
        <f ca="1"/>
        <v xml:space="preserve">    _ign, IF( ISOMITTED(ignore_nontext), 0, INT(ignore_nontext)),</v>
      </c>
      <c r="O235" s="27"/>
      <c r="Q235" s="25" t="str">
        <v/>
      </c>
      <c r="R235" t="str">
        <f ca="1"/>
        <v xml:space="preserve">    _ign, IF( ISOMITTED(ignore_nontext), 0, INT(ignore_nontext)),</v>
      </c>
    </row>
    <row r="236" spans="2:20" x14ac:dyDescent="0.3">
      <c r="C236" s="27"/>
      <c r="E236" s="25" t="str">
        <v/>
      </c>
      <c r="F236" s="28" t="str">
        <f ca="1"/>
        <v xml:space="preserve">    _nInp, IF( ISOMITTED(replace_na), FALSE, INDEX(replace_na, 1, 1)),</v>
      </c>
      <c r="O236" s="27"/>
      <c r="Q236" s="25" t="str">
        <v/>
      </c>
      <c r="R236" t="str">
        <f ca="1"/>
        <v xml:space="preserve">    _nInp, IF( ISOMITTED(replace_na), FALSE, INDEX(replace_na, 1, 1)),</v>
      </c>
    </row>
    <row r="237" spans="2:20" x14ac:dyDescent="0.3">
      <c r="C237" s="27">
        <v>12345</v>
      </c>
      <c r="E237" s="25" t="str">
        <v>54321</v>
      </c>
      <c r="F237" s="28" t="str">
        <f ca="1"/>
        <v xml:space="preserve">    _rep, IF( ISLOGICAL(_nInp), IF(_nInp, "", NA()), _nInp),</v>
      </c>
      <c r="O237" s="27">
        <v>12345</v>
      </c>
      <c r="Q237" s="25" t="str">
        <v>54321</v>
      </c>
      <c r="R237" t="str">
        <f ca="1"/>
        <v xml:space="preserve">    _rep, IF( ISLOGICAL(_nInp), IF(_nInp, "", NA()), _nInp),</v>
      </c>
    </row>
    <row r="238" spans="2:20" x14ac:dyDescent="0.3">
      <c r="F238" s="28" t="str">
        <f ca="1"/>
        <v xml:space="preserve">    _inpChk, IF(</v>
      </c>
      <c r="R238" t="str">
        <f ca="1"/>
        <v xml:space="preserve">    _inpChk, IF(</v>
      </c>
    </row>
    <row r="239" spans="2:20" x14ac:dyDescent="0.3">
      <c r="F239" s="28" t="str">
        <f ca="1"/>
        <v xml:space="preserve">      OR(</v>
      </c>
      <c r="R239" t="str">
        <f ca="1"/>
        <v xml:space="preserve">      OR(</v>
      </c>
    </row>
    <row r="240" spans="2:20" x14ac:dyDescent="0.3">
      <c r="F240" s="28" t="str">
        <f ca="1"/>
        <v xml:space="preserve">        ISERROR(_ign),</v>
      </c>
      <c r="R240" t="str">
        <f ca="1"/>
        <v xml:space="preserve">        ISERROR(_ign),</v>
      </c>
    </row>
    <row r="241" spans="6:18" x14ac:dyDescent="0.3">
      <c r="F241" s="28" t="str">
        <f ca="1"/>
        <v xml:space="preserve">        _ign &lt; 0, _ign &gt; 1</v>
      </c>
      <c r="R241" t="str">
        <f ca="1"/>
        <v xml:space="preserve">        _ign &lt; 0, _ign &gt; 1</v>
      </c>
    </row>
    <row r="242" spans="6:18" x14ac:dyDescent="0.3">
      <c r="F242" s="28" t="str">
        <f ca="1"/>
        <v xml:space="preserve">      ), 2,</v>
      </c>
      <c r="R242" t="str">
        <f ca="1"/>
        <v xml:space="preserve">      ), 2,</v>
      </c>
    </row>
    <row r="243" spans="6:18" x14ac:dyDescent="0.3">
      <c r="F243" s="28" t="str">
        <f ca="1"/>
        <v xml:space="preserve">      1</v>
      </c>
      <c r="R243" t="str">
        <f ca="1"/>
        <v xml:space="preserve">      1</v>
      </c>
    </row>
    <row r="244" spans="6:18" x14ac:dyDescent="0.3">
      <c r="F244" s="28" t="str">
        <f ca="1"/>
        <v xml:space="preserve">    ),</v>
      </c>
      <c r="R244" t="str">
        <f ca="1"/>
        <v xml:space="preserve">    ),</v>
      </c>
    </row>
    <row r="245" spans="6:18" x14ac:dyDescent="0.3">
      <c r="F245" s="28" t="str">
        <f ca="1"/>
        <v xml:space="preserve">    _calc, SCAN(0, text, LAMBDA(_acc,_str,</v>
      </c>
      <c r="R245" t="str">
        <f ca="1"/>
        <v xml:space="preserve">    _calc, SCAN(0, text, LAMBDA(_acc,_str,</v>
      </c>
    </row>
    <row r="246" spans="6:18" x14ac:dyDescent="0.3">
      <c r="F246" s="28" t="str">
        <f ca="1"/>
        <v xml:space="preserve">      IF( AND(ISNONTEXT(_str), _ign),</v>
      </c>
      <c r="R246" t="str">
        <f ca="1"/>
        <v xml:space="preserve">      IF( AND(ISNONTEXT(_str), _ign),</v>
      </c>
    </row>
    <row r="247" spans="6:18" x14ac:dyDescent="0.3">
      <c r="F247" s="28" t="str">
        <f ca="1"/>
        <v xml:space="preserve">        _str,</v>
      </c>
      <c r="R247" t="str">
        <f ca="1"/>
        <v xml:space="preserve">        _str,</v>
      </c>
    </row>
    <row r="248" spans="6:18" x14ac:dyDescent="0.3">
      <c r="F248" s="28" t="str">
        <f ca="1"/>
        <v xml:space="preserve">        LET(</v>
      </c>
      <c r="R248" t="str">
        <f ca="1"/>
        <v xml:space="preserve">        IF( ISBLANK(_str), NA(),</v>
      </c>
    </row>
    <row r="249" spans="6:18" x14ac:dyDescent="0.3">
      <c r="F249" s="28" t="str">
        <f ca="1"/>
        <v xml:space="preserve">          _arr, REGEXEXTRACT(_str, ".", 1),</v>
      </c>
      <c r="R249" t="str">
        <f ca="1"/>
        <v xml:space="preserve">          LET(</v>
      </c>
    </row>
    <row r="250" spans="6:18" x14ac:dyDescent="0.3">
      <c r="F250" s="28" t="str">
        <f ca="1"/>
        <v xml:space="preserve">          _cc, COLUMNS(_arr),</v>
      </c>
      <c r="R250" t="str">
        <f ca="1"/>
        <v xml:space="preserve">            _arr, MID(_str, SEQUENCE(1, LEN(_str)), 1),</v>
      </c>
    </row>
    <row r="251" spans="6:18" x14ac:dyDescent="0.3">
      <c r="F251" s="28" t="str">
        <f ca="1"/>
        <v xml:space="preserve">          _idx, SEQUENCE(1, _cc, _cc, -1),</v>
      </c>
      <c r="R251" t="str">
        <f ca="1"/>
        <v xml:space="preserve">            _cc, COLUMNS(_arr),</v>
      </c>
    </row>
    <row r="252" spans="6:18" x14ac:dyDescent="0.3">
      <c r="F252" s="28" t="str">
        <f ca="1"/>
        <v xml:space="preserve">          CONCAT( SCAN(0, _idx, LAMBDA(_acc,_val, INDEX(_arr, 1, _val))))</v>
      </c>
      <c r="R252" t="str">
        <f ca="1"/>
        <v xml:space="preserve">            _idx, SEQUENCE(1, _cc, _cc, -1),</v>
      </c>
    </row>
    <row r="253" spans="6:18" x14ac:dyDescent="0.3">
      <c r="F253" s="28" t="str">
        <f ca="1"/>
        <v xml:space="preserve">        )</v>
      </c>
      <c r="R253" t="str">
        <f ca="1"/>
        <v xml:space="preserve">            CONCAT( SCAN(0, _idx, LAMBDA(_acc,_val, INDEX(_arr, 1, _val))))</v>
      </c>
    </row>
    <row r="254" spans="6:18" x14ac:dyDescent="0.3">
      <c r="F254" s="28" t="str">
        <f ca="1"/>
        <v xml:space="preserve">      )</v>
      </c>
      <c r="R254" t="str">
        <f ca="1"/>
        <v xml:space="preserve">          )</v>
      </c>
    </row>
    <row r="255" spans="6:18" x14ac:dyDescent="0.3">
      <c r="F255" s="28" t="str">
        <f ca="1"/>
        <v xml:space="preserve">    )),</v>
      </c>
      <c r="R255" t="str">
        <f ca="1"/>
        <v xml:space="preserve">        )</v>
      </c>
    </row>
    <row r="256" spans="6:18" x14ac:dyDescent="0.3">
      <c r="F256" s="28" t="str">
        <f ca="1"/>
        <v xml:space="preserve">    _rtn, IF( ISNA(_rep),</v>
      </c>
      <c r="R256" t="str">
        <f ca="1"/>
        <v xml:space="preserve">      )</v>
      </c>
    </row>
    <row r="257" spans="2:18" x14ac:dyDescent="0.3">
      <c r="F257" s="28" t="str">
        <f ca="1"/>
        <v xml:space="preserve">      _calc,</v>
      </c>
      <c r="R257" t="str">
        <f ca="1"/>
        <v xml:space="preserve">    )),</v>
      </c>
    </row>
    <row r="258" spans="2:18" x14ac:dyDescent="0.3">
      <c r="F258" s="28" t="str">
        <f ca="1"/>
        <v xml:space="preserve">      IF( ISNA(_calc), _rep, _calc)</v>
      </c>
      <c r="R258" t="str">
        <f ca="1"/>
        <v xml:space="preserve">    _rtn, IF( ISNA(_rep),</v>
      </c>
    </row>
    <row r="259" spans="2:18" x14ac:dyDescent="0.3">
      <c r="F259" s="28" t="str">
        <f ca="1"/>
        <v xml:space="preserve">    ),</v>
      </c>
      <c r="R259" t="str">
        <f ca="1"/>
        <v xml:space="preserve">      _calc,</v>
      </c>
    </row>
    <row r="260" spans="2:18" x14ac:dyDescent="0.3">
      <c r="F260" s="28" t="str">
        <f ca="1"/>
        <v xml:space="preserve">    CHOOSE(_inpChk, _rtn, #VALUE!)</v>
      </c>
      <c r="R260" t="str">
        <f ca="1"/>
        <v xml:space="preserve">      IF( ISNA(_calc), _rep, _calc)</v>
      </c>
    </row>
    <row r="261" spans="2:18" x14ac:dyDescent="0.3">
      <c r="F261" s="28" t="str">
        <f ca="1"/>
        <v xml:space="preserve">  )</v>
      </c>
      <c r="R261" t="str">
        <f ca="1"/>
        <v xml:space="preserve">    ),</v>
      </c>
    </row>
    <row r="262" spans="2:18" x14ac:dyDescent="0.3">
      <c r="F262" s="28" t="str">
        <f ca="1"/>
        <v>)(C233:C237, E230, E231)</v>
      </c>
      <c r="R262" t="str">
        <f ca="1"/>
        <v xml:space="preserve">    CHOOSE(_inpChk, _rtn, #VALUE!)</v>
      </c>
    </row>
    <row r="263" spans="2:18" x14ac:dyDescent="0.3">
      <c r="R263" t="str">
        <f ca="1"/>
        <v xml:space="preserve">  )</v>
      </c>
    </row>
    <row r="264" spans="2:18" s="5" customFormat="1" ht="16.2" thickBot="1" x14ac:dyDescent="0.35">
      <c r="B264" s="6">
        <f xml:space="preserve"> MAX(B$1:B263) + 1</f>
        <v>2</v>
      </c>
      <c r="C264" s="5" t="s">
        <v>4</v>
      </c>
      <c r="R264" s="5" t="str">
        <f ca="1"/>
        <v>)(O233:O237, Q230, Q231)</v>
      </c>
    </row>
    <row r="266" spans="2:18" x14ac:dyDescent="0.3">
      <c r="B266" s="3" t="s">
        <v>6</v>
      </c>
    </row>
    <row r="267" spans="2:18" x14ac:dyDescent="0.3">
      <c r="C267" t="s">
        <v>163</v>
      </c>
    </row>
    <row r="268" spans="2:18" x14ac:dyDescent="0.3">
      <c r="C268" t="s">
        <v>164</v>
      </c>
    </row>
    <row r="270" spans="2:18" x14ac:dyDescent="0.3">
      <c r="B270" s="3" t="s">
        <v>7</v>
      </c>
    </row>
    <row r="271" spans="2:18" x14ac:dyDescent="0.3">
      <c r="C271" s="12" t="s">
        <v>135</v>
      </c>
      <c r="E271" s="14" t="s">
        <v>11</v>
      </c>
      <c r="F271" t="s">
        <v>162</v>
      </c>
    </row>
    <row r="272" spans="2:18" x14ac:dyDescent="0.3">
      <c r="C272" s="12"/>
      <c r="E272" s="14"/>
      <c r="F272" t="s">
        <v>160</v>
      </c>
    </row>
    <row r="273" spans="2:7" x14ac:dyDescent="0.3">
      <c r="C273" s="12" t="s">
        <v>136</v>
      </c>
      <c r="E273" s="15" t="s">
        <v>12</v>
      </c>
      <c r="F273" t="s">
        <v>161</v>
      </c>
    </row>
    <row r="274" spans="2:7" x14ac:dyDescent="0.3">
      <c r="C274" s="12" t="s">
        <v>184</v>
      </c>
      <c r="E274" s="15" t="s">
        <v>12</v>
      </c>
      <c r="F274" t="s">
        <v>201</v>
      </c>
    </row>
    <row r="275" spans="2:7" x14ac:dyDescent="0.3">
      <c r="F275" t="s">
        <v>199</v>
      </c>
    </row>
    <row r="276" spans="2:7" x14ac:dyDescent="0.3">
      <c r="F276" s="65" t="b">
        <v>0</v>
      </c>
      <c r="G276" s="64" t="s">
        <v>202</v>
      </c>
    </row>
    <row r="277" spans="2:7" x14ac:dyDescent="0.3">
      <c r="F277" s="65" t="b">
        <v>1</v>
      </c>
      <c r="G277" s="64" t="s">
        <v>203</v>
      </c>
    </row>
    <row r="278" spans="2:7" x14ac:dyDescent="0.3">
      <c r="F278" s="66" t="s">
        <v>200</v>
      </c>
      <c r="G278" s="64" t="s">
        <v>204</v>
      </c>
    </row>
    <row r="280" spans="2:7" x14ac:dyDescent="0.3">
      <c r="B280" s="3" t="s">
        <v>8</v>
      </c>
    </row>
    <row r="281" spans="2:7" x14ac:dyDescent="0.3">
      <c r="C281" s="13" t="e">
        <v>#VALUE!</v>
      </c>
      <c r="E281" t="s">
        <v>140</v>
      </c>
    </row>
    <row r="282" spans="2:7" x14ac:dyDescent="0.3">
      <c r="C282" s="13" t="e">
        <v>#VALUE!</v>
      </c>
      <c r="E282" t="s">
        <v>139</v>
      </c>
    </row>
    <row r="283" spans="2:7" x14ac:dyDescent="0.3">
      <c r="E283" s="24" t="s">
        <v>75</v>
      </c>
    </row>
    <row r="285" spans="2:7" x14ac:dyDescent="0.3">
      <c r="B285" s="3" t="s">
        <v>9</v>
      </c>
    </row>
    <row r="286" spans="2:7" x14ac:dyDescent="0.3">
      <c r="C286" s="32" t="s">
        <v>69</v>
      </c>
    </row>
    <row r="287" spans="2:7" x14ac:dyDescent="0.3">
      <c r="C287" s="33" t="s">
        <v>70</v>
      </c>
    </row>
    <row r="288" spans="2:7" x14ac:dyDescent="0.3">
      <c r="C288" s="37" t="s">
        <v>154</v>
      </c>
    </row>
    <row r="289" spans="3:3" x14ac:dyDescent="0.3">
      <c r="C289" s="37" t="s">
        <v>153</v>
      </c>
    </row>
    <row r="290" spans="3:3" x14ac:dyDescent="0.3">
      <c r="C290" s="37" t="s">
        <v>192</v>
      </c>
    </row>
    <row r="291" spans="3:3" x14ac:dyDescent="0.3">
      <c r="C291" s="33" t="s">
        <v>71</v>
      </c>
    </row>
    <row r="292" spans="3:3" x14ac:dyDescent="0.3">
      <c r="C292" s="37" t="s">
        <v>63</v>
      </c>
    </row>
    <row r="293" spans="3:3" x14ac:dyDescent="0.3">
      <c r="C293" s="34" t="s">
        <v>72</v>
      </c>
    </row>
    <row r="294" spans="3:3" x14ac:dyDescent="0.3">
      <c r="C294" s="57" t="s">
        <v>141</v>
      </c>
    </row>
    <row r="295" spans="3:3" x14ac:dyDescent="0.3">
      <c r="C295" s="57" t="s">
        <v>185</v>
      </c>
    </row>
    <row r="296" spans="3:3" x14ac:dyDescent="0.3">
      <c r="C296" s="57" t="s">
        <v>186</v>
      </c>
    </row>
    <row r="297" spans="3:3" x14ac:dyDescent="0.3">
      <c r="C297" s="34" t="s">
        <v>156</v>
      </c>
    </row>
    <row r="298" spans="3:3" x14ac:dyDescent="0.3">
      <c r="C298" s="34" t="s">
        <v>155</v>
      </c>
    </row>
    <row r="299" spans="3:3" x14ac:dyDescent="0.3">
      <c r="C299" s="57" t="s">
        <v>64</v>
      </c>
    </row>
    <row r="300" spans="3:3" x14ac:dyDescent="0.3">
      <c r="C300" s="58" t="s">
        <v>65</v>
      </c>
    </row>
    <row r="301" spans="3:3" x14ac:dyDescent="0.3">
      <c r="C301" s="59" t="s">
        <v>142</v>
      </c>
    </row>
    <row r="302" spans="3:3" x14ac:dyDescent="0.3">
      <c r="C302" s="59" t="s">
        <v>143</v>
      </c>
    </row>
    <row r="303" spans="3:3" x14ac:dyDescent="0.3">
      <c r="C303" s="58" t="s">
        <v>144</v>
      </c>
    </row>
    <row r="304" spans="3:3" x14ac:dyDescent="0.3">
      <c r="C304" s="58" t="s">
        <v>145</v>
      </c>
    </row>
    <row r="305" spans="3:3" x14ac:dyDescent="0.3">
      <c r="C305" s="57" t="s">
        <v>66</v>
      </c>
    </row>
    <row r="306" spans="3:3" x14ac:dyDescent="0.3">
      <c r="C306" s="34" t="s">
        <v>159</v>
      </c>
    </row>
    <row r="307" spans="3:3" x14ac:dyDescent="0.3">
      <c r="C307" s="57" t="s">
        <v>187</v>
      </c>
    </row>
    <row r="308" spans="3:3" x14ac:dyDescent="0.3">
      <c r="C308" s="58" t="s">
        <v>146</v>
      </c>
    </row>
    <row r="309" spans="3:3" x14ac:dyDescent="0.3">
      <c r="C309" s="59" t="s">
        <v>147</v>
      </c>
    </row>
    <row r="310" spans="3:3" x14ac:dyDescent="0.3">
      <c r="C310" s="62" t="s">
        <v>157</v>
      </c>
    </row>
    <row r="311" spans="3:3" x14ac:dyDescent="0.3">
      <c r="C311" s="62" t="s">
        <v>158</v>
      </c>
    </row>
    <row r="312" spans="3:3" x14ac:dyDescent="0.3">
      <c r="C312" s="59" t="s">
        <v>63</v>
      </c>
    </row>
    <row r="313" spans="3:3" x14ac:dyDescent="0.3">
      <c r="C313" s="60" t="s">
        <v>148</v>
      </c>
    </row>
    <row r="314" spans="3:3" x14ac:dyDescent="0.3">
      <c r="C314" s="60" t="s">
        <v>149</v>
      </c>
    </row>
    <row r="315" spans="3:3" x14ac:dyDescent="0.3">
      <c r="C315" s="60" t="s">
        <v>150</v>
      </c>
    </row>
    <row r="316" spans="3:3" x14ac:dyDescent="0.3">
      <c r="C316" s="60" t="s">
        <v>151</v>
      </c>
    </row>
    <row r="317" spans="3:3" x14ac:dyDescent="0.3">
      <c r="C317" s="59" t="s">
        <v>67</v>
      </c>
    </row>
    <row r="318" spans="3:3" x14ac:dyDescent="0.3">
      <c r="C318" s="58" t="s">
        <v>67</v>
      </c>
    </row>
    <row r="319" spans="3:3" x14ac:dyDescent="0.3">
      <c r="C319" s="57" t="s">
        <v>68</v>
      </c>
    </row>
    <row r="320" spans="3:3" x14ac:dyDescent="0.3">
      <c r="C320" s="34" t="s">
        <v>193</v>
      </c>
    </row>
    <row r="321" spans="2:3" x14ac:dyDescent="0.3">
      <c r="C321" s="57" t="s">
        <v>188</v>
      </c>
    </row>
    <row r="322" spans="2:3" x14ac:dyDescent="0.3">
      <c r="C322" s="58" t="s">
        <v>189</v>
      </c>
    </row>
    <row r="323" spans="2:3" x14ac:dyDescent="0.3">
      <c r="C323" s="58" t="s">
        <v>190</v>
      </c>
    </row>
    <row r="324" spans="2:3" x14ac:dyDescent="0.3">
      <c r="C324" s="57" t="s">
        <v>66</v>
      </c>
    </row>
    <row r="325" spans="2:3" x14ac:dyDescent="0.3">
      <c r="C325" s="34" t="s">
        <v>73</v>
      </c>
    </row>
    <row r="326" spans="2:3" x14ac:dyDescent="0.3">
      <c r="C326" s="34" t="s">
        <v>74</v>
      </c>
    </row>
    <row r="327" spans="2:3" x14ac:dyDescent="0.3">
      <c r="C327" s="57" t="s">
        <v>152</v>
      </c>
    </row>
    <row r="328" spans="2:3" x14ac:dyDescent="0.3">
      <c r="C328" s="37" t="s">
        <v>67</v>
      </c>
    </row>
    <row r="329" spans="2:3" x14ac:dyDescent="0.3">
      <c r="C329" s="61" t="s">
        <v>67</v>
      </c>
    </row>
    <row r="331" spans="2:3" x14ac:dyDescent="0.3">
      <c r="C331" s="3" t="s">
        <v>10</v>
      </c>
    </row>
    <row r="332" spans="2:3" x14ac:dyDescent="0.3">
      <c r="C332" s="32" t="s">
        <v>191</v>
      </c>
    </row>
    <row r="335" spans="2:3" s="5" customFormat="1" ht="16.2" thickBot="1" x14ac:dyDescent="0.35">
      <c r="B335" s="6">
        <f xml:space="preserve"> MAX(B$1:B334) + 1</f>
        <v>3</v>
      </c>
      <c r="C335" s="5" t="s">
        <v>205</v>
      </c>
    </row>
    <row r="337" spans="2:7" x14ac:dyDescent="0.3">
      <c r="B337" s="3" t="s">
        <v>6</v>
      </c>
    </row>
    <row r="338" spans="2:7" x14ac:dyDescent="0.3">
      <c r="C338" t="s">
        <v>163</v>
      </c>
    </row>
    <row r="339" spans="2:7" x14ac:dyDescent="0.3">
      <c r="C339" t="s">
        <v>164</v>
      </c>
    </row>
    <row r="341" spans="2:7" x14ac:dyDescent="0.3">
      <c r="B341" s="3" t="s">
        <v>7</v>
      </c>
    </row>
    <row r="342" spans="2:7" x14ac:dyDescent="0.3">
      <c r="C342" s="12" t="s">
        <v>135</v>
      </c>
      <c r="E342" s="14" t="s">
        <v>11</v>
      </c>
      <c r="F342" t="s">
        <v>162</v>
      </c>
    </row>
    <row r="343" spans="2:7" x14ac:dyDescent="0.3">
      <c r="C343" s="12"/>
      <c r="E343" s="14"/>
      <c r="F343" t="s">
        <v>160</v>
      </c>
    </row>
    <row r="344" spans="2:7" x14ac:dyDescent="0.3">
      <c r="C344" s="12" t="s">
        <v>136</v>
      </c>
      <c r="E344" s="15" t="s">
        <v>12</v>
      </c>
      <c r="F344" t="s">
        <v>161</v>
      </c>
    </row>
    <row r="345" spans="2:7" x14ac:dyDescent="0.3">
      <c r="C345" s="12" t="s">
        <v>184</v>
      </c>
      <c r="E345" s="15" t="s">
        <v>12</v>
      </c>
      <c r="F345" t="s">
        <v>201</v>
      </c>
    </row>
    <row r="346" spans="2:7" x14ac:dyDescent="0.3">
      <c r="F346" t="s">
        <v>199</v>
      </c>
    </row>
    <row r="347" spans="2:7" x14ac:dyDescent="0.3">
      <c r="F347" s="65" t="b">
        <v>0</v>
      </c>
      <c r="G347" s="64" t="s">
        <v>202</v>
      </c>
    </row>
    <row r="348" spans="2:7" x14ac:dyDescent="0.3">
      <c r="F348" s="65" t="b">
        <v>1</v>
      </c>
      <c r="G348" s="64" t="s">
        <v>203</v>
      </c>
    </row>
    <row r="349" spans="2:7" x14ac:dyDescent="0.3">
      <c r="F349" s="66" t="s">
        <v>200</v>
      </c>
      <c r="G349" s="64" t="s">
        <v>204</v>
      </c>
    </row>
    <row r="351" spans="2:7" x14ac:dyDescent="0.3">
      <c r="B351" s="3" t="s">
        <v>8</v>
      </c>
    </row>
    <row r="352" spans="2:7" x14ac:dyDescent="0.3">
      <c r="C352" s="13" t="e">
        <v>#VALUE!</v>
      </c>
      <c r="E352" t="s">
        <v>140</v>
      </c>
    </row>
    <row r="353" spans="2:5" x14ac:dyDescent="0.3">
      <c r="C353" s="13" t="e">
        <v>#VALUE!</v>
      </c>
      <c r="E353" t="s">
        <v>139</v>
      </c>
    </row>
    <row r="354" spans="2:5" x14ac:dyDescent="0.3">
      <c r="E354" s="24" t="s">
        <v>75</v>
      </c>
    </row>
    <row r="356" spans="2:5" x14ac:dyDescent="0.3">
      <c r="B356" s="3" t="s">
        <v>9</v>
      </c>
    </row>
    <row r="357" spans="2:5" x14ac:dyDescent="0.3">
      <c r="C357" s="32" t="s">
        <v>69</v>
      </c>
    </row>
    <row r="358" spans="2:5" x14ac:dyDescent="0.3">
      <c r="C358" s="33" t="s">
        <v>70</v>
      </c>
    </row>
    <row r="359" spans="2:5" x14ac:dyDescent="0.3">
      <c r="C359" s="71" t="s">
        <v>154</v>
      </c>
    </row>
    <row r="360" spans="2:5" x14ac:dyDescent="0.3">
      <c r="C360" s="71" t="s">
        <v>153</v>
      </c>
    </row>
    <row r="361" spans="2:5" x14ac:dyDescent="0.3">
      <c r="C361" s="71" t="s">
        <v>192</v>
      </c>
    </row>
    <row r="362" spans="2:5" x14ac:dyDescent="0.3">
      <c r="C362" s="67" t="s">
        <v>71</v>
      </c>
    </row>
    <row r="363" spans="2:5" x14ac:dyDescent="0.3">
      <c r="C363" s="71" t="s">
        <v>63</v>
      </c>
    </row>
    <row r="364" spans="2:5" x14ac:dyDescent="0.3">
      <c r="C364" s="68" t="s">
        <v>72</v>
      </c>
    </row>
    <row r="365" spans="2:5" x14ac:dyDescent="0.3">
      <c r="C365" s="72" t="s">
        <v>141</v>
      </c>
    </row>
    <row r="366" spans="2:5" x14ac:dyDescent="0.3">
      <c r="C366" s="72" t="s">
        <v>185</v>
      </c>
    </row>
    <row r="367" spans="2:5" x14ac:dyDescent="0.3">
      <c r="C367" s="72" t="s">
        <v>186</v>
      </c>
    </row>
    <row r="368" spans="2:5" x14ac:dyDescent="0.3">
      <c r="C368" s="68" t="s">
        <v>156</v>
      </c>
    </row>
    <row r="369" spans="3:3" x14ac:dyDescent="0.3">
      <c r="C369" s="68" t="s">
        <v>155</v>
      </c>
    </row>
    <row r="370" spans="3:3" x14ac:dyDescent="0.3">
      <c r="C370" s="72" t="s">
        <v>64</v>
      </c>
    </row>
    <row r="371" spans="3:3" x14ac:dyDescent="0.3">
      <c r="C371" s="73" t="s">
        <v>65</v>
      </c>
    </row>
    <row r="372" spans="3:3" x14ac:dyDescent="0.3">
      <c r="C372" s="74" t="s">
        <v>142</v>
      </c>
    </row>
    <row r="373" spans="3:3" x14ac:dyDescent="0.3">
      <c r="C373" s="74" t="s">
        <v>143</v>
      </c>
    </row>
    <row r="374" spans="3:3" x14ac:dyDescent="0.3">
      <c r="C374" s="73" t="s">
        <v>144</v>
      </c>
    </row>
    <row r="375" spans="3:3" x14ac:dyDescent="0.3">
      <c r="C375" s="73" t="s">
        <v>145</v>
      </c>
    </row>
    <row r="376" spans="3:3" x14ac:dyDescent="0.3">
      <c r="C376" s="72" t="s">
        <v>66</v>
      </c>
    </row>
    <row r="377" spans="3:3" x14ac:dyDescent="0.3">
      <c r="C377" s="70" t="s">
        <v>159</v>
      </c>
    </row>
    <row r="378" spans="3:3" x14ac:dyDescent="0.3">
      <c r="C378" s="72" t="s">
        <v>187</v>
      </c>
    </row>
    <row r="379" spans="3:3" x14ac:dyDescent="0.3">
      <c r="C379" s="73" t="s">
        <v>146</v>
      </c>
    </row>
    <row r="380" spans="3:3" x14ac:dyDescent="0.3">
      <c r="C380" s="74" t="s">
        <v>147</v>
      </c>
    </row>
    <row r="381" spans="3:3" x14ac:dyDescent="0.3">
      <c r="C381" s="74" t="s">
        <v>206</v>
      </c>
    </row>
    <row r="382" spans="3:3" x14ac:dyDescent="0.3">
      <c r="C382" s="69" t="s">
        <v>157</v>
      </c>
    </row>
    <row r="383" spans="3:3" x14ac:dyDescent="0.3">
      <c r="C383" s="69" t="s">
        <v>158</v>
      </c>
    </row>
    <row r="384" spans="3:3" x14ac:dyDescent="0.3">
      <c r="C384" s="75" t="s">
        <v>63</v>
      </c>
    </row>
    <row r="385" spans="3:3" x14ac:dyDescent="0.3">
      <c r="C385" s="76" t="s">
        <v>207</v>
      </c>
    </row>
    <row r="386" spans="3:3" x14ac:dyDescent="0.3">
      <c r="C386" s="76" t="s">
        <v>149</v>
      </c>
    </row>
    <row r="387" spans="3:3" x14ac:dyDescent="0.3">
      <c r="C387" s="76" t="s">
        <v>150</v>
      </c>
    </row>
    <row r="388" spans="3:3" x14ac:dyDescent="0.3">
      <c r="C388" s="76" t="s">
        <v>151</v>
      </c>
    </row>
    <row r="389" spans="3:3" x14ac:dyDescent="0.3">
      <c r="C389" s="75" t="s">
        <v>67</v>
      </c>
    </row>
    <row r="390" spans="3:3" x14ac:dyDescent="0.3">
      <c r="C390" s="74" t="s">
        <v>67</v>
      </c>
    </row>
    <row r="391" spans="3:3" x14ac:dyDescent="0.3">
      <c r="C391" s="73" t="s">
        <v>67</v>
      </c>
    </row>
    <row r="392" spans="3:3" x14ac:dyDescent="0.3">
      <c r="C392" s="72" t="s">
        <v>68</v>
      </c>
    </row>
    <row r="393" spans="3:3" x14ac:dyDescent="0.3">
      <c r="C393" s="68" t="s">
        <v>193</v>
      </c>
    </row>
    <row r="394" spans="3:3" x14ac:dyDescent="0.3">
      <c r="C394" s="72" t="s">
        <v>188</v>
      </c>
    </row>
    <row r="395" spans="3:3" x14ac:dyDescent="0.3">
      <c r="C395" s="73" t="s">
        <v>189</v>
      </c>
    </row>
    <row r="396" spans="3:3" x14ac:dyDescent="0.3">
      <c r="C396" s="73" t="s">
        <v>190</v>
      </c>
    </row>
    <row r="397" spans="3:3" x14ac:dyDescent="0.3">
      <c r="C397" s="72" t="s">
        <v>66</v>
      </c>
    </row>
    <row r="398" spans="3:3" x14ac:dyDescent="0.3">
      <c r="C398" s="68" t="s">
        <v>73</v>
      </c>
    </row>
    <row r="399" spans="3:3" x14ac:dyDescent="0.3">
      <c r="C399" s="68" t="s">
        <v>74</v>
      </c>
    </row>
    <row r="400" spans="3:3" x14ac:dyDescent="0.3">
      <c r="C400" s="72" t="s">
        <v>152</v>
      </c>
    </row>
    <row r="401" spans="2:3" x14ac:dyDescent="0.3">
      <c r="C401" s="71" t="s">
        <v>67</v>
      </c>
    </row>
    <row r="402" spans="2:3" x14ac:dyDescent="0.3">
      <c r="C402" s="12" t="s">
        <v>67</v>
      </c>
    </row>
    <row r="404" spans="2:3" x14ac:dyDescent="0.3">
      <c r="C404" s="3" t="s">
        <v>10</v>
      </c>
    </row>
    <row r="405" spans="2:3" x14ac:dyDescent="0.3">
      <c r="C405" s="12" t="s">
        <v>208</v>
      </c>
    </row>
    <row r="407" spans="2:3" ht="14.4" thickBot="1" x14ac:dyDescent="0.35"/>
    <row r="408" spans="2:3" s="11" customFormat="1" x14ac:dyDescent="0.3">
      <c r="B408" s="11" t="s">
        <v>5</v>
      </c>
    </row>
  </sheetData>
  <mergeCells count="3">
    <mergeCell ref="C14:F14"/>
    <mergeCell ref="C73:F73"/>
    <mergeCell ref="G73:J73"/>
  </mergeCells>
  <dataValidations count="1">
    <dataValidation type="list" allowBlank="1" showInputMessage="1" showErrorMessage="1" sqref="I108 I129 F158 I199:I200 E230 Q230" xr:uid="{ECF5407E-2CF3-495C-B8AB-B49D7F079C59}">
      <formula1>_YesNo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0E627-DCE2-49CE-85EF-5C2806AE3971}">
  <sheetPr codeName="Sheet2"/>
  <dimension ref="B1:T83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  <col min="3" max="3" width="4.6640625" customWidth="1"/>
  </cols>
  <sheetData>
    <row r="1" spans="2:20" s="1" customFormat="1" ht="30" customHeight="1" x14ac:dyDescent="0.3">
      <c r="C1" s="2" t="s">
        <v>85</v>
      </c>
    </row>
    <row r="2" spans="2:20" s="5" customFormat="1" ht="16.2" thickBot="1" x14ac:dyDescent="0.35">
      <c r="B2" s="6">
        <f xml:space="preserve"> MAX(B$1:B1) + 1</f>
        <v>1</v>
      </c>
      <c r="C2" s="5" t="s">
        <v>79</v>
      </c>
    </row>
    <row r="4" spans="2:20" x14ac:dyDescent="0.3">
      <c r="D4" s="36" t="s">
        <v>76</v>
      </c>
      <c r="E4" t="s">
        <v>86</v>
      </c>
    </row>
    <row r="5" spans="2:20" x14ac:dyDescent="0.3">
      <c r="D5" s="36" t="s">
        <v>77</v>
      </c>
      <c r="E5" t="s">
        <v>166</v>
      </c>
    </row>
    <row r="6" spans="2:20" x14ac:dyDescent="0.3">
      <c r="E6" t="s">
        <v>167</v>
      </c>
    </row>
    <row r="7" spans="2:20" x14ac:dyDescent="0.3">
      <c r="D7" s="36" t="s">
        <v>78</v>
      </c>
      <c r="E7" s="35" t="s">
        <v>165</v>
      </c>
    </row>
    <row r="10" spans="2:20" x14ac:dyDescent="0.3">
      <c r="B10" s="8" t="s">
        <v>87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2" spans="2:20" x14ac:dyDescent="0.3">
      <c r="C12" s="4" t="s">
        <v>168</v>
      </c>
    </row>
    <row r="14" spans="2:20" x14ac:dyDescent="0.3">
      <c r="D14" s="16" t="s">
        <v>169</v>
      </c>
      <c r="E14" s="39" t="s">
        <v>95</v>
      </c>
      <c r="F14" s="40"/>
    </row>
    <row r="15" spans="2:20" x14ac:dyDescent="0.3">
      <c r="D15" s="16" t="s">
        <v>59</v>
      </c>
      <c r="E15" s="45" t="str" cm="1">
        <f t="array" ref="E15" xml:space="preserve"> RXL_ReverseStr(E14)</f>
        <v>!dlroW olleH</v>
      </c>
      <c r="F15" s="46"/>
    </row>
    <row r="16" spans="2:20" x14ac:dyDescent="0.3">
      <c r="E16" s="28" t="str">
        <f ca="1" xml:space="preserve"> _xlfn.FORMULATEXT(E15)</f>
        <v>= RXL_ReverseStr(E14)</v>
      </c>
    </row>
    <row r="19" spans="3:12" x14ac:dyDescent="0.3">
      <c r="C19" s="4" t="s">
        <v>170</v>
      </c>
    </row>
    <row r="20" spans="3:12" x14ac:dyDescent="0.3">
      <c r="D20" t="s">
        <v>169</v>
      </c>
      <c r="E20" t="s">
        <v>101</v>
      </c>
    </row>
    <row r="21" spans="3:12" x14ac:dyDescent="0.3">
      <c r="D21" s="38" t="s">
        <v>80</v>
      </c>
      <c r="E21" s="25" t="str" cm="1">
        <f t="array" ref="E21:E25" xml:space="preserve"> RXL_ReverseStr(D21:D25)</f>
        <v>ahplA</v>
      </c>
      <c r="G21" s="16" t="s">
        <v>169</v>
      </c>
      <c r="H21" s="38" t="s">
        <v>80</v>
      </c>
      <c r="I21" s="38" t="s">
        <v>81</v>
      </c>
      <c r="J21" s="38" t="s">
        <v>82</v>
      </c>
      <c r="K21" s="38" t="s">
        <v>83</v>
      </c>
      <c r="L21" s="38" t="s">
        <v>84</v>
      </c>
    </row>
    <row r="22" spans="3:12" x14ac:dyDescent="0.3">
      <c r="D22" s="38" t="s">
        <v>81</v>
      </c>
      <c r="E22" s="25" t="str">
        <v>ovarB</v>
      </c>
      <c r="G22" s="16" t="s">
        <v>59</v>
      </c>
      <c r="H22" s="25" t="str" cm="1">
        <f t="array" ref="H22:L22" xml:space="preserve"> RXL_ReverseStr(H21:L21)</f>
        <v>ahplA</v>
      </c>
      <c r="I22" s="25" t="str">
        <v>ovarB</v>
      </c>
      <c r="J22" s="25" t="str">
        <v>eilrahC</v>
      </c>
      <c r="K22" s="25" t="str">
        <v>atleD</v>
      </c>
      <c r="L22" s="25" t="str">
        <v>ohcE</v>
      </c>
    </row>
    <row r="23" spans="3:12" x14ac:dyDescent="0.3">
      <c r="D23" s="38" t="s">
        <v>82</v>
      </c>
      <c r="E23" s="25" t="str">
        <v>eilrahC</v>
      </c>
      <c r="H23" s="28" t="str">
        <f ca="1" xml:space="preserve"> _xlfn.FORMULATEXT(H22)</f>
        <v>= RXL_ReverseStr(H21:L21)</v>
      </c>
    </row>
    <row r="24" spans="3:12" x14ac:dyDescent="0.3">
      <c r="D24" s="38" t="s">
        <v>83</v>
      </c>
      <c r="E24" s="25" t="str">
        <v>atleD</v>
      </c>
    </row>
    <row r="25" spans="3:12" x14ac:dyDescent="0.3">
      <c r="D25" s="38" t="s">
        <v>84</v>
      </c>
      <c r="E25" s="25" t="str">
        <v>ohcE</v>
      </c>
    </row>
    <row r="26" spans="3:12" x14ac:dyDescent="0.3">
      <c r="E26" s="28" t="str">
        <f ca="1" xml:space="preserve"> _xlfn.FORMULATEXT(E21)</f>
        <v>= RXL_ReverseStr(D21:D25)</v>
      </c>
    </row>
    <row r="29" spans="3:12" x14ac:dyDescent="0.3">
      <c r="C29" s="4" t="s">
        <v>171</v>
      </c>
    </row>
    <row r="30" spans="3:12" x14ac:dyDescent="0.3">
      <c r="D30" t="s">
        <v>169</v>
      </c>
      <c r="H30" t="s">
        <v>101</v>
      </c>
    </row>
    <row r="31" spans="3:12" x14ac:dyDescent="0.3">
      <c r="D31" s="38" t="s">
        <v>13</v>
      </c>
      <c r="E31" s="38" t="s">
        <v>172</v>
      </c>
      <c r="F31" s="38" t="s">
        <v>177</v>
      </c>
      <c r="H31" s="25" t="str" cm="1">
        <f t="array" ref="H31:J35" xml:space="preserve"> RXL_ReverseStr(D31:F35)</f>
        <v>enO</v>
      </c>
      <c r="I31" s="25" t="str">
        <v>CBA</v>
      </c>
      <c r="J31" s="25" t="str">
        <v>RQP</v>
      </c>
    </row>
    <row r="32" spans="3:12" x14ac:dyDescent="0.3">
      <c r="D32" s="38" t="s">
        <v>14</v>
      </c>
      <c r="E32" s="38" t="s">
        <v>173</v>
      </c>
      <c r="F32" s="38" t="s">
        <v>178</v>
      </c>
      <c r="H32" s="25" t="str">
        <v>owT</v>
      </c>
      <c r="I32" s="25" t="str">
        <v>FED</v>
      </c>
      <c r="J32" s="25" t="str">
        <v>UTS</v>
      </c>
    </row>
    <row r="33" spans="3:10" x14ac:dyDescent="0.3">
      <c r="D33" s="38" t="s">
        <v>15</v>
      </c>
      <c r="E33" s="38" t="s">
        <v>174</v>
      </c>
      <c r="F33" s="38" t="s">
        <v>179</v>
      </c>
      <c r="H33" s="25" t="str">
        <v>eerhT</v>
      </c>
      <c r="I33" s="25" t="str">
        <v>IHG</v>
      </c>
      <c r="J33" s="25" t="str">
        <v>XWV</v>
      </c>
    </row>
    <row r="34" spans="3:10" x14ac:dyDescent="0.3">
      <c r="D34" s="38" t="s">
        <v>16</v>
      </c>
      <c r="E34" s="38" t="s">
        <v>175</v>
      </c>
      <c r="F34" s="38" t="s">
        <v>180</v>
      </c>
      <c r="H34" s="25" t="str">
        <v>ruoF</v>
      </c>
      <c r="I34" s="25" t="str">
        <v>LKJ</v>
      </c>
      <c r="J34" s="25" t="str">
        <v>ZY</v>
      </c>
    </row>
    <row r="35" spans="3:10" x14ac:dyDescent="0.3">
      <c r="D35" s="38" t="s">
        <v>17</v>
      </c>
      <c r="E35" s="38" t="s">
        <v>176</v>
      </c>
      <c r="F35" s="38"/>
      <c r="H35" s="25" t="str">
        <v>eviF</v>
      </c>
      <c r="I35" s="25" t="str">
        <v>ONM</v>
      </c>
      <c r="J35" s="25" t="e" vm="1">
        <v>#N/A</v>
      </c>
    </row>
    <row r="36" spans="3:10" x14ac:dyDescent="0.3">
      <c r="H36" s="28" t="str">
        <f ca="1" xml:space="preserve"> _xlfn.FORMULATEXT(H31)</f>
        <v>= RXL_ReverseStr(D31:F35)</v>
      </c>
    </row>
    <row r="39" spans="3:10" x14ac:dyDescent="0.3">
      <c r="C39" s="4" t="s">
        <v>194</v>
      </c>
    </row>
    <row r="40" spans="3:10" x14ac:dyDescent="0.3">
      <c r="D40" t="s">
        <v>169</v>
      </c>
      <c r="H40" t="s">
        <v>101</v>
      </c>
    </row>
    <row r="41" spans="3:10" x14ac:dyDescent="0.3">
      <c r="D41" s="38" t="s">
        <v>13</v>
      </c>
      <c r="E41" s="38" t="s">
        <v>172</v>
      </c>
      <c r="F41" s="38" t="s">
        <v>177</v>
      </c>
      <c r="H41" s="25" t="str" cm="1">
        <f t="array" ref="H41:J45" xml:space="preserve"> RXL_ReverseStr(D41:F45, , FALSE)</f>
        <v>enO</v>
      </c>
      <c r="I41" s="25" t="str">
        <v>CBA</v>
      </c>
      <c r="J41" s="25" t="str">
        <v>RQP</v>
      </c>
    </row>
    <row r="42" spans="3:10" x14ac:dyDescent="0.3">
      <c r="D42" s="38" t="s">
        <v>14</v>
      </c>
      <c r="E42" s="38" t="s">
        <v>173</v>
      </c>
      <c r="F42" s="38" t="s">
        <v>178</v>
      </c>
      <c r="H42" s="25" t="str">
        <v>owT</v>
      </c>
      <c r="I42" s="25" t="str">
        <v>FED</v>
      </c>
      <c r="J42" s="25" t="str">
        <v>UTS</v>
      </c>
    </row>
    <row r="43" spans="3:10" x14ac:dyDescent="0.3">
      <c r="D43" s="38" t="s">
        <v>15</v>
      </c>
      <c r="E43" s="38" t="s">
        <v>174</v>
      </c>
      <c r="F43" s="38" t="s">
        <v>179</v>
      </c>
      <c r="H43" s="25" t="str">
        <v>eerhT</v>
      </c>
      <c r="I43" s="25" t="str">
        <v>IHG</v>
      </c>
      <c r="J43" s="25" t="str">
        <v>XWV</v>
      </c>
    </row>
    <row r="44" spans="3:10" x14ac:dyDescent="0.3">
      <c r="D44" s="38" t="s">
        <v>16</v>
      </c>
      <c r="E44" s="38" t="s">
        <v>175</v>
      </c>
      <c r="F44" s="38" t="s">
        <v>180</v>
      </c>
      <c r="H44" s="25" t="str">
        <v>ruoF</v>
      </c>
      <c r="I44" s="25" t="str">
        <v>LKJ</v>
      </c>
      <c r="J44" s="25" t="str">
        <v>ZY</v>
      </c>
    </row>
    <row r="45" spans="3:10" x14ac:dyDescent="0.3">
      <c r="D45" s="38" t="s">
        <v>17</v>
      </c>
      <c r="E45" s="38" t="s">
        <v>176</v>
      </c>
      <c r="F45" s="38"/>
      <c r="H45" s="25" t="str">
        <v>eviF</v>
      </c>
      <c r="I45" s="25" t="str">
        <v>ONM</v>
      </c>
      <c r="J45" s="25" t="e" vm="1">
        <v>#N/A</v>
      </c>
    </row>
    <row r="46" spans="3:10" x14ac:dyDescent="0.3">
      <c r="H46" s="28" t="str">
        <f ca="1" xml:space="preserve"> _xlfn.FORMULATEXT(H41)</f>
        <v>= RXL_ReverseStr(D41:F45, , FALSE)</v>
      </c>
    </row>
    <row r="48" spans="3:10" x14ac:dyDescent="0.3">
      <c r="H48" t="s">
        <v>101</v>
      </c>
    </row>
    <row r="49" spans="8:10" x14ac:dyDescent="0.3">
      <c r="H49" s="25" t="str" cm="1">
        <f t="array" ref="H49:J53" xml:space="preserve"> RXL_ReverseStr(D41:F45, , TRUE)</f>
        <v>enO</v>
      </c>
      <c r="I49" s="25" t="str">
        <v>CBA</v>
      </c>
      <c r="J49" s="25" t="str">
        <v>RQP</v>
      </c>
    </row>
    <row r="50" spans="8:10" x14ac:dyDescent="0.3">
      <c r="H50" s="25" t="str">
        <v>owT</v>
      </c>
      <c r="I50" s="25" t="str">
        <v>FED</v>
      </c>
      <c r="J50" s="25" t="str">
        <v>UTS</v>
      </c>
    </row>
    <row r="51" spans="8:10" x14ac:dyDescent="0.3">
      <c r="H51" s="25" t="str">
        <v>eerhT</v>
      </c>
      <c r="I51" s="25" t="str">
        <v>IHG</v>
      </c>
      <c r="J51" s="25" t="str">
        <v>XWV</v>
      </c>
    </row>
    <row r="52" spans="8:10" x14ac:dyDescent="0.3">
      <c r="H52" s="25" t="str">
        <v>ruoF</v>
      </c>
      <c r="I52" s="25" t="str">
        <v>LKJ</v>
      </c>
      <c r="J52" s="25" t="str">
        <v>ZY</v>
      </c>
    </row>
    <row r="53" spans="8:10" x14ac:dyDescent="0.3">
      <c r="H53" s="25" t="str">
        <v>eviF</v>
      </c>
      <c r="I53" s="25" t="str">
        <v>ONM</v>
      </c>
      <c r="J53" s="25" t="str">
        <v/>
      </c>
    </row>
    <row r="54" spans="8:10" x14ac:dyDescent="0.3">
      <c r="H54" s="28" t="str">
        <f ca="1" xml:space="preserve"> _xlfn.FORMULATEXT(H49)</f>
        <v>= RXL_ReverseStr(D41:F45, , TRUE)</v>
      </c>
    </row>
    <row r="56" spans="8:10" x14ac:dyDescent="0.3">
      <c r="H56" t="s">
        <v>101</v>
      </c>
    </row>
    <row r="57" spans="8:10" x14ac:dyDescent="0.3">
      <c r="H57" s="25" t="str" cm="1">
        <f t="array" ref="H57:J61" xml:space="preserve"> RXL_ReverseStr(D41:F45, , "(none)")</f>
        <v>enO</v>
      </c>
      <c r="I57" s="25" t="str">
        <v>CBA</v>
      </c>
      <c r="J57" s="25" t="str">
        <v>RQP</v>
      </c>
    </row>
    <row r="58" spans="8:10" x14ac:dyDescent="0.3">
      <c r="H58" s="25" t="str">
        <v>owT</v>
      </c>
      <c r="I58" s="25" t="str">
        <v>FED</v>
      </c>
      <c r="J58" s="25" t="str">
        <v>UTS</v>
      </c>
    </row>
    <row r="59" spans="8:10" x14ac:dyDescent="0.3">
      <c r="H59" s="25" t="str">
        <v>eerhT</v>
      </c>
      <c r="I59" s="25" t="str">
        <v>IHG</v>
      </c>
      <c r="J59" s="25" t="str">
        <v>XWV</v>
      </c>
    </row>
    <row r="60" spans="8:10" x14ac:dyDescent="0.3">
      <c r="H60" s="25" t="str">
        <v>ruoF</v>
      </c>
      <c r="I60" s="25" t="str">
        <v>LKJ</v>
      </c>
      <c r="J60" s="25" t="str">
        <v>ZY</v>
      </c>
    </row>
    <row r="61" spans="8:10" x14ac:dyDescent="0.3">
      <c r="H61" s="25" t="str">
        <v>eviF</v>
      </c>
      <c r="I61" s="25" t="str">
        <v>ONM</v>
      </c>
      <c r="J61" s="25" t="str">
        <v>(none)</v>
      </c>
    </row>
    <row r="62" spans="8:10" x14ac:dyDescent="0.3">
      <c r="H62" s="28" t="str">
        <f ca="1" xml:space="preserve"> _xlfn.FORMULATEXT(H57)</f>
        <v>= RXL_ReverseStr(D41:F45, , "(none)")</v>
      </c>
    </row>
    <row r="65" spans="3:8" x14ac:dyDescent="0.3">
      <c r="C65" s="4" t="s">
        <v>195</v>
      </c>
    </row>
    <row r="66" spans="3:8" x14ac:dyDescent="0.3">
      <c r="D66" t="s">
        <v>100</v>
      </c>
      <c r="F66" t="s">
        <v>101</v>
      </c>
    </row>
    <row r="67" spans="3:8" x14ac:dyDescent="0.3">
      <c r="D67" s="27" t="s">
        <v>80</v>
      </c>
      <c r="F67" s="25" t="str" cm="1">
        <f t="array" ref="F67:F72" xml:space="preserve"> RXL_ReverseStr(D67:D72, FALSE, TRUE)</f>
        <v>ahplA</v>
      </c>
      <c r="G67" s="28" t="str">
        <f ca="1" xml:space="preserve"> _xlfn.FORMULATEXT(F67)</f>
        <v>= RXL_ReverseStr(D67:D72, FALSE, TRUE)</v>
      </c>
    </row>
    <row r="68" spans="3:8" x14ac:dyDescent="0.3">
      <c r="D68" s="27">
        <v>12345</v>
      </c>
      <c r="F68" s="25" t="str">
        <v>54321</v>
      </c>
    </row>
    <row r="69" spans="3:8" x14ac:dyDescent="0.3">
      <c r="D69" s="27" t="s">
        <v>82</v>
      </c>
      <c r="F69" s="25" t="str">
        <v>eilrahC</v>
      </c>
    </row>
    <row r="70" spans="3:8" x14ac:dyDescent="0.3">
      <c r="D70" s="27">
        <v>67890</v>
      </c>
      <c r="F70" s="25" t="str">
        <v>09876</v>
      </c>
    </row>
    <row r="71" spans="3:8" x14ac:dyDescent="0.3">
      <c r="D71" s="27" t="s">
        <v>84</v>
      </c>
      <c r="F71" s="25" t="str">
        <v>ohcE</v>
      </c>
    </row>
    <row r="72" spans="3:8" x14ac:dyDescent="0.3">
      <c r="D72" s="27"/>
      <c r="F72" s="25" t="str">
        <v/>
      </c>
    </row>
    <row r="74" spans="3:8" x14ac:dyDescent="0.3">
      <c r="F74" t="s">
        <v>101</v>
      </c>
    </row>
    <row r="75" spans="3:8" x14ac:dyDescent="0.3">
      <c r="F75" s="25" t="str" cm="1">
        <f t="array" ref="F75:F80" xml:space="preserve"> RXL_ReverseStr(D67:D72, TRUE, TRUE)</f>
        <v>ahplA</v>
      </c>
      <c r="G75" s="28" t="str">
        <f ca="1" xml:space="preserve"> _xlfn.FORMULATEXT(F75)</f>
        <v>= RXL_ReverseStr(D67:D72, TRUE, TRUE)</v>
      </c>
    </row>
    <row r="76" spans="3:8" x14ac:dyDescent="0.3">
      <c r="F76" s="25">
        <v>12345</v>
      </c>
    </row>
    <row r="77" spans="3:8" x14ac:dyDescent="0.3">
      <c r="F77" s="25" t="str">
        <v>eilrahC</v>
      </c>
      <c r="H77" s="53" t="s">
        <v>58</v>
      </c>
    </row>
    <row r="78" spans="3:8" x14ac:dyDescent="0.3">
      <c r="F78" s="25">
        <v>67890</v>
      </c>
      <c r="H78" s="49" t="s">
        <v>196</v>
      </c>
    </row>
    <row r="79" spans="3:8" x14ac:dyDescent="0.3">
      <c r="F79" s="25" t="str">
        <v>ohcE</v>
      </c>
      <c r="H79" s="49" t="s">
        <v>197</v>
      </c>
    </row>
    <row r="80" spans="3:8" x14ac:dyDescent="0.3">
      <c r="F80" s="25">
        <v>0</v>
      </c>
      <c r="H80" s="63" t="s">
        <v>198</v>
      </c>
    </row>
    <row r="82" spans="2:2" ht="14.4" thickBot="1" x14ac:dyDescent="0.35"/>
    <row r="83" spans="2:2" s="11" customFormat="1" x14ac:dyDescent="0.3">
      <c r="B83" s="11" t="s">
        <v>5</v>
      </c>
    </row>
  </sheetData>
  <hyperlinks>
    <hyperlink ref="E7" r:id="rId1" xr:uid="{176A76D4-E939-4302-B368-D2850297EF61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35CF2-7727-44E3-A9EA-0F2F4463DEDC}">
  <sheetPr codeName="Sheet3"/>
  <dimension ref="B1:C110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</cols>
  <sheetData>
    <row r="1" spans="2:3" s="1" customFormat="1" ht="30" customHeight="1" x14ac:dyDescent="0.3">
      <c r="C1" s="2" t="s">
        <v>85</v>
      </c>
    </row>
    <row r="2" spans="2:3" s="5" customFormat="1" ht="16.2" thickBot="1" x14ac:dyDescent="0.35">
      <c r="B2" s="6">
        <f xml:space="preserve"> MAX(B$1:B1) + 1</f>
        <v>1</v>
      </c>
      <c r="C2" s="5" t="s">
        <v>18</v>
      </c>
    </row>
    <row r="4" spans="2:3" x14ac:dyDescent="0.3">
      <c r="C4" t="s">
        <v>88</v>
      </c>
    </row>
    <row r="6" spans="2:3" x14ac:dyDescent="0.3">
      <c r="B6" s="16" t="s">
        <v>20</v>
      </c>
      <c r="C6" t="s">
        <v>21</v>
      </c>
    </row>
    <row r="7" spans="2:3" x14ac:dyDescent="0.3">
      <c r="B7" s="16" t="s">
        <v>22</v>
      </c>
      <c r="C7" t="s">
        <v>23</v>
      </c>
    </row>
    <row r="8" spans="2:3" x14ac:dyDescent="0.3">
      <c r="C8" s="77"/>
    </row>
    <row r="17" spans="2:3" x14ac:dyDescent="0.3">
      <c r="B17" s="16" t="s">
        <v>24</v>
      </c>
      <c r="C17" t="s">
        <v>89</v>
      </c>
    </row>
    <row r="38" spans="2:3" x14ac:dyDescent="0.3">
      <c r="B38" s="16" t="s">
        <v>25</v>
      </c>
      <c r="C38" t="s">
        <v>26</v>
      </c>
    </row>
    <row r="39" spans="2:3" x14ac:dyDescent="0.3">
      <c r="B39" s="16" t="s">
        <v>27</v>
      </c>
      <c r="C39" t="s">
        <v>28</v>
      </c>
    </row>
    <row r="40" spans="2:3" x14ac:dyDescent="0.3">
      <c r="C40" t="s">
        <v>90</v>
      </c>
    </row>
    <row r="64" spans="2:3" x14ac:dyDescent="0.3">
      <c r="B64" s="16" t="s">
        <v>29</v>
      </c>
      <c r="C64" t="s">
        <v>30</v>
      </c>
    </row>
    <row r="71" spans="2:3" s="5" customFormat="1" ht="16.2" thickBot="1" x14ac:dyDescent="0.35">
      <c r="B71" s="6">
        <f xml:space="preserve"> MAX(B$1:B70) + 1</f>
        <v>2</v>
      </c>
      <c r="C71" s="5" t="s">
        <v>19</v>
      </c>
    </row>
    <row r="73" spans="2:3" x14ac:dyDescent="0.3">
      <c r="C73" s="17" t="s">
        <v>46</v>
      </c>
    </row>
    <row r="74" spans="2:3" x14ac:dyDescent="0.3">
      <c r="C74" s="17"/>
    </row>
    <row r="75" spans="2:3" x14ac:dyDescent="0.3">
      <c r="C75" s="17" t="s">
        <v>47</v>
      </c>
    </row>
    <row r="76" spans="2:3" x14ac:dyDescent="0.3">
      <c r="C76" s="17" t="s">
        <v>48</v>
      </c>
    </row>
    <row r="77" spans="2:3" x14ac:dyDescent="0.3">
      <c r="C77" s="17" t="s">
        <v>31</v>
      </c>
    </row>
    <row r="78" spans="2:3" x14ac:dyDescent="0.3">
      <c r="C78" s="18" t="s">
        <v>32</v>
      </c>
    </row>
    <row r="79" spans="2:3" x14ac:dyDescent="0.3">
      <c r="C79" s="17" t="s">
        <v>91</v>
      </c>
    </row>
    <row r="80" spans="2:3" x14ac:dyDescent="0.3">
      <c r="C80" s="17" t="s">
        <v>31</v>
      </c>
    </row>
    <row r="81" spans="3:3" x14ac:dyDescent="0.3">
      <c r="C81" s="19" t="s">
        <v>33</v>
      </c>
    </row>
    <row r="82" spans="3:3" x14ac:dyDescent="0.3">
      <c r="C82" s="18" t="s">
        <v>34</v>
      </c>
    </row>
    <row r="83" spans="3:3" x14ac:dyDescent="0.3">
      <c r="C83" s="17" t="s">
        <v>49</v>
      </c>
    </row>
    <row r="84" spans="3:3" x14ac:dyDescent="0.3">
      <c r="C84" s="19" t="s">
        <v>35</v>
      </c>
    </row>
    <row r="85" spans="3:3" x14ac:dyDescent="0.3">
      <c r="C85" s="17" t="s">
        <v>50</v>
      </c>
    </row>
    <row r="86" spans="3:3" x14ac:dyDescent="0.3">
      <c r="C86" s="17" t="s">
        <v>209</v>
      </c>
    </row>
    <row r="87" spans="3:3" x14ac:dyDescent="0.3">
      <c r="C87" s="19" t="s">
        <v>36</v>
      </c>
    </row>
    <row r="88" spans="3:3" x14ac:dyDescent="0.3">
      <c r="C88" s="19" t="s">
        <v>37</v>
      </c>
    </row>
    <row r="89" spans="3:3" x14ac:dyDescent="0.3">
      <c r="C89" s="17" t="s">
        <v>31</v>
      </c>
    </row>
    <row r="90" spans="3:3" x14ac:dyDescent="0.3">
      <c r="C90" s="19" t="s">
        <v>33</v>
      </c>
    </row>
    <row r="91" spans="3:3" x14ac:dyDescent="0.3">
      <c r="C91" s="17" t="s">
        <v>51</v>
      </c>
    </row>
    <row r="92" spans="3:3" x14ac:dyDescent="0.3">
      <c r="C92" s="17" t="s">
        <v>52</v>
      </c>
    </row>
    <row r="93" spans="3:3" x14ac:dyDescent="0.3">
      <c r="C93" s="17" t="s">
        <v>38</v>
      </c>
    </row>
    <row r="94" spans="3:3" x14ac:dyDescent="0.3">
      <c r="C94" s="17" t="s">
        <v>53</v>
      </c>
    </row>
    <row r="95" spans="3:3" x14ac:dyDescent="0.3">
      <c r="C95" s="17" t="s">
        <v>39</v>
      </c>
    </row>
    <row r="96" spans="3:3" x14ac:dyDescent="0.3">
      <c r="C96" s="17" t="s">
        <v>40</v>
      </c>
    </row>
    <row r="97" spans="2:3" x14ac:dyDescent="0.3">
      <c r="C97" s="17" t="s">
        <v>54</v>
      </c>
    </row>
    <row r="98" spans="2:3" x14ac:dyDescent="0.3">
      <c r="C98" s="17" t="s">
        <v>41</v>
      </c>
    </row>
    <row r="99" spans="2:3" x14ac:dyDescent="0.3">
      <c r="C99" s="17" t="s">
        <v>210</v>
      </c>
    </row>
    <row r="100" spans="2:3" x14ac:dyDescent="0.3">
      <c r="C100" s="19" t="s">
        <v>42</v>
      </c>
    </row>
    <row r="101" spans="2:3" x14ac:dyDescent="0.3">
      <c r="C101" s="17" t="s">
        <v>211</v>
      </c>
    </row>
    <row r="102" spans="2:3" x14ac:dyDescent="0.3">
      <c r="C102" s="19" t="s">
        <v>43</v>
      </c>
    </row>
    <row r="103" spans="2:3" x14ac:dyDescent="0.3">
      <c r="C103" s="19" t="s">
        <v>44</v>
      </c>
    </row>
    <row r="104" spans="2:3" x14ac:dyDescent="0.3">
      <c r="C104" s="17" t="s">
        <v>212</v>
      </c>
    </row>
    <row r="105" spans="2:3" x14ac:dyDescent="0.3">
      <c r="C105" s="19" t="s">
        <v>37</v>
      </c>
    </row>
    <row r="106" spans="2:3" x14ac:dyDescent="0.3">
      <c r="C106" s="17" t="s">
        <v>31</v>
      </c>
    </row>
    <row r="107" spans="2:3" x14ac:dyDescent="0.3">
      <c r="C107" s="19" t="s">
        <v>45</v>
      </c>
    </row>
    <row r="109" spans="2:3" ht="14.4" thickBot="1" x14ac:dyDescent="0.35"/>
    <row r="110" spans="2:3" s="11" customFormat="1" x14ac:dyDescent="0.3">
      <c r="B110" s="11" t="s">
        <v>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F9B9-9900-4270-ACEB-9B96B98B9BAC}">
  <sheetPr codeName="Sheet4"/>
  <dimension ref="B1:D10"/>
  <sheetViews>
    <sheetView showGridLines="0" workbookViewId="0">
      <pane ySplit="1" topLeftCell="A2" activePane="bottomLeft" state="frozen"/>
      <selection pane="bottomLeft"/>
    </sheetView>
  </sheetViews>
  <sheetFormatPr defaultRowHeight="13.8" x14ac:dyDescent="0.3"/>
  <cols>
    <col min="1" max="2" width="4.33203125" customWidth="1"/>
  </cols>
  <sheetData>
    <row r="1" spans="2:4" s="1" customFormat="1" ht="30" customHeight="1" x14ac:dyDescent="0.3">
      <c r="C1" s="2" t="s">
        <v>55</v>
      </c>
    </row>
    <row r="3" spans="2:4" x14ac:dyDescent="0.3">
      <c r="B3" s="20">
        <v>1</v>
      </c>
      <c r="C3" s="22">
        <v>1</v>
      </c>
    </row>
    <row r="4" spans="2:4" x14ac:dyDescent="0.3">
      <c r="B4" s="20">
        <v>0</v>
      </c>
      <c r="C4" s="22">
        <v>0</v>
      </c>
      <c r="D4" s="21" t="s">
        <v>56</v>
      </c>
    </row>
    <row r="6" spans="2:4" x14ac:dyDescent="0.3">
      <c r="B6" s="20">
        <v>1</v>
      </c>
      <c r="C6" s="23">
        <v>1</v>
      </c>
    </row>
    <row r="7" spans="2:4" x14ac:dyDescent="0.3">
      <c r="B7" s="20">
        <v>0</v>
      </c>
      <c r="C7" s="23">
        <v>0</v>
      </c>
      <c r="D7" s="21" t="s">
        <v>57</v>
      </c>
    </row>
    <row r="9" spans="2:4" ht="14.4" thickBot="1" x14ac:dyDescent="0.35"/>
    <row r="10" spans="2:4" s="11" customFormat="1" x14ac:dyDescent="0.3">
      <c r="B10" s="11" t="s">
        <v>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8AKgAgACAAUgBYAEwAXwBSAGUAdgBlAHIAcwBlAFMAdAByACAARgB1AG4AYwB0AGkAbwBuAFwAbgAgACAAIAAgACAAIAAgACAAdgBlAHIAcwBpAG8AbgAgADEALgAwADIAIAAgACgAMAA4AC8AMAA4AC8AMgAwADIANQApAFwAbgAgACAAIAAgACAAIAAgACAAUgAgAFMAaQBsAGsALAAgAFIAWABMACAARABlAHYAZQBsAG8AcABtAGUAbgB0AFwAbgAgACAAIAAgACAAIAAgACAAaAB0AHQAcABzADoALwAvAGcAaQBzAHQALgBnAGkAdABoAHUAYgAuAGMAbwBtAC8AcgAtAHMAaQBsAGsALwBjAGIAZQA3ADMAMwBmAGMAMQA5ADUAYwBlAGYANAAwAGYAMgBmAGIAZgBmAGQAZQA5ADkAMgBkADMAYQBmADkAXABuACoALwBcAG4ALwAqAFwAbgAgACAAIAAgAE4AYQBtAGUAOgAgACAAIAAgACAAIAAgACAAUgBlAHYAZQByAHMAZQBTAHQAcgAoACkAXABuACAAIAAgACAARABlAHMAYwByAGkAcAB0AGkAbwBuADoAIAAqAC8ALwAqACoAUgBlAHYAZQByAHMAZQBzACAAdABoAGUAIABjAGgAYQByAGEAYwB0AGUAcgBzACAAaQBuACAAYQAgAHQAZQB4AHQAIABzAHQAcgBpAG4AZwAqAC8ALwAqAFwAbgAgACAAIAAgAFAAYQByAGEAbQBlAHQAZQByAHMAOgBcAG4AIAAgACAAIAAgACAAIAAgACsAIAB0AGUAeAB0ACAAIAAgACAAIAAgACAAIAAgACAAIAAgAD0AIAAoAHIAZQBxAHUAaQByAGUAZAApACAAdABoAGUAIABvAHIAaQBnAGkAbgBhAGwAIAB0AGUAeAB0ACAAcwB0AHIAaQBuAGcAIAB3AGgAaQBjAGgAIABpAHMAIAB0AG8AIABiAGUAIAByAGUAdgBlAHIAcwBlAGQAIAAtAD4AIABjAGEAbgAgAGIAZQAgAGkAbgBwAHUAdAAgAGEAcwAgAGEAIABzAGkAbgBnAGwAZQAgAHYAYQBsAHUAZQAgAG8AcgAgAGEAbgAgAGEAcgByAGEAeQAgAG8AZgAgAHYAYQBsAHUAZQBzAFwAbgAgACAAIAAgACAAIAAgACAAIAAgACAAIAAgACAAIAAgACAAIAAgACAAIAAgACAAIAAgACAAIAAgACAAIAAgACAAIAAgACAAIAAgACAAIABXAGgAZQByAGUAIABhAG4AIABhAHIAcgBhAHkAIABpAHMAIABpAG4AcAB1AHQALAAgAGUAYQBjAGgAIAB2AGEAbAB1AGUAIABpAG4AIAB0AGgAZQAgAGEAcgByAGEAeQAgAGkAcwAgAHAAcgBvAGMAZQBzAHMAZQBkACAAaQBuAGQAaQB2AGkAZAB1AGEAbABsAHkAIABhAG4AZAAgAGEAbgAgAGEAcgByAGEAeQAgAGkAcwAgAG8AdQB0AHAAdQB0ACAAcAByAGUAcwBlAHIAdgBpAG4AZwAgAHQAaABlACAAZABpAG0AZQBuAHMAaQBvAG4AcwAgAG8AZgAgAHQAaABlACAAaQBuAHAAdQB0ACAAYQByAHIAYQB5AFwAbgAgACAAIAAgACAAIAAgACAAKwAgAGkAZwBuAG8AcgBlAF8AbgBvAG4AdABlAHgAdAAgACAAPQAgACgAbwBwAHQAaQBvAG4AYQBsACkAIABkAGUAdABlAHIAbQBpAG4AZQBzACAAdwBoAGUAdABoAGUAcgAgAGEAbgB5ACAAbgBvAG4ALQB0AGUAeAB0ACAAdgBhAGwAdQBlAHMAIAAoAGUALgBnAC4AIABuAHUAbQBiAGUAcgBzACkAIABpAG4AIAB0AGgAZQAgAHQAZQB4AHQAIABpAG4AcAB1AHQAIABhAHIAZQAgAGkAZwBuAG8AcgBlAGQAIAAoAG4AbwB0ACAAcAByAG8AYwBlAHMAcwBlAGQAKQAgAGEAbgBkACAAcgBlAHQAdQByAG4AZQBkACAAdQBuAGMAaABhAG4AZwBlAGQAXABuACAAIAAgACAAIAAgACAAIAArACAAcgBlAHAAbABhAGMAZQBfAG4AYQAgACAAIAAgACAAIAA9ACAAKABvAHAAdABpAG8AbgBhAGwAKQAgAGQAZQB0AGUAcgBtAGkAbgBlAHMAIAB3AGgAZQB0AGgAZQByACAAYQBuAHkAIAAjAE4ALwBBACAAdgBhAGwAdQBlAHMAIABpAG4AIAB0AGgAZQAgAGMAYQBsAGMAdQBsAGEAdABlAGQAIABvAHUAdABwAHUAdAAgAGEAcgBlACAAcgBlAHAAbABhAGMAZQBkACAAdwBpAHQAaAAgAGcAaQB2AGUAbgAgAHYAYQBsAHUAZQBcAG4AIAAgACAAIAAgACAAIAAgACAAIAAgACAAIAAgACAAIAAgACAAIAAgACAAIAAgACAAIAAgACAAIAAgACAAIAAgACAAIAAgACAAIAAgACAAQwBhAG4AIABiAGUAIABpAG4AcAB1AHQAIABhAHMAIABlAGkAdABoAGUAcgAgAGEAIABsAG8AZwBpAGMAYQBsACAAKABCAG8AbwBsAGUAYQBuACkAIAB2AGEAbAB1AGUAIABvAHIAIABhAG4AeQAgAG8AdABoAGUAcgAgAHYAYQBsAHUAZQBcAG4AIAAgACAAIAAgACAAIAAgACAAIAAgACAAIAAgACAAIAAgACAAIAAgACAAIAAgACAAIAAgACAAIAAgACAAIAAgACAAIAAgACAAIAAgACAAIAAgAEYAQQBMAFMARQAgACAAPQAgACgAZABlAGYAYQB1AGwAdAApACAAZABvAGUAcwAgAG4AbwB0ACAAcgBlAHAAbABhAGMAZQAgACMATgAvAEEAIAB2AGEAbAB1AGUAcwBcAG4AIAAgACAAIAAgACAAIAAgACAAIAAgACAAIAAgACAAIAAgACAAIAAgACAAIAAgACAAIAAgACAAIAAgACAAIAAgACAAIAAgACAAIAAgACAAIAAgAFQAUgBVAEUAIAAgAD0AIAByAGUAcABsAGEAYwBlAHMAIAAjAE4ALwBBACAAdgBhAGwAdQBlAHMAIAB3AGkAdABoACAAYQAgAGIAbABhAG4AawAgAHMAdAByAGkAbgBnACAAKABcACIAXAAiACkAXABuACAAIAAgACAAIAAgACAAIAAgACAAIAAgACAAIAAgACAAIAAgACAAIAAgACAAIAAgACAAIAAgACAAIAAgACAAIAAgACAAIAAgACAAIAAgAFsAbwB0AGgAZQByAF0AIAA9ACAAcgBlAHAAbABhAGMAZQAgACMATgAvAEEAIAB2AGEAbAB1AGUAcwAgAHcAaQB0AGgAIABpAG4AcAB1AHQAIAB2AGEAbAB1AGUAIABwAHIAbwB2AGkAZABlAGQAIABcAG4AIAAgACAAIABFAHIAcgBvAHIAIABjAG8AZABlAHMAOgBcAG4AIAAgACAAIAAgACAAIAAgACMAVgBBAEwAVQBFACEAIAAgACAAIAAgAD0AIABSAGUAcQB1AGkAcgBlAGQAIABpAG4AcAB1AHQAIABwAGEAcgBhAG0AZQB0AGUAcgBzACAAKAB0AGUAeAB0ACkAIABoAGEAdgBlACAAbgBvAHQAIABiAGUAZQBuACAAcAByAG8AdgBpAGQAZQBkAFwAbgAgACAAIAAgACAAIAAgACAAIwBWAEEATABVAEUAIQAgACAAIAAgACAAPQAgAFQAaABlACAAbwBwAHQAaQBvAG4AYQBsACAAcABhAHIAYQBtAGUAdABlAHIAIABpAGcAbgBvAHIAZQBfAG4AbwBuAHQAZQB4AHQAIABpAG4AcAB1AHQAIAB2AGEAbAB1AGUAIABwAHIAbwB2AGkAZABlAGQAIABpAHMAIABpAG4AdgBhAGwAaQBkAFwAbgAgACAAIAAgACAAIAAgACAAIAAgACAAIAAgACAAIAAgACAAIAAgACAAIAAgACAAIAAtACAAbQB1AHMAdAAgAGIAZQAgAGUAaQB0AGgAZQByACAAYQAgAG4AdQBtAGIAZQByACAAKAAwACAAbwByACAAMQApACAAbwByACAAYQAgAGwAbwBnAGkAYwBhAGwALwBCAG8AbwBsAGUAYQBuACAAdgBhAGwAdQBlACAAKABUAFIAVQBFAC8ARgBBAEwAUwBFACkAXABuACoALwBcAG4AUgBYAEwAXwBSAGUAdgBlAHIAcwBlAFMAdAByACAAPQAgAEwAQQBNAEIARABBACgAXABuACAAIAAgACAALwAvACAAUABhAHIAYQBtAGUAdABlAHIAIABkAGUAZgBpAG4AaQB0AGkAbwBuAHMAXABuACAAIAAgACAAdABlAHgAdAAsAFwAbgAgACAAIAAgAFsAaQBnAG4AbwByAGUAXwBuAG8AbgB0AGUAeAB0AF0ALABcAG4AIAAgACAAIABbAHIAZQBwAGwAYQBjAGUAXwBuAGEAXQAsAFwAbgAgACAAIAAgAC8ALwAgAE0AYQBpAG4AIABmAHUAbgBjAHQAaQBvAG4AIABiAG8AZAB5AC8AYwBhAGwAYwB1AGwAYQB0AGkAbwBuAHMAXABuACAAIAAgACAATABFAFQAKABcAG4AIAAgACAAIAAgACAAIAAgAC8ALwAgAEQAZQBhAGwAaQBuAGcAIAB3AGkAdABoACAAbwBwAHQAaQBvAG4AYQBsACAAcABhAHIAYQBtAGUAdABlAHIAcwAgACYAIABzAGUAdAB0AGkAbgBnACAAZABlAGYAYQB1AGwAdAAgAHYAYQBsAHUAZQBzAFwAbgAgACAAIAAgACAAIAAgACAAXwBpAGcAbgAsACAASQBGACgAIABJAFMATwBNAEkAVABUAEUARAAoAGkAZwBuAG8AcgBlAF8AbgBvAG4AdABlAHgAdAApACwAIAAwACwAIABJAE4AVAAoAGkAZwBuAG8AcgBlAF8AbgBvAG4AdABlAHgAdAApACkALABcAG4AIAAgACAAIAAgACAAIAAgAF8AbgBJAG4AcAAsACAASQBGACgAIABJAFMATwBNAEkAVABUAEUARAAoAHIAZQBwAGwAYQBjAGUAXwBuAGEAKQAsACAARgBBAEwAUwBFACwAIABJAE4ARABFAFgAKAByAGUAcABsAGEAYwBlAF8AbgBhACwAIAAxACwAIAAxACkAKQAsAFwAbgAgACAAIAAgACAAIAAgACAAXwByAGUAcAAsACAASQBGACgAIABJAFMATABPAEcASQBDAEEATAAoAF8AbgBJAG4AcAApACwAIABJAEYAKABfAG4ASQBuAHAALAAgAFwAIgBcACIALAAgAE4AQQAoACkAKQAsACAAXwBuAEkAbgBwACkALABcAG4AIAAgACAAIAAgACAAIAAgAC8ALwAgAEkAbgBwAHUAdAAgAGMAaABlAGMAawBzACAAZgBvAHIAIAB0AGgAZQAgAG8AcAB0AGkAbwBuAGEAbAAgAHAAYQByAGEAbQBlAHQAZQByAHMAIABhAG4AZAAgAHIAZQBxAHUAaQByAGUAZAAgAHAAYQByAGEAbQBlAHQAZQByAHMALABcAG4AIAAgACAAIAAgACAAIAAgAC8ALwAgAHIAZQB0AHUAcgBuAGkAbgBnACAAdABoAGUAIABfAGkAbgBwAEMAaABrACAAdgBhAGwAdQBlACAAYQBzACAAMQAgAG8AcgAgADIAXABuACAAIAAgACAAIAAgACAAIABfAGkAbgBwAEMAaABrACwAIABJAEYAKABcAG4AIAAgACAAIAAgACAAIAAgACAAIAAgACAATwBSACgAXABuACAAIAAgACAAIAAgACAAIAAgACAAIAAgACAAIAAgACAASQBTAEUAUgBSAE8AUgAoAF8AaQBnAG4AKQAsAFwAbgAgACAAIAAgACAAIAAgACAAIAAgACAAIAAgACAAIAAgAF8AaQBnAG4AIAA8ACAAMAAsACAAXwBpAGcAbgAgAD4AIAAxAFwAbgAgACAAIAAgACAAIAAgACAAIAAgACAAIAApACwAIAAyACwAXABuACAAIAAgACAAIAAgACAAIAAgACAAIAAgADEAXABuACAAIAAgACAAIAAgACAAIAApACwAXABuACAAIAAgACAAIAAgACAAIAAvAC8AIABNAGEAaQBuACAAYwBhAGwAYwB1AGwAYQB0AGkAbwBuACAALQAgAHUAcwBlAHMAIABTAEMAQQBOACgAKQAgAHQAbwAgAGkAdABlAHIAYQB0AGUAIAB0AGgAcgBvAHUAZwBoACAAYQBuACAAYQByAHIAYQB5ACAAbwBmACAAaQBuAHAAdQB0ACAAdgBhAGwAdQBlAHMAXABuACAAIAAgACAAIAAgACAAIABfAGMAYQBsAGMALAAgAFMAQwBBAE4AKAAwACwAIAB0AGUAeAB0ACwAIABMAEEATQBCAEQAQQAoAF8AYQBjAGMALABfAHMAdAByACwAXABuACAAIAAgACAAIAAgACAAIAAgACAAIAAgAEkARgAoACAAQQBOAEQAKABJAFMATgBPAE4AVABFAFgAVAAoAF8AcwB0AHIAKQAsACAAXwBpAGcAbgApACwAXABuACAAIAAgACAAIAAgACAAIAAgACAAIAAgACAAIAAgACAAXwBzAHQAcgAsAFwAbgAgACAAIAAgACAAIAAgACAAIAAgACAAIAAgACAAIAAgAC8ALwAgAEMAbwBuAHYAZQByAHQAcwAgAHQAaABlACAAaQBuAGQAaQB2AGkAZAB1AGEAbAAgAHMAdAByAGkAbgBnACAAdgBhAGwAdQBlACAAdABvACAAYQAgAGMAaABhAHIAYQBjAHQAZQByACAAYQByAHIAYQB5ACwAIAByAGUAdgBlAHIAcwBlAHMAIAB0AGgAZQAgAFwAbgAgACAAIAAgACAAIAAgACAAIAAgACAAIAAgACAAIAAgAC8ALwAgAG8AcgBkAGUAcgAgAG8AZgAgAHQAaABlACAAYwBoAGEAcgBhAGMAdABlAHIAcwAsACAAYQBuAGQAIABjAG8AbgBjAGEAdABlAG4AYQB0AGUAcwAgAGIAYQBjAGsAIAB0AG8AIABhACAAcwBpAG4AZwBsAGUAIABzAHQAcgBpAG4AZwBcAG4AIAAgACAAIAAgACAAIAAgACAAIAAgACAAIAAgACAAIABMAEUAVAAoAFwAbgAgACAAIAAgACAAIAAgACAAIAAgACAAIAAgACAAIAAgACAAIAAgACAAXwBhAHIAcgAsACAAUgBFAEcARQBYAEUAWABUAFIAQQBDAFQAKABfAHMAdAByACwAIABcACIALgBcACIALAAgADEAKQAsAFwAbgAgACAAIAAgACAAIAAgACAAIAAgACAAIAAgACAAIAAgACAAIAAgACAAXwBjAGMALAAgAEMATwBMAFUATQBOAFMAKABfAGEAcgByACkALABcAG4AIAAgACAAIAAgACAAIAAgACAAIAAgACAAIAAgACAAIAAgACAAIAAgAF8AaQBkAHgALAAgAFMARQBRAFUARQBOAEMARQAoADEALAAgAF8AYwBjACwAIABfAGMAYwAsACAALQAxACkALABcAG4AIAAgACAAIAAgACAAIAAgACAAIAAgACAAIAAgACAAIAAgACAAIAAgAEMATwBOAEMAQQBUACgAIABTAEMAQQBOACgAMAAsACAAXwBpAGQAeAAsACAATABBAE0AQgBEAEEAKABfAGEAYwBjACwAXwB2AGEAbAAsACAASQBOAEQARQBYACgAXwBhAHIAcgAsACAAMQAsACAAXwB2AGEAbAApACkAKQApAFwAbgAgACAAIAAgACAAIAAgACAAIAAgACAAIAAgACAAIAAgACkAXABuACAAIAAgACAAIAAgACAAIAAgACAAIAAgACkAXABuACAAIAAgACAAIAAgACAAIAApACkALABcAG4AIAAgACAAIAAgACAAIAAgAC8ALwAgAEkAZgAgAHIAZQBxAHUAaQByAGUAZAAgAGMAaABlAGMAawAgAGYAbwByACAAIwBOAC8AQQAgAHYAYQBsAHUAZQBzACAAaQBuACAAdABoAGUAIABjAGEAbABjAHUAbABhAHQAZQBkACAAbwB1AHQAcAB1AHQAIABhAG4AZAAgAHIAZQBwAGwAYQBjAGUAIAB3AGkAdABoACAAYwBoAG8AcwBlAG4AIAB2AGEAbAB1AGUAXABuACAAIAAgACAAIAAgACAAIABfAHIAdABuACwAIABJAEYAKAAgAEkAUwBOAEEAKABfAHIAZQBwACkALABcAG4AIAAgACAAIAAgACAAIAAgACAAIAAgACAAXwBjAGEAbABjACwAXABuACAAIAAgACAAIAAgACAAIAAgACAAIAAgAEkARgAoACAASQBTAE4AQQAoAF8AYwBhAGwAYwApACwAIABfAHIAZQBwACwAIABfAGMAYQBsAGMAKQBcAG4AIAAgACAAIAAgACAAIAAgACkALABcAG4AIAAgACAAIAAgACAAIAAgAC8ALwAgAEkAZgAgAHQAaABlACAAaQBuAHAAdQB0ACAAYwBoAGUAYwBrAHMAIAAoAF8AaQBuAHAAQwBoAGsAKQAgAGgAYQB2AGUAIABmAGwAYQBnAGcAZQBkACAAdABoAGUAbgAgAHQAaABlACAAcgBlAHEAdQBpAHIAZQBkACAARQB4AGMAZQBsACAAZQByAHIAbwByACAAYwBvAGQAZQAgAGkAcwAgAHIAZQB0AHUAcgBuAGUAZAAsAFwAbgAgACAAIAAgACAAIAAgACAALwAvACAAbwB0AGgAZQByAHcAaQBzAGUAIAB0AGgAZQAgAGMAYQBsAGMAdQBsAGEAdABlAGQAIAByAGUAcwB1AGwAdAAgACgAXwByAHQAbgApACAAaQBzACAAcgBlAHQAdQByAG4AZQBkAFwAbgAgACAAIAAgACAAIAAgACAAQwBIAE8ATwBTAEUAKABfAGkAbgBwAEMAaABrACwAIABfAHIAdABuACwAIAAjAFYAQQBMAFUARQAhACkAXABuACAAIAAgACAAKQBcAG4AKQA7ACIAfQBdACwAIgBwAHIAbwBqAGUAYwB0AE4AYQBtAGUAcwAiADoAWwAiAFIAWABMAF8AUgBlAHYAZQByAHMAZQBTAHQAcg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Cj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GcAYgAiAH0AfQA=</AFEJSONBlob>
</file>

<file path=customXml/itemProps1.xml><?xml version="1.0" encoding="utf-8"?>
<ds:datastoreItem xmlns:ds="http://schemas.openxmlformats.org/officeDocument/2006/customXml" ds:itemID="{4B0F4647-0577-40E7-865D-28E0BE3676F9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ReverseStr</vt:lpstr>
      <vt:lpstr>Demo</vt:lpstr>
      <vt:lpstr>VBA</vt:lpstr>
      <vt:lpstr>Lookups</vt:lpstr>
      <vt:lpstr>_OnOff</vt:lpstr>
      <vt:lpstr>_YesNo</vt:lpstr>
    </vt:vector>
  </TitlesOfParts>
  <Company>RXL Development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RXL Reverse String Lambda Function</dc:title>
  <dc:subject>Excel LAMBDA function development</dc:subject>
  <dc:creator>Robert Silk</dc:creator>
  <cp:keywords>https:/excel-bits.net</cp:keywords>
  <cp:lastModifiedBy>Robert Silk</cp:lastModifiedBy>
  <dcterms:created xsi:type="dcterms:W3CDTF">2025-07-23T10:04:11Z</dcterms:created>
  <dcterms:modified xsi:type="dcterms:W3CDTF">2026-05-06T16:11:32Z</dcterms:modified>
  <cp:category>LAMBDA functions</cp:category>
</cp:coreProperties>
</file>