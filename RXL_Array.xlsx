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D:\Work\_RXL\Development\LAMBDA\"/>
    </mc:Choice>
  </mc:AlternateContent>
  <xr:revisionPtr revIDLastSave="0" documentId="13_ncr:1_{2DF1AAEB-18D5-4C4B-A23D-829D9D73535C}" xr6:coauthVersionLast="47" xr6:coauthVersionMax="47" xr10:uidLastSave="{00000000-0000-0000-0000-000000000000}"/>
  <bookViews>
    <workbookView xWindow="-108" yWindow="-108" windowWidth="23256" windowHeight="12456" xr2:uid="{A911D2DE-9F09-46EB-9862-BA354014F9BD}"/>
  </bookViews>
  <sheets>
    <sheet name="Insert" sheetId="1" r:id="rId1"/>
    <sheet name="Remove" sheetId="7" r:id="rId2"/>
    <sheet name="Reverse" sheetId="12" r:id="rId3"/>
    <sheet name="RandomSort" sheetId="8" r:id="rId4"/>
    <sheet name="Demo" sheetId="9" r:id="rId5"/>
    <sheet name="VBA" sheetId="13" r:id="rId6"/>
    <sheet name="Lookups" sheetId="10" r:id="rId7"/>
  </sheets>
  <definedNames>
    <definedName name="_OnOff" localSheetId="5">VBA!$C$124:$C$125</definedName>
    <definedName name="_OnOff">Lookups!$C$6:$C$7</definedName>
    <definedName name="_YesNo" localSheetId="5">VBA!$C$3:$C$4</definedName>
    <definedName name="_YesNo">Lookups!$C$3:$C$4</definedName>
    <definedName name="RXL_Array.About" comment="Provides information about the functions in this module">_xlfn.LAMBDA(_xlop.select_function, _xlfn.LET(_xlpm._num, IF(_xlfn.ISOMITTED(_xlpm.select_function), 0, IF(ISNUMBER(_xlpm.select_function), INT(_xlpm.select_function), "#")), _xlpm._arrDef, IF(_xlpm._num = 0, _xlfn.TEXTSPLIT("About:¬RXL Array Utilities|" &amp; "¬Suggested module name = RXL_Array|" &amp; "Version:¬v1.02  (Jul-2025)|" &amp; "Author:¬R Silk, RXL Development|" &amp; "URL:¬https://gist.github.com/r-silk/ca2ecef53235978f8b18c5ecc8ff4fb3|" &amp; "¬|" &amp; "Function¬Description|" &amp; "0 - About¬Provides information about the functions in this module|" &amp; "1 - Insert¬Inserts new rows or columns into an input array at specified positions|" &amp; "2 - Remove¬Removes chosen rows and/or columns from an input array|" &amp; "3 - Reverse¬Reverses the order of items in an input array|" &amp; "4 - RandomSort¬Sorts the values in an input array into a random order", "¬", "|"), ""), _xlpm._arrNames, _xlfn.TEXTSPLIT("Insert¦" &amp; "Remove¦" &amp; "Reverse¦" &amp; "RandomSort", "¦"), _xlpm._arrHelp, _xlfn.TEXTSPLIT("NAME:¬Insert|" &amp; "DESCRIPTION:¬Inserts new rows or columns into an input array at specified positions|" &amp; "VERSION:¬v1.04 (31-Jul-2025)|" &amp; "PARAMETERS:¬|" &amp; "array¬(required) original array to which new rows or columns are added|" &amp; "insert_index¬(required) the relative row/column number(s) of where to insert new rows/columns|" &amp; "insert_inputs¬(optional) the value(s) to be inserted into the array (single value or array)|" &amp; "insert_after¬(optional) choose to insert new rows/columns before or after the index number (True/False)|" &amp; "insert_columns¬(optional) choose to insert new columns (True) or columns (False)|" &amp; "as_individual¬(optional) choose to insert individual values/rows/columns from the insert_inputs (True/False)|" &amp; "replace_na¬(optional) choose whether to replace #N/A values in the function output with a different value" &amp; "¦" &amp; "NAME:¬Remove|" &amp; "DESCRIPTION:¬Removes chosen rows and/or columns from an input array|" &amp; "VERSION:¬v1.03 (31-Jul-2025)|" &amp; "PARAMETERS:¬|" &amp; "array¬(required) original array from which rows and/or columns are removed|" &amp; "remove_rows¬(optional) the relative row number(s) of the rows to remove|" &amp; "remove_cols¬(optional) the relative column number(s) of the columns to remove|" &amp; "if_empty¬(optional) a value which is output in place of an empty array" &amp; "¦" &amp; "NAME:¬Reverse|" &amp; "DESCRIPTION:¬Reverses the order of items in an input array|" &amp; "VERSION:¬v1.00 (01-Aug-2025)|" &amp; "PARAMETERS:¬|" &amp; "array¬(required) original array for which the order of items is to be reversed|" &amp; "by_row¬(optional) choose whether to reverse the array row order or the column order in the output (True/False)" &amp; "¦" &amp; "NAME:¬RandomSort|" &amp; "DESCRIPTION:¬Sorts the values in an input array into a random order|" &amp; "VERSION:¬v1.01 (30-Jul-2025)|" &amp; "PARAMETERS:¬|" &amp; "array¬(required) array of values to be sorted into a random order|" &amp; "by_row¬(optional) choose to sort on a full row basis or full column basis (True/False)", "¦"), _xlpm._arrOut, IF(_xlpm._num = "#", _xlfn.LET(_xlpm._idx, SUM(_xlfn.SEQUENCE(1, COUNTA(_xlpm._arrNames)) * (_xlpm._arrNames = _xlpm.select_function)), IF(_xlpm._idx &gt; 0, _xlfn.TEXTSPLIT(INDEX(_xlpm._arrHelp, _xlpm._idx), "¬", "|"), "#[Error: name not recognised]")), IF(_xlpm._num &lt;&gt; 0, IFERROR(_xlfn.TEXTSPLIT(INDEX(_xlpm._arrHelp, _xlpm._num), "¬", "|"), "#[Error: index not recognised]"), "")), IF(_xlpm._arrDef = "", _xlpm._arrOut, _xlpm._arrDef)))</definedName>
    <definedName name="RXL_Array.Insert" comment="Inserts new rows or columns into an input array at specified positions; uses relative row/column index numbers">_xlfn.LAMBDA(_xlpm.array,_xlpm.insert_index,_xlop.insert_inputs,_xlop.insert_after,_xlop.insert_columns,_xlop.as_individual,_xlop.replace_na, _xlfn.LET(_xlpm._arr, _xlpm.array, _xlpm._rr, ROWS(_xlpm._arr), _xlpm._cc, COLUMNS(_xlpm._arr), _xlpm._inp, IF(_xlfn.ISOMITTED(_xlpm.insert_inputs), "¦", _xlpm.insert_inputs), _xlpm._iAft, IF(_xlfn.ISOMITTED(_xlpm.insert_after), 0, INT(_xlpm.insert_after)), _xlpm._iCol, IF(_xlfn.ISOMITTED(_xlpm.insert_columns), 0, INT(_xlpm.insert_columns)), _xlpm._idv, IF(_xlfn.ISOMITTED(_xlpm.as_individual), 0, INT(_xlpm.as_individual)), _xlpm._nInp, IF(_xlfn.ISOMITTED(_xlpm.replace_na), FALSE, INDEX(_xlpm.replace_na, 1, 1)), _xlpm._rep, IF(ISLOGICAL(_xlpm._nInp), IF(_xlpm._nInp, 0, NA()), _xlpm._nInp), _xlpm._num, IF(_xlpm._iCol, _xlpm._cc, _xlpm._rr), _xlpm._ins, INT(_xlpm.insert_index) + IF(_xlpm.insert_index &lt; 0, _xlpm._num + 1, 0), _xlpm._inpChk, IF(OR(AND(_xlpm._rr &lt;= 1, _xlpm._cc &lt;= 1), SUM(--ISERROR(_xlpm._ins)) &gt; 0), 2, IF(OR(SUM(--ISERROR(_xlpm._inp)) &gt; 0, _xlfn.REDUCE(0, _xlfn.VSTACK(_xlpm._iAft, _xlpm._iCol, _xlpm._idv), _xlfn.LAMBDA(_xlpm._acc,_xlpm._val, _xlpm._acc + IF(SUM(--ISERROR(_xlpm._val)) &gt; 0, 1, IF(OR(MIN(_xlpm._val) &lt; 0, MAX(_xlpm._val) &gt; 1), 1, 0)))) &gt; 0), 3, 1)), _xlpm._rInp, ROWS(_xlpm._inp), _xlpm._cInp, COLUMNS(_xlpm._inp), _xlpm._rIdx, _xlfn.SEQUENCE(ROWS(_xlpm._arr), 1), _xlpm._cIdx, _xlfn.SEQUENCE(1, COLUMNS(_xlpm._arr)), _xlpm._calc, IF(_xlpm._iCol, _xlfn.DROP(_xlfn.REDUCE(0, _xlfn.SEQUENCE(1, _xlpm._cc), _xlfn.LAMBDA(_xlpm._acc,_xlpm._val, IF(ISNUMBER(_xlfn.XMATCH(_xlpm._val, _xlpm._ins)), _xlfn.LET(_xlpm._idx, _xlfn.SEQUENCE(ROWS(_xlpm._inp), 1), _xlpm._new, IF(_xlpm._idv, INDEX(_xlpm._inp, _xlpm._idx, MOD(_xlfn.XMATCH(_xlpm._val, _xlpm._ins) - 1, _xlpm._cInp) + 1), _xlpm._inp), _xlpm._old, INDEX(_xlpm._arr, _xlpm._rIdx, _xlpm._val), _xlpm._1st, IF(_xlpm._iAft, _xlpm._old, _xlpm._new), _xlpm._2nd, IF(_xlpm._iAft, _xlpm._new, _xlpm._old), _xlfn.HSTACK(_xlpm._acc, _xlpm._1st, _xlpm._2nd)), _xlfn.HSTACK(_xlpm._acc, INDEX(_xlpm._arr, _xlpm._rIdx, _xlpm._val))))), , 1), _xlfn.DROP(_xlfn.REDUCE(0, _xlfn.SEQUENCE(_xlpm._rr, 1), _xlfn.LAMBDA(_xlpm._acc,_xlpm._val, IF(ISNUMBER(_xlfn.XMATCH(_xlpm._val, _xlpm._ins)), _xlfn.LET(_xlpm._idx, _xlfn.SEQUENCE(1, COLUMNS(_xlpm._inp)), _xlpm._new, IF(_xlpm._idv, INDEX(_xlpm._inp, MOD(_xlfn.XMATCH(_xlpm._val, _xlpm._ins) - 1, _xlpm._rInp) + 1, _xlpm._idx), _xlpm._inp), _xlpm._old, INDEX(_xlpm._arr, _xlpm._val, _xlpm._cIdx), _xlpm._1st, IF(_xlpm._iAft, _xlpm._old, _xlpm._new), _xlpm._2nd, IF(_xlpm._iAft, _xlpm._new, _xlpm._old), _xlfn.VSTACK(_xlpm._acc, _xlpm._1st, _xlpm._2nd)), _xlfn.VSTACK(_xlpm._acc, INDEX(_xlpm._arr, _xlpm._val, _xlpm._cIdx))))), 1)), _xlpm._rtn, IF(ISNA(_xlpm._rep), IF(_xlpm._calc = "¦", NA(), _xlpm._calc), IF((IFERROR(_xlpm._calc = "¦", FALSE) + ISNA(_xlpm._calc)), _xlpm._rep, _xlpm._calc)), CHOOSE(_xlpm._inpChk, _xlpm._rtn, _xlfn.LAMBDA(0), #VALUE!)))</definedName>
    <definedName name="RXL_Array.RandomSort" comment="Sorts the values in an input array into a random order">_xlfn.LAMBDA(_xlpm.array,_xlop.by_row, _xlfn.LET(_xlpm._inp, _xlpm.array, _xlpm._rows, ROWS(_xlpm._inp), _xlpm._cols, COLUMNS(_xlpm._inp), _xlpm._byRw, IF(_xlfn.ISOMITTED(_xlpm.by_row), -1, INT(_xlpm.by_row)), _xlpm._inpChk, IF(AND(ROWS(_xlpm._inp) &lt;= 1, COLUMNS(_xlpm._inp) &lt;= 1), 2, IF(OR(NOT(ISNUMBER(_xlpm._byRw)), _xlpm._byRw &lt; -1, _xlpm._byRw &gt; 1), 3, 1)), _xlpm._arr, IF(_xlpm._byRw &lt; 0, _xlfn.TOCOL(_xlpm._inp), _xlpm._inp), _xlpm._idx, IF(_xlpm._byRw = 0, _xlfn.SEQUENCE(COLUMNS(_xlpm._arr)), _xlfn.SEQUENCE(ROWS(_xlpm._arr))), _xlpm._rnd, _xlfn.DROP(_xlfn.REDUCE(0, _xlpm._idx, _xlfn.LAMBDA(_xlpm._acc,_xlpm._val, _xlfn.LET(_xlpm._fltr, _xlfn._xlws.FILTER(_xlpm._idx, ISNA(_xlfn.XMATCH(_xlpm._idx, _xlpm._acc))), _xlpm._rr, ROWS(_xlpm._fltr), _xlfn.VSTACK(_xlpm._acc, INDEX(_xlpm._fltr, RANDBETWEEN(1, _xlpm._rr)))))), 1), _xlpm._rtn, IF(_xlpm._byRw &lt; 0, _xlfn.MAKEARRAY(_xlpm._rows, _xlpm._cols, _xlfn.LAMBDA(_xlpm._r,_xlpm._c, INDEX(_xlpm._arr, INDEX(_xlpm._rnd, (_xlpm._r - 1) * _xlpm._cols + _xlpm._c)))), IF(_xlpm._byRw, _xlfn.MAKEARRAY(_xlpm._rows, _xlpm._cols, _xlfn.LAMBDA(_xlpm._r,_xlpm._c, INDEX(_xlpm._arr, INDEX(_xlpm._rnd, _xlpm._r), _xlpm._c))), _xlfn.MAKEARRAY(_xlpm._rows, _xlpm._cols, _xlfn.LAMBDA(_xlpm._r,_xlpm._c, INDEX(_xlpm._arr, _xlpm._r, INDEX(_xlpm._rnd, _xlpm._c)))))), CHOOSE(_xlpm._inpChk, _xlpm._rtn, _xlfn.LAMBDA(0), #VALUE!)))</definedName>
    <definedName name="RXL_Array.Remove" comment="Removes chosen rows and/or columns from an input array; uses relative row/column index numbers">_xlfn.LAMBDA(_xlpm.array,_xlop.remove_rows,_xlop.remove_cols,_xlop.if_empty, _xlfn.LET(_xlpm._arr, _xlpm.array, _xlpm._rr, ROWS(_xlpm._arr), _xlpm._cc, COLUMNS(_xlpm._arr), _xlpm._rInp, IF(_xlfn.ISOMITTED(_xlpm.remove_rows), 0, INT(_xlpm.remove_rows)), _xlpm._cInp, IF(_xlfn.ISOMITTED(_xlpm.remove_cols), 0, INT(_xlpm.remove_cols)), _xlpm._rep, IF(_xlfn.ISOMITTED(_xlpm.if_empty), NA(), _xlpm.if_empty), _xlpm._rAdj, _xlpm._rInp + IF(_xlpm._rInp &lt; 0, _xlpm._rr + 1, 0), _xlpm._cAdj, _xlpm._cInp + IF(_xlpm._cInp &lt; 0, _xlpm._cc + 1, 0), _xlpm._inpChk, IF(AND(_xlpm._rr &lt;= 1, _xlpm._cc &lt;= 1), 2, IF(OR(SUM(--ISERROR(_xlpm._rAdj)) &gt; 0, SUM(--ISLOGICAL(_xlpm.remove_rows)) &gt; 0, SUM(--ISERROR(_xlpm._cAdj)) &gt; 0, SUM(--ISLOGICAL(_xlpm.remove_cols)) &gt; 0), 3, 1)), _xlpm._rCalc, _xlfn.DROP(_xlfn.REDUCE(0, _xlfn.SEQUENCE(_xlpm._rr, 1), _xlfn.LAMBDA(_xlpm._acc,_xlpm._val, IF(ISNA(_xlfn.XMATCH(_xlpm._val, _xlpm._rAdj)), _xlfn.VSTACK(_xlpm._acc, INDEX(_xlpm._arr, _xlpm._val, _xlfn.SEQUENCE(1, _xlpm._cc))), _xlpm._acc))), 1), _xlpm._rrC, ROWS(_xlpm._rCalc), _xlpm._cCalc, _xlfn.DROP(_xlfn.REDUCE(0, _xlfn.SEQUENCE(1, _xlpm._cc), _xlfn.LAMBDA(_xlpm._acc,_xlpm._val, IF(ISNA(_xlfn.XMATCH(_xlpm._val, _xlpm._cAdj)), _xlfn.HSTACK(_xlpm._acc, INDEX(_xlpm._rCalc, _xlfn.SEQUENCE(_xlpm._rrC, 1), _xlpm._val)), _xlpm._acc))), , 1), _xlpm._rtn, IF(ISERR(_xlpm._cCalc), _xlpm._rep, _xlpm._cCalc), CHOOSE(_xlpm._inpChk, _xlpm._rtn, _xlfn.LAMBDA(0), #VALUE!)))</definedName>
    <definedName name="RXL_Array.Reverse" comment="Reverses the order of items in an input array; can be based on row order, column order, or both/full array">_xlfn.LAMBDA(_xlpm.array,_xlop.by_row, _xlfn.LET(_xlpm._rr, ROWS(_xlpm.array), _xlpm._cc, COLUMNS(_xlpm.array), _xlpm._byR, IF(_xlfn.ISOMITTED(_xlpm.by_row), -1, INT(_xlpm.by_row)), _xlpm._inpChk, IF(AND(_xlpm._rr &lt;= 1, _xlpm._cc &lt;= 1), 2, IF(OR(ISERROR(_xlpm._byR), _xlpm._byR &lt; -1, _xlpm._byR &gt; 1), 3, 1)), _xlpm._rIdx, IF(_xlpm._byR &lt;&gt; 0, _xlfn.SEQUENCE(_xlpm._rr, 1, _xlpm._rr, -1), _xlfn.SEQUENCE(_xlpm._rr, 1, 1, 1)), _xlpm._cIdx, IF(_xlpm._byR &lt;= 0, _xlfn.SEQUENCE(1, _xlpm._cc, _xlpm._cc, -1), _xlfn.SEQUENCE(1, _xlpm._cc, 1, 1)), _xlpm._rtn, INDEX(_xlpm.array, _xlpm._rIdx, _xlpm._cIdx), CHOOSE(_xlpm._inpChk, _xlpm._rtn, _xlfn.LAMBDA(0), #VALUE!)))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3" l="1"/>
  <c r="N265" i="9" a="1"/>
  <c r="N265" i="9" s="1"/>
  <c r="I265" i="9" a="1"/>
  <c r="I265" i="9" s="1"/>
  <c r="N257" i="9" a="1"/>
  <c r="N257" i="9" s="1"/>
  <c r="I257" i="9" a="1"/>
  <c r="I257" i="9" s="1"/>
  <c r="N249" i="9" a="1"/>
  <c r="N249" i="9" s="1"/>
  <c r="I249" i="9" a="1"/>
  <c r="I249" i="9" s="1"/>
  <c r="N270" i="9"/>
  <c r="I270" i="9"/>
  <c r="N262" i="9"/>
  <c r="N254" i="9"/>
  <c r="I262" i="9"/>
  <c r="I254" i="9"/>
  <c r="F244" i="9"/>
  <c r="H242" i="9"/>
  <c r="H241" i="9" a="1"/>
  <c r="H241" i="9" s="1"/>
  <c r="F239" i="9" a="1"/>
  <c r="F239" i="9" s="1"/>
  <c r="M109" i="12" a="1"/>
  <c r="M109" i="12" s="1"/>
  <c r="C109" i="12" a="1"/>
  <c r="C109" i="12" s="1"/>
  <c r="I109" i="12" s="1" a="1"/>
  <c r="I109" i="12" s="1"/>
  <c r="D88" i="12"/>
  <c r="E88" i="12" a="1"/>
  <c r="E88" i="12" s="1"/>
  <c r="M66" i="12" a="1"/>
  <c r="M66" i="12" s="1"/>
  <c r="C66" i="12" a="1"/>
  <c r="C66" i="12" s="1"/>
  <c r="I66" i="12" s="1" a="1"/>
  <c r="I66" i="12" s="1"/>
  <c r="M46" i="12" a="1"/>
  <c r="M46" i="12" s="1"/>
  <c r="C46" i="12" a="1"/>
  <c r="C46" i="12" s="1"/>
  <c r="I46" i="12" s="1" a="1"/>
  <c r="I46" i="12" s="1"/>
  <c r="N33" i="12" a="1"/>
  <c r="N33" i="12" s="1"/>
  <c r="C33" i="12" a="1"/>
  <c r="C33" i="12" s="1"/>
  <c r="I33" i="12" s="1" a="1"/>
  <c r="I33" i="12" s="1"/>
  <c r="H119" i="9" a="1"/>
  <c r="H129" i="9"/>
  <c r="H132" i="9" a="1"/>
  <c r="H106" i="9" a="1"/>
  <c r="H93" i="9" a="1"/>
  <c r="H142" i="9"/>
  <c r="H116" i="9"/>
  <c r="H103" i="9"/>
  <c r="H84" i="9" a="1"/>
  <c r="H76" i="9" a="1"/>
  <c r="N53" i="9" a="1"/>
  <c r="H53" i="9" a="1"/>
  <c r="H89" i="9"/>
  <c r="H81" i="9"/>
  <c r="H68" i="9" a="1"/>
  <c r="H73" i="9"/>
  <c r="H50" i="9"/>
  <c r="N64" i="9"/>
  <c r="H63" i="9"/>
  <c r="H40" i="9" a="1"/>
  <c r="N19" i="9"/>
  <c r="N26" i="9"/>
  <c r="N34" i="9"/>
  <c r="H34" i="9"/>
  <c r="N22" i="9" a="1"/>
  <c r="N14" i="9" a="1"/>
  <c r="H22" i="9" a="1"/>
  <c r="H14" i="9" a="1"/>
  <c r="H29" i="9" a="1"/>
  <c r="H475" i="1" a="1"/>
  <c r="H475" i="1" s="1"/>
  <c r="G468" i="1" a="1"/>
  <c r="G468" i="1" s="1"/>
  <c r="D469" i="1" a="1"/>
  <c r="D469" i="1" s="1"/>
  <c r="G475" i="1" s="1" a="1"/>
  <c r="G475" i="1" s="1"/>
  <c r="B18" i="12"/>
  <c r="H26" i="9"/>
  <c r="H19" i="9"/>
  <c r="K224" i="9" a="1"/>
  <c r="K224" i="9" s="1"/>
  <c r="K225" i="9"/>
  <c r="K220" i="9" a="1"/>
  <c r="K220" i="9" s="1"/>
  <c r="K221" i="9"/>
  <c r="L209" i="9" a="1"/>
  <c r="L211" i="9"/>
  <c r="K199" i="9" a="1"/>
  <c r="K192" i="9" a="1"/>
  <c r="K185" i="9" a="1"/>
  <c r="K203" i="9"/>
  <c r="K196" i="9"/>
  <c r="K189" i="9"/>
  <c r="J173" i="9" a="1"/>
  <c r="J164" i="9" a="1"/>
  <c r="J179" i="9"/>
  <c r="J170" i="9"/>
  <c r="J155" i="9" a="1"/>
  <c r="J161" i="9"/>
  <c r="J297" i="9" a="1"/>
  <c r="J329" i="9"/>
  <c r="J319" i="9" a="1"/>
  <c r="J316" i="9"/>
  <c r="J302" i="9"/>
  <c r="J306" i="9" a="1"/>
  <c r="G283" i="9"/>
  <c r="F283" i="9" a="1"/>
  <c r="J367" i="1" a="1"/>
  <c r="J367" i="1" s="1"/>
  <c r="C393" i="1" a="1"/>
  <c r="C393" i="1" s="1"/>
  <c r="J368" i="1" a="1"/>
  <c r="J368" i="1" s="1"/>
  <c r="C368" i="1" a="1"/>
  <c r="C368" i="1" s="1"/>
  <c r="E333" i="1" a="1"/>
  <c r="E333" i="1" s="1"/>
  <c r="D324" i="1" a="1"/>
  <c r="D325" i="1" a="1"/>
  <c r="D325" i="1" s="1"/>
  <c r="C269" i="1" a="1"/>
  <c r="C269" i="1" s="1"/>
  <c r="J244" i="1" a="1"/>
  <c r="J244" i="1" s="1"/>
  <c r="J243" i="1" a="1"/>
  <c r="J243" i="1" s="1"/>
  <c r="C244" i="1" a="1"/>
  <c r="C244" i="1" s="1"/>
  <c r="C168" i="1" a="1"/>
  <c r="C168" i="1" s="1"/>
  <c r="C192" i="1" a="1"/>
  <c r="C192" i="1" s="1"/>
  <c r="J168" i="1" a="1"/>
  <c r="J168" i="1" s="1"/>
  <c r="J167" i="1" a="1"/>
  <c r="J167" i="1" s="1"/>
  <c r="D135" i="1" a="1"/>
  <c r="D135" i="1" s="1"/>
  <c r="D141" i="1" a="1"/>
  <c r="D141" i="1" s="1"/>
  <c r="D136" i="1" a="1"/>
  <c r="D136" i="1" s="1"/>
  <c r="D133" i="1" a="1"/>
  <c r="D133" i="1" s="1"/>
  <c r="G100" i="1" a="1"/>
  <c r="G100" i="1" s="1"/>
  <c r="G99" i="1" a="1"/>
  <c r="G99" i="1" s="1"/>
  <c r="H105" i="1" a="1"/>
  <c r="H105" i="1" s="1"/>
  <c r="D99" i="1" a="1"/>
  <c r="D99" i="1" s="1"/>
  <c r="G68" i="1" a="1"/>
  <c r="G68" i="1" s="1"/>
  <c r="F66" i="1" a="1"/>
  <c r="F66" i="1" s="1"/>
  <c r="F62" i="1" a="1"/>
  <c r="F62" i="1" s="1"/>
  <c r="D62" i="1" a="1"/>
  <c r="D62" i="1" s="1"/>
  <c r="F67" i="1" s="1" a="1"/>
  <c r="F67" i="1" s="1"/>
  <c r="F47" i="1" a="1"/>
  <c r="F47" i="1" s="1"/>
  <c r="D47" i="1" a="1"/>
  <c r="D47" i="1" s="1"/>
  <c r="I49" i="1" a="1"/>
  <c r="I49" i="1" s="1"/>
  <c r="I47" i="1" a="1"/>
  <c r="I47" i="1" s="1"/>
  <c r="I48" i="1" s="1" a="1"/>
  <c r="I48" i="1" s="1"/>
  <c r="N266" i="7" a="1"/>
  <c r="N266" i="7" s="1"/>
  <c r="D262" i="7" a="1"/>
  <c r="D262" i="7" s="1"/>
  <c r="C266" i="7" a="1"/>
  <c r="C266" i="7" s="1"/>
  <c r="D261" i="7" a="1"/>
  <c r="D261" i="7" s="1"/>
  <c r="N224" i="7" a="1"/>
  <c r="N224" i="7" s="1"/>
  <c r="C224" i="7" a="1"/>
  <c r="C224" i="7" s="1"/>
  <c r="I224" i="7" s="1" a="1"/>
  <c r="I224" i="7" s="1"/>
  <c r="N188" i="7" a="1"/>
  <c r="N188" i="7" s="1"/>
  <c r="D185" i="7" a="1"/>
  <c r="D185" i="7" s="1"/>
  <c r="C188" i="7" a="1"/>
  <c r="C188" i="7" s="1"/>
  <c r="D184" i="7" a="1"/>
  <c r="D184" i="7" s="1"/>
  <c r="D157" i="7" a="1"/>
  <c r="D157" i="7" s="1"/>
  <c r="D156" i="7" a="1"/>
  <c r="D156" i="7" s="1"/>
  <c r="E159" i="7" a="1"/>
  <c r="E159" i="7" s="1"/>
  <c r="D121" i="7" a="1"/>
  <c r="D121" i="7" s="1"/>
  <c r="N125" i="7" a="1"/>
  <c r="N125" i="7" s="1"/>
  <c r="C125" i="7" a="1"/>
  <c r="C125" i="7" s="1"/>
  <c r="N101" i="7" a="1"/>
  <c r="N101" i="7" s="1"/>
  <c r="D95" i="7" a="1"/>
  <c r="D95" i="7" s="1"/>
  <c r="C73" i="7" a="1"/>
  <c r="C73" i="7" s="1"/>
  <c r="D93" i="7" a="1"/>
  <c r="D93" i="7" s="1"/>
  <c r="N73" i="7" a="1"/>
  <c r="N73" i="7" s="1"/>
  <c r="D70" i="7" a="1"/>
  <c r="D70" i="7" s="1"/>
  <c r="I55" i="7" a="1"/>
  <c r="I55" i="7" s="1"/>
  <c r="F65" i="7"/>
  <c r="D65" i="7"/>
  <c r="I57" i="7" a="1"/>
  <c r="I57" i="7" s="1"/>
  <c r="E40" i="7" a="1"/>
  <c r="M254" i="8" a="1"/>
  <c r="M254" i="8" s="1"/>
  <c r="J254" i="8" a="1"/>
  <c r="J254" i="8" s="1"/>
  <c r="C254" i="8" a="1"/>
  <c r="C254" i="8" s="1"/>
  <c r="B251" i="8" a="1"/>
  <c r="B251" i="8" s="1"/>
  <c r="G235" i="8" a="1"/>
  <c r="G235" i="8" s="1"/>
  <c r="F235" i="8"/>
  <c r="B233" i="8" a="1"/>
  <c r="B233" i="8" s="1"/>
  <c r="D226" i="8" a="1"/>
  <c r="D226" i="8" s="1"/>
  <c r="D219" i="8" a="1"/>
  <c r="D219" i="8" s="1"/>
  <c r="B217" i="8" a="1"/>
  <c r="B217" i="8" s="1"/>
  <c r="M188" i="8" a="1"/>
  <c r="M188" i="8" s="1"/>
  <c r="J188" i="8" a="1"/>
  <c r="J188" i="8" s="1"/>
  <c r="C188" i="8" a="1"/>
  <c r="C188" i="8" s="1"/>
  <c r="B185" i="8" a="1"/>
  <c r="B185" i="8" s="1"/>
  <c r="B153" i="8" a="1"/>
  <c r="B153" i="8" s="1"/>
  <c r="G166" i="8" a="1"/>
  <c r="G166" i="8" s="1"/>
  <c r="G156" i="8" a="1"/>
  <c r="G156" i="8" s="1"/>
  <c r="D162" i="8" a="1"/>
  <c r="D162" i="8" s="1"/>
  <c r="I134" i="8" a="1"/>
  <c r="I134" i="8" s="1"/>
  <c r="G134" i="8" a="1"/>
  <c r="G134" i="8" s="1"/>
  <c r="B129" i="8" a="1"/>
  <c r="B129" i="8" s="1"/>
  <c r="S116" i="8" a="1"/>
  <c r="S116" i="8" s="1"/>
  <c r="O116" i="8" a="1"/>
  <c r="O116" i="8" s="1"/>
  <c r="G116" i="8" a="1"/>
  <c r="G116" i="8" s="1"/>
  <c r="F116" i="8" a="1"/>
  <c r="F116" i="8" s="1"/>
  <c r="M116" i="8" s="1" a="1"/>
  <c r="C116" i="8" a="1"/>
  <c r="C116" i="8" s="1"/>
  <c r="D116" i="8" s="1" a="1"/>
  <c r="D116" i="8" s="1"/>
  <c r="B112" i="8" a="1"/>
  <c r="B112" i="8" s="1"/>
  <c r="H99" i="8"/>
  <c r="G99" i="8" a="1"/>
  <c r="G99" i="8" s="1"/>
  <c r="F99" i="8" a="1"/>
  <c r="F99" i="8" s="1"/>
  <c r="E99" i="8" a="1"/>
  <c r="E99" i="8" s="1"/>
  <c r="C99" i="8" a="1"/>
  <c r="C99" i="8" s="1"/>
  <c r="H86" i="8"/>
  <c r="G86" i="8" a="1"/>
  <c r="G86" i="8" s="1"/>
  <c r="F86" i="8" a="1"/>
  <c r="F86" i="8" s="1"/>
  <c r="D86" i="8" a="1"/>
  <c r="D86" i="8" s="1"/>
  <c r="E86" i="8" a="1"/>
  <c r="E86" i="8" s="1"/>
  <c r="C86" i="8" a="1"/>
  <c r="C86" i="8" s="1"/>
  <c r="H73" i="8"/>
  <c r="G73" i="8" a="1"/>
  <c r="G73" i="8" s="1"/>
  <c r="D73" i="8" a="1"/>
  <c r="D73" i="8" s="1"/>
  <c r="C73" i="8" a="1"/>
  <c r="C73" i="8" s="1"/>
  <c r="E73" i="8" a="1"/>
  <c r="E73" i="8" s="1"/>
  <c r="H60" i="8"/>
  <c r="G60" i="8" a="1"/>
  <c r="G60" i="8" s="1"/>
  <c r="D60" i="8" a="1"/>
  <c r="D60" i="8" s="1"/>
  <c r="C60" i="8" a="1"/>
  <c r="C60" i="8" s="1"/>
  <c r="E60" i="8" a="1"/>
  <c r="E60" i="8" s="1"/>
  <c r="B38" i="8"/>
  <c r="B56" i="8" s="1" a="1"/>
  <c r="B56" i="8" s="1"/>
  <c r="B25" i="1"/>
  <c r="B26" i="7"/>
  <c r="B2" i="9"/>
  <c r="B73" i="13" l="1"/>
  <c r="B29" i="12" a="1"/>
  <c r="B29" i="12" s="1"/>
  <c r="H119" i="9"/>
  <c r="H132" i="9"/>
  <c r="H106" i="9"/>
  <c r="H93" i="9"/>
  <c r="H84" i="9"/>
  <c r="H76" i="9"/>
  <c r="N53" i="9"/>
  <c r="H53" i="9"/>
  <c r="H68" i="9"/>
  <c r="H40" i="9"/>
  <c r="N22" i="9"/>
  <c r="N14" i="9"/>
  <c r="H22" i="9"/>
  <c r="H14" i="9"/>
  <c r="H29" i="9"/>
  <c r="N29" i="9" s="1" a="1"/>
  <c r="C376" i="1" a="1"/>
  <c r="C376" i="1" s="1"/>
  <c r="C252" i="1" a="1"/>
  <c r="C252" i="1" s="1"/>
  <c r="C175" i="1" a="1"/>
  <c r="C175" i="1" s="1"/>
  <c r="L209" i="9"/>
  <c r="K185" i="9"/>
  <c r="F283" i="9"/>
  <c r="J173" i="9"/>
  <c r="J164" i="9"/>
  <c r="J155" i="9"/>
  <c r="J297" i="9"/>
  <c r="J319" i="9"/>
  <c r="K199" i="9"/>
  <c r="K192" i="9"/>
  <c r="J306" i="9"/>
  <c r="D140" i="1" a="1"/>
  <c r="D140" i="1" s="1"/>
  <c r="G105" i="1" a="1"/>
  <c r="G105" i="1" s="1"/>
  <c r="D324" i="1"/>
  <c r="D333" i="1" s="1" a="1"/>
  <c r="D333" i="1" s="1"/>
  <c r="B44" i="1" a="1"/>
  <c r="B44" i="1" s="1"/>
  <c r="I266" i="7" a="1"/>
  <c r="I266" i="7" s="1"/>
  <c r="I188" i="7" a="1"/>
  <c r="I188" i="7" s="1"/>
  <c r="I125" i="7" a="1"/>
  <c r="I125" i="7" s="1"/>
  <c r="D159" i="7" a="1"/>
  <c r="D159" i="7" s="1"/>
  <c r="D101" i="7" a="1"/>
  <c r="D101" i="7" s="1"/>
  <c r="I73" i="7" a="1"/>
  <c r="I73" i="7" s="1"/>
  <c r="B52" i="7" a="1"/>
  <c r="B52" i="7" s="1"/>
  <c r="E40" i="7"/>
  <c r="M116" i="8"/>
  <c r="D99" i="8" a="1"/>
  <c r="D99" i="8" s="1"/>
  <c r="B295" i="8"/>
  <c r="B43" i="12" l="1" a="1"/>
  <c r="B43" i="12" s="1"/>
  <c r="N29" i="9"/>
  <c r="B59" i="1" a="1"/>
  <c r="B59" i="1" s="1"/>
  <c r="B68" i="7" a="1"/>
  <c r="B68" i="7" s="1"/>
  <c r="D54" i="7"/>
  <c r="F54" i="7"/>
  <c r="F55" i="7" s="1" a="1"/>
  <c r="N116" i="8" a="1"/>
  <c r="N116" i="8" s="1"/>
  <c r="P116" i="8" s="1" a="1"/>
  <c r="Q116" i="8" a="1"/>
  <c r="B63" i="12" l="1" a="1"/>
  <c r="B63" i="12" s="1"/>
  <c r="B95" i="1" a="1"/>
  <c r="B95" i="1" s="1"/>
  <c r="B91" i="7" a="1"/>
  <c r="B91" i="7" s="1"/>
  <c r="D55" i="7" a="1"/>
  <c r="D55" i="7" s="1"/>
  <c r="I56" i="7" a="1"/>
  <c r="I56" i="7" s="1"/>
  <c r="F55" i="7"/>
  <c r="P116" i="8"/>
  <c r="Q116" i="8"/>
  <c r="R116" i="8" s="1" a="1"/>
  <c r="B85" i="12" l="1" a="1"/>
  <c r="B85" i="12" s="1"/>
  <c r="B106" i="12" s="1" a="1"/>
  <c r="B106" i="12" s="1"/>
  <c r="B136" i="12" s="1"/>
  <c r="B129" i="1" a="1"/>
  <c r="B129" i="1" s="1"/>
  <c r="B119" i="7" a="1"/>
  <c r="B119" i="7" s="1"/>
  <c r="R116" i="8"/>
  <c r="T116" i="8" s="1" a="1"/>
  <c r="B165" i="1" l="1" a="1"/>
  <c r="B165" i="1" s="1"/>
  <c r="B154" i="7" a="1"/>
  <c r="B154" i="7" s="1"/>
  <c r="T116" i="8"/>
  <c r="B241" i="1" l="1" a="1"/>
  <c r="B241" i="1" s="1"/>
  <c r="B182" i="7" a="1"/>
  <c r="B182" i="7" s="1"/>
  <c r="B322" i="1" l="1" a="1"/>
  <c r="B322" i="1" s="1"/>
  <c r="B221" i="7" a="1"/>
  <c r="B221" i="7" s="1"/>
  <c r="B259" i="7" s="1" a="1"/>
  <c r="B259" i="7" s="1"/>
  <c r="B302" i="7" s="1"/>
  <c r="B365" i="1" l="1" a="1"/>
  <c r="B365" i="1" s="1"/>
  <c r="B465" i="1" l="1" a="1"/>
  <c r="B465" i="1" s="1"/>
  <c r="B544"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<sst xmlns="http://schemas.openxmlformats.org/spreadsheetml/2006/main" count="1223" uniqueCount="629">
  <si>
    <t>End of Sheet</t>
  </si>
  <si>
    <t>Lookup Tables</t>
  </si>
  <si>
    <t>_YesNo</t>
  </si>
  <si>
    <t>_OnOff</t>
  </si>
  <si>
    <t>Purpose:</t>
  </si>
  <si>
    <t>Input data tables:</t>
  </si>
  <si>
    <t>Main Functionality Development</t>
  </si>
  <si>
    <t>Development</t>
  </si>
  <si>
    <t>Approach:</t>
  </si>
  <si>
    <t>Final Version</t>
  </si>
  <si>
    <t>Description:</t>
  </si>
  <si>
    <t>Parameters:</t>
  </si>
  <si>
    <t>Errors:</t>
  </si>
  <si>
    <t>Notes:</t>
  </si>
  <si>
    <t>Function:</t>
  </si>
  <si>
    <t>Minimised version:</t>
  </si>
  <si>
    <t>[required]</t>
  </si>
  <si>
    <t>[optional]</t>
  </si>
  <si>
    <t>Remove Array Items Function</t>
  </si>
  <si>
    <t>Insert Array Items Function</t>
  </si>
  <si>
    <t>Random Sort Function</t>
  </si>
  <si>
    <t>A custom Lambda function to allow for removing specific rows or columns from an array.</t>
  </si>
  <si>
    <t>The native Excel DROP() function allows for removing a specified number of rows and/or columns from the start or end of an array but not removing a specified array index row/column.</t>
  </si>
  <si>
    <t>Ideally the function should copy the native Excel array functions and allow for positive and negative index inputs</t>
  </si>
  <si>
    <t>A custom Lambda function which can help to sort a list or array into a random order using each item only once</t>
  </si>
  <si>
    <t>The native Excel RANDARRAY() function is very useful for creating dummy data, but due to the random nature of the output values can be repeated</t>
  </si>
  <si>
    <t>The idea of this function is to take a standard/sorted list of data and to re-arrange it into a random order where all items are included and used only once</t>
  </si>
  <si>
    <t>Ideally would allow for a 1D array (list) or a 2D array, preserving the original dimensions of the input array</t>
  </si>
  <si>
    <t>1D List</t>
  </si>
  <si>
    <t>Multi-column vertical list</t>
  </si>
  <si>
    <t>One</t>
  </si>
  <si>
    <t>!!!</t>
  </si>
  <si>
    <t>Two</t>
  </si>
  <si>
    <t>"""</t>
  </si>
  <si>
    <t>Three</t>
  </si>
  <si>
    <t>£££</t>
  </si>
  <si>
    <t>Four</t>
  </si>
  <si>
    <t>$$$</t>
  </si>
  <si>
    <t>Five</t>
  </si>
  <si>
    <t>%%%</t>
  </si>
  <si>
    <t>Six</t>
  </si>
  <si>
    <t>^^^</t>
  </si>
  <si>
    <t>Seven</t>
  </si>
  <si>
    <t>&amp;&amp;&amp;</t>
  </si>
  <si>
    <t>Eight</t>
  </si>
  <si>
    <t>***</t>
  </si>
  <si>
    <t>Nine</t>
  </si>
  <si>
    <t>(((</t>
  </si>
  <si>
    <t>Ten</t>
  </si>
  <si>
    <t>)))</t>
  </si>
  <si>
    <t>2D Array</t>
  </si>
  <si>
    <t>Multi-row horizontal list</t>
  </si>
  <si>
    <t xml:space="preserve"> - In order to create a random order use the native RANDBETWEEN() function to choose random index values from the source input array </t>
  </si>
  <si>
    <t xml:space="preserve"> -&gt; RANDBETWEEN() takes a min and max value and then returns a pseudo-random integer value from within that range</t>
  </si>
  <si>
    <t xml:space="preserve"> -&gt; This approach alone will not work as the random element can lead to repeating values from the source input array and/or missing some of the input array values in the final output</t>
  </si>
  <si>
    <t xml:space="preserve"> - In order to avoid repeated or missing values, can use the approach of:</t>
  </si>
  <si>
    <t xml:space="preserve"> -- create an index array of the number of rows/cells in the input array which need to be sorted into a random order</t>
  </si>
  <si>
    <t xml:space="preserve"> -- iterate through the index array, at each stage randomly pick a value from the index array and add it to a new randomly ordered output array </t>
  </si>
  <si>
    <t xml:space="preserve"> -- at each new iteration, remove the already picked index values so that the random picking of a new index value is only from the remaining index values, thereby avoiding repetition</t>
  </si>
  <si>
    <t xml:space="preserve"> - Can use the REDUCE() function to iterate through and produce an accumulated output array from the function</t>
  </si>
  <si>
    <t xml:space="preserve"> -&gt; the REDUCE() function can only produce a single output array and there is no native function to remove a specified row from an array</t>
  </si>
  <si>
    <t>[DROP() removes a specified number of rows/columns from the start or end of the array]</t>
  </si>
  <si>
    <t xml:space="preserve"> -&gt; instead use a FILTER() function to filter out the already selected index values and then only select the next index value from the remaining and keep building this as the REDUCE() output</t>
  </si>
  <si>
    <t>Filtering for an array of multiple values</t>
  </si>
  <si>
    <t xml:space="preserve"> -&gt; working with vertical 1D list only</t>
  </si>
  <si>
    <t>Input</t>
  </si>
  <si>
    <t>Index list</t>
  </si>
  <si>
    <t>Selected</t>
  </si>
  <si>
    <t>Custom Lambda function desigend to sort the values in an input array into a random order, preserving the size and dimensions of the original array.</t>
  </si>
  <si>
    <t>By default, all values in the input array will be re-ordered; if the by-row parameter is used then full rows or full columns  are randomly sorted rather than individual values.</t>
  </si>
  <si>
    <t>array</t>
  </si>
  <si>
    <t>by_row</t>
  </si>
  <si>
    <t>array of values which is to be sorted into a random order</t>
  </si>
  <si>
    <r>
      <t>determines whether to sort on a by-row basis (</t>
    </r>
    <r>
      <rPr>
        <sz val="10"/>
        <color rgb="FF0000FF"/>
        <rFont val="Consolas"/>
        <family val="3"/>
      </rPr>
      <t>1</t>
    </r>
    <r>
      <rPr>
        <sz val="10"/>
        <color rgb="FF002138"/>
        <rFont val="Calibri"/>
        <family val="2"/>
        <scheme val="minor"/>
      </rPr>
      <t>/</t>
    </r>
    <r>
      <rPr>
        <sz val="10"/>
        <color rgb="FF0000FF"/>
        <rFont val="Consolas"/>
        <family val="3"/>
      </rPr>
      <t>TRUE</t>
    </r>
    <r>
      <rPr>
        <sz val="10"/>
        <color rgb="FF002138"/>
        <rFont val="Calibri"/>
        <family val="2"/>
        <scheme val="minor"/>
      </rPr>
      <t>) or a by-column basis (</t>
    </r>
    <r>
      <rPr>
        <sz val="10"/>
        <color rgb="FF0000FF"/>
        <rFont val="Consolas"/>
        <family val="3"/>
      </rPr>
      <t>0</t>
    </r>
    <r>
      <rPr>
        <sz val="10"/>
        <color rgb="FF002138"/>
        <rFont val="Calibri"/>
        <family val="2"/>
        <scheme val="minor"/>
      </rPr>
      <t>/</t>
    </r>
    <r>
      <rPr>
        <sz val="10"/>
        <color rgb="FF0000FF"/>
        <rFont val="Consolas"/>
        <family val="3"/>
      </rPr>
      <t>FALSE</t>
    </r>
    <r>
      <rPr>
        <sz val="10"/>
        <color rgb="FF002138"/>
        <rFont val="Calibri"/>
        <family val="2"/>
        <scheme val="minor"/>
      </rPr>
      <t>)</t>
    </r>
  </si>
  <si>
    <r>
      <t>Required input parameters (</t>
    </r>
    <r>
      <rPr>
        <sz val="10"/>
        <color rgb="FF0065A8"/>
        <rFont val="Consolas"/>
        <family val="3"/>
      </rPr>
      <t>array</t>
    </r>
    <r>
      <rPr>
        <sz val="10"/>
        <color rgb="FF002138"/>
        <rFont val="Calibri"/>
        <family val="2"/>
        <scheme val="minor"/>
      </rPr>
      <t>) have not been provided</t>
    </r>
  </si>
  <si>
    <r>
      <t xml:space="preserve">The input provided for the </t>
    </r>
    <r>
      <rPr>
        <sz val="10"/>
        <color rgb="FF0065A8"/>
        <rFont val="Consolas"/>
        <family val="3"/>
      </rPr>
      <t>array</t>
    </r>
    <r>
      <rPr>
        <sz val="10"/>
        <color rgb="FF002138"/>
        <rFont val="Calibri"/>
        <family val="2"/>
        <scheme val="minor"/>
      </rPr>
      <t xml:space="preserve"> parameter is invalid (i.e. not an array of more than one value)</t>
    </r>
  </si>
  <si>
    <r>
      <t xml:space="preserve">The optional parameter </t>
    </r>
    <r>
      <rPr>
        <sz val="10"/>
        <color rgb="FF0065A8"/>
        <rFont val="Consolas"/>
        <family val="3"/>
      </rPr>
      <t>by_row</t>
    </r>
    <r>
      <rPr>
        <sz val="10"/>
        <color rgb="FF002138"/>
        <rFont val="Calibri"/>
        <family val="2"/>
        <scheme val="minor"/>
      </rPr>
      <t xml:space="preserve"> input value provided is invalid</t>
    </r>
  </si>
  <si>
    <r>
      <t xml:space="preserve"> - must be either a number (</t>
    </r>
    <r>
      <rPr>
        <sz val="10"/>
        <color rgb="FF0000FF"/>
        <rFont val="Consolas"/>
        <family val="3"/>
      </rPr>
      <t>0</t>
    </r>
    <r>
      <rPr>
        <sz val="10"/>
        <color rgb="FF002138"/>
        <rFont val="Calibri"/>
        <family val="2"/>
        <scheme val="minor"/>
      </rPr>
      <t xml:space="preserve"> or </t>
    </r>
    <r>
      <rPr>
        <sz val="10"/>
        <color rgb="FF0000FF"/>
        <rFont val="Consolas"/>
        <family val="3"/>
      </rPr>
      <t>1</t>
    </r>
    <r>
      <rPr>
        <sz val="10"/>
        <color rgb="FF002138"/>
        <rFont val="Calibri"/>
        <family val="2"/>
        <scheme val="minor"/>
      </rPr>
      <t>) or a logical/Boolean value (</t>
    </r>
    <r>
      <rPr>
        <sz val="10"/>
        <color rgb="FF0000FF"/>
        <rFont val="Consolas"/>
        <family val="3"/>
      </rPr>
      <t>TRUE</t>
    </r>
    <r>
      <rPr>
        <sz val="10"/>
        <color rgb="FF002138"/>
        <rFont val="Calibri"/>
        <family val="2"/>
        <scheme val="minor"/>
      </rPr>
      <t>/</t>
    </r>
    <r>
      <rPr>
        <sz val="10"/>
        <color rgb="FF0000FF"/>
        <rFont val="Consolas"/>
        <family val="3"/>
      </rPr>
      <t>FALSE</t>
    </r>
    <r>
      <rPr>
        <sz val="10"/>
        <color rgb="FF002138"/>
        <rFont val="Calibri"/>
        <family val="2"/>
        <scheme val="minor"/>
      </rPr>
      <t>)</t>
    </r>
  </si>
  <si>
    <t xml:space="preserve"> - As the function uses random number generation to re-order the input array, it is a volatile function and will re-calculate everytime there is a calculation trigger.</t>
  </si>
  <si>
    <t>=LAMBDA(array,[by_row],LET(_inp,array,_rows,ROWS(_inp),_cols,COLUMNS(_inp),_byRw,IF(ISOMITTED(by_row),-1,INT(by_row)),_inpChk,IF(AND(ROWS(_inp)&lt;=1,COLUMNS(_inp)&lt;=1),2,IF(OR(NOT(ISNUMBER(_byRw)),_byRw&lt;-1,_byRw&gt;1),3,1)),_arr,IF(_byRw&lt;0,TOCOL(_inp),_inp),_idx,IF(_byRw=0,SEQUENCE(COLUMNS(_arr)),SEQUENCE(ROWS(_arr))),_rnd,DROP(REDUCE(0,_idx,LAMBDA(_acc,_val,LET(_fltr,FILTER(_idx,ISNA(XMATCH(_idx,_acc))),_rr,ROWS(_fltr),VSTACK(_acc,INDEX(_fltr,RANDBETWEEN(1,_rr)))))),1),_rtn,IF(_byRw&lt;0,MAKEARRAY(_rows,_cols,LAMBDA(_r,_c,INDEX(_arr,INDEX(_rnd,(_r-1)*_cols+_c)))),IF(_byRw,MAKEARRAY(_rows,_cols,LAMBDA(_r,_c,INDEX(_arr,INDEX(_rnd,_r),_c))),MAKEARRAY(_rows,_cols,LAMBDA(_r,_c,INDEX(_arr,_r,INDEX(_rnd,_c)))))),CHOOSE(_inpChk,_rtn,LAMBDA(0),#VALUE!)))</t>
  </si>
  <si>
    <t>= LAMBDA(</t>
  </si>
  <si>
    <t>// Parameter definitions</t>
  </si>
  <si>
    <t>array,</t>
  </si>
  <si>
    <t>[by_row],</t>
  </si>
  <si>
    <t>// Main function body/calculations</t>
  </si>
  <si>
    <t>LET(</t>
  </si>
  <si>
    <t>// Dealing with the required parameters and calculating the derived variables needed for the main calculation</t>
  </si>
  <si>
    <t>_inp, array,</t>
  </si>
  <si>
    <t>_rows, ROWS(_inp),</t>
  </si>
  <si>
    <t>_cols, COLUMNS(_inp),</t>
  </si>
  <si>
    <t>// Dealing with optional parameters &amp; setting default values</t>
  </si>
  <si>
    <t>_byRw, IF( ISOMITTED(by_row), -1, INT(by_row)),</t>
  </si>
  <si>
    <t>// Input checks for the optional parameters and required parameters, returning the _inpChk value as 1-to-3</t>
  </si>
  <si>
    <t>_inpChk, IF(</t>
  </si>
  <si>
    <t>AND(</t>
  </si>
  <si>
    <t>ROWS(_inp) &lt;= 1, COLUMNS(_inp) &lt;= 1</t>
  </si>
  <si>
    <t>), 2, IF(</t>
  </si>
  <si>
    <t>OR(</t>
  </si>
  <si>
    <t>NOT(ISNUMBER(_byRw)),</t>
  </si>
  <si>
    <t>_byRw &lt; -1, _byRw &gt; 1</t>
  </si>
  <si>
    <t>), 3, 1)</t>
  </si>
  <si>
    <t>),</t>
  </si>
  <si>
    <t>// Where the user has chosen to sort the full array, the array is converted to a single 1D vertical list of values</t>
  </si>
  <si>
    <t>_arr, IF(_byRw &lt; 0, TOCOL(_inp), _inp),</t>
  </si>
  <si>
    <t>// Calculates an index list which relates to each item of the input array that is to be randomly sorted</t>
  </si>
  <si>
    <t>//  - where the user has chosen to sort by column (_byRw = 0), the index list relates to the number of columns in the array</t>
  </si>
  <si>
    <t>//  - where the user has chosen to sort by row (_byRw = 1), the index relates to the number of rows in the array</t>
  </si>
  <si>
    <t>//  - where the full array is to be sorted (_byRw = -1), the number of rows in the converted array is used</t>
  </si>
  <si>
    <t>_idx, IF(_byRw = 0,</t>
  </si>
  <si>
    <t>SEQUENCE( COLUMNS(_arr)),</t>
  </si>
  <si>
    <t>SEQUENCE( ROWS(_arr))</t>
  </si>
  <si>
    <t>// Calculates a randomly sorted copy of the index list using a combination of REDUCE() + FILTER()</t>
  </si>
  <si>
    <t>_rnd, DROP(</t>
  </si>
  <si>
    <t>REDUCE(0, _idx, LAMBDA(_acc,_val,</t>
  </si>
  <si>
    <t>_fltr, FILTER(_idx, ISNA(XMATCH(_idx, _acc))),</t>
  </si>
  <si>
    <t>_rr, ROWS(_fltr),</t>
  </si>
  <si>
    <t>VSTACK(_acc, INDEX(_fltr, RANDBETWEEN(1, _rr)))</t>
  </si>
  <si>
    <t>)</t>
  </si>
  <si>
    <t>)),</t>
  </si>
  <si>
    <t>1),</t>
  </si>
  <si>
    <t>// Re-creates the original input array using the randomly sorted index list to re-order the array</t>
  </si>
  <si>
    <t>_rtn, IF(_byRw &lt; 0,</t>
  </si>
  <si>
    <t>MAKEARRAY(_rows, _cols, LAMBDA(_r,_c, INDEX(_arr, INDEX(_rnd, (_r - 1) * _cols + _c)))),</t>
  </si>
  <si>
    <t>IF(_byRw,</t>
  </si>
  <si>
    <t>MAKEARRAY(_rows, _cols, LAMBDA(_r,_c, INDEX(_arr, INDEX(_rnd, _r), _c))),</t>
  </si>
  <si>
    <t>MAKEARRAY(_rows, _cols, LAMBDA(_r,_c, INDEX(_arr, _r, INDEX(_rnd, _c))))</t>
  </si>
  <si>
    <t>// If the input checks (_inpChk) have flagged then the required Excel error code is returned,</t>
  </si>
  <si>
    <t>// otherwise the calculated result (_rtn) is returned</t>
  </si>
  <si>
    <t>CHOOSE(_inpChk, _rtn, LAMBDA(0), #VALUE!)</t>
  </si>
  <si>
    <t>Using simple method</t>
  </si>
  <si>
    <t>Output (i)</t>
  </si>
  <si>
    <t>Note:</t>
  </si>
  <si>
    <t>When using a simple method of comparing the input index list against the previously selected values:</t>
  </si>
  <si>
    <t>if a horisontal selected values array is used to compare against the vertical index list there is a #VALUE! Error</t>
  </si>
  <si>
    <t>if two vertical lists (arrays) are used, the result is #N/A</t>
  </si>
  <si>
    <t>This is because the lists are directly compared with the missing rows in the previously selected list being expanded with #N/A values</t>
  </si>
  <si>
    <t>the result of the direct comparison is then four logical values followed by six #N/A errors which collapses the function result to #N/A</t>
  </si>
  <si>
    <t>Using XMATCH()</t>
  </si>
  <si>
    <t>Output (ii)</t>
  </si>
  <si>
    <t xml:space="preserve">The XMATCH() or MATCH() functions will iterate through each of the look-up values and return an index value if it is found in the </t>
  </si>
  <si>
    <t>look-up array; where there is no match for a look-up value a #N/A value is returned.</t>
  </si>
  <si>
    <t xml:space="preserve">The ISNUMBER() function is used to convert the list of matched values and unmatched values into a TRUE/FALSE list which can be </t>
  </si>
  <si>
    <t>used by the FILTER() function as the basis for inclusion in the filtered output.</t>
  </si>
  <si>
    <t>In this case, by using the previously selected list as the look-up values, the output array of XMATCH() is only four rows long, meaning</t>
  </si>
  <si>
    <t>that the inclusion criteria array for the FILTER() function is a different length to the input array to be filtered, resulting in a #VALUE!</t>
  </si>
  <si>
    <t>Using XMATCH() reversing look-up parameters</t>
  </si>
  <si>
    <t>XMATCH</t>
  </si>
  <si>
    <t>Output (iii)</t>
  </si>
  <si>
    <t>Works as expected to allow for a dynamic array of filter conditions to be used for the filter inclusion argument.</t>
  </si>
  <si>
    <t>By using the full index list as the look-up value parameter of the XMATCH and the previously selected values as the look-up array</t>
  </si>
  <si>
    <t>the XMATCH() attempts to match each value in the index list against the previously selected array returning a number is matched</t>
  </si>
  <si>
    <t>or #N/A if unmatched but meaning that the XMATCH() output array is the same length as the original input array and so can be</t>
  </si>
  <si>
    <t>used correctly for the inclusion parameter of the FILTER() function without causing a #VALUE!</t>
  </si>
  <si>
    <t>Using XMATCH() reversing look-up parameters + NOT EQUAL TO logic</t>
  </si>
  <si>
    <t>Output (iv)</t>
  </si>
  <si>
    <t>For "include if equal to" logic wrap the XMATCH() with an ISNUMBER() function.</t>
  </si>
  <si>
    <t>For "include if not equal to" logic wrap the XMATCH() with an ISNA() function.</t>
  </si>
  <si>
    <t>Converting approach to iterative with REDUCE() function &amp; RANDBETWEEN() function</t>
  </si>
  <si>
    <t>Proving random sort method</t>
  </si>
  <si>
    <t>Output</t>
  </si>
  <si>
    <t>Sorted</t>
  </si>
  <si>
    <t xml:space="preserve">Converted </t>
  </si>
  <si>
    <t>Recognising orientation and dimensions of input array</t>
  </si>
  <si>
    <t>Input options</t>
  </si>
  <si>
    <t>1D Vertical</t>
  </si>
  <si>
    <t>1D Horizontal</t>
  </si>
  <si>
    <t>2D Table</t>
  </si>
  <si>
    <t xml:space="preserve">Selection: </t>
  </si>
  <si>
    <t xml:space="preserve">Output: </t>
  </si>
  <si>
    <t>Updating version (B) to deal with varrying orientation of input array + use of MAKEARRAY() to construct output</t>
  </si>
  <si>
    <t xml:space="preserve">Random sort: </t>
  </si>
  <si>
    <t xml:space="preserve">Information: </t>
  </si>
  <si>
    <t>Updating version (D) to include functionality to randomly sort the array on a by-row or by-column basis</t>
  </si>
  <si>
    <t xml:space="preserve">By row: </t>
  </si>
  <si>
    <t>Testing version (E) with a horizontal multi-column input using the by-column basis</t>
  </si>
  <si>
    <t>Input Checks &amp; Conversion to LAMBDA() Function</t>
  </si>
  <si>
    <t>Testing input checks</t>
  </si>
  <si>
    <t>Combining version (E) and version (G) functionality + conversion to LAMBDA()</t>
  </si>
  <si>
    <t>Input 1</t>
  </si>
  <si>
    <t>AAA</t>
  </si>
  <si>
    <t>BBB</t>
  </si>
  <si>
    <t>CCC</t>
  </si>
  <si>
    <t>DDD</t>
  </si>
  <si>
    <t>EEE</t>
  </si>
  <si>
    <t>FFF</t>
  </si>
  <si>
    <t>GGG</t>
  </si>
  <si>
    <t>HHH</t>
  </si>
  <si>
    <t>III</t>
  </si>
  <si>
    <t>JJJ</t>
  </si>
  <si>
    <t>ZZZ</t>
  </si>
  <si>
    <t>YYY</t>
  </si>
  <si>
    <t>XXX</t>
  </si>
  <si>
    <t>QQQ</t>
  </si>
  <si>
    <t>RRR</t>
  </si>
  <si>
    <t>SSS</t>
  </si>
  <si>
    <t>TTT</t>
  </si>
  <si>
    <t>UUU</t>
  </si>
  <si>
    <t>VVV</t>
  </si>
  <si>
    <t>WWW</t>
  </si>
  <si>
    <t>Input 2</t>
  </si>
  <si>
    <t>Row_1</t>
  </si>
  <si>
    <t>Row_2</t>
  </si>
  <si>
    <t>Row_3</t>
  </si>
  <si>
    <t>Row_4</t>
  </si>
  <si>
    <t>Row_5</t>
  </si>
  <si>
    <t>Col_1</t>
  </si>
  <si>
    <t>Col_2</t>
  </si>
  <si>
    <t>Col_3</t>
  </si>
  <si>
    <t>Col_4</t>
  </si>
  <si>
    <t>Col_5</t>
  </si>
  <si>
    <t>Input options:</t>
  </si>
  <si>
    <t>Input 3</t>
  </si>
  <si>
    <t xml:space="preserve">Rows: </t>
  </si>
  <si>
    <t xml:space="preserve">Columns: </t>
  </si>
  <si>
    <t xml:space="preserve">Index: </t>
  </si>
  <si>
    <t xml:space="preserve">Inputs: </t>
  </si>
  <si>
    <t>Converting relative index inputs with negative values</t>
  </si>
  <si>
    <t>Using REDUCE() function to remove specified row(s)</t>
  </si>
  <si>
    <t>Input array</t>
  </si>
  <si>
    <t xml:space="preserve">Relative index: </t>
  </si>
  <si>
    <t>Function output</t>
  </si>
  <si>
    <t>Array</t>
  </si>
  <si>
    <t>Function</t>
  </si>
  <si>
    <t>Using REDUCE() function to remove specified column(s)</t>
  </si>
  <si>
    <t xml:space="preserve">By rows: </t>
  </si>
  <si>
    <t>Combining versions (A), (B) and (C) for single switchable removal functionality</t>
  </si>
  <si>
    <t xml:space="preserve">Remove rows: </t>
  </si>
  <si>
    <t xml:space="preserve">Remove cols: </t>
  </si>
  <si>
    <t>Updating version (D) to include input checks + Testing</t>
  </si>
  <si>
    <t>Function Output</t>
  </si>
  <si>
    <t>Conversion to LAMBDA() function</t>
  </si>
  <si>
    <t>_arr, array,</t>
  </si>
  <si>
    <t>_rr, ROWS(_arr),</t>
  </si>
  <si>
    <t>_cc, COLUMNS(_arr),</t>
  </si>
  <si>
    <t>_rAdj, _rInp + IF(_rInp &lt; 0, _rr + 1, 0),</t>
  </si>
  <si>
    <t>_cAdj, _cInp + IF(_cInp &lt; 0, _cc + 1, 0),</t>
  </si>
  <si>
    <t>AND(_rr &lt;= 1, _cc &lt;= 1),</t>
  </si>
  <si>
    <t>2, IF(</t>
  </si>
  <si>
    <t>SUM(--ISERROR(_rAdj)) &gt; 0, SUM(--ISLOGICAL(remove_rows)) &gt; 0,</t>
  </si>
  <si>
    <t>SUM(--ISERROR(_cAdj)) &gt; 0, SUM(--ISLOGICAL(remove_cols)) &gt; 0</t>
  </si>
  <si>
    <t>), 3,</t>
  </si>
  <si>
    <t>1</t>
  </si>
  <si>
    <t>REDUCE(0, SEQUENCE(_rr, 1), LAMBDA(_acc,_val,</t>
  </si>
  <si>
    <t>IF( ISNA(XMATCH(_val, _rAdj)),</t>
  </si>
  <si>
    <t>VSTACK(_acc, INDEX(_arr, _val, SEQUENCE(1, _cc))), _acc))</t>
  </si>
  <si>
    <t>), 1),</t>
  </si>
  <si>
    <t>IF( ISNA(XMATCH(_val, _cAdj)),</t>
  </si>
  <si>
    <t>), , 1),</t>
  </si>
  <si>
    <t>[remove_rows],</t>
  </si>
  <si>
    <t>[remove_cols],</t>
  </si>
  <si>
    <t>_rInp, IF( ISOMITTED(remove_rows), 0, INT(remove_rows)),</t>
  </si>
  <si>
    <t>_cInp, IF( ISOMITTED(remove_cols), 0, INT(remove_cols)),</t>
  </si>
  <si>
    <t>REDUCE(0, SEQUENCE(1, _cc), LAMBDA(_acc,_val,</t>
  </si>
  <si>
    <t xml:space="preserve"> -&gt; +ve values indicate counting the relative row from the top of the array downwards, or the relative column from the left of the array across</t>
  </si>
  <si>
    <t xml:space="preserve"> -&gt; -ve values indicate counting the relative row from the bottom of the array upwards, or the relative column from the right of the array back across</t>
  </si>
  <si>
    <t xml:space="preserve"> - For an array of relative removal indices, need to be able to iterate through with the same logic, so best to have inputs in the same direction</t>
  </si>
  <si>
    <t xml:space="preserve"> -&gt; use the relative +ve values, therefore start by converting any -ve values in the removal rows/columns input array into the correct +ve relative index</t>
  </si>
  <si>
    <t xml:space="preserve"> - Could use a FILTER() function to leave only the wanted rows/columns, however this would require using a REDUCE() function to first create a filter index to then use in the FILTER() function</t>
  </si>
  <si>
    <t>Extending Functionality</t>
  </si>
  <si>
    <t>Dealing with empty array after removals in a consistent manner + new optional parameter</t>
  </si>
  <si>
    <t xml:space="preserve">If empty: </t>
  </si>
  <si>
    <t>[if_empty],</t>
  </si>
  <si>
    <t>_rep, IF( ISOMITTED(if_empty), NA(), if_empty),</t>
  </si>
  <si>
    <t>_rCalc, DROP(</t>
  </si>
  <si>
    <t>_rrC, ROWS(_rCalc),</t>
  </si>
  <si>
    <t>_cCalc, DROP(</t>
  </si>
  <si>
    <t>HSTACK(_acc, INDEX(_rCalc, SEQUENCE(_rrC, 1), _val)), _acc))</t>
  </si>
  <si>
    <t>=LAMBDA(array,[remove_rows],[remove_cols],[if_empty],LET(_arr,array,_rr,ROWS(_arr),_cc,COLUMNS(_arr),_rInp,IF(ISOMITTED(remove_rows),0,INT(remove_rows)),_cInp,IF(ISOMITTED(remove_cols),0,INT(remove_cols)),_rep,IF(ISOMITTED(if_empty),NA(),if_empty),_rAdj,_rInp+IF(_rInp&lt;0,_rr+1,0),_cAdj,_cInp+IF(_cInp&lt;0,_cc+1,0),_inpChk,IF(AND(_rr&lt;=1,_cc&lt;=1),2,IF(OR(SUM(--ISERROR(_rAdj))&gt;0,SUM(--ISLOGICAL(remove_rows))&gt;0,SUM(--ISERROR(_cAdj))&gt;0,SUM(--ISLOGICAL(remove_cols))&gt;0),3,1)),_rCalc,DROP(REDUCE(0,SEQUENCE(_rr,1),LAMBDA(_acc,_val,IF(ISNA(XMATCH(_val,_rAdj)),VSTACK(_acc,INDEX(_arr,_val,SEQUENCE(1,_cc))),_acc))),1),_rrC,ROWS(_rCalc),_cCalc,DROP(REDUCE(0,SEQUENCE(1,_cc),LAMBDA(_acc,_val,IF(ISNA(XMATCH(_val,_cAdj)),HSTACK(_acc,INDEX(_rCalc,SEQUENCE(_rrC,1),_val)),_acc))),,1),_rtn,IF(ISERROR(_cCalc),_rep,_cCalc),CHOOSE(_inpChk,_rtn,LAMBDA(0),#VALUE!)))</t>
  </si>
  <si>
    <t>remove_rows</t>
  </si>
  <si>
    <t>remove_cols</t>
  </si>
  <si>
    <t>if_empty</t>
  </si>
  <si>
    <t xml:space="preserve"> -&gt; therefore, just use a single REDUCE() funciton with a VSTACK() / HSTACK() to reconstruct the array leaving out any rows/columns that are to be removed</t>
  </si>
  <si>
    <t xml:space="preserve"> - Split out the removal of rows sand columns into separate calculation blocks to more easily allow both types of removal rather than only either/or</t>
  </si>
  <si>
    <t xml:space="preserve"> -&gt; single block logic for both row and column removal would be overly complex and harder to read</t>
  </si>
  <si>
    <t>Index:</t>
  </si>
  <si>
    <t xml:space="preserve">Outputs: </t>
  </si>
  <si>
    <t xml:space="preserve">Before: </t>
  </si>
  <si>
    <t xml:space="preserve">Insert: </t>
  </si>
  <si>
    <t>[X]</t>
  </si>
  <si>
    <t>Inserting values before or after the specified relative index</t>
  </si>
  <si>
    <t>Inserting a full array or individual row from insertion array</t>
  </si>
  <si>
    <t xml:space="preserve"> -&gt; rows only, 1D array</t>
  </si>
  <si>
    <t>(empty)</t>
  </si>
  <si>
    <t xml:space="preserve">Insert rows: </t>
  </si>
  <si>
    <t xml:space="preserve">Insert individual: </t>
  </si>
  <si>
    <t>Inserting a full array or individual column from insertion array</t>
  </si>
  <si>
    <t xml:space="preserve">Insert columns: </t>
  </si>
  <si>
    <t>Combining versions (C) and (D)</t>
  </si>
  <si>
    <t>Input Array:</t>
  </si>
  <si>
    <t xml:space="preserve">Insert as individual: </t>
  </si>
  <si>
    <t>Function output:</t>
  </si>
  <si>
    <t>insert_index</t>
  </si>
  <si>
    <t>insert_columns</t>
  </si>
  <si>
    <t>insert_inputs</t>
  </si>
  <si>
    <t>as_individual</t>
  </si>
  <si>
    <t>Array Utilities Module</t>
  </si>
  <si>
    <t>Insert()</t>
  </si>
  <si>
    <t>Remove()</t>
  </si>
  <si>
    <t>RandomSort()</t>
  </si>
  <si>
    <t xml:space="preserve">Name: </t>
  </si>
  <si>
    <t xml:space="preserve">Description: </t>
  </si>
  <si>
    <t xml:space="preserve">Gist URL: </t>
  </si>
  <si>
    <t>RXL_Array.Insert</t>
  </si>
  <si>
    <t>RXL_Array.Remove</t>
  </si>
  <si>
    <t>Demonstrating Function Usage</t>
  </si>
  <si>
    <t>insert_after</t>
  </si>
  <si>
    <t xml:space="preserve">Insert index: </t>
  </si>
  <si>
    <t xml:space="preserve">Insert after: </t>
  </si>
  <si>
    <t xml:space="preserve">Insert as columns: </t>
  </si>
  <si>
    <t>replace_na</t>
  </si>
  <si>
    <t>Updating version (E) to add replace #N/A functionality</t>
  </si>
  <si>
    <t xml:space="preserve">Replace #N/A: </t>
  </si>
  <si>
    <t xml:space="preserve">Input: </t>
  </si>
  <si>
    <t>Updating version (F) with input checks from version (G) + conversion to LAMBDA()</t>
  </si>
  <si>
    <t>_iAft, IF( ISOMITTED(insert_after), 0, INT(insert_after)),</t>
  </si>
  <si>
    <t>_iCol, IF( ISOMITTED(insert_columns), 0, INT(insert_columns)),</t>
  </si>
  <si>
    <t>_idv, IF( ISOMITTED(as_individual), 0, INT(as_individual)),</t>
  </si>
  <si>
    <t>_nInp, IF( ISOMITTED(replace_na), FALSE, INDEX(replace_na, 1, 1)),</t>
  </si>
  <si>
    <t>_rep, IF( ISLOGICAL(_nInp), IF(_nInp, 0, NA()), _nInp),</t>
  </si>
  <si>
    <t>SUM(--ISERROR(_ins)) &gt; 0</t>
  </si>
  <si>
    <t>REDUCE(0, VSTACK(_iAft,_iCol,_idv), LAMBDA(_acc,_val, _acc + IF(</t>
  </si>
  <si>
    <t>SUM(--ISERROR(_val)) &gt; 0, 1, IF(</t>
  </si>
  <si>
    <t>OR( MIN(_val) &lt; 0, MAX(_val) &gt; 1), 1,</t>
  </si>
  <si>
    <t>0))</t>
  </si>
  <si>
    <t>)) &gt; 0</t>
  </si>
  <si>
    <t>), 3, 1</t>
  </si>
  <si>
    <t>_rInp, ROWS(_inp),</t>
  </si>
  <si>
    <t>_cInp, COLUMNS(_inp),</t>
  </si>
  <si>
    <t>_rIdx, SEQUENCE(ROWS(_arr), 1),</t>
  </si>
  <si>
    <t>_cIdx, SEQUENCE(1, COLUMNS(_arr)),</t>
  </si>
  <si>
    <t>_calc, IF(_iCol,</t>
  </si>
  <si>
    <t>DROP(</t>
  </si>
  <si>
    <t>IF( ISNUMBER(XMATCH(_val, _ins)),</t>
  </si>
  <si>
    <t>_idx, SEQUENCE(ROWS(_inp), 1),</t>
  </si>
  <si>
    <t>_new, IF(_idv, INDEX(_inp, _idx, MOD( XMATCH(_val, _ins) - 1, _cInp) + 1), _inp),</t>
  </si>
  <si>
    <t>_old, INDEX(_arr, _rIdx, _val),</t>
  </si>
  <si>
    <t>_1st, IF(_iAft, _old, _new),</t>
  </si>
  <si>
    <t>_2nd, IF(_iAft, _new, _old),</t>
  </si>
  <si>
    <t>HSTACK(_acc, _1st, _2nd)</t>
  </si>
  <si>
    <t>HSTACK(_acc, INDEX(_arr, _rIdx, _val)))</t>
  </si>
  <si>
    <t>)), , 1</t>
  </si>
  <si>
    <t>_idx, SEQUENCE(1, COLUMNS(_inp)),</t>
  </si>
  <si>
    <t>_new, IF(_idv, INDEX(_inp, MOD( XMATCH(_val, _ins) - 1, _rInp) + 1, _idx), _inp),</t>
  </si>
  <si>
    <t>_old, INDEX(_arr, _val, _cIdx),</t>
  </si>
  <si>
    <t>VSTACK(_acc, _1st, _2nd)</t>
  </si>
  <si>
    <t>VSTACK(_acc, INDEX(_arr, _val, _cIdx)))</t>
  </si>
  <si>
    <t>)), 1</t>
  </si>
  <si>
    <t>_rtn, IF( ISNA(_rep),</t>
  </si>
  <si>
    <t>insert_index,</t>
  </si>
  <si>
    <t>[insert_inputs],</t>
  </si>
  <si>
    <t>[insert_after],</t>
  </si>
  <si>
    <t>[insert_columns],</t>
  </si>
  <si>
    <t>[as_individual],</t>
  </si>
  <si>
    <t>[replace_na],</t>
  </si>
  <si>
    <t xml:space="preserve">// Where required, replace any #N/A values in the calculated output (_calc) with the chosen </t>
  </si>
  <si>
    <t>// replacement value (_rep)</t>
  </si>
  <si>
    <t>// Calculate the main function output using column or row insertions based on _iCol</t>
  </si>
  <si>
    <t>// Calculate the output array with inserted columns</t>
  </si>
  <si>
    <t>// Calculate the output array with inserted rows</t>
  </si>
  <si>
    <t>// Calculate the required additional values and the relative row &amp; column number sequences for use</t>
  </si>
  <si>
    <t>// in the main calculation (_calc), based on the dimensions of the input array (_arr) and insertion</t>
  </si>
  <si>
    <t>// inputs (_inp)</t>
  </si>
  <si>
    <t>//   where _iAft is True the inserted data (_new) will be added before the selected array index (_old)</t>
  </si>
  <si>
    <t>//   where _iAft is False the inserted data (_new) will be added before the selected array index (_old)</t>
  </si>
  <si>
    <t>Input Checks for main and optional parameters + dealing with default values for optional parameters</t>
  </si>
  <si>
    <t>Test Array</t>
  </si>
  <si>
    <t>Custom Lambda function which allows for the insertion of new rows or columns at specified points of an input array.</t>
  </si>
  <si>
    <t>The function uses relative index values for either rows or columns, with new rows/columns placed either before or after the specified row/column numbers.</t>
  </si>
  <si>
    <t>By default the function will insert new rows using the provided insertion input with the new rows inserted before the specified row number.</t>
  </si>
  <si>
    <t>original array to which new rows or columns is to be added</t>
  </si>
  <si>
    <t>the relative row or column number(s) indicating where new rows/columns should be inserted</t>
  </si>
  <si>
    <t>The values should be whole values (integers) and can be positive or negative:</t>
  </si>
  <si>
    <t>determines whether the new row(s)/column(s) are inserted before (default) or after the specified relative row/column number(s)</t>
  </si>
  <si>
    <t>= insert new columns</t>
  </si>
  <si>
    <r>
      <rPr>
        <sz val="10"/>
        <color rgb="FF0000FF"/>
        <rFont val="Consolas"/>
        <family val="3"/>
      </rPr>
      <t>1</t>
    </r>
    <r>
      <rPr>
        <sz val="10"/>
        <color rgb="FF002138"/>
        <rFont val="Calibri"/>
        <family val="2"/>
        <scheme val="minor"/>
      </rPr>
      <t>/</t>
    </r>
    <r>
      <rPr>
        <sz val="10"/>
        <color rgb="FF0000FF"/>
        <rFont val="Consolas"/>
        <family val="3"/>
      </rPr>
      <t>TRUE</t>
    </r>
  </si>
  <si>
    <r>
      <rPr>
        <sz val="10"/>
        <color rgb="FF0000FF"/>
        <rFont val="Consolas"/>
        <family val="3"/>
      </rPr>
      <t>0</t>
    </r>
    <r>
      <rPr>
        <sz val="10"/>
        <color rgb="FF002138"/>
        <rFont val="Calibri"/>
        <family val="2"/>
        <scheme val="minor"/>
      </rPr>
      <t>/</t>
    </r>
    <r>
      <rPr>
        <sz val="10"/>
        <color rgb="FF0000FF"/>
        <rFont val="Consolas"/>
        <family val="3"/>
      </rPr>
      <t>FALSE</t>
    </r>
  </si>
  <si>
    <r>
      <t>= (</t>
    </r>
    <r>
      <rPr>
        <b/>
        <sz val="10"/>
        <color rgb="FF002138"/>
        <rFont val="Calibri"/>
        <family val="2"/>
        <scheme val="minor"/>
      </rPr>
      <t>default</t>
    </r>
    <r>
      <rPr>
        <sz val="10"/>
        <color rgb="FF002138"/>
        <rFont val="Calibri"/>
        <family val="2"/>
        <scheme val="minor"/>
      </rPr>
      <t>) insert new rows</t>
    </r>
  </si>
  <si>
    <r>
      <t xml:space="preserve"> -&gt; negative values (</t>
    </r>
    <r>
      <rPr>
        <sz val="10"/>
        <color rgb="FF0000FF"/>
        <rFont val="Consolas"/>
        <family val="3"/>
      </rPr>
      <t>-1</t>
    </r>
    <r>
      <rPr>
        <sz val="10"/>
        <color rgb="FF002138"/>
        <rFont val="Calibri"/>
        <family val="2"/>
        <scheme val="minor"/>
      </rPr>
      <t>) indicate counting of relative row/column from the end of the array (bottom/right)</t>
    </r>
  </si>
  <si>
    <r>
      <t xml:space="preserve"> -&gt; positive values (</t>
    </r>
    <r>
      <rPr>
        <sz val="10"/>
        <color rgb="FF0000FF"/>
        <rFont val="Consolas"/>
        <family val="3"/>
      </rPr>
      <t>+1</t>
    </r>
    <r>
      <rPr>
        <sz val="10"/>
        <color rgb="FF002138"/>
        <rFont val="Calibri"/>
        <family val="2"/>
        <scheme val="minor"/>
      </rPr>
      <t>) indicate counting of relative row/column from the start of the array (top/left)</t>
    </r>
  </si>
  <si>
    <r>
      <t xml:space="preserve">the value(s) to be inserted into the </t>
    </r>
    <r>
      <rPr>
        <sz val="10"/>
        <color rgb="FF0065A8"/>
        <rFont val="Consolas"/>
        <family val="3"/>
      </rPr>
      <t>array</t>
    </r>
    <r>
      <rPr>
        <sz val="10"/>
        <color rgb="FF002138"/>
        <rFont val="Calibri"/>
        <family val="2"/>
        <scheme val="minor"/>
      </rPr>
      <t>; can be a single value or an array of values</t>
    </r>
  </si>
  <si>
    <t>= insert after specified index value</t>
  </si>
  <si>
    <r>
      <t>= (</t>
    </r>
    <r>
      <rPr>
        <b/>
        <sz val="10"/>
        <color rgb="FF002138"/>
        <rFont val="Calibri"/>
        <family val="2"/>
        <scheme val="minor"/>
      </rPr>
      <t>default</t>
    </r>
    <r>
      <rPr>
        <sz val="10"/>
        <color rgb="FF002138"/>
        <rFont val="Calibri"/>
        <family val="2"/>
        <scheme val="minor"/>
      </rPr>
      <t>) insert before specified index value</t>
    </r>
  </si>
  <si>
    <t>Can be input as either a whole number or a logical (Boolean) value</t>
  </si>
  <si>
    <t>= insert insert_inputs values as individual rows/columns</t>
  </si>
  <si>
    <t>Can be input as either a logical (Boolean) value or any other value</t>
  </si>
  <si>
    <t>[other]</t>
  </si>
  <si>
    <r>
      <t xml:space="preserve">determines whether the </t>
    </r>
    <r>
      <rPr>
        <sz val="10"/>
        <color rgb="FF0065A8"/>
        <rFont val="Consolas"/>
        <family val="3"/>
      </rPr>
      <t>insert_inputs</t>
    </r>
    <r>
      <rPr>
        <sz val="10"/>
        <color rgb="FF002138"/>
        <rFont val="Calibri"/>
        <family val="2"/>
        <scheme val="minor"/>
      </rPr>
      <t xml:space="preserve"> values are inserted as new rows or columns</t>
    </r>
  </si>
  <si>
    <r>
      <t xml:space="preserve">determines whether the values from the </t>
    </r>
    <r>
      <rPr>
        <sz val="10"/>
        <color rgb="FF0065A8"/>
        <rFont val="Consolas"/>
        <family val="3"/>
      </rPr>
      <t>insert_inputs</t>
    </r>
    <r>
      <rPr>
        <sz val="10"/>
        <color rgb="FF002138"/>
        <rFont val="Calibri"/>
        <family val="2"/>
        <scheme val="minor"/>
      </rPr>
      <t xml:space="preserve"> as inserted in full or as individual rows/columns</t>
    </r>
  </si>
  <si>
    <r>
      <t xml:space="preserve">determines whether any </t>
    </r>
    <r>
      <rPr>
        <sz val="10"/>
        <color rgb="FFC00000"/>
        <rFont val="Consolas"/>
        <family val="3"/>
      </rPr>
      <t>#N/A</t>
    </r>
    <r>
      <rPr>
        <sz val="10"/>
        <color rgb="FF002138"/>
        <rFont val="Calibri"/>
        <family val="2"/>
        <scheme val="minor"/>
      </rPr>
      <t xml:space="preserve"> values in the calculated output are replaced with given value</t>
    </r>
  </si>
  <si>
    <r>
      <t>= (</t>
    </r>
    <r>
      <rPr>
        <b/>
        <sz val="10"/>
        <color rgb="FF002138"/>
        <rFont val="Calibri"/>
        <family val="2"/>
        <scheme val="minor"/>
      </rPr>
      <t>default</t>
    </r>
    <r>
      <rPr>
        <sz val="10"/>
        <color rgb="FF002138"/>
        <rFont val="Calibri"/>
        <family val="2"/>
        <scheme val="minor"/>
      </rPr>
      <t xml:space="preserve">) does not replace </t>
    </r>
    <r>
      <rPr>
        <sz val="10"/>
        <color rgb="FFC00000"/>
        <rFont val="Consolas"/>
        <family val="3"/>
      </rPr>
      <t>#N/A</t>
    </r>
    <r>
      <rPr>
        <sz val="10"/>
        <color rgb="FF002138"/>
        <rFont val="Calibri"/>
        <family val="2"/>
        <scheme val="minor"/>
      </rPr>
      <t xml:space="preserve"> values</t>
    </r>
  </si>
  <si>
    <r>
      <t xml:space="preserve">= replaces </t>
    </r>
    <r>
      <rPr>
        <sz val="10"/>
        <color rgb="FFC00000"/>
        <rFont val="Consolas"/>
        <family val="3"/>
      </rPr>
      <t>#N/A</t>
    </r>
    <r>
      <rPr>
        <sz val="10"/>
        <color rgb="FF002138"/>
        <rFont val="Calibri"/>
        <family val="2"/>
        <scheme val="minor"/>
      </rPr>
      <t xml:space="preserve"> values with a zero (</t>
    </r>
    <r>
      <rPr>
        <sz val="10"/>
        <color rgb="FF0000FF"/>
        <rFont val="Consolas"/>
        <family val="3"/>
      </rPr>
      <t>0</t>
    </r>
    <r>
      <rPr>
        <sz val="10"/>
        <color rgb="FF002138"/>
        <rFont val="Calibri"/>
        <family val="2"/>
        <scheme val="minor"/>
      </rPr>
      <t>)</t>
    </r>
  </si>
  <si>
    <r>
      <t xml:space="preserve">= replace </t>
    </r>
    <r>
      <rPr>
        <sz val="10"/>
        <color rgb="FFC00000"/>
        <rFont val="Consolas"/>
        <family val="3"/>
      </rPr>
      <t>#N/A</t>
    </r>
    <r>
      <rPr>
        <sz val="10"/>
        <color rgb="FF002138"/>
        <rFont val="Calibri"/>
        <family val="2"/>
        <scheme val="minor"/>
      </rPr>
      <t xml:space="preserve"> values with input value provided</t>
    </r>
  </si>
  <si>
    <r>
      <t>Required input parameters (</t>
    </r>
    <r>
      <rPr>
        <sz val="10"/>
        <color rgb="FF0065A8"/>
        <rFont val="Consolas"/>
        <family val="3"/>
      </rPr>
      <t>array</t>
    </r>
    <r>
      <rPr>
        <sz val="10"/>
        <color rgb="FF002138"/>
        <rFont val="Calibri"/>
        <family val="2"/>
        <scheme val="minor"/>
      </rPr>
      <t xml:space="preserve">, </t>
    </r>
    <r>
      <rPr>
        <sz val="10"/>
        <color rgb="FF0065A8"/>
        <rFont val="Consolas"/>
        <family val="3"/>
      </rPr>
      <t>insert_index</t>
    </r>
    <r>
      <rPr>
        <sz val="10"/>
        <color rgb="FF002138"/>
        <rFont val="Calibri"/>
        <family val="2"/>
        <scheme val="minor"/>
      </rPr>
      <t>) have not been provided</t>
    </r>
  </si>
  <si>
    <r>
      <t xml:space="preserve">the optional parameters </t>
    </r>
    <r>
      <rPr>
        <sz val="10"/>
        <color rgb="FF0065A8"/>
        <rFont val="Consolas"/>
        <family val="3"/>
      </rPr>
      <t>insert_after</t>
    </r>
    <r>
      <rPr>
        <sz val="10"/>
        <color rgb="FF002138"/>
        <rFont val="Calibri"/>
        <family val="2"/>
        <scheme val="minor"/>
      </rPr>
      <t xml:space="preserve">, </t>
    </r>
    <r>
      <rPr>
        <sz val="10"/>
        <color rgb="FF0065A8"/>
        <rFont val="Consolas"/>
        <family val="3"/>
      </rPr>
      <t>insert_columns</t>
    </r>
    <r>
      <rPr>
        <sz val="10"/>
        <color rgb="FF002138"/>
        <rFont val="Calibri"/>
        <family val="2"/>
        <scheme val="minor"/>
      </rPr>
      <t xml:space="preserve">, or </t>
    </r>
    <r>
      <rPr>
        <sz val="10"/>
        <color rgb="FF0065A8"/>
        <rFont val="Consolas"/>
        <family val="3"/>
      </rPr>
      <t>as_individual</t>
    </r>
    <r>
      <rPr>
        <sz val="10"/>
        <color rgb="FF002138"/>
        <rFont val="Calibri"/>
        <family val="2"/>
        <scheme val="minor"/>
      </rPr>
      <t xml:space="preserve"> have invalid input values provided</t>
    </r>
  </si>
  <si>
    <r>
      <t xml:space="preserve">The input provided for the </t>
    </r>
    <r>
      <rPr>
        <sz val="10"/>
        <color rgb="FF0065A8"/>
        <rFont val="Consolas"/>
        <family val="3"/>
      </rPr>
      <t>array</t>
    </r>
    <r>
      <rPr>
        <sz val="10"/>
        <color rgb="FF002138"/>
        <rFont val="Calibri"/>
        <family val="2"/>
        <scheme val="minor"/>
      </rPr>
      <t xml:space="preserve"> parameter is invalid (i.e. not an array of more than one value), or</t>
    </r>
  </si>
  <si>
    <r>
      <t xml:space="preserve">the input(s) provided for the </t>
    </r>
    <r>
      <rPr>
        <sz val="10"/>
        <color rgb="FF0065A8"/>
        <rFont val="Consolas"/>
        <family val="3"/>
      </rPr>
      <t>insert_index</t>
    </r>
    <r>
      <rPr>
        <sz val="10"/>
        <color rgb="FF002138"/>
        <rFont val="Calibri"/>
        <family val="2"/>
        <scheme val="minor"/>
      </rPr>
      <t xml:space="preserve"> parameter are invalid</t>
    </r>
  </si>
  <si>
    <t>original array from which rows and/or columns are to be removed</t>
  </si>
  <si>
    <t>// Dealing with the required parameters and calculating the dimension variables needed for the main calculation</t>
  </si>
  <si>
    <t>// Adjusting the remove_rows and remove_cols index values to dynamically account for negative input values</t>
  </si>
  <si>
    <t>// Re-constructing the original array (_arr) leaving out any row indices marked for removal</t>
  </si>
  <si>
    <t>// Re-constructing the updated array after row removal (_rCalc) leaving out any column indices marked for removal</t>
  </si>
  <si>
    <t>// Re-calculating the number of rows in the array after potential row removals</t>
  </si>
  <si>
    <t>// Dealing with an empty re-constructed array after row and column removal using any value from if_empty parameter</t>
  </si>
  <si>
    <t>https://gist.github.com/r-silk/23480f2929317b45544b4953e1ddb7a6</t>
  </si>
  <si>
    <t>Custom Lambda function which allows for the deletion/removal of rows and/or columns at specified points of an input array.</t>
  </si>
  <si>
    <t>The function uses relative index values to specify the position of the rows and columns to be removed, and can be entered as a single value or an array of values.</t>
  </si>
  <si>
    <t>The function accepts separate arrays of index values for rows and columns to be removed to allow for full flexibility.</t>
  </si>
  <si>
    <t>The values should be whole numbers (integers) and can be positive or negative:</t>
  </si>
  <si>
    <r>
      <t xml:space="preserve">the relative row number(s) indicating which row(s) should be removed from the input </t>
    </r>
    <r>
      <rPr>
        <sz val="10"/>
        <color rgb="FF0065A8"/>
        <rFont val="Consolas"/>
        <family val="3"/>
      </rPr>
      <t>array</t>
    </r>
  </si>
  <si>
    <r>
      <t xml:space="preserve"> -&gt; positive values (</t>
    </r>
    <r>
      <rPr>
        <sz val="10"/>
        <color rgb="FF0000FF"/>
        <rFont val="Consolas"/>
        <family val="3"/>
      </rPr>
      <t>+1</t>
    </r>
    <r>
      <rPr>
        <sz val="10"/>
        <color rgb="FF002138"/>
        <rFont val="Calibri"/>
        <family val="2"/>
        <scheme val="minor"/>
      </rPr>
      <t>) indicate counting of relative row from the start of the array (top) going downwards</t>
    </r>
  </si>
  <si>
    <r>
      <t xml:space="preserve"> -&gt; negative values (</t>
    </r>
    <r>
      <rPr>
        <sz val="10"/>
        <color rgb="FF0000FF"/>
        <rFont val="Consolas"/>
        <family val="3"/>
      </rPr>
      <t>-1</t>
    </r>
    <r>
      <rPr>
        <sz val="10"/>
        <color rgb="FF002138"/>
        <rFont val="Calibri"/>
        <family val="2"/>
        <scheme val="minor"/>
      </rPr>
      <t>) indicate counting of relative column from the end of the array (bottom) going upwards</t>
    </r>
  </si>
  <si>
    <r>
      <t xml:space="preserve">the relative column number(s) indicating which column(s) should be removed from the input </t>
    </r>
    <r>
      <rPr>
        <sz val="10"/>
        <color rgb="FF0065A8"/>
        <rFont val="Consolas"/>
        <family val="3"/>
      </rPr>
      <t>array</t>
    </r>
  </si>
  <si>
    <r>
      <t xml:space="preserve"> -&gt; negative values (</t>
    </r>
    <r>
      <rPr>
        <sz val="10"/>
        <color rgb="FF0000FF"/>
        <rFont val="Consolas"/>
        <family val="3"/>
      </rPr>
      <t>-1</t>
    </r>
    <r>
      <rPr>
        <sz val="10"/>
        <color rgb="FF002138"/>
        <rFont val="Calibri"/>
        <family val="2"/>
        <scheme val="minor"/>
      </rPr>
      <t>) indicate counting of relative column from the Right side of the array going back to the Left</t>
    </r>
  </si>
  <si>
    <r>
      <t xml:space="preserve"> -&gt; positive values (</t>
    </r>
    <r>
      <rPr>
        <sz val="10"/>
        <color rgb="FF0000FF"/>
        <rFont val="Consolas"/>
        <family val="3"/>
      </rPr>
      <t>+1</t>
    </r>
    <r>
      <rPr>
        <sz val="10"/>
        <color rgb="FF002138"/>
        <rFont val="Calibri"/>
        <family val="2"/>
        <scheme val="minor"/>
      </rPr>
      <t>) indicate counting of relative column from the Left side of the array going across to the Right</t>
    </r>
  </si>
  <si>
    <t>_rtn, IF( ISERR(_cCalc), _rep, _cCalc),</t>
  </si>
  <si>
    <t>an optional value which will be output if all rows or columns are removed leaving an empty output array</t>
  </si>
  <si>
    <r>
      <t xml:space="preserve">The input(s) provided for the </t>
    </r>
    <r>
      <rPr>
        <sz val="10"/>
        <color rgb="FF0065A8"/>
        <rFont val="Consolas"/>
        <family val="3"/>
      </rPr>
      <t>remove_rows</t>
    </r>
    <r>
      <rPr>
        <sz val="10"/>
        <color rgb="FF002138"/>
        <rFont val="Calibri"/>
        <family val="2"/>
        <scheme val="minor"/>
      </rPr>
      <t xml:space="preserve"> and </t>
    </r>
    <r>
      <rPr>
        <sz val="10"/>
        <color rgb="FF0065A8"/>
        <rFont val="Consolas"/>
        <family val="3"/>
      </rPr>
      <t>remove_cols</t>
    </r>
    <r>
      <rPr>
        <sz val="10"/>
        <color rgb="FF002138"/>
        <rFont val="Calibri"/>
        <family val="2"/>
        <scheme val="minor"/>
      </rPr>
      <t xml:space="preserve"> parameter are invalid (i.e. contains an Excel error value or non-number values)</t>
    </r>
  </si>
  <si>
    <t>Sorts the values in an input array into a random order, preserving the size and dimensions of the original array.</t>
  </si>
  <si>
    <t>Can be used to randomly re-order all items in the array, or re-order full rows or full columns, maintaining the original order of the items in each row or column respectively.</t>
  </si>
  <si>
    <t>Demonstrating simple usage on a 2D array</t>
  </si>
  <si>
    <t>Demonstrating simple usage on a 1D array</t>
  </si>
  <si>
    <t>Demonstrating sorting full rows and columns</t>
  </si>
  <si>
    <t>Inputs</t>
  </si>
  <si>
    <t>Alpha</t>
  </si>
  <si>
    <t>XYZ-001</t>
  </si>
  <si>
    <t>Bravo</t>
  </si>
  <si>
    <t>XYZ-002</t>
  </si>
  <si>
    <t>Charlie</t>
  </si>
  <si>
    <t>XYZ-003</t>
  </si>
  <si>
    <t>Delta</t>
  </si>
  <si>
    <t>XYZ-004</t>
  </si>
  <si>
    <t>Echo</t>
  </si>
  <si>
    <t>XYZ-005</t>
  </si>
  <si>
    <t>Foxtrot</t>
  </si>
  <si>
    <t>XYZ-006</t>
  </si>
  <si>
    <t>Golf</t>
  </si>
  <si>
    <t>XYZ-007</t>
  </si>
  <si>
    <t>Hotel</t>
  </si>
  <si>
    <t>XYZ-008</t>
  </si>
  <si>
    <t>India</t>
  </si>
  <si>
    <t>XYZ-009</t>
  </si>
  <si>
    <t>Juliett</t>
  </si>
  <si>
    <t>XYZ-010</t>
  </si>
  <si>
    <t>RXL_Array.RandomSort</t>
  </si>
  <si>
    <t>Index</t>
  </si>
  <si>
    <t>Reverse</t>
  </si>
  <si>
    <t>Output -- sorting rows</t>
  </si>
  <si>
    <t>Output -- sorting columns</t>
  </si>
  <si>
    <t>Output -- removing rows using positive relative row index values</t>
  </si>
  <si>
    <t>Output -- removing rows using negative relative row index values</t>
  </si>
  <si>
    <t>Output -- removing rows using a mix of positive and negative relative row values</t>
  </si>
  <si>
    <t>Demonstrating basic usage</t>
  </si>
  <si>
    <t>Output -- removing columns using positive relative column index values</t>
  </si>
  <si>
    <t>Output -- removing columns using negative relative column index values</t>
  </si>
  <si>
    <t>Output -- removing columns using a mix of positive and negative relative column values</t>
  </si>
  <si>
    <t>Output -- removing rows and columns using mix of relative index values</t>
  </si>
  <si>
    <t>Output -- removing all rows</t>
  </si>
  <si>
    <r>
      <t xml:space="preserve">Output -- removing all rows with </t>
    </r>
    <r>
      <rPr>
        <sz val="10"/>
        <color rgb="FF0065A8"/>
        <rFont val="Consolas"/>
        <family val="3"/>
      </rPr>
      <t>if_empty</t>
    </r>
    <r>
      <rPr>
        <sz val="10"/>
        <color rgb="FF002138"/>
        <rFont val="Calibri"/>
        <family val="2"/>
        <scheme val="minor"/>
      </rPr>
      <t xml:space="preserve"> parameter</t>
    </r>
  </si>
  <si>
    <r>
      <t xml:space="preserve">Demonstrating use of </t>
    </r>
    <r>
      <rPr>
        <b/>
        <i/>
        <sz val="10"/>
        <color rgb="FF002138"/>
        <rFont val="Consolas"/>
        <family val="3"/>
      </rPr>
      <t>remove_rows</t>
    </r>
    <r>
      <rPr>
        <b/>
        <i/>
        <sz val="10"/>
        <color rgb="FF002138"/>
        <rFont val="Calibri"/>
        <family val="2"/>
        <scheme val="minor"/>
      </rPr>
      <t xml:space="preserve"> parameter</t>
    </r>
  </si>
  <si>
    <r>
      <t xml:space="preserve">Demonstrating use of </t>
    </r>
    <r>
      <rPr>
        <b/>
        <i/>
        <sz val="10"/>
        <rFont val="Consolas"/>
        <family val="3"/>
      </rPr>
      <t>remove_columns</t>
    </r>
    <r>
      <rPr>
        <b/>
        <i/>
        <sz val="10"/>
        <rFont val="Calibri"/>
        <family val="2"/>
        <scheme val="minor"/>
      </rPr>
      <t xml:space="preserve"> parameter</t>
    </r>
  </si>
  <si>
    <r>
      <t xml:space="preserve">Demonstrating use of </t>
    </r>
    <r>
      <rPr>
        <b/>
        <i/>
        <sz val="10"/>
        <rFont val="Consolas"/>
        <family val="3"/>
      </rPr>
      <t>remove_rows</t>
    </r>
    <r>
      <rPr>
        <b/>
        <i/>
        <sz val="10"/>
        <rFont val="Calibri"/>
        <family val="2"/>
        <scheme val="minor"/>
      </rPr>
      <t xml:space="preserve"> + </t>
    </r>
    <r>
      <rPr>
        <b/>
        <i/>
        <sz val="10"/>
        <rFont val="Consolas"/>
        <family val="3"/>
      </rPr>
      <t>remove_cols</t>
    </r>
    <r>
      <rPr>
        <b/>
        <i/>
        <sz val="10"/>
        <rFont val="Calibri"/>
        <family val="2"/>
        <scheme val="minor"/>
      </rPr>
      <t xml:space="preserve"> parameters together</t>
    </r>
  </si>
  <si>
    <r>
      <t xml:space="preserve">Demonstrating use of </t>
    </r>
    <r>
      <rPr>
        <b/>
        <i/>
        <sz val="10"/>
        <color rgb="FF002138"/>
        <rFont val="Consolas"/>
        <family val="3"/>
      </rPr>
      <t>if_empty</t>
    </r>
    <r>
      <rPr>
        <b/>
        <i/>
        <sz val="10"/>
        <color rgb="FF002138"/>
        <rFont val="Calibri"/>
        <family val="2"/>
        <scheme val="minor"/>
      </rPr>
      <t xml:space="preserve"> parameter</t>
    </r>
  </si>
  <si>
    <t>Removes chosen rows and/or columns from an input array; uses relative row/column index numbers</t>
  </si>
  <si>
    <t>Can be used to remove only rows or only columns, or removing both rows and columns</t>
  </si>
  <si>
    <t>Inserts new rows or columns into an input array at specified positions; uses relative row/column index numbers</t>
  </si>
  <si>
    <t>By default the input array is expanded with #N/A values, but can be expanded with a value or array of values using the insert_inputs parameter</t>
  </si>
  <si>
    <t>Output -- adding a single blank row</t>
  </si>
  <si>
    <t xml:space="preserve"> -&gt; columns only, 1D array</t>
  </si>
  <si>
    <t>Reverse Array Function</t>
  </si>
  <si>
    <t>Correcting Function Behaviour</t>
  </si>
  <si>
    <t>Correcting omitted input behaviour for insert_inputs parameter</t>
  </si>
  <si>
    <t>_inp, IF( ISOMITTED(insert_inputs), "¦", insert_inputs),</t>
  </si>
  <si>
    <t>SUM(--ISERROR(_inp)) &gt; 0,</t>
  </si>
  <si>
    <t>IF((IFERROR(_calc = "¦", FALSE) + ISNA(_calc)), _rep, _calc)</t>
  </si>
  <si>
    <t>The value(s) can be of any data type, but should not be an Excel error value</t>
  </si>
  <si>
    <r>
      <t xml:space="preserve">The input(s) provided for the </t>
    </r>
    <r>
      <rPr>
        <sz val="10"/>
        <color rgb="FF0065A8"/>
        <rFont val="Consolas"/>
        <family val="3"/>
      </rPr>
      <t>insert_inputs</t>
    </r>
    <r>
      <rPr>
        <sz val="10"/>
        <color rgb="FF002138"/>
        <rFont val="Calibri"/>
        <family val="2"/>
        <scheme val="minor"/>
      </rPr>
      <t xml:space="preserve"> parameter are invalid (i.e. contains an Excel error value), or</t>
    </r>
  </si>
  <si>
    <t>IF(_calc = "¦", NA(), _calc),</t>
  </si>
  <si>
    <t>Output -- adding a single row with a single input value</t>
  </si>
  <si>
    <t>Output -- adding a full row</t>
  </si>
  <si>
    <t>Output -- plus adding a full column</t>
  </si>
  <si>
    <r>
      <t xml:space="preserve">Demonstrating use of </t>
    </r>
    <r>
      <rPr>
        <b/>
        <i/>
        <sz val="10"/>
        <color rgb="FF002138"/>
        <rFont val="Consolas"/>
        <family val="3"/>
      </rPr>
      <t>insert_after</t>
    </r>
    <r>
      <rPr>
        <b/>
        <i/>
        <sz val="10"/>
        <color rgb="FF002138"/>
        <rFont val="Calibri"/>
        <family val="2"/>
        <scheme val="minor"/>
      </rPr>
      <t xml:space="preserve"> parameter</t>
    </r>
  </si>
  <si>
    <r>
      <t xml:space="preserve">Demonstrating use of </t>
    </r>
    <r>
      <rPr>
        <b/>
        <i/>
        <sz val="10"/>
        <color rgb="FF002138"/>
        <rFont val="Consolas"/>
        <family val="3"/>
      </rPr>
      <t>as_individual</t>
    </r>
    <r>
      <rPr>
        <b/>
        <i/>
        <sz val="10"/>
        <color rgb="FF002138"/>
        <rFont val="Calibri"/>
        <family val="2"/>
        <scheme val="minor"/>
      </rPr>
      <t xml:space="preserve"> parameter</t>
    </r>
  </si>
  <si>
    <r>
      <t xml:space="preserve">Demonstrating use of </t>
    </r>
    <r>
      <rPr>
        <b/>
        <i/>
        <sz val="10"/>
        <color rgb="FF002138"/>
        <rFont val="Consolas"/>
        <family val="3"/>
      </rPr>
      <t>replace_na</t>
    </r>
    <r>
      <rPr>
        <b/>
        <i/>
        <sz val="10"/>
        <color rgb="FF002138"/>
        <rFont val="Calibri"/>
        <family val="2"/>
        <scheme val="minor"/>
      </rPr>
      <t xml:space="preserve"> parameter</t>
    </r>
  </si>
  <si>
    <t>[Y]</t>
  </si>
  <si>
    <t>[Z]</t>
  </si>
  <si>
    <r>
      <t xml:space="preserve">Output -- </t>
    </r>
    <r>
      <rPr>
        <sz val="10"/>
        <color rgb="FF0065A8"/>
        <rFont val="Consolas"/>
        <family val="3"/>
      </rPr>
      <t>insert_after</t>
    </r>
    <r>
      <rPr>
        <sz val="10"/>
        <color rgb="FF002138"/>
        <rFont val="Calibri"/>
        <family val="2"/>
        <scheme val="minor"/>
      </rPr>
      <t xml:space="preserve"> input omitted for default behaviour</t>
    </r>
  </si>
  <si>
    <r>
      <t xml:space="preserve">Output -- </t>
    </r>
    <r>
      <rPr>
        <sz val="10"/>
        <color rgb="FF0065A8"/>
        <rFont val="Consolas"/>
        <family val="3"/>
      </rPr>
      <t>insert_after</t>
    </r>
    <r>
      <rPr>
        <sz val="10"/>
        <color rgb="FF002138"/>
        <rFont val="Calibri"/>
        <family val="2"/>
        <scheme val="minor"/>
      </rPr>
      <t xml:space="preserve"> input as FALSE</t>
    </r>
  </si>
  <si>
    <r>
      <t xml:space="preserve">Output -- </t>
    </r>
    <r>
      <rPr>
        <sz val="10"/>
        <color rgb="FF0065A8"/>
        <rFont val="Consolas"/>
        <family val="3"/>
      </rPr>
      <t>as_individual</t>
    </r>
    <r>
      <rPr>
        <sz val="10"/>
        <color rgb="FF002138"/>
        <rFont val="Calibri"/>
        <family val="2"/>
        <scheme val="minor"/>
      </rPr>
      <t xml:space="preserve"> input omitted for default behaviour</t>
    </r>
  </si>
  <si>
    <t>// Adjusting insert_index inputs to account for negative input values</t>
  </si>
  <si>
    <t>_num, IF(_iCol, _cc, _rr),</t>
  </si>
  <si>
    <t>_ins, INT(insert_index) + IF(insert_index &lt; 0, _num + 1, 0),</t>
  </si>
  <si>
    <t>=LAMBDA(array,insert_index,[insert_inputs],[insert_after],[insert_columns],[as_individual],[replace_na],LET(_arr,array,_rr,ROWS(_arr),_cc,COLUMNS(_arr),_inp,IF(ISOMITTED(insert_inputs),"¦",insert_inputs),_iAft,IF(ISOMITTED(insert_after),0,INT(insert_after)),_iCol,IF(ISOMITTED(insert_columns),0,INT(insert_columns)),_idv,IF(ISOMITTED(as_individual),0,INT(as_individual)),_nInp,IF(ISOMITTED(replace_na),FALSE,INDEX(replace_na,1,1)),_rep,IF(ISLOGICAL(_nInp),IF(_nInp,0,NA()),_nInp),_num,IF(_iCol,_cc,_rr),_ins,INT(insert_index)+IF(insert_index&lt;0,_num+1,0),_inpChk,IF(OR(AND(_rr&lt;=1,_cc&lt;=1),SUM(--ISERROR(_ins))&gt;0),2,IF(OR(SUM(--ISERROR(_inp))&gt;0,REDUCE(0,VSTACK(_iAft,_iCol,_idv),LAMBDA(_acc,_val,_acc+IF(SUM(--ISERROR(_val))&gt;0,1,IF(OR(MIN(_val)&lt;0,MAX(_val)&gt;1),1,0))))&gt;0),3,1)),_rInp,ROWS(_inp),_cInp,COLUMNS(_inp),_rIdx,SEQUENCE(ROWS(_arr),1),_cIdx,SEQUENCE(1,COLUMNS(_arr)),_calc,IF(_iCol,DROP(REDUCE(0,SEQUENCE(1,_cc),LAMBDA(_acc,_val,IF(ISNUMBER(XMATCH(_val,_ins)),LET(_idx,SEQUENCE(ROWS(_inp),1),_new,IF(_idv,INDEX(_inp,_idx,MOD(XMATCH(_val,_ins)-1,_cInp)+1),_inp),_old,INDEX(_arr,_rIdx,_val),_1st,IF(_iAft,_old,_new),_2nd,IF(_iAft,_new,_old),HSTACK(_acc,_1st,_2nd)),HSTACK(_acc,INDEX(_arr,_rIdx,_val))))),,1),DROP(REDUCE(0,SEQUENCE(_rr, 1),LAMBDA(_acc,_val,IF(ISNUMBER(XMATCH(_val,_ins)),LET(_idx,SEQUENCE(1,COLUMNS(_inp)),_new,IF(_idv,INDEX(_inp,MOD(XMATCH(_val,_ins)-1,_rInp)+1,_idx),_inp),_old,INDEX(_arr,_val,_cIdx),_1st,IF(_iAft,_old,_new),_2nd,IF(_iAft,_new,_old),VSTACK(_acc,_1st,_2nd)),VSTACK(_acc,INDEX(_arr,_val,_cIdx))))),1)),_rtn,IF(ISNA(_rep),IF(_calc="¦",NA(),_calc),IF((IFERROR(_calc="¦",FALSE)+ISNA(_calc)),_rep,_calc)),CHOOSE(_inpChk,_rtn,LAMBDA(0),#VALUE!)))</t>
  </si>
  <si>
    <r>
      <t xml:space="preserve">Output -- </t>
    </r>
    <r>
      <rPr>
        <sz val="10"/>
        <color rgb="FF0065A8"/>
        <rFont val="Consolas"/>
        <family val="3"/>
      </rPr>
      <t>as_individual</t>
    </r>
    <r>
      <rPr>
        <sz val="10"/>
        <color rgb="FF002138"/>
        <rFont val="Calibri"/>
        <family val="2"/>
        <scheme val="minor"/>
      </rPr>
      <t xml:space="preserve"> input as FALSE</t>
    </r>
  </si>
  <si>
    <r>
      <t xml:space="preserve">Output -- </t>
    </r>
    <r>
      <rPr>
        <sz val="10"/>
        <color rgb="FF0065A8"/>
        <rFont val="Consolas"/>
        <family val="3"/>
      </rPr>
      <t>as_individual</t>
    </r>
    <r>
      <rPr>
        <sz val="10"/>
        <color rgb="FF002138"/>
        <rFont val="Calibri"/>
        <family val="2"/>
        <scheme val="minor"/>
      </rPr>
      <t xml:space="preserve"> input as TRUE</t>
    </r>
  </si>
  <si>
    <r>
      <t xml:space="preserve">Output -- </t>
    </r>
    <r>
      <rPr>
        <sz val="10"/>
        <color rgb="FF0065A8"/>
        <rFont val="Consolas"/>
        <family val="3"/>
      </rPr>
      <t>insert_after</t>
    </r>
    <r>
      <rPr>
        <sz val="10"/>
        <color rgb="FF002138"/>
        <rFont val="Calibri"/>
        <family val="2"/>
        <scheme val="minor"/>
      </rPr>
      <t xml:space="preserve"> input as TRUE</t>
    </r>
  </si>
  <si>
    <t>Replacement value</t>
  </si>
  <si>
    <r>
      <t xml:space="preserve">Output -- </t>
    </r>
    <r>
      <rPr>
        <sz val="10"/>
        <color rgb="FF0065A8"/>
        <rFont val="Consolas"/>
        <family val="3"/>
      </rPr>
      <t>replace_na</t>
    </r>
    <r>
      <rPr>
        <sz val="10"/>
        <color rgb="FF002138"/>
        <rFont val="Calibri"/>
        <family val="2"/>
        <scheme val="minor"/>
      </rPr>
      <t xml:space="preserve"> input omitted for default behaviour</t>
    </r>
  </si>
  <si>
    <r>
      <t xml:space="preserve">Output -- </t>
    </r>
    <r>
      <rPr>
        <sz val="10"/>
        <color rgb="FF0065A8"/>
        <rFont val="Consolas"/>
        <family val="3"/>
      </rPr>
      <t>replace_na</t>
    </r>
    <r>
      <rPr>
        <sz val="10"/>
        <color rgb="FF002138"/>
        <rFont val="Calibri"/>
        <family val="2"/>
        <scheme val="minor"/>
      </rPr>
      <t xml:space="preserve"> input input as TRUE</t>
    </r>
  </si>
  <si>
    <r>
      <t xml:space="preserve">Output -- </t>
    </r>
    <r>
      <rPr>
        <sz val="10"/>
        <color rgb="FF0065A8"/>
        <rFont val="Consolas"/>
        <family val="3"/>
      </rPr>
      <t>replace_na</t>
    </r>
    <r>
      <rPr>
        <sz val="10"/>
        <color rgb="FF002138"/>
        <rFont val="Calibri"/>
        <family val="2"/>
        <scheme val="minor"/>
      </rPr>
      <t xml:space="preserve"> input input as specified value</t>
    </r>
  </si>
  <si>
    <t>(none)</t>
  </si>
  <si>
    <r>
      <t xml:space="preserve">Output -- </t>
    </r>
    <r>
      <rPr>
        <sz val="10"/>
        <color rgb="FF0065A8"/>
        <rFont val="Consolas"/>
        <family val="3"/>
      </rPr>
      <t>replace_na</t>
    </r>
    <r>
      <rPr>
        <sz val="10"/>
        <color rgb="FF002138"/>
        <rFont val="Calibri"/>
        <family val="2"/>
        <scheme val="minor"/>
      </rPr>
      <t xml:space="preserve"> input input as a blank string</t>
    </r>
  </si>
  <si>
    <t>https://gist.github.com/r-silk/ca2ecef53235978f8b18c5ecc8ff4fb3</t>
  </si>
  <si>
    <t>Reverse()</t>
  </si>
  <si>
    <t>RXL_Array.Reverse</t>
  </si>
  <si>
    <t>Output:</t>
  </si>
  <si>
    <t>Input:</t>
  </si>
  <si>
    <t>Using INDEX() and SEQUENCE() functions to reverse all elements in an input array</t>
  </si>
  <si>
    <t xml:space="preserve"> -&gt; reverses rows and columns with starting element moved from top left corner to bottom right corner</t>
  </si>
  <si>
    <t>Adding ability to reverse only rows or columns based on input switch</t>
  </si>
  <si>
    <t xml:space="preserve">By row? </t>
  </si>
  <si>
    <t>Combining principles from versions (A) and (B)</t>
  </si>
  <si>
    <t>Updating version (C) with functionality from version (D) + conversion to LAMBDA() function</t>
  </si>
  <si>
    <t>_rr, ROWS(array),</t>
  </si>
  <si>
    <t>_cc, COLUMNS(array),</t>
  </si>
  <si>
    <t>_byR, IF( ISOMITTED(by_row), -1, INT(by_row)),</t>
  </si>
  <si>
    <t>ISERROR(_byR),</t>
  </si>
  <si>
    <t>_byR &lt; -1, _byR &gt; 1</t>
  </si>
  <si>
    <t>_rIdx, IF(_byR &lt;&gt; 0,</t>
  </si>
  <si>
    <t>SEQUENCE(_rr, 1, _rr, -1),</t>
  </si>
  <si>
    <t>SEQUENCE(_rr, 1, 1, 1)</t>
  </si>
  <si>
    <t>_cIdx, IF(_byR &lt;= 0,</t>
  </si>
  <si>
    <t>SEQUENCE(1, _cc, _cc, -1),</t>
  </si>
  <si>
    <t>SEQUENCE(1, _cc, 1, 1)</t>
  </si>
  <si>
    <t>_rtn, INDEX(array, _rIdx, _cIdx),</t>
  </si>
  <si>
    <t>Needs to work equally with 1D arrays (vertical list of 1 column, or horizontal list of 1 row) or a 2D array (e.g. multiple rows and columns).</t>
  </si>
  <si>
    <t>A custom Lambda function for reversing the order of items in an array.</t>
  </si>
  <si>
    <t>Should allow for reversing the order of rows, reversing the order of columns, or fully reversing all items (rows and columns).</t>
  </si>
  <si>
    <t xml:space="preserve"> - The native INDEX() function in Office365 can now accept arrays of values for the row and column parameters</t>
  </si>
  <si>
    <t xml:space="preserve"> -&gt; this allows for multiple rows and/or columns to be returned from a single function call and result in an array output rather than a single value output</t>
  </si>
  <si>
    <t xml:space="preserve"> -&gt; using SEQUENCE() function calls to create arrays of all relative row and column values will mean the INDEX() function returns the full input array as a single dynamic array</t>
  </si>
  <si>
    <t xml:space="preserve"> -&gt; by reversing the created SEQUENCE() arrays for the relative rows and/or columns the INDEX() function call will return the input array in reverse row and/or column order</t>
  </si>
  <si>
    <r>
      <t xml:space="preserve"> - must be either a number (</t>
    </r>
    <r>
      <rPr>
        <sz val="10"/>
        <color rgb="FF0000FF"/>
        <rFont val="Consolas"/>
        <family val="3"/>
      </rPr>
      <t>+1</t>
    </r>
    <r>
      <rPr>
        <sz val="10"/>
        <color rgb="FF002138"/>
        <rFont val="Calibri"/>
        <family val="2"/>
        <scheme val="minor"/>
      </rPr>
      <t xml:space="preserve">, </t>
    </r>
    <r>
      <rPr>
        <sz val="10"/>
        <color rgb="FF0000FF"/>
        <rFont val="Consolas"/>
        <family val="3"/>
      </rPr>
      <t>0</t>
    </r>
    <r>
      <rPr>
        <sz val="10"/>
        <color rgb="FF002138"/>
        <rFont val="Calibri"/>
        <family val="2"/>
        <scheme val="minor"/>
      </rPr>
      <t>, or -</t>
    </r>
    <r>
      <rPr>
        <sz val="10"/>
        <color rgb="FF0000FF"/>
        <rFont val="Consolas"/>
        <family val="3"/>
      </rPr>
      <t>1</t>
    </r>
    <r>
      <rPr>
        <sz val="10"/>
        <color rgb="FF002138"/>
        <rFont val="Calibri"/>
        <family val="2"/>
        <scheme val="minor"/>
      </rPr>
      <t>) or a logical/Boolean value (</t>
    </r>
    <r>
      <rPr>
        <sz val="10"/>
        <color rgb="FF0000FF"/>
        <rFont val="Consolas"/>
        <family val="3"/>
      </rPr>
      <t>TRUE</t>
    </r>
    <r>
      <rPr>
        <sz val="10"/>
        <color rgb="FF002138"/>
        <rFont val="Calibri"/>
        <family val="2"/>
        <scheme val="minor"/>
      </rPr>
      <t>/</t>
    </r>
    <r>
      <rPr>
        <sz val="10"/>
        <color rgb="FF0000FF"/>
        <rFont val="Consolas"/>
        <family val="3"/>
      </rPr>
      <t>FALSE</t>
    </r>
    <r>
      <rPr>
        <sz val="10"/>
        <color rgb="FF002138"/>
        <rFont val="Calibri"/>
        <family val="2"/>
        <scheme val="minor"/>
      </rPr>
      <t>)</t>
    </r>
  </si>
  <si>
    <t>determines whether the array row order is reversed or the column order is reversed in the function output</t>
  </si>
  <si>
    <r>
      <rPr>
        <sz val="10"/>
        <color rgb="FF0000FF"/>
        <rFont val="Consolas"/>
        <family val="3"/>
      </rPr>
      <t>+1</t>
    </r>
    <r>
      <rPr>
        <sz val="10"/>
        <color rgb="FF002138"/>
        <rFont val="Calibri"/>
        <family val="2"/>
        <scheme val="minor"/>
      </rPr>
      <t>/</t>
    </r>
    <r>
      <rPr>
        <sz val="10"/>
        <color rgb="FF0000FF"/>
        <rFont val="Consolas"/>
        <family val="3"/>
      </rPr>
      <t>TRUE</t>
    </r>
  </si>
  <si>
    <r>
      <rPr>
        <sz val="10"/>
        <color rgb="FF0000FF"/>
        <rFont val="Consolas"/>
        <family val="3"/>
      </rPr>
      <t>-1</t>
    </r>
  </si>
  <si>
    <t>= reverses the order of rows in the output (order of columns is not reversed)</t>
  </si>
  <si>
    <t>= reverses the order of columns in the output (order of rows is not reversed)</t>
  </si>
  <si>
    <t>= reverses the order of full array (rows and columns) in the output</t>
  </si>
  <si>
    <t>// Calculating the derived variables needed for the main calculation</t>
  </si>
  <si>
    <t>Reverses the order of items in an input array; can be based on row order, column order, or both/full array</t>
  </si>
  <si>
    <t>original array for which the order of items is to be reversed</t>
  </si>
  <si>
    <t>// Calculate the required row (_rIdx) and column (_cIdx) relative index order arrays</t>
  </si>
  <si>
    <t>// Create the output array using the calculated output relative order sequences</t>
  </si>
  <si>
    <t>=LAMBDA(array,[by_row],LET(_rr,ROWS(array),_cc,COLUMNS(array),_byR,IF(ISOMITTED(by_row),-1,INT(by_row)),_inpChk,IF(AND(_rr&lt;=1,_cc&lt;=1),2,IF(OR(ISERROR(_byR),_byR&lt;-1,_byR&gt;1),3,1)),_rIdx,IF(_byR&lt;&gt;0,SEQUENCE(_rr,1,_rr,-1),SEQUENCE(_rr,1,1,1)),_cIdx,IF(_byR&lt;=0,SEQUENCE(1,_cc,_cc,-1),SEQUENCE(1,_cc,1,1)),_rtn,INDEX(array,_rIdx,_cIdx),CHOOSE(_inpChk,_rtn,LAMBDA(0),#VALUE!)))</t>
  </si>
  <si>
    <t>Output -- adding a single blank column</t>
  </si>
  <si>
    <t>Output -- adding a single column with a single input value</t>
  </si>
  <si>
    <t>Demonstrating usage on simple lists</t>
  </si>
  <si>
    <t>Vertical List</t>
  </si>
  <si>
    <t>Horizontal List</t>
  </si>
  <si>
    <t>Demonstrating usage on 2D array</t>
  </si>
  <si>
    <t>Output -- reversing row order only</t>
  </si>
  <si>
    <t>Output -- reversing column order only</t>
  </si>
  <si>
    <t>Output -- reversing full array (row and column orders)</t>
  </si>
  <si>
    <t>Output -- reversing full array (default behaviour)</t>
  </si>
  <si>
    <t>Can be used to reverse the row order, column order, or the full array (reversing both row and column orders)</t>
  </si>
  <si>
    <t>Reverses the order of items in an input array</t>
  </si>
  <si>
    <t>A custom Lambda function to allow for inserting new rows or columns into an input array at specific positions.</t>
  </si>
  <si>
    <t xml:space="preserve"> -&gt; the native Excel TAKE() function allows for the selection of a specified number of rows or columns from the start or end of an array</t>
  </si>
  <si>
    <t xml:space="preserve"> -&gt; the native Excel VSTACK() and HSTACK() functions allow for adding rows and columns to the start or end of an array, but not easily within the middle of an array</t>
  </si>
  <si>
    <t>Ideally, the new function should allow the user to easily specify a relative row/column position to insert new data to the input array</t>
  </si>
  <si>
    <t xml:space="preserve"> -&gt; should be able to specify multiple index positions, and be able to add blank rows/columns or populated rows/columns</t>
  </si>
  <si>
    <t xml:space="preserve"> - Allow for row or column insertion but not both at the same time as this could be over complicated, especially if allowing for populated full rows or columns to be inserted</t>
  </si>
  <si>
    <t xml:space="preserve"> - Best to use the REDUCE() function to iterate through the existing inout array rows and columns, and then at the specified points insert the new rows/columns using VSTACK() or HSTACK()</t>
  </si>
  <si>
    <t xml:space="preserve"> -&gt; this approach means that the change in dimensions of the original array that occur as new rows/columns are inserted, will not effect reading the specified relative row</t>
  </si>
  <si>
    <t xml:space="preserve">     and column indices where more than one has been provided</t>
  </si>
  <si>
    <t xml:space="preserve"> -&gt; this approach also allows for the user to specify whether the insertion should be before or after the row/column index they have specified as this can easily be adjusted using</t>
  </si>
  <si>
    <t xml:space="preserve">     order of items in the VSTACK()/HSTACK() function as the new array is constructed</t>
  </si>
  <si>
    <t xml:space="preserve"> - Would be helpful to provide the user the ability to input multiple row/column values to be inserted and then have the option to insert all of the values at the specified insertion</t>
  </si>
  <si>
    <t xml:space="preserve"> index row/column, or to insert a single row/column of the insertion inputs at each of the specified relative insertion indices in the order that the inputs are provided</t>
  </si>
  <si>
    <t xml:space="preserve"> - As the HSTACK() and VSTACK() functions used to facilitate the insertion of new data will leave #N/A values where the dimensions of the old array and the inserted data are not exactly</t>
  </si>
  <si>
    <t xml:space="preserve">   the same, it would be good to include the ability to replace #N/A values with a provided input value or default to a zero (0) value</t>
  </si>
  <si>
    <t>Instructions</t>
  </si>
  <si>
    <t>VBA Code</t>
  </si>
  <si>
    <t>A.</t>
  </si>
  <si>
    <t>Start by ensuring that you have this Workbook and the Workbook you wish to copy the function to open in the same Excel instance</t>
  </si>
  <si>
    <t>B.</t>
  </si>
  <si>
    <t>Open the VB Editor window</t>
  </si>
  <si>
    <t>C.</t>
  </si>
  <si>
    <t>D.</t>
  </si>
  <si>
    <t>In the code window which opens for ThisWorkbook, paste the VBA code from below exactly as written</t>
  </si>
  <si>
    <t>E.</t>
  </si>
  <si>
    <t>After copying the VBA code into code window, update line 16 replacing the text "Example.xlsx" with the name of your Excel Workbook/file</t>
  </si>
  <si>
    <t>F.</t>
  </si>
  <si>
    <t>Run the CopyLambda sub routine in ThisWorkbook module and check the Immediate window for the feedback message</t>
  </si>
  <si>
    <t>In order to copy across the RXL_Array() module from this Workbook to your own project you can use the instructions and VBA code below .</t>
  </si>
  <si>
    <t>In the VB Editor Project Explorer window, select this Workbook (RXL_Array.xlsx) and double click on the object named "ThisWorkbook"</t>
  </si>
  <si>
    <r>
      <rPr>
        <sz val="10"/>
        <color rgb="FF1E4FA8"/>
        <rFont val="Consolas"/>
        <family val="3"/>
      </rPr>
      <t>Private Sub</t>
    </r>
    <r>
      <rPr>
        <sz val="10"/>
        <rFont val="Consolas"/>
        <family val="3"/>
      </rPr>
      <t xml:space="preserve"> CopyLambda()</t>
    </r>
  </si>
  <si>
    <r>
      <t xml:space="preserve">    </t>
    </r>
    <r>
      <rPr>
        <sz val="10"/>
        <color rgb="FF1E4FA8"/>
        <rFont val="Consolas"/>
        <family val="3"/>
      </rPr>
      <t>Dim</t>
    </r>
    <r>
      <rPr>
        <sz val="10"/>
        <rFont val="Consolas"/>
        <family val="3"/>
      </rPr>
      <t xml:space="preserve"> wb </t>
    </r>
    <r>
      <rPr>
        <sz val="10"/>
        <color rgb="FF1E4FA8"/>
        <rFont val="Consolas"/>
        <family val="3"/>
      </rPr>
      <t>As</t>
    </r>
    <r>
      <rPr>
        <sz val="10"/>
        <rFont val="Consolas"/>
        <family val="3"/>
      </rPr>
      <t xml:space="preserve"> Workbook, nm </t>
    </r>
    <r>
      <rPr>
        <sz val="10"/>
        <color rgb="FF1E4FA8"/>
        <rFont val="Consolas"/>
        <family val="3"/>
      </rPr>
      <t>As</t>
    </r>
    <r>
      <rPr>
        <sz val="10"/>
        <rFont val="Consolas"/>
        <family val="3"/>
      </rPr>
      <t xml:space="preserve"> Name, fn </t>
    </r>
    <r>
      <rPr>
        <sz val="10"/>
        <color rgb="FF1E4FA8"/>
        <rFont val="Consolas"/>
        <family val="3"/>
      </rPr>
      <t>As</t>
    </r>
    <r>
      <rPr>
        <sz val="10"/>
        <rFont val="Consolas"/>
        <family val="3"/>
      </rPr>
      <t xml:space="preserve"> Name</t>
    </r>
  </si>
  <si>
    <r>
      <t xml:space="preserve">    </t>
    </r>
    <r>
      <rPr>
        <sz val="10"/>
        <color rgb="FF1E4FA8"/>
        <rFont val="Consolas"/>
        <family val="3"/>
      </rPr>
      <t>Dim</t>
    </r>
    <r>
      <rPr>
        <sz val="10"/>
        <rFont val="Consolas"/>
        <family val="3"/>
      </rPr>
      <t xml:space="preserve"> strLambda </t>
    </r>
    <r>
      <rPr>
        <sz val="10"/>
        <color rgb="FF1E4FA8"/>
        <rFont val="Consolas"/>
        <family val="3"/>
      </rPr>
      <t>As String</t>
    </r>
    <r>
      <rPr>
        <sz val="10"/>
        <rFont val="Consolas"/>
        <family val="3"/>
      </rPr>
      <t xml:space="preserve">, arrFuncs() </t>
    </r>
    <r>
      <rPr>
        <sz val="10"/>
        <color rgb="FF1E4FA8"/>
        <rFont val="Consolas"/>
        <family val="3"/>
      </rPr>
      <t>As String</t>
    </r>
  </si>
  <si>
    <r>
      <t xml:space="preserve">    </t>
    </r>
    <r>
      <rPr>
        <sz val="10"/>
        <color rgb="FF1E4FA8"/>
        <rFont val="Consolas"/>
        <family val="3"/>
      </rPr>
      <t>Dim</t>
    </r>
    <r>
      <rPr>
        <sz val="10"/>
        <rFont val="Consolas"/>
        <family val="3"/>
      </rPr>
      <t xml:space="preserve"> i </t>
    </r>
    <r>
      <rPr>
        <sz val="10"/>
        <color rgb="FF1E4FA8"/>
        <rFont val="Consolas"/>
        <family val="3"/>
      </rPr>
      <t>As Long</t>
    </r>
  </si>
  <si>
    <t xml:space="preserve">    ' Defining the module base name and individual function Names</t>
  </si>
  <si>
    <t xml:space="preserve">    </t>
  </si>
  <si>
    <t xml:space="preserve">    ' Creates the list of custom Lambda function to copy</t>
  </si>
  <si>
    <r>
      <t xml:space="preserve">    </t>
    </r>
    <r>
      <rPr>
        <sz val="10"/>
        <color rgb="FF1E4FA8"/>
        <rFont val="Consolas"/>
        <family val="3"/>
      </rPr>
      <t>On Error GoTo</t>
    </r>
    <r>
      <rPr>
        <sz val="10"/>
        <rFont val="Consolas"/>
        <family val="3"/>
      </rPr>
      <t xml:space="preserve"> ErrHndlr</t>
    </r>
  </si>
  <si>
    <t xml:space="preserve">        arrFuncs = Split(STR_FUNC, "|")</t>
  </si>
  <si>
    <t xml:space="preserve">    On Error Resume Next</t>
  </si>
  <si>
    <t xml:space="preserve">        'Update "Example.xlsx" with name of the Workbook you wish to copy the function to</t>
  </si>
  <si>
    <r>
      <t xml:space="preserve">        </t>
    </r>
    <r>
      <rPr>
        <sz val="10"/>
        <color rgb="FF1E4FA8"/>
        <rFont val="Consolas"/>
        <family val="3"/>
      </rPr>
      <t>Set</t>
    </r>
    <r>
      <rPr>
        <sz val="10"/>
        <rFont val="Consolas"/>
        <family val="3"/>
      </rPr>
      <t xml:space="preserve"> wb = Application.Workbooks("Example.xlsx")</t>
    </r>
  </si>
  <si>
    <r>
      <t xml:space="preserve">    </t>
    </r>
    <r>
      <rPr>
        <sz val="10"/>
        <color rgb="FF1E4FA8"/>
        <rFont val="Consolas"/>
        <family val="3"/>
      </rPr>
      <t>On Error GoTo</t>
    </r>
    <r>
      <rPr>
        <sz val="10"/>
        <rFont val="Consolas"/>
        <family val="3"/>
      </rPr>
      <t xml:space="preserve"> 0</t>
    </r>
  </si>
  <si>
    <r>
      <t xml:space="preserve">    </t>
    </r>
    <r>
      <rPr>
        <sz val="10"/>
        <color rgb="FF1E4FA8"/>
        <rFont val="Consolas"/>
        <family val="3"/>
      </rPr>
      <t>If</t>
    </r>
    <r>
      <rPr>
        <sz val="10"/>
        <rFont val="Consolas"/>
        <family val="3"/>
      </rPr>
      <t xml:space="preserve"> wb </t>
    </r>
    <r>
      <rPr>
        <sz val="10"/>
        <color rgb="FF1E4FA8"/>
        <rFont val="Consolas"/>
        <family val="3"/>
      </rPr>
      <t>Is Nothing Then</t>
    </r>
  </si>
  <si>
    <r>
      <t xml:space="preserve">        </t>
    </r>
    <r>
      <rPr>
        <sz val="10"/>
        <color rgb="FF1E4FA8"/>
        <rFont val="Consolas"/>
        <family val="3"/>
      </rPr>
      <t>Debug</t>
    </r>
    <r>
      <rPr>
        <sz val="10"/>
        <rFont val="Consolas"/>
        <family val="3"/>
      </rPr>
      <t>.</t>
    </r>
    <r>
      <rPr>
        <sz val="10"/>
        <color rgb="FF1E4FA8"/>
        <rFont val="Consolas"/>
        <family val="3"/>
      </rPr>
      <t>Print</t>
    </r>
    <r>
      <rPr>
        <sz val="10"/>
        <rFont val="Consolas"/>
        <family val="3"/>
      </rPr>
      <t xml:space="preserve"> "ERROR: Destination Workbook not found - please ensure it is open"</t>
    </r>
  </si>
  <si>
    <t xml:space="preserve">        Exit Sub</t>
  </si>
  <si>
    <t xml:space="preserve">    End If</t>
  </si>
  <si>
    <r>
      <t xml:space="preserve">    </t>
    </r>
    <r>
      <rPr>
        <sz val="10"/>
        <color rgb="FF1E4FA8"/>
        <rFont val="Consolas"/>
        <family val="3"/>
      </rPr>
      <t>For</t>
    </r>
    <r>
      <rPr>
        <sz val="10"/>
        <rFont val="Consolas"/>
        <family val="3"/>
      </rPr>
      <t xml:space="preserve"> i = </t>
    </r>
    <r>
      <rPr>
        <sz val="10"/>
        <color rgb="FF1E4FA8"/>
        <rFont val="Consolas"/>
        <family val="3"/>
      </rPr>
      <t>LBound</t>
    </r>
    <r>
      <rPr>
        <sz val="10"/>
        <rFont val="Consolas"/>
        <family val="3"/>
      </rPr>
      <t xml:space="preserve">(arrFuncs) To </t>
    </r>
    <r>
      <rPr>
        <sz val="10"/>
        <color rgb="FF1E4FA8"/>
        <rFont val="Consolas"/>
        <family val="3"/>
      </rPr>
      <t>UBound</t>
    </r>
    <r>
      <rPr>
        <sz val="10"/>
        <rFont val="Consolas"/>
        <family val="3"/>
      </rPr>
      <t>(arrFuncs)</t>
    </r>
  </si>
  <si>
    <t xml:space="preserve">        strLambda = STR_MDL &amp; "." &amp; arrFuncs(i)</t>
  </si>
  <si>
    <t xml:space="preserve">        </t>
  </si>
  <si>
    <t xml:space="preserve">        On Error Resume Next</t>
  </si>
  <si>
    <r>
      <t xml:space="preserve">            </t>
    </r>
    <r>
      <rPr>
        <sz val="10"/>
        <color rgb="FF1E4FA8"/>
        <rFont val="Consolas"/>
        <family val="3"/>
      </rPr>
      <t>Set</t>
    </r>
    <r>
      <rPr>
        <sz val="10"/>
        <rFont val="Consolas"/>
        <family val="3"/>
      </rPr>
      <t xml:space="preserve"> nm = ThisWorkbook.Names(strLambda)</t>
    </r>
  </si>
  <si>
    <r>
      <t xml:space="preserve">        </t>
    </r>
    <r>
      <rPr>
        <sz val="10"/>
        <color rgb="FF1E4FA8"/>
        <rFont val="Consolas"/>
        <family val="3"/>
      </rPr>
      <t>If Not</t>
    </r>
    <r>
      <rPr>
        <sz val="10"/>
        <rFont val="Consolas"/>
        <family val="3"/>
      </rPr>
      <t xml:space="preserve"> nm </t>
    </r>
    <r>
      <rPr>
        <sz val="10"/>
        <color rgb="FF1E4FA8"/>
        <rFont val="Consolas"/>
        <family val="3"/>
      </rPr>
      <t>Is Nothing Then</t>
    </r>
  </si>
  <si>
    <t xml:space="preserve">            Err.Clear</t>
  </si>
  <si>
    <r>
      <t xml:space="preserve">            </t>
    </r>
    <r>
      <rPr>
        <sz val="10"/>
        <color rgb="FF1E4FA8"/>
        <rFont val="Consolas"/>
        <family val="3"/>
      </rPr>
      <t>Set</t>
    </r>
    <r>
      <rPr>
        <sz val="10"/>
        <rFont val="Consolas"/>
        <family val="3"/>
      </rPr>
      <t xml:space="preserve"> fn = wb.Names.Add(Name:=nm.Name, _</t>
    </r>
  </si>
  <si>
    <t xml:space="preserve">                                  RefersTo:=nm.RefersTo, _</t>
  </si>
  <si>
    <t xml:space="preserve">                                  Visible:=nm.Visible)</t>
  </si>
  <si>
    <r>
      <t xml:space="preserve">            </t>
    </r>
    <r>
      <rPr>
        <sz val="10"/>
        <color rgb="FF1E4FA8"/>
        <rFont val="Consolas"/>
        <family val="3"/>
      </rPr>
      <t>If</t>
    </r>
    <r>
      <rPr>
        <sz val="10"/>
        <rFont val="Consolas"/>
        <family val="3"/>
      </rPr>
      <t xml:space="preserve"> Err.Number = 0 </t>
    </r>
    <r>
      <rPr>
        <sz val="10"/>
        <color rgb="FF1E4FA8"/>
        <rFont val="Consolas"/>
        <family val="3"/>
      </rPr>
      <t>Then</t>
    </r>
  </si>
  <si>
    <t xml:space="preserve">                fn.Comment = nm.Comment</t>
  </si>
  <si>
    <r>
      <t xml:space="preserve">                </t>
    </r>
    <r>
      <rPr>
        <sz val="10"/>
        <color rgb="FF1E4FA8"/>
        <rFont val="Consolas"/>
        <family val="3"/>
      </rPr>
      <t>Debug</t>
    </r>
    <r>
      <rPr>
        <sz val="10"/>
        <rFont val="Consolas"/>
        <family val="3"/>
      </rPr>
      <t>.</t>
    </r>
    <r>
      <rPr>
        <sz val="10"/>
        <color rgb="FF1E4FA8"/>
        <rFont val="Consolas"/>
        <family val="3"/>
      </rPr>
      <t>Print</t>
    </r>
    <r>
      <rPr>
        <sz val="10"/>
        <rFont val="Consolas"/>
        <family val="3"/>
      </rPr>
      <t xml:space="preserve"> "Success! -&gt; " &amp; strLambda &amp; " copied to " &amp; wb.Name</t>
    </r>
  </si>
  <si>
    <t xml:space="preserve">            Else</t>
  </si>
  <si>
    <r>
      <t xml:space="preserve">                </t>
    </r>
    <r>
      <rPr>
        <sz val="10"/>
        <color rgb="FF1E4FA8"/>
        <rFont val="Consolas"/>
        <family val="3"/>
      </rPr>
      <t>Debug</t>
    </r>
    <r>
      <rPr>
        <sz val="10"/>
        <rFont val="Consolas"/>
        <family val="3"/>
      </rPr>
      <t>.</t>
    </r>
    <r>
      <rPr>
        <sz val="10"/>
        <color rgb="FF1E4FA8"/>
        <rFont val="Consolas"/>
        <family val="3"/>
      </rPr>
      <t>Print</t>
    </r>
    <r>
      <rPr>
        <sz val="10"/>
        <rFont val="Consolas"/>
        <family val="3"/>
      </rPr>
      <t xml:space="preserve"> "ERROR: Unable to copy " &amp; strLambda &amp; " to " &amp; wb.Name</t>
    </r>
  </si>
  <si>
    <t xml:space="preserve">            End If</t>
  </si>
  <si>
    <t xml:space="preserve">        Else</t>
  </si>
  <si>
    <r>
      <t xml:space="preserve">            </t>
    </r>
    <r>
      <rPr>
        <sz val="10"/>
        <color rgb="FF1E4FA8"/>
        <rFont val="Consolas"/>
        <family val="3"/>
      </rPr>
      <t>Debug</t>
    </r>
    <r>
      <rPr>
        <sz val="10"/>
        <rFont val="Consolas"/>
        <family val="3"/>
      </rPr>
      <t>.</t>
    </r>
    <r>
      <rPr>
        <sz val="10"/>
        <color rgb="FF1E4FA8"/>
        <rFont val="Consolas"/>
        <family val="3"/>
      </rPr>
      <t>Print</t>
    </r>
    <r>
      <rPr>
        <sz val="10"/>
        <rFont val="Consolas"/>
        <family val="3"/>
      </rPr>
      <t xml:space="preserve"> "ERROR: " &amp; strLambda &amp; " not found"</t>
    </r>
  </si>
  <si>
    <t xml:space="preserve">        End If</t>
  </si>
  <si>
    <r>
      <t xml:space="preserve">    </t>
    </r>
    <r>
      <rPr>
        <sz val="10"/>
        <color rgb="FF1E4FA8"/>
        <rFont val="Consolas"/>
        <family val="3"/>
      </rPr>
      <t>Next</t>
    </r>
    <r>
      <rPr>
        <sz val="10"/>
        <rFont val="Consolas"/>
        <family val="3"/>
      </rPr>
      <t xml:space="preserve"> i</t>
    </r>
  </si>
  <si>
    <t xml:space="preserve">    Exit Sub</t>
  </si>
  <si>
    <t>ErrHndlr:</t>
  </si>
  <si>
    <r>
      <t xml:space="preserve">    </t>
    </r>
    <r>
      <rPr>
        <sz val="10"/>
        <color rgb="FF1E4FA8"/>
        <rFont val="Consolas"/>
        <family val="3"/>
      </rPr>
      <t>Debug</t>
    </r>
    <r>
      <rPr>
        <sz val="10"/>
        <rFont val="Consolas"/>
        <family val="3"/>
      </rPr>
      <t>.</t>
    </r>
    <r>
      <rPr>
        <sz val="10"/>
        <color rgb="FF1E4FA8"/>
        <rFont val="Consolas"/>
        <family val="3"/>
      </rPr>
      <t>Print</t>
    </r>
    <r>
      <rPr>
        <sz val="10"/>
        <rFont val="Consolas"/>
        <family val="3"/>
      </rPr>
      <t xml:space="preserve"> "ERROR: Unable to correctly handle expected module function names"</t>
    </r>
  </si>
  <si>
    <t>End Sub</t>
  </si>
  <si>
    <r>
      <t xml:space="preserve">    </t>
    </r>
    <r>
      <rPr>
        <sz val="10"/>
        <color rgb="FF1E4FA8"/>
        <rFont val="Consolas"/>
        <family val="3"/>
      </rPr>
      <t>Const</t>
    </r>
    <r>
      <rPr>
        <sz val="10"/>
        <rFont val="Consolas"/>
        <family val="3"/>
      </rPr>
      <t xml:space="preserve"> STR_MDL </t>
    </r>
    <r>
      <rPr>
        <sz val="10"/>
        <color rgb="FF1E4FA8"/>
        <rFont val="Consolas"/>
        <family val="3"/>
      </rPr>
      <t>As String</t>
    </r>
    <r>
      <rPr>
        <sz val="10"/>
        <rFont val="Consolas"/>
        <family val="3"/>
      </rPr>
      <t xml:space="preserve"> = "RXL_Array"</t>
    </r>
  </si>
  <si>
    <r>
      <t xml:space="preserve">    </t>
    </r>
    <r>
      <rPr>
        <sz val="10"/>
        <color rgb="FF1E4FA8"/>
        <rFont val="Consolas"/>
        <family val="3"/>
      </rPr>
      <t>Const</t>
    </r>
    <r>
      <rPr>
        <sz val="10"/>
        <rFont val="Consolas"/>
        <family val="3"/>
      </rPr>
      <t xml:space="preserve"> STR_FUNC </t>
    </r>
    <r>
      <rPr>
        <sz val="10"/>
        <color rgb="FF1E4FA8"/>
        <rFont val="Consolas"/>
        <family val="3"/>
      </rPr>
      <t>As String</t>
    </r>
    <r>
      <rPr>
        <sz val="10"/>
        <rFont val="Consolas"/>
        <family val="3"/>
      </rPr>
      <t xml:space="preserve"> = "About|Insert|RandomSort|Remove|Reverse"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</si>
</sst>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0_);\(#,##0\);\-_)"/>
    <numFmt numFmtId="165" formatCode="0.00%;\(0.00\)%;&quot;--&quot;_)"/>
    <numFmt numFmtId="166" formatCode="d\-mmm\-yyyy"/>
    <numFmt numFmtId="167" formatCode="_(* #,##0.00_);_(* \(#,##0.00\);_(* &quot;-&quot;??_);_(@_)"/>
    <numFmt numFmtId="168" formatCode="#,##0_);\(#,##0\);\ \-_)"/>
    <numFmt numFmtId="169" formatCode="0_);\(0\);\-_)"/>
    <numFmt numFmtId="170" formatCode="_(&quot;£&quot;* #,##0.00_);_(&quot;£&quot;* \(#,##0.00\);_(&quot;£&quot;* &quot;-&quot;??_);_(@_)"/>
    <numFmt numFmtId="171" formatCode="&quot;£&quot;#,##0.0,\ \K_);&quot;£&quot;\(#,##0.0,\ \K\);&quot;£&quot;0_)"/>
    <numFmt numFmtId="172" formatCode="[Red]&quot;CHECK&quot;;[Red]&quot;ERROR&quot;;&quot;OK&quot;"/>
    <numFmt numFmtId="173" formatCode="#,##0_);[Red]\(#,##0\);\ \-_)"/>
    <numFmt numFmtId="174" formatCode="0.00%;[Red]\(0.00\)%;&quot;--&quot;_)"/>
    <numFmt numFmtId="175" formatCode="mmm\-yyyy_)"/>
    <numFmt numFmtId="176" formatCode="0_);[Red]\(0\);\-_)"/>
    <numFmt numFmtId="177" formatCode="00\."/>
    <numFmt numFmtId="178" formatCode="&quot;Yes (1)&quot;;[Red]&quot;Err&quot;;&quot;No (0)&quot;"/>
    <numFmt numFmtId="179" formatCode="&quot;On (1)&quot;;[Red]&quot;Err&quot;;&quot;Off (0)&quot;"/>
  </numFmts>
  <fonts count="55" x14ac:knownFonts="1">
    <font>
      <sz val="10"/>
      <color rgb="FF002138"/>
      <name val="Calibri"/>
      <family val="2"/>
      <scheme val="minor"/>
    </font>
    <font>
      <sz val="10"/>
      <color theme="1"/>
      <name val="Calibri"/>
      <family val="2"/>
    </font>
    <font>
      <sz val="10"/>
      <color rgb="FF3F3F76"/>
      <name val="Calibri"/>
      <family val="2"/>
    </font>
    <font>
      <b/>
      <sz val="10"/>
      <color rgb="FF3F3F3F"/>
      <name val="Calibri"/>
      <family val="2"/>
    </font>
    <font>
      <b/>
      <sz val="10"/>
      <color rgb="FFFA7D00"/>
      <name val="Calibri"/>
      <family val="2"/>
    </font>
    <font>
      <sz val="10"/>
      <color rgb="FFFA7D00"/>
      <name val="Calibri"/>
      <family val="2"/>
    </font>
    <font>
      <b/>
      <sz val="10"/>
      <color theme="0"/>
      <name val="Calibri"/>
      <family val="2"/>
    </font>
    <font>
      <b/>
      <sz val="10"/>
      <color theme="1"/>
      <name val="Calibri"/>
      <family val="2"/>
    </font>
    <font>
      <sz val="10"/>
      <color rgb="FF9C0006"/>
      <name val="Calibri"/>
      <family val="2"/>
      <scheme val="minor"/>
    </font>
    <font>
      <sz val="10"/>
      <color theme="1"/>
      <name val="Calibri"/>
      <family val="2"/>
      <scheme val="minor"/>
    </font>
    <font>
      <b/>
      <sz val="10"/>
      <color theme="1"/>
      <name val="Calibri"/>
      <family val="2"/>
      <scheme val="minor"/>
    </font>
    <font>
      <sz val="10"/>
      <color rgb="FF3F9C35"/>
      <name val="Consolas"/>
      <family val="3"/>
    </font>
    <font>
      <sz val="10"/>
      <color rgb="FF002138"/>
      <name val="Calibri"/>
      <family val="2"/>
      <scheme val="minor"/>
    </font>
    <font>
      <sz val="10"/>
      <color rgb="FF0000FF"/>
      <name val="Calibri"/>
      <family val="2"/>
      <scheme val="minor"/>
    </font>
    <font>
      <i/>
      <sz val="10"/>
      <color rgb="FF808080"/>
      <name val="Calibri"/>
      <family val="2"/>
      <scheme val="minor"/>
    </font>
    <font>
      <b/>
      <i/>
      <sz val="10"/>
      <color rgb="FF195C89"/>
      <name val="Calibri"/>
      <family val="2"/>
      <scheme val="minor"/>
    </font>
    <font>
      <sz val="10"/>
      <color rgb="FF006100"/>
      <name val="Calibri"/>
      <family val="2"/>
      <scheme val="minor"/>
    </font>
    <font>
      <b/>
      <sz val="12"/>
      <color rgb="FFFFFFFF"/>
      <name val="Arial"/>
      <family val="2"/>
      <scheme val="major"/>
    </font>
    <font>
      <b/>
      <sz val="11"/>
      <color rgb="FFFFFFFF"/>
      <name val="Arial"/>
      <family val="2"/>
      <scheme val="major"/>
    </font>
    <font>
      <b/>
      <sz val="10"/>
      <color rgb="FF595959"/>
      <name val="Arial"/>
      <family val="2"/>
      <scheme val="major"/>
    </font>
    <font>
      <sz val="10"/>
      <color theme="0" tint="-0.249977111117893"/>
      <name val="Calibri"/>
      <family val="2"/>
      <scheme val="minor"/>
    </font>
    <font>
      <sz val="10"/>
      <color rgb="FF195C89"/>
      <name val="Calibri"/>
      <family val="2"/>
      <scheme val="minor"/>
    </font>
    <font>
      <sz val="12"/>
      <color rgb="FF195C89"/>
      <name val="Arial"/>
      <family val="2"/>
      <scheme val="major"/>
    </font>
    <font>
      <sz val="10"/>
      <color theme="0"/>
      <name val="Calibri"/>
      <family val="2"/>
      <scheme val="minor"/>
    </font>
    <font>
      <sz val="10"/>
      <color theme="0" tint="-0.34998626667073579"/>
      <name val="Calibri"/>
      <family val="2"/>
      <scheme val="minor"/>
    </font>
    <font>
      <i/>
      <sz val="10"/>
      <color rgb="FF33B9F2"/>
      <name val="Calibri"/>
      <family val="2"/>
      <scheme val="minor"/>
    </font>
    <font>
      <sz val="10"/>
      <color rgb="FF9C5700"/>
      <name val="Calibri"/>
      <family val="2"/>
      <scheme val="minor"/>
    </font>
    <font>
      <i/>
      <sz val="10"/>
      <color rgb="FFFF8225"/>
      <name val="Calibri"/>
      <family val="2"/>
      <scheme val="minor"/>
    </font>
    <font>
      <sz val="10"/>
      <color rgb="FFB400B4"/>
      <name val="Calibri"/>
      <family val="2"/>
      <scheme val="minor"/>
    </font>
    <font>
      <sz val="10"/>
      <color rgb="FF8C0000"/>
      <name val="Calibri"/>
      <family val="2"/>
      <scheme val="minor"/>
    </font>
    <font>
      <b/>
      <sz val="12"/>
      <color rgb="FF195C89"/>
      <name val="Arial"/>
      <family val="2"/>
      <scheme val="major"/>
    </font>
    <font>
      <b/>
      <sz val="16"/>
      <color rgb="FF0E2550"/>
      <name val="Arial"/>
      <family val="2"/>
      <scheme val="major"/>
    </font>
    <font>
      <sz val="10"/>
      <color rgb="FFB4B4B4"/>
      <name val="Calibri"/>
      <family val="2"/>
      <scheme val="minor"/>
    </font>
    <font>
      <sz val="10"/>
      <color rgb="FFFF0000"/>
      <name val="Calibri"/>
      <family val="2"/>
      <scheme val="minor"/>
    </font>
    <font>
      <sz val="10"/>
      <color theme="0"/>
      <name val="Calibri"/>
      <family val="2"/>
    </font>
    <font>
      <b/>
      <sz val="14"/>
      <color rgb="FFFFFFFF"/>
      <name val="Arial"/>
      <family val="2"/>
      <scheme val="major"/>
    </font>
    <font>
      <b/>
      <sz val="10"/>
      <color rgb="FF002138"/>
      <name val="Calibri"/>
      <family val="2"/>
      <scheme val="minor"/>
    </font>
    <font>
      <b/>
      <i/>
      <sz val="10"/>
      <color rgb="FF002138"/>
      <name val="Calibri"/>
      <family val="2"/>
      <scheme val="minor"/>
    </font>
    <font>
      <u/>
      <sz val="10"/>
      <color rgb="FF002138"/>
      <name val="Calibri"/>
      <family val="2"/>
      <scheme val="minor"/>
    </font>
    <font>
      <sz val="10"/>
      <color rgb="FF0065A8"/>
      <name val="Consolas"/>
      <family val="3"/>
    </font>
    <font>
      <sz val="10"/>
      <color rgb="FFC00000"/>
      <name val="Consolas"/>
      <family val="3"/>
    </font>
    <font>
      <b/>
      <sz val="10"/>
      <color rgb="FFB75EE1"/>
      <name val="Calibri"/>
      <family val="2"/>
      <scheme val="minor"/>
    </font>
    <font>
      <b/>
      <sz val="10"/>
      <color rgb="FFFC6017"/>
      <name val="Calibri"/>
      <family val="2"/>
      <scheme val="minor"/>
    </font>
    <font>
      <sz val="10"/>
      <color rgb="FF0000FF"/>
      <name val="Consolas"/>
      <family val="3"/>
    </font>
    <font>
      <b/>
      <sz val="10"/>
      <color rgb="FF0065A8"/>
      <name val="Calibri"/>
      <family val="2"/>
      <scheme val="minor"/>
    </font>
    <font>
      <b/>
      <i/>
      <sz val="10"/>
      <color rgb="FFFF8225"/>
      <name val="Calibri"/>
      <family val="2"/>
      <scheme val="minor"/>
    </font>
    <font>
      <b/>
      <i/>
      <u/>
      <sz val="10"/>
      <color rgb="FFFF8225"/>
      <name val="Calibri"/>
      <family val="2"/>
      <scheme val="minor"/>
    </font>
    <font>
      <sz val="10"/>
      <color rgb="FF002138"/>
      <name val="Calibri"/>
      <family val="3"/>
      <scheme val="minor"/>
    </font>
    <font>
      <u/>
      <sz val="10"/>
      <color theme="10"/>
      <name val="Calibri"/>
      <family val="2"/>
      <scheme val="minor"/>
    </font>
    <font>
      <b/>
      <i/>
      <sz val="10"/>
      <color rgb="FF002138"/>
      <name val="Consolas"/>
      <family val="3"/>
    </font>
    <font>
      <b/>
      <i/>
      <sz val="10"/>
      <name val="Calibri"/>
      <family val="2"/>
      <scheme val="minor"/>
    </font>
    <font>
      <b/>
      <i/>
      <sz val="10"/>
      <name val="Consolas"/>
      <family val="3"/>
    </font>
    <font>
      <b/>
      <sz val="10"/>
      <color rgb="FF1E4FA8"/>
      <name val="Calibri"/>
      <family val="2"/>
      <scheme val="minor"/>
    </font>
    <font>
      <sz val="10"/>
      <name val="Consolas"/>
      <family val="3"/>
    </font>
    <font>
      <sz val="10"/>
      <color rgb="FF1E4FA8"/>
      <name val="Consolas"/>
      <family val="3"/>
    </font>
  </fonts>
  <fills count="2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rgb="FFFEE6CE"/>
        <bgColor indexed="64"/>
      </patternFill>
    </fill>
    <fill>
      <patternFill patternType="solid">
        <fgColor rgb="FF198B83"/>
        <bgColor indexed="64"/>
      </patternFill>
    </fill>
    <fill>
      <patternFill patternType="solid">
        <fgColor rgb="FF56BAB8"/>
        <bgColor indexed="64"/>
      </patternFill>
    </fill>
    <fill>
      <patternFill patternType="solid">
        <fgColor rgb="FFE6D3B8"/>
        <bgColor indexed="64"/>
      </patternFill>
    </fill>
    <fill>
      <patternFill patternType="solid">
        <fgColor rgb="FFF7ECDD"/>
        <bgColor indexed="64"/>
      </patternFill>
    </fill>
    <fill>
      <patternFill patternType="solid">
        <fgColor rgb="FFFFFFD2"/>
        <bgColor indexed="64"/>
      </patternFill>
    </fill>
    <fill>
      <patternFill patternType="solid">
        <fgColor rgb="FFF9E7FF"/>
        <bgColor indexed="64"/>
      </patternFill>
    </fill>
    <fill>
      <patternFill patternType="solid">
        <fgColor rgb="FFEBFAFA"/>
        <bgColor indexed="64"/>
      </patternFill>
    </fill>
    <fill>
      <patternFill patternType="solid">
        <fgColor rgb="FFFF4F4F"/>
        <bgColor indexed="64"/>
      </patternFill>
    </fill>
    <fill>
      <patternFill patternType="solid">
        <fgColor rgb="FFFFC000"/>
        <bgColor indexed="64"/>
      </patternFill>
    </fill>
    <fill>
      <patternFill patternType="solid">
        <fgColor rgb="FFF8F200"/>
        <bgColor indexed="64"/>
      </patternFill>
    </fill>
    <fill>
      <patternFill patternType="solid">
        <fgColor rgb="FFBEE4E3"/>
        <bgColor indexed="64"/>
      </patternFill>
    </fill>
    <fill>
      <patternFill patternType="lightUp">
        <fgColor theme="0" tint="-0.34998626667073579"/>
        <bgColor auto="1"/>
      </patternFill>
    </fill>
    <fill>
      <patternFill patternType="solid">
        <fgColor rgb="FFE4E6E8"/>
        <bgColor indexed="64"/>
      </patternFill>
    </fill>
    <fill>
      <patternFill patternType="solid">
        <fgColor theme="4"/>
      </patternFill>
    </fill>
  </fills>
  <borders count="23">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hair">
        <color theme="1" tint="0.24994659260841701"/>
      </left>
      <right style="hair">
        <color theme="1" tint="0.24994659260841701"/>
      </right>
      <top style="hair">
        <color theme="1" tint="0.24994659260841701"/>
      </top>
      <bottom style="hair">
        <color theme="1" tint="0.24994659260841701"/>
      </bottom>
      <diagonal/>
    </border>
    <border>
      <left style="hair">
        <color theme="1" tint="0.24994659260841701"/>
      </left>
      <right style="hair">
        <color theme="1" tint="0.24994659260841701"/>
      </right>
      <top style="thin">
        <color theme="1" tint="0.24994659260841701"/>
      </top>
      <bottom style="hair">
        <color theme="1" tint="0.24994659260841701"/>
      </bottom>
      <diagonal/>
    </border>
    <border>
      <left style="hair">
        <color theme="1" tint="0.24994659260841701"/>
      </left>
      <right style="hair">
        <color theme="1" tint="0.24994659260841701"/>
      </right>
      <top style="thin">
        <color theme="1" tint="0.24994659260841701"/>
      </top>
      <bottom style="double">
        <color theme="1" tint="0.24994659260841701"/>
      </bottom>
      <diagonal/>
    </border>
    <border>
      <left/>
      <right/>
      <top style="medium">
        <color theme="5"/>
      </top>
      <bottom/>
      <diagonal/>
    </border>
    <border>
      <left style="thin">
        <color rgb="FF198B83"/>
      </left>
      <right style="thin">
        <color rgb="FF198B83"/>
      </right>
      <top style="thin">
        <color rgb="FF198B83"/>
      </top>
      <bottom style="thin">
        <color rgb="FF198B83"/>
      </bottom>
      <diagonal/>
    </border>
    <border>
      <left style="thin">
        <color rgb="FF56BAB8"/>
      </left>
      <right style="thin">
        <color rgb="FF56BAB8"/>
      </right>
      <top style="thin">
        <color rgb="FF56BAB8"/>
      </top>
      <bottom style="thin">
        <color rgb="FF56BAB8"/>
      </bottom>
      <diagonal/>
    </border>
    <border>
      <left style="thin">
        <color rgb="FFE6D3B8"/>
      </left>
      <right style="thin">
        <color rgb="FFE6D3B8"/>
      </right>
      <top style="thin">
        <color rgb="FFE6D3B8"/>
      </top>
      <bottom style="thin">
        <color rgb="FFE6D3B8"/>
      </bottom>
      <diagonal/>
    </border>
    <border>
      <left style="thin">
        <color rgb="FFF7ECDD"/>
      </left>
      <right style="thin">
        <color rgb="FFF7ECDD"/>
      </right>
      <top style="thin">
        <color rgb="FFF7ECDD"/>
      </top>
      <bottom style="thin">
        <color rgb="FFF7ECDD"/>
      </bottom>
      <diagonal/>
    </border>
    <border>
      <left/>
      <right/>
      <top style="thin">
        <color theme="4"/>
      </top>
      <bottom/>
      <diagonal/>
    </border>
    <border>
      <left/>
      <right/>
      <top/>
      <bottom style="medium">
        <color theme="5"/>
      </bottom>
      <diagonal/>
    </border>
    <border>
      <left style="hair">
        <color rgb="FF0082B3"/>
      </left>
      <right style="hair">
        <color rgb="FF0082B3"/>
      </right>
      <top style="hair">
        <color rgb="FF0082B3"/>
      </top>
      <bottom style="hair">
        <color rgb="FF0082B3"/>
      </bottom>
      <diagonal/>
    </border>
    <border>
      <left/>
      <right/>
      <top/>
      <bottom style="medium">
        <color theme="4" tint="-0.24994659260841701"/>
      </bottom>
      <diagonal/>
    </border>
    <border>
      <left style="hair">
        <color theme="1" tint="0.24994659260841701"/>
      </left>
      <right style="hair">
        <color theme="1" tint="0.24994659260841701"/>
      </right>
      <top/>
      <bottom style="hair">
        <color theme="1" tint="0.24994659260841701"/>
      </bottom>
      <diagonal/>
    </border>
    <border>
      <left style="hair">
        <color theme="1" tint="0.24994659260841701"/>
      </left>
      <right/>
      <top style="hair">
        <color theme="1" tint="0.24994659260841701"/>
      </top>
      <bottom style="hair">
        <color theme="1" tint="0.24994659260841701"/>
      </bottom>
      <diagonal/>
    </border>
    <border>
      <left/>
      <right style="hair">
        <color theme="1" tint="0.24994659260841701"/>
      </right>
      <top style="hair">
        <color theme="1" tint="0.24994659260841701"/>
      </top>
      <bottom style="hair">
        <color theme="1" tint="0.24994659260841701"/>
      </bottom>
      <diagonal/>
    </border>
    <border>
      <left/>
      <right style="medium">
        <color theme="4" tint="-0.24994659260841701"/>
      </right>
      <top/>
      <bottom/>
      <diagonal/>
    </border>
  </borders>
  <cellStyleXfs count="73">
    <xf numFmtId="0" fontId="0" fillId="0" borderId="0"/>
    <xf numFmtId="167" fontId="12" fillId="0" borderId="0" applyNumberFormat="0" applyAlignment="0" applyProtection="0"/>
    <xf numFmtId="170" fontId="12" fillId="0" borderId="0" applyNumberFormat="0" applyAlignment="0" applyProtection="0"/>
    <xf numFmtId="171" fontId="1" fillId="0" borderId="0" applyFont="0" applyFill="0" applyBorder="0" applyAlignment="0" applyProtection="0"/>
    <xf numFmtId="9" fontId="12" fillId="0" borderId="0" applyNumberFormat="0" applyAlignment="0" applyProtection="0"/>
    <xf numFmtId="0" fontId="31" fillId="0" borderId="0" applyAlignment="0" applyProtection="0"/>
    <xf numFmtId="0" fontId="17" fillId="10" borderId="11" applyNumberFormat="0" applyAlignment="0" applyProtection="0"/>
    <xf numFmtId="0" fontId="18" fillId="11" borderId="12" applyNumberFormat="0" applyAlignment="0" applyProtection="0"/>
    <xf numFmtId="0" fontId="19" fillId="12" borderId="13" applyNumberFormat="0" applyAlignment="0" applyProtection="0"/>
    <xf numFmtId="0" fontId="19" fillId="13" borderId="14" applyNumberFormat="0" applyAlignment="0" applyProtection="0"/>
    <xf numFmtId="0" fontId="16" fillId="2" borderId="0" applyNumberFormat="0" applyBorder="0" applyAlignment="0" applyProtection="0"/>
    <xf numFmtId="0" fontId="8" fillId="3" borderId="0" applyNumberFormat="0" applyBorder="0" applyAlignment="0" applyProtection="0"/>
    <xf numFmtId="0" fontId="26" fillId="4" borderId="0" applyNumberFormat="0" applyBorder="0" applyAlignment="0" applyProtection="0"/>
    <xf numFmtId="0" fontId="2" fillId="5" borderId="1" applyNumberFormat="0" applyAlignment="0" applyProtection="0"/>
    <xf numFmtId="0" fontId="3" fillId="6" borderId="2" applyNumberFormat="0" applyAlignment="0" applyProtection="0"/>
    <xf numFmtId="0" fontId="4" fillId="6" borderId="1" applyNumberFormat="0" applyAlignment="0" applyProtection="0"/>
    <xf numFmtId="0" fontId="5" fillId="0" borderId="3" applyNumberFormat="0" applyFill="0" applyAlignment="0" applyProtection="0"/>
    <xf numFmtId="0" fontId="6" fillId="7" borderId="4" applyNumberFormat="0" applyAlignment="0" applyProtection="0"/>
    <xf numFmtId="164" fontId="33" fillId="0" borderId="0" applyNumberFormat="0" applyFill="0" applyBorder="0" applyAlignment="0" applyProtection="0"/>
    <xf numFmtId="0" fontId="1" fillId="8" borderId="5" applyNumberFormat="0" applyFont="0" applyAlignment="0" applyProtection="0"/>
    <xf numFmtId="164" fontId="14" fillId="0" borderId="0" applyNumberFormat="0" applyFill="0" applyBorder="0" applyAlignment="0" applyProtection="0"/>
    <xf numFmtId="0" fontId="7" fillId="0" borderId="6" applyNumberFormat="0" applyFill="0" applyAlignment="0" applyProtection="0"/>
    <xf numFmtId="164" fontId="9" fillId="0" borderId="7" applyAlignment="0"/>
    <xf numFmtId="165" fontId="9" fillId="0" borderId="7" applyAlignment="0"/>
    <xf numFmtId="166" fontId="9" fillId="0" borderId="7" applyAlignment="0"/>
    <xf numFmtId="164" fontId="9" fillId="0" borderId="8" applyNumberFormat="0" applyAlignment="0"/>
    <xf numFmtId="164" fontId="10" fillId="0" borderId="9" applyNumberFormat="0" applyAlignment="0"/>
    <xf numFmtId="0" fontId="11" fillId="0" borderId="0" applyFill="0" applyBorder="0" applyAlignment="0"/>
    <xf numFmtId="168" fontId="13" fillId="9" borderId="7" applyAlignment="0">
      <protection locked="0"/>
    </xf>
    <xf numFmtId="165" fontId="13" fillId="9" borderId="7" applyAlignment="0">
      <protection locked="0"/>
    </xf>
    <xf numFmtId="166" fontId="13" fillId="9" borderId="7" applyAlignment="0">
      <protection locked="0"/>
    </xf>
    <xf numFmtId="169" fontId="13" fillId="9" borderId="7" applyAlignment="0">
      <protection locked="0"/>
    </xf>
    <xf numFmtId="0" fontId="15" fillId="0" borderId="10" applyFill="0">
      <alignment vertical="center"/>
    </xf>
    <xf numFmtId="172" fontId="20" fillId="0" borderId="0" applyFill="0">
      <alignment horizontal="center"/>
    </xf>
    <xf numFmtId="168" fontId="13" fillId="14" borderId="7" applyAlignment="0">
      <protection locked="0"/>
    </xf>
    <xf numFmtId="165" fontId="13" fillId="14" borderId="7" applyAlignment="0">
      <protection locked="0"/>
    </xf>
    <xf numFmtId="166" fontId="13" fillId="14" borderId="7" applyAlignment="0">
      <protection locked="0"/>
    </xf>
    <xf numFmtId="169" fontId="13" fillId="14" borderId="7" applyAlignment="0">
      <protection locked="0"/>
    </xf>
    <xf numFmtId="164" fontId="21" fillId="15" borderId="7" applyAlignment="0">
      <protection locked="0"/>
    </xf>
    <xf numFmtId="0" fontId="22" fillId="0" borderId="0">
      <alignment vertical="center"/>
    </xf>
    <xf numFmtId="168" fontId="13" fillId="16" borderId="7" applyAlignment="0"/>
    <xf numFmtId="164" fontId="23" fillId="17" borderId="0">
      <alignment horizontal="center"/>
    </xf>
    <xf numFmtId="164" fontId="23" fillId="18" borderId="0">
      <alignment horizontal="center"/>
    </xf>
    <xf numFmtId="164" fontId="24" fillId="19" borderId="0">
      <alignment horizontal="center"/>
    </xf>
    <xf numFmtId="0" fontId="25" fillId="0" borderId="0"/>
    <xf numFmtId="0" fontId="27" fillId="0" borderId="0" applyNumberFormat="0" applyFill="0" applyBorder="0" applyAlignment="0"/>
    <xf numFmtId="0" fontId="21" fillId="0" borderId="0" applyNumberFormat="0" applyFill="0" applyBorder="0" applyAlignment="0"/>
    <xf numFmtId="173" fontId="9" fillId="0" borderId="0" applyFill="0" applyAlignment="0"/>
    <xf numFmtId="174" fontId="9" fillId="0" borderId="0" applyFill="0" applyAlignment="0"/>
    <xf numFmtId="175" fontId="9" fillId="0" borderId="0" applyFill="0" applyAlignment="0"/>
    <xf numFmtId="164" fontId="10" fillId="0" borderId="15" applyNumberFormat="0" applyFill="0" applyAlignment="0"/>
    <xf numFmtId="176" fontId="9" fillId="0" borderId="0" applyFill="0" applyAlignment="0"/>
    <xf numFmtId="164" fontId="10" fillId="0" borderId="6" applyNumberFormat="0" applyFill="0" applyAlignment="0"/>
    <xf numFmtId="168" fontId="28" fillId="0" borderId="7" applyAlignment="0"/>
    <xf numFmtId="165" fontId="28" fillId="0" borderId="7" applyAlignment="0"/>
    <xf numFmtId="166" fontId="28" fillId="0" borderId="7" applyAlignment="0"/>
    <xf numFmtId="168" fontId="28" fillId="0" borderId="8" applyNumberFormat="0" applyAlignment="0"/>
    <xf numFmtId="169" fontId="28" fillId="0" borderId="7" applyAlignment="0"/>
    <xf numFmtId="168" fontId="29" fillId="0" borderId="7" applyAlignment="0"/>
    <xf numFmtId="165" fontId="29" fillId="0" borderId="7" applyAlignment="0"/>
    <xf numFmtId="166" fontId="29" fillId="0" borderId="7" applyAlignment="0"/>
    <xf numFmtId="168" fontId="29" fillId="0" borderId="8" applyNumberFormat="0" applyAlignment="0"/>
    <xf numFmtId="169" fontId="29" fillId="0" borderId="7" applyAlignment="0"/>
    <xf numFmtId="0" fontId="30" fillId="0" borderId="16"/>
    <xf numFmtId="169" fontId="9" fillId="20" borderId="0" applyAlignment="0" applyProtection="0"/>
    <xf numFmtId="0" fontId="32" fillId="0" borderId="0" applyNumberFormat="0" applyFill="0" applyBorder="0">
      <alignment horizontal="center"/>
    </xf>
    <xf numFmtId="0" fontId="24" fillId="21" borderId="17" applyNumberFormat="0" applyBorder="0" applyAlignment="0" applyProtection="0"/>
    <xf numFmtId="164" fontId="9" fillId="22" borderId="7"/>
    <xf numFmtId="165" fontId="9" fillId="22" borderId="7"/>
    <xf numFmtId="164" fontId="9" fillId="22" borderId="8" applyNumberFormat="0"/>
    <xf numFmtId="164" fontId="9" fillId="22" borderId="9" applyNumberFormat="0"/>
    <xf numFmtId="0" fontId="34" fillId="23" borderId="0" applyNumberFormat="0" applyBorder="0" applyAlignment="0" applyProtection="0"/>
    <xf numFmtId="0" fontId="48" fillId="0" borderId="0" applyNumberFormat="0" applyFill="0" applyBorder="0" applyAlignment="0" applyProtection="0"/>
  </cellStyleXfs>
  <cellXfs count="87">
    <xf numFmtId="0" fontId="0" fillId="0" borderId="0" xfId="0"/>
    <xf numFmtId="0" fontId="17" fillId="10" borderId="11" xfId="6"/>
    <xf numFmtId="0" fontId="35" fillId="10" borderId="11" xfId="6" applyFont="1" applyAlignment="1">
      <alignment horizontal="left" vertical="center" indent="1"/>
    </xf>
    <xf numFmtId="0" fontId="15" fillId="0" borderId="10" xfId="32">
      <alignment vertical="center"/>
    </xf>
    <xf numFmtId="0" fontId="30" fillId="0" borderId="16" xfId="63"/>
    <xf numFmtId="177" fontId="30" fillId="0" borderId="16" xfId="63" applyNumberFormat="1"/>
    <xf numFmtId="0" fontId="25" fillId="0" borderId="0" xfId="44"/>
    <xf numFmtId="0" fontId="32" fillId="0" borderId="0" xfId="0" applyFont="1"/>
    <xf numFmtId="178" fontId="13" fillId="16" borderId="7" xfId="40" applyNumberFormat="1"/>
    <xf numFmtId="179" fontId="13" fillId="16" borderId="7" xfId="40" applyNumberFormat="1"/>
    <xf numFmtId="0" fontId="36" fillId="0" borderId="0" xfId="0" applyFont="1"/>
    <xf numFmtId="0" fontId="37" fillId="0" borderId="0" xfId="0" applyFont="1"/>
    <xf numFmtId="0" fontId="19" fillId="13" borderId="14" xfId="9"/>
    <xf numFmtId="0" fontId="19" fillId="13" borderId="14" xfId="9" applyAlignment="1">
      <alignment horizontal="left" indent="1"/>
    </xf>
    <xf numFmtId="0" fontId="38" fillId="0" borderId="0" xfId="0" applyFont="1"/>
    <xf numFmtId="0" fontId="36" fillId="0" borderId="0" xfId="0" applyFont="1" applyAlignment="1">
      <alignment horizontal="center"/>
    </xf>
    <xf numFmtId="0" fontId="11" fillId="0" borderId="0" xfId="27"/>
    <xf numFmtId="0" fontId="39" fillId="0" borderId="0" xfId="27" applyFont="1"/>
    <xf numFmtId="0" fontId="40" fillId="0" borderId="0" xfId="27" applyFont="1"/>
    <xf numFmtId="0" fontId="41" fillId="0" borderId="0" xfId="0" applyFont="1"/>
    <xf numFmtId="0" fontId="42" fillId="0" borderId="0" xfId="0" applyFont="1"/>
    <xf numFmtId="168" fontId="13" fillId="14" borderId="7" xfId="34">
      <protection locked="0"/>
    </xf>
    <xf numFmtId="168" fontId="13" fillId="14" borderId="7" xfId="34" applyAlignment="1">
      <alignment horizontal="center"/>
      <protection locked="0"/>
    </xf>
    <xf numFmtId="169" fontId="13" fillId="14" borderId="7" xfId="37">
      <protection locked="0"/>
    </xf>
    <xf numFmtId="169" fontId="13" fillId="14" borderId="7" xfId="37" applyAlignment="1">
      <alignment horizontal="center"/>
      <protection locked="0"/>
    </xf>
    <xf numFmtId="168" fontId="13" fillId="14" borderId="19" xfId="34" applyBorder="1" applyAlignment="1">
      <alignment horizontal="center"/>
      <protection locked="0"/>
    </xf>
    <xf numFmtId="0" fontId="6" fillId="23" borderId="18" xfId="71" applyFont="1" applyBorder="1" applyAlignment="1">
      <alignment horizontal="center"/>
    </xf>
    <xf numFmtId="0" fontId="6" fillId="23" borderId="18" xfId="71" applyFont="1" applyBorder="1" applyAlignment="1"/>
    <xf numFmtId="0" fontId="6" fillId="23" borderId="18" xfId="71" applyFont="1" applyBorder="1" applyAlignment="1">
      <alignment horizontal="centerContinuous"/>
    </xf>
    <xf numFmtId="0" fontId="6" fillId="23" borderId="18" xfId="71" applyFont="1" applyBorder="1" applyAlignment="1">
      <alignment horizontal="left" indent="1"/>
    </xf>
    <xf numFmtId="0" fontId="0" fillId="0" borderId="0" xfId="0" applyAlignment="1">
      <alignment horizontal="left" indent="1"/>
    </xf>
    <xf numFmtId="0" fontId="0" fillId="0" borderId="0" xfId="0" applyAlignment="1">
      <alignment horizontal="left" indent="3"/>
    </xf>
    <xf numFmtId="0" fontId="39" fillId="0" borderId="0" xfId="27" applyFont="1" applyAlignment="1">
      <alignment horizontal="left" indent="2"/>
    </xf>
    <xf numFmtId="0" fontId="39" fillId="0" borderId="0" xfId="27" applyFont="1" applyAlignment="1">
      <alignment horizontal="left" indent="4"/>
    </xf>
    <xf numFmtId="0" fontId="11" fillId="0" borderId="0" xfId="27" applyAlignment="1">
      <alignment horizontal="left" indent="2"/>
    </xf>
    <xf numFmtId="0" fontId="11" fillId="0" borderId="0" xfId="27" applyAlignment="1">
      <alignment horizontal="left" indent="4"/>
    </xf>
    <xf numFmtId="0" fontId="39" fillId="0" borderId="0" xfId="27" applyFont="1" applyAlignment="1">
      <alignment horizontal="left" indent="6"/>
    </xf>
    <xf numFmtId="0" fontId="39" fillId="0" borderId="0" xfId="27" applyFont="1" applyAlignment="1">
      <alignment horizontal="left" indent="8"/>
    </xf>
    <xf numFmtId="0" fontId="39" fillId="0" borderId="0" xfId="27" applyFont="1" applyAlignment="1">
      <alignment horizontal="left" indent="10"/>
    </xf>
    <xf numFmtId="0" fontId="44" fillId="0" borderId="0" xfId="0" applyFont="1"/>
    <xf numFmtId="164" fontId="9" fillId="0" borderId="7" xfId="22"/>
    <xf numFmtId="168" fontId="24" fillId="21" borderId="7" xfId="66" applyNumberFormat="1" applyBorder="1" applyProtection="1">
      <protection locked="0"/>
    </xf>
    <xf numFmtId="168" fontId="28" fillId="0" borderId="7" xfId="53" applyAlignment="1">
      <alignment horizontal="center"/>
    </xf>
    <xf numFmtId="164" fontId="9" fillId="0" borderId="7" xfId="22" applyAlignment="1">
      <alignment horizontal="center"/>
    </xf>
    <xf numFmtId="0" fontId="27" fillId="0" borderId="0" xfId="45" applyAlignment="1">
      <alignment horizontal="left" indent="1"/>
    </xf>
    <xf numFmtId="0" fontId="27" fillId="0" borderId="0" xfId="45" applyAlignment="1">
      <alignment horizontal="left" indent="3"/>
    </xf>
    <xf numFmtId="0" fontId="45" fillId="0" borderId="0" xfId="45" applyFont="1" applyAlignment="1">
      <alignment horizontal="left" indent="1"/>
    </xf>
    <xf numFmtId="0" fontId="46" fillId="0" borderId="0" xfId="45" applyFont="1" applyAlignment="1">
      <alignment horizontal="left" indent="1"/>
    </xf>
    <xf numFmtId="172" fontId="20" fillId="0" borderId="0" xfId="33">
      <alignment horizontal="center"/>
    </xf>
    <xf numFmtId="169" fontId="13" fillId="9" borderId="7" xfId="31">
      <protection locked="0"/>
    </xf>
    <xf numFmtId="169" fontId="13" fillId="9" borderId="20" xfId="31" applyBorder="1">
      <protection locked="0"/>
    </xf>
    <xf numFmtId="169" fontId="13" fillId="9" borderId="21" xfId="31" applyBorder="1">
      <protection locked="0"/>
    </xf>
    <xf numFmtId="0" fontId="0" fillId="0" borderId="0" xfId="0" applyAlignment="1">
      <alignment horizontal="right"/>
    </xf>
    <xf numFmtId="179" fontId="13" fillId="14" borderId="7" xfId="34" applyNumberFormat="1" applyAlignment="1">
      <alignment horizontal="center"/>
      <protection locked="0"/>
    </xf>
    <xf numFmtId="0" fontId="6" fillId="23" borderId="22" xfId="71" applyFont="1" applyBorder="1" applyAlignment="1">
      <alignment horizontal="center"/>
    </xf>
    <xf numFmtId="178" fontId="13" fillId="14" borderId="7" xfId="34" applyNumberFormat="1" applyAlignment="1">
      <alignment horizontal="center"/>
      <protection locked="0"/>
    </xf>
    <xf numFmtId="169" fontId="28" fillId="0" borderId="7" xfId="57" applyAlignment="1">
      <alignment horizontal="center"/>
    </xf>
    <xf numFmtId="169" fontId="28" fillId="0" borderId="19" xfId="57" applyBorder="1" applyAlignment="1">
      <alignment horizontal="center"/>
    </xf>
    <xf numFmtId="168" fontId="13" fillId="14" borderId="21" xfId="34" applyBorder="1" applyAlignment="1">
      <alignment horizontal="center"/>
      <protection locked="0"/>
    </xf>
    <xf numFmtId="0" fontId="44" fillId="0" borderId="0" xfId="0" applyFont="1" applyAlignment="1">
      <alignment horizontal="center"/>
    </xf>
    <xf numFmtId="0" fontId="6" fillId="23" borderId="18" xfId="71" applyFont="1" applyBorder="1"/>
    <xf numFmtId="169" fontId="28" fillId="0" borderId="21" xfId="57" applyBorder="1" applyAlignment="1">
      <alignment horizontal="center"/>
    </xf>
    <xf numFmtId="0" fontId="39" fillId="0" borderId="0" xfId="27" quotePrefix="1" applyFont="1"/>
    <xf numFmtId="0" fontId="11" fillId="0" borderId="0" xfId="27" quotePrefix="1" applyAlignment="1">
      <alignment horizontal="left" indent="2"/>
    </xf>
    <xf numFmtId="0" fontId="11" fillId="0" borderId="0" xfId="27" quotePrefix="1" applyAlignment="1">
      <alignment horizontal="left" indent="4"/>
    </xf>
    <xf numFmtId="169" fontId="13" fillId="14" borderId="20" xfId="37" applyBorder="1">
      <protection locked="0"/>
    </xf>
    <xf numFmtId="169" fontId="13" fillId="14" borderId="21" xfId="37" applyBorder="1">
      <protection locked="0"/>
    </xf>
    <xf numFmtId="168" fontId="13" fillId="9" borderId="7" xfId="28" applyAlignment="1">
      <alignment horizontal="center"/>
      <protection locked="0"/>
    </xf>
    <xf numFmtId="0" fontId="36" fillId="0" borderId="0" xfId="0" applyFont="1" applyAlignment="1">
      <alignment horizontal="right"/>
    </xf>
    <xf numFmtId="0" fontId="0" fillId="0" borderId="0" xfId="0" quotePrefix="1"/>
    <xf numFmtId="0" fontId="39" fillId="0" borderId="0" xfId="27" applyFont="1" applyAlignment="1">
      <alignment horizontal="left" indent="12"/>
    </xf>
    <xf numFmtId="0" fontId="39" fillId="0" borderId="0" xfId="27" applyFont="1" applyAlignment="1">
      <alignment horizontal="left" indent="14"/>
    </xf>
    <xf numFmtId="0" fontId="11" fillId="0" borderId="0" xfId="27" quotePrefix="1" applyAlignment="1">
      <alignment horizontal="left" indent="6"/>
    </xf>
    <xf numFmtId="0" fontId="47" fillId="0" borderId="0" xfId="0" applyFont="1" applyAlignment="1">
      <alignment horizontal="center"/>
    </xf>
    <xf numFmtId="0" fontId="43" fillId="0" borderId="0" xfId="0" applyFont="1" applyAlignment="1">
      <alignment horizontal="center"/>
    </xf>
    <xf numFmtId="0" fontId="48" fillId="0" borderId="0" xfId="72"/>
    <xf numFmtId="0" fontId="11" fillId="0" borderId="0" xfId="27" applyAlignment="1">
      <alignment horizontal="left" indent="1"/>
    </xf>
    <xf numFmtId="0" fontId="0" fillId="0" borderId="0" xfId="0" applyAlignment="1">
      <alignment horizontal="center"/>
    </xf>
    <xf numFmtId="0" fontId="50" fillId="0" borderId="0" xfId="0" applyFont="1"/>
    <xf numFmtId="0" fontId="39" fillId="0" borderId="0" xfId="0" applyFont="1"/>
    <xf numFmtId="0" fontId="40" fillId="0" borderId="0" xfId="0" applyFont="1"/>
    <xf numFmtId="0" fontId="52" fillId="0" borderId="0" xfId="0" applyFont="1"/>
    <xf numFmtId="0" fontId="0" fillId="0" borderId="0" xfId="0" quotePrefix="1" applyAlignment="1">
      <alignment horizontal="center"/>
    </xf>
    <xf numFmtId="0" fontId="0" fillId="0" borderId="0" xfId="0" applyAlignment="1">
      <alignment horizontal="left"/>
    </xf>
    <xf numFmtId="0" fontId="53" fillId="0" borderId="0" xfId="0" applyFont="1"/>
    <xf numFmtId="0" fontId="11" fillId="0" borderId="0" xfId="0" applyFont="1"/>
    <xf numFmtId="0" fontId="54" fillId="0" borderId="0" xfId="0" applyFont="1"/>
  </cellXfs>
  <cellStyles count="73">
    <cellStyle name="Accent1" xfId="71" builtinId="29"/>
    <cellStyle name="Bad" xfId="11" builtinId="27" customBuiltin="1"/>
    <cellStyle name="Calc - #" xfId="22" xr:uid="{092C0054-E41C-4057-AD7C-D6EC9ADC27E4}"/>
    <cellStyle name="Calc - %" xfId="23" xr:uid="{4FB63E7F-D1BB-4EAF-B767-367216C1BA9B}"/>
    <cellStyle name="Calc - Date" xfId="24" xr:uid="{65B81D9A-2590-4A5E-ABD5-F5C43B2CEAAB}"/>
    <cellStyle name="Calc - SubTotal" xfId="25" xr:uid="{40E03CDE-90A2-421E-B8C1-1AE4F6CC75BA}"/>
    <cellStyle name="Calc - Total" xfId="26" xr:uid="{3B379D60-AA69-4850-AF6D-75819EE0ED8F}"/>
    <cellStyle name="Calculation" xfId="15" builtinId="22" hidden="1"/>
    <cellStyle name="Check Cell" xfId="17" builtinId="23" hidden="1"/>
    <cellStyle name="Code" xfId="27" xr:uid="{C1C58961-187F-46C0-84BB-EA5710635F99}"/>
    <cellStyle name="Comma" xfId="1" builtinId="3" customBuiltin="1"/>
    <cellStyle name="Const - #" xfId="28" xr:uid="{E4B65318-0042-42AB-9458-41A1F53E5D66}"/>
    <cellStyle name="Const - %" xfId="29" xr:uid="{360AB73E-5321-416B-BB8A-0F71626E9A1A}"/>
    <cellStyle name="Const - Date" xfId="30" xr:uid="{FCDA0967-AB81-4F9F-B555-62AFE023E334}"/>
    <cellStyle name="Const - Text" xfId="31" xr:uid="{C218E3C9-46B9-4BFA-BEAE-3BA71B6A7C79}"/>
    <cellStyle name="Currency" xfId="2" builtinId="4" customBuiltin="1"/>
    <cellStyle name="Currency [0]" xfId="3" builtinId="7" customBuiltin="1"/>
    <cellStyle name="Explanatory Text" xfId="20" builtinId="53" customBuiltin="1"/>
    <cellStyle name="Footer" xfId="32" xr:uid="{74E2840B-856D-41F2-AE79-CB64DE71D8A7}"/>
    <cellStyle name="Good" xfId="10" builtinId="26" customBuiltin="1"/>
    <cellStyle name="Heading 1" xfId="6" builtinId="16" customBuiltin="1"/>
    <cellStyle name="Heading 2" xfId="7" builtinId="17" customBuiltin="1"/>
    <cellStyle name="Heading 3" xfId="8" builtinId="18" customBuiltin="1"/>
    <cellStyle name="Heading 4" xfId="9" builtinId="19" customBuiltin="1"/>
    <cellStyle name="Hyperlink" xfId="72" builtinId="8"/>
    <cellStyle name="Inline Check" xfId="33" xr:uid="{58556C55-B209-4BB4-A585-48396E7C42AE}"/>
    <cellStyle name="Input" xfId="13" builtinId="20" hidden="1"/>
    <cellStyle name="Input - #" xfId="34" xr:uid="{D510EEB0-DD0E-4F61-95AB-D00DA33C02BD}"/>
    <cellStyle name="Input - %" xfId="35" xr:uid="{D21B2F7C-E695-4207-9AFA-5176D5907044}"/>
    <cellStyle name="Input - Date" xfId="36" xr:uid="{4546175D-CAF4-4ACE-8AAC-439B0269BA79}"/>
    <cellStyle name="Input - Text" xfId="37" xr:uid="{F55FC819-5856-42E9-955D-693CF3A58B67}"/>
    <cellStyle name="Linked Cell" xfId="16" builtinId="24" hidden="1"/>
    <cellStyle name="Macro Paste" xfId="38" xr:uid="{C427C925-93EC-4D1F-B35F-8B28A8067BC9}"/>
    <cellStyle name="Message Bar" xfId="39" xr:uid="{091B1A82-8626-48E0-B905-0B0A41F6CFD0}"/>
    <cellStyle name="Model Author Input" xfId="40" xr:uid="{B597F5FC-5201-406A-A837-49779320F590}"/>
    <cellStyle name="Model Error" xfId="41" xr:uid="{121EF6B2-AD17-448C-B126-6417E4F5987B}"/>
    <cellStyle name="Model Input Error" xfId="42" xr:uid="{9B45309B-2B53-479B-AF5B-B0C2B535D87F}"/>
    <cellStyle name="Model Warning" xfId="43" xr:uid="{0B79AD3A-B70B-44DE-B047-49A4E8977750}"/>
    <cellStyle name="Named Range" xfId="44" xr:uid="{7D157028-FEFD-44F6-8FA6-1B435A6EB3F1}"/>
    <cellStyle name="Neutral" xfId="12" builtinId="28" customBuiltin="1"/>
    <cellStyle name="Normal" xfId="0" builtinId="0" customBuiltin="1"/>
    <cellStyle name="Note" xfId="19" builtinId="10" hidden="1"/>
    <cellStyle name="Notes" xfId="45" xr:uid="{5B07F3FF-4824-4E49-A01D-0C0F8F5D3604}"/>
    <cellStyle name="Notes - Alt Text" xfId="46" xr:uid="{9D49162A-52B3-4CBF-AA40-E4F6CA9C1D2F}"/>
    <cellStyle name="Output" xfId="14" builtinId="21" hidden="1"/>
    <cellStyle name="Output - #" xfId="47" xr:uid="{8C6BA161-343E-4D2E-996A-BB2BEE97EDAA}"/>
    <cellStyle name="Output - %" xfId="48" xr:uid="{80844FE8-BE3F-4021-AC0C-F656C5ECF151}"/>
    <cellStyle name="Output - Date" xfId="49" xr:uid="{0A0E7277-A36A-4CB4-AE51-311843831853}"/>
    <cellStyle name="Output - SubTotal" xfId="50" xr:uid="{B5632BDD-AEA0-42AB-9285-895FBC96A4F0}"/>
    <cellStyle name="Output - Text" xfId="51" xr:uid="{77569F67-E4C1-4125-8ED7-5DCC224C93E9}"/>
    <cellStyle name="Output - Total" xfId="52" xr:uid="{C772940E-25BF-46F3-92C7-C3F2357336DC}"/>
    <cellStyle name="Per cent" xfId="4" builtinId="5" customBuiltin="1"/>
    <cellStyle name="Ref.In - #" xfId="53" xr:uid="{2C100B51-22B4-49CD-A52A-7391E2D8B773}"/>
    <cellStyle name="Ref.In - %" xfId="54" xr:uid="{EFDAAE63-0E46-46C7-9DE2-32EAC2382CD7}"/>
    <cellStyle name="Ref.In - Date" xfId="55" xr:uid="{1D69CC9F-BD14-408E-A8E2-5CFC820BADDA}"/>
    <cellStyle name="Ref.In - SubTotal" xfId="56" xr:uid="{B5B38EEF-23B6-4BB3-9394-5EE194BFFE2F}"/>
    <cellStyle name="Ref.In - Text" xfId="57" xr:uid="{BE781537-CDE3-4B8B-87D4-4DF9952BA515}"/>
    <cellStyle name="Ref.Out - #" xfId="58" xr:uid="{CED6E637-0A2E-4951-B700-C53C1F3B04D7}"/>
    <cellStyle name="Ref.Out - %" xfId="59" xr:uid="{43A0718E-1865-499E-8324-20756F433DEA}"/>
    <cellStyle name="Ref.Out - Date" xfId="60" xr:uid="{D73DE3E6-939A-44BF-A0AE-1FDF36A7567E}"/>
    <cellStyle name="Ref.Out - SubTotal" xfId="61" xr:uid="{4A4BA295-BDA1-4940-B51E-05201B3B4E66}"/>
    <cellStyle name="Ref.Out - Text" xfId="62" xr:uid="{03E1D4E1-E6BE-4E23-AE7E-FDE1E36B93F4}"/>
    <cellStyle name="SubTitle" xfId="63" xr:uid="{B33447D1-9F76-46A0-8BC2-7F0415EEC8A7}"/>
    <cellStyle name="Time Line" xfId="64" xr:uid="{4DCA6D51-46DD-4442-ADB6-41BE76858D35}"/>
    <cellStyle name="Title" xfId="5" builtinId="15" customBuiltin="1"/>
    <cellStyle name="Total" xfId="21" builtinId="25" hidden="1"/>
    <cellStyle name="Units Label" xfId="65" xr:uid="{94737F30-88B7-4B52-9A32-CBBD9A0CACB7}"/>
    <cellStyle name="Unused" xfId="66" xr:uid="{383A9AA3-1B95-410C-B8F9-3B3B40103D50}"/>
    <cellStyle name="Variance - #" xfId="67" xr:uid="{5085D8B4-23C5-4D39-B7DD-50117D22AF42}"/>
    <cellStyle name="Variance - %" xfId="68" xr:uid="{74AC2BE3-0E2E-4361-88EE-46944E357891}"/>
    <cellStyle name="Variance - SubTotal" xfId="69" xr:uid="{28B1E5C6-ECAC-471F-B701-6BA6D99D062C}"/>
    <cellStyle name="Variance - Total" xfId="70" xr:uid="{3672B0E2-DCEE-440E-A987-069652402BF6}"/>
    <cellStyle name="Warning Text" xfId="18" builtinId="11" customBuiltin="1"/>
  </cellStyles>
  <dxfs count="4">
    <dxf>
      <font>
        <color theme="0" tint="-0.34998626667073579"/>
      </font>
    </dxf>
    <dxf>
      <font>
        <color theme="0" tint="-0.34998626667073579"/>
      </font>
    </dxf>
    <dxf>
      <font>
        <b/>
        <i val="0"/>
        <color rgb="FF3F9C35"/>
      </font>
    </dxf>
    <dxf>
      <font>
        <color rgb="FFC00000"/>
      </font>
    </dxf>
  </dxfs>
  <tableStyles count="0" defaultTableStyle="TableStyleMedium2" defaultPivotStyle="PivotStyleLight16"/>
  <colors>
    <mruColors>
      <color rgb="FF0000FF"/>
      <color rgb="FF1E4FA8"/>
      <color rgb="FFFC6017"/>
      <color rgb="FFB75EE1"/>
      <color rgb="FF0065A8"/>
      <color rgb="FF3F9C35"/>
      <color rgb="FFB4B4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0</xdr:row>
      <xdr:rowOff>38100</xdr:rowOff>
    </xdr:from>
    <xdr:to>
      <xdr:col>2</xdr:col>
      <xdr:colOff>45720</xdr:colOff>
      <xdr:row>0</xdr:row>
      <xdr:rowOff>355542</xdr:rowOff>
    </xdr:to>
    <xdr:pic>
      <xdr:nvPicPr>
        <xdr:cNvPr id="2" name="Logo_Small" descr="A black and white logo&#10;&#10;AI-generated content may be incorrect.">
          <a:extLst>
            <a:ext uri="{FF2B5EF4-FFF2-40B4-BE49-F238E27FC236}">
              <a16:creationId xmlns:a16="http://schemas.microsoft.com/office/drawing/2014/main" id="{A396DEC6-42D7-480F-A213-5F96870092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 y="38100"/>
          <a:ext cx="609600" cy="3174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30480</xdr:colOff>
      <xdr:row>0</xdr:row>
      <xdr:rowOff>38100</xdr:rowOff>
    </xdr:from>
    <xdr:to>
      <xdr:col>2</xdr:col>
      <xdr:colOff>45720</xdr:colOff>
      <xdr:row>0</xdr:row>
      <xdr:rowOff>355542</xdr:rowOff>
    </xdr:to>
    <xdr:pic>
      <xdr:nvPicPr>
        <xdr:cNvPr id="2" name="Logo_Small" descr="A black and white logo&#10;&#10;AI-generated content may be incorrect.">
          <a:extLst>
            <a:ext uri="{FF2B5EF4-FFF2-40B4-BE49-F238E27FC236}">
              <a16:creationId xmlns:a16="http://schemas.microsoft.com/office/drawing/2014/main" id="{EBF02851-15A4-41AD-B07B-430DC6A371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 y="38100"/>
          <a:ext cx="609600" cy="31744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0</xdr:row>
      <xdr:rowOff>38100</xdr:rowOff>
    </xdr:from>
    <xdr:to>
      <xdr:col>2</xdr:col>
      <xdr:colOff>43815</xdr:colOff>
      <xdr:row>0</xdr:row>
      <xdr:rowOff>355542</xdr:rowOff>
    </xdr:to>
    <xdr:pic>
      <xdr:nvPicPr>
        <xdr:cNvPr id="2" name="Logo_Small" descr="A black and white logo&#10;&#10;AI-generated content may be incorrect.">
          <a:extLst>
            <a:ext uri="{FF2B5EF4-FFF2-40B4-BE49-F238E27FC236}">
              <a16:creationId xmlns:a16="http://schemas.microsoft.com/office/drawing/2014/main" id="{5EF47629-8003-4EA5-A473-E06753B7F4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 y="38100"/>
          <a:ext cx="586740" cy="31744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30480</xdr:colOff>
      <xdr:row>0</xdr:row>
      <xdr:rowOff>38100</xdr:rowOff>
    </xdr:from>
    <xdr:to>
      <xdr:col>2</xdr:col>
      <xdr:colOff>45720</xdr:colOff>
      <xdr:row>0</xdr:row>
      <xdr:rowOff>355542</xdr:rowOff>
    </xdr:to>
    <xdr:pic>
      <xdr:nvPicPr>
        <xdr:cNvPr id="2" name="Logo_Small" descr="A black and white logo&#10;&#10;AI-generated content may be incorrect.">
          <a:extLst>
            <a:ext uri="{FF2B5EF4-FFF2-40B4-BE49-F238E27FC236}">
              <a16:creationId xmlns:a16="http://schemas.microsoft.com/office/drawing/2014/main" id="{4FF28BC6-6215-4F73-9DDC-D140C21166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 y="38100"/>
          <a:ext cx="609600" cy="31744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30480</xdr:colOff>
      <xdr:row>0</xdr:row>
      <xdr:rowOff>38100</xdr:rowOff>
    </xdr:from>
    <xdr:to>
      <xdr:col>2</xdr:col>
      <xdr:colOff>45720</xdr:colOff>
      <xdr:row>0</xdr:row>
      <xdr:rowOff>355542</xdr:rowOff>
    </xdr:to>
    <xdr:pic>
      <xdr:nvPicPr>
        <xdr:cNvPr id="2" name="Logo_Small" descr="A black and white logo&#10;&#10;AI-generated content may be incorrect.">
          <a:extLst>
            <a:ext uri="{FF2B5EF4-FFF2-40B4-BE49-F238E27FC236}">
              <a16:creationId xmlns:a16="http://schemas.microsoft.com/office/drawing/2014/main" id="{FF36732A-98AB-4C0D-857B-383BAFE711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 y="38100"/>
          <a:ext cx="609600" cy="31744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30480</xdr:colOff>
      <xdr:row>0</xdr:row>
      <xdr:rowOff>38100</xdr:rowOff>
    </xdr:from>
    <xdr:to>
      <xdr:col>2</xdr:col>
      <xdr:colOff>45720</xdr:colOff>
      <xdr:row>0</xdr:row>
      <xdr:rowOff>355542</xdr:rowOff>
    </xdr:to>
    <xdr:pic>
      <xdr:nvPicPr>
        <xdr:cNvPr id="2" name="Logo_Small" descr="A black and white logo&#10;&#10;AI-generated content may be incorrect.">
          <a:extLst>
            <a:ext uri="{FF2B5EF4-FFF2-40B4-BE49-F238E27FC236}">
              <a16:creationId xmlns:a16="http://schemas.microsoft.com/office/drawing/2014/main" id="{A89566D6-A6B1-4B25-BC4F-583FFC5E00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 y="38100"/>
          <a:ext cx="609600" cy="317442"/>
        </a:xfrm>
        <a:prstGeom prst="rect">
          <a:avLst/>
        </a:prstGeom>
      </xdr:spPr>
    </xdr:pic>
    <xdr:clientData/>
  </xdr:twoCellAnchor>
  <xdr:twoCellAnchor editAs="oneCell">
    <xdr:from>
      <xdr:col>2</xdr:col>
      <xdr:colOff>0</xdr:colOff>
      <xdr:row>7</xdr:row>
      <xdr:rowOff>53340</xdr:rowOff>
    </xdr:from>
    <xdr:to>
      <xdr:col>10</xdr:col>
      <xdr:colOff>555206</xdr:colOff>
      <xdr:row>15</xdr:row>
      <xdr:rowOff>53462</xdr:rowOff>
    </xdr:to>
    <xdr:pic>
      <xdr:nvPicPr>
        <xdr:cNvPr id="3" name="Picture 2">
          <a:extLst>
            <a:ext uri="{FF2B5EF4-FFF2-40B4-BE49-F238E27FC236}">
              <a16:creationId xmlns:a16="http://schemas.microsoft.com/office/drawing/2014/main" id="{03741BD7-5EF9-B6C9-3F9F-B4204AE99C83}"/>
            </a:ext>
          </a:extLst>
        </xdr:cNvPr>
        <xdr:cNvPicPr>
          <a:picLocks noChangeAspect="1"/>
        </xdr:cNvPicPr>
      </xdr:nvPicPr>
      <xdr:blipFill>
        <a:blip xmlns:r="http://schemas.openxmlformats.org/officeDocument/2006/relationships" r:embed="rId2"/>
        <a:stretch>
          <a:fillRect/>
        </a:stretch>
      </xdr:blipFill>
      <xdr:spPr>
        <a:xfrm>
          <a:off x="594360" y="1516380"/>
          <a:ext cx="5432006" cy="1402202"/>
        </a:xfrm>
        <a:prstGeom prst="rect">
          <a:avLst/>
        </a:prstGeom>
      </xdr:spPr>
    </xdr:pic>
    <xdr:clientData/>
  </xdr:twoCellAnchor>
  <xdr:twoCellAnchor editAs="oneCell">
    <xdr:from>
      <xdr:col>2</xdr:col>
      <xdr:colOff>0</xdr:colOff>
      <xdr:row>17</xdr:row>
      <xdr:rowOff>53341</xdr:rowOff>
    </xdr:from>
    <xdr:to>
      <xdr:col>8</xdr:col>
      <xdr:colOff>511122</xdr:colOff>
      <xdr:row>36</xdr:row>
      <xdr:rowOff>15700</xdr:rowOff>
    </xdr:to>
    <xdr:pic>
      <xdr:nvPicPr>
        <xdr:cNvPr id="4" name="Picture 3">
          <a:extLst>
            <a:ext uri="{FF2B5EF4-FFF2-40B4-BE49-F238E27FC236}">
              <a16:creationId xmlns:a16="http://schemas.microsoft.com/office/drawing/2014/main" id="{431BC56B-77E4-2B34-04D9-14F61B9FE95A}"/>
            </a:ext>
          </a:extLst>
        </xdr:cNvPr>
        <xdr:cNvPicPr>
          <a:picLocks noChangeAspect="1"/>
        </xdr:cNvPicPr>
      </xdr:nvPicPr>
      <xdr:blipFill>
        <a:blip xmlns:r="http://schemas.openxmlformats.org/officeDocument/2006/relationships" r:embed="rId3"/>
        <a:stretch>
          <a:fillRect/>
        </a:stretch>
      </xdr:blipFill>
      <xdr:spPr>
        <a:xfrm>
          <a:off x="594360" y="3268981"/>
          <a:ext cx="4168722" cy="3292299"/>
        </a:xfrm>
        <a:prstGeom prst="rect">
          <a:avLst/>
        </a:prstGeom>
      </xdr:spPr>
    </xdr:pic>
    <xdr:clientData/>
  </xdr:twoCellAnchor>
  <xdr:twoCellAnchor editAs="oneCell">
    <xdr:from>
      <xdr:col>2</xdr:col>
      <xdr:colOff>0</xdr:colOff>
      <xdr:row>39</xdr:row>
      <xdr:rowOff>60960</xdr:rowOff>
    </xdr:from>
    <xdr:to>
      <xdr:col>17</xdr:col>
      <xdr:colOff>428056</xdr:colOff>
      <xdr:row>61</xdr:row>
      <xdr:rowOff>46256</xdr:rowOff>
    </xdr:to>
    <xdr:pic>
      <xdr:nvPicPr>
        <xdr:cNvPr id="5" name="Picture 4">
          <a:extLst>
            <a:ext uri="{FF2B5EF4-FFF2-40B4-BE49-F238E27FC236}">
              <a16:creationId xmlns:a16="http://schemas.microsoft.com/office/drawing/2014/main" id="{8CC6B198-81A9-F94C-427A-E389D9F85330}"/>
            </a:ext>
          </a:extLst>
        </xdr:cNvPr>
        <xdr:cNvPicPr>
          <a:picLocks noChangeAspect="1"/>
        </xdr:cNvPicPr>
      </xdr:nvPicPr>
      <xdr:blipFill>
        <a:blip xmlns:r="http://schemas.openxmlformats.org/officeDocument/2006/relationships" r:embed="rId4"/>
        <a:stretch>
          <a:fillRect/>
        </a:stretch>
      </xdr:blipFill>
      <xdr:spPr>
        <a:xfrm>
          <a:off x="594360" y="7132320"/>
          <a:ext cx="9572056" cy="3841016"/>
        </a:xfrm>
        <a:prstGeom prst="rect">
          <a:avLst/>
        </a:prstGeom>
      </xdr:spPr>
    </xdr:pic>
    <xdr:clientData/>
  </xdr:twoCellAnchor>
  <xdr:twoCellAnchor editAs="oneCell">
    <xdr:from>
      <xdr:col>2</xdr:col>
      <xdr:colOff>0</xdr:colOff>
      <xdr:row>63</xdr:row>
      <xdr:rowOff>60960</xdr:rowOff>
    </xdr:from>
    <xdr:to>
      <xdr:col>9</xdr:col>
      <xdr:colOff>244231</xdr:colOff>
      <xdr:row>70</xdr:row>
      <xdr:rowOff>76308</xdr:rowOff>
    </xdr:to>
    <xdr:pic>
      <xdr:nvPicPr>
        <xdr:cNvPr id="6" name="Picture 5">
          <a:extLst>
            <a:ext uri="{FF2B5EF4-FFF2-40B4-BE49-F238E27FC236}">
              <a16:creationId xmlns:a16="http://schemas.microsoft.com/office/drawing/2014/main" id="{985C5C23-4416-8BF3-02ED-FD4BCEF01107}"/>
            </a:ext>
          </a:extLst>
        </xdr:cNvPr>
        <xdr:cNvPicPr>
          <a:picLocks noChangeAspect="1"/>
        </xdr:cNvPicPr>
      </xdr:nvPicPr>
      <xdr:blipFill>
        <a:blip xmlns:r="http://schemas.openxmlformats.org/officeDocument/2006/relationships" r:embed="rId5"/>
        <a:stretch>
          <a:fillRect/>
        </a:stretch>
      </xdr:blipFill>
      <xdr:spPr>
        <a:xfrm>
          <a:off x="594360" y="11338560"/>
          <a:ext cx="4511431" cy="124216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30480</xdr:colOff>
      <xdr:row>0</xdr:row>
      <xdr:rowOff>38100</xdr:rowOff>
    </xdr:from>
    <xdr:to>
      <xdr:col>2</xdr:col>
      <xdr:colOff>45720</xdr:colOff>
      <xdr:row>0</xdr:row>
      <xdr:rowOff>355542</xdr:rowOff>
    </xdr:to>
    <xdr:pic>
      <xdr:nvPicPr>
        <xdr:cNvPr id="2" name="Logo_Small" descr="A black and white logo&#10;&#10;AI-generated content may be incorrect.">
          <a:extLst>
            <a:ext uri="{FF2B5EF4-FFF2-40B4-BE49-F238E27FC236}">
              <a16:creationId xmlns:a16="http://schemas.microsoft.com/office/drawing/2014/main" id="{22234C7A-68C2-4A80-ACC6-8AC5674F71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 y="38100"/>
          <a:ext cx="609600" cy="317442"/>
        </a:xfrm>
        <a:prstGeom prst="rect">
          <a:avLst/>
        </a:prstGeom>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0</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RXL Custom Theme">
  <a:themeElements>
    <a:clrScheme name="RXL Custom Theme">
      <a:dk1>
        <a:srgbClr val="002138"/>
      </a:dk1>
      <a:lt1>
        <a:sysClr val="window" lastClr="FFFFFF"/>
      </a:lt1>
      <a:dk2>
        <a:srgbClr val="002138"/>
      </a:dk2>
      <a:lt2>
        <a:srgbClr val="F8F8F8"/>
      </a:lt2>
      <a:accent1>
        <a:srgbClr val="198B83"/>
      </a:accent1>
      <a:accent2>
        <a:srgbClr val="56BAB8"/>
      </a:accent2>
      <a:accent3>
        <a:srgbClr val="FC6017"/>
      </a:accent3>
      <a:accent4>
        <a:srgbClr val="F88D24"/>
      </a:accent4>
      <a:accent5>
        <a:srgbClr val="E6D3B8"/>
      </a:accent5>
      <a:accent6>
        <a:srgbClr val="B75EE1"/>
      </a:accent6>
      <a:hlink>
        <a:srgbClr val="467886"/>
      </a:hlink>
      <a:folHlink>
        <a:srgbClr val="96607D"/>
      </a:folHlink>
    </a:clrScheme>
    <a:fontScheme name="RXL Custom Them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3"/>
        </a:solidFill>
        <a:ln w="28575">
          <a:solidFill>
            <a:schemeClr val="accent3">
              <a:lumMod val="75000"/>
            </a:schemeClr>
          </a:solidFill>
        </a:ln>
        <a:effectLst>
          <a:outerShdw blurRad="50800" dist="38100" dir="5400000" algn="t" rotWithShape="0">
            <a:prstClr val="black">
              <a:alpha val="40000"/>
            </a:prstClr>
          </a:outerShdw>
        </a:effectLst>
      </a:spPr>
      <a:bodyPr vertOverflow="clip" horzOverflow="clip" rtlCol="0" anchor="ctr"/>
      <a:lstStyle>
        <a:defPPr algn="ctr">
          <a:defRPr sz="1200" kern="1200">
            <a:solidFill>
              <a:schemeClr val="bg1"/>
            </a:solidFill>
            <a:latin typeface="+mj-lt"/>
            <a:cs typeface="Arial" panose="020B0604020202020204" pitchFamily="34" charset="0"/>
          </a:defRPr>
        </a:defPPr>
      </a:lstStyle>
      <a:style>
        <a:lnRef idx="2">
          <a:schemeClr val="accent1">
            <a:shade val="15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72"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1552C57-5323-4988-AAEB-53D3DA7DA2A5}">
  <we:reference id="wa200003696" version="1.3.0.0" store="en-GB" storeType="OMEX"/>
  <we:alternateReferences>
    <we:reference id="WA200003696" version="1.3.0.0" store="" storeType="OMEX"/>
  </we:alternateReferences>
  <we:properties>
    <we:property name="projectV0_1-56c6e055-265e-4713-816e-a646dbb708de" value="{&quot;kind&quot;:&quot;AFEJSONBlobNode&quot;,&quot;id&quot;:&quot;{27C20DC6-6EA6-4688-BE54-33271D649EB2}&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hyperlink" Target="https://gist.github.com/r-silk/ca2ecef53235978f8b18c5ecc8ff4fb3" TargetMode="External"/><Relationship Id="rId2" Type="http://schemas.openxmlformats.org/officeDocument/2006/relationships/hyperlink" Target="https://gist.github.com/r-silk/ca2ecef53235978f8b18c5ecc8ff4fb3" TargetMode="External"/><Relationship Id="rId1" Type="http://schemas.openxmlformats.org/officeDocument/2006/relationships/hyperlink" Target="https://gist.github.com/r-silk/23480f2929317b45544b4953e1ddb7a6" TargetMode="External"/><Relationship Id="rId5" Type="http://schemas.openxmlformats.org/officeDocument/2006/relationships/drawing" Target="../drawings/drawing5.xml"/><Relationship Id="rId4" Type="http://schemas.openxmlformats.org/officeDocument/2006/relationships/hyperlink" Target="https://gist.github.com/r-silk/ca2ecef53235978f8b18c5ecc8ff4fb3"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CC3E2-8428-4E54-A113-2E357DBB3A4F}">
  <sheetPr codeName="Sheet1"/>
  <dimension ref="B1:V684"/>
  <sheetViews>
    <sheetView showGridLines="0" tabSelected="1" zoomScaleNormal="100" workbookViewId="0">
      <pane ySplit="1" topLeftCell="A2" activePane="bottomLeft" state="frozen"/>
      <selection pane="bottomLeft"/>
    </sheetView>
  </sheetViews>
  <sheetFormatPr defaultRowHeight="13.8" x14ac:dyDescent="0.3"/>
  <cols>
    <col min="1" max="2" width="4.33203125" customWidth="1"/>
  </cols>
  <sheetData>
    <row r="1" spans="2:7" s="1" customFormat="1" ht="30" customHeight="1" x14ac:dyDescent="0.3">
      <c r="C1" s="2" t="s">
        <v>19</v>
      </c>
    </row>
    <row r="3" spans="2:7" x14ac:dyDescent="0.3">
      <c r="B3" s="11" t="s">
        <v>4</v>
      </c>
    </row>
    <row r="4" spans="2:7" x14ac:dyDescent="0.3">
      <c r="C4" t="s">
        <v>556</v>
      </c>
    </row>
    <row r="5" spans="2:7" x14ac:dyDescent="0.3">
      <c r="C5" s="30" t="s">
        <v>557</v>
      </c>
    </row>
    <row r="6" spans="2:7" x14ac:dyDescent="0.3">
      <c r="C6" s="30" t="s">
        <v>558</v>
      </c>
    </row>
    <row r="7" spans="2:7" x14ac:dyDescent="0.3">
      <c r="C7" t="s">
        <v>559</v>
      </c>
    </row>
    <row r="8" spans="2:7" x14ac:dyDescent="0.3">
      <c r="C8" s="30" t="s">
        <v>560</v>
      </c>
    </row>
    <row r="9" spans="2:7" x14ac:dyDescent="0.3">
      <c r="C9" s="83" t="s">
        <v>23</v>
      </c>
    </row>
    <row r="10" spans="2:7" x14ac:dyDescent="0.3">
      <c r="C10" s="30" t="s">
        <v>253</v>
      </c>
    </row>
    <row r="11" spans="2:7" x14ac:dyDescent="0.3">
      <c r="C11" s="30" t="s">
        <v>254</v>
      </c>
    </row>
    <row r="14" spans="2:7" x14ac:dyDescent="0.3">
      <c r="B14" s="11" t="s">
        <v>5</v>
      </c>
    </row>
    <row r="16" spans="2:7" ht="14.4" thickBot="1" x14ac:dyDescent="0.35">
      <c r="C16" s="29" t="s">
        <v>365</v>
      </c>
      <c r="D16" s="60"/>
      <c r="E16" s="60"/>
      <c r="F16" s="60"/>
      <c r="G16" s="60"/>
    </row>
    <row r="17" spans="2:20" x14ac:dyDescent="0.3">
      <c r="C17" s="25">
        <v>1</v>
      </c>
      <c r="D17" s="25">
        <v>1</v>
      </c>
      <c r="E17" s="25">
        <v>1</v>
      </c>
      <c r="F17" s="25">
        <v>1</v>
      </c>
      <c r="G17" s="25">
        <v>1</v>
      </c>
    </row>
    <row r="18" spans="2:20" x14ac:dyDescent="0.3">
      <c r="C18" s="22">
        <v>2</v>
      </c>
      <c r="D18" s="22">
        <v>2</v>
      </c>
      <c r="E18" s="22">
        <v>2</v>
      </c>
      <c r="F18" s="22">
        <v>2</v>
      </c>
      <c r="G18" s="22">
        <v>2</v>
      </c>
    </row>
    <row r="19" spans="2:20" x14ac:dyDescent="0.3">
      <c r="C19" s="22">
        <v>3</v>
      </c>
      <c r="D19" s="22">
        <v>3</v>
      </c>
      <c r="E19" s="22">
        <v>3</v>
      </c>
      <c r="F19" s="22">
        <v>3</v>
      </c>
      <c r="G19" s="22">
        <v>3</v>
      </c>
    </row>
    <row r="20" spans="2:20" x14ac:dyDescent="0.3">
      <c r="C20" s="22">
        <v>4</v>
      </c>
      <c r="D20" s="22">
        <v>4</v>
      </c>
      <c r="E20" s="22">
        <v>4</v>
      </c>
      <c r="F20" s="22">
        <v>4</v>
      </c>
      <c r="G20" s="22">
        <v>4</v>
      </c>
    </row>
    <row r="21" spans="2:20" x14ac:dyDescent="0.3">
      <c r="C21" s="22">
        <v>5</v>
      </c>
      <c r="D21" s="22">
        <v>5</v>
      </c>
      <c r="E21" s="22">
        <v>5</v>
      </c>
      <c r="F21" s="22">
        <v>5</v>
      </c>
      <c r="G21" s="22">
        <v>5</v>
      </c>
    </row>
    <row r="25" spans="2:20" s="4" customFormat="1" ht="16.2" thickBot="1" x14ac:dyDescent="0.35">
      <c r="B25" s="5">
        <f xml:space="preserve"> MAX(B$1:B24) + 1</f>
        <v>1</v>
      </c>
      <c r="C25" s="4" t="s">
        <v>7</v>
      </c>
    </row>
    <row r="27" spans="2:20" x14ac:dyDescent="0.3">
      <c r="B27" s="13" t="s">
        <v>6</v>
      </c>
      <c r="C27" s="12"/>
      <c r="D27" s="12"/>
      <c r="E27" s="12"/>
      <c r="F27" s="12"/>
      <c r="G27" s="12"/>
      <c r="H27" s="12"/>
      <c r="I27" s="12"/>
      <c r="J27" s="12"/>
      <c r="K27" s="12"/>
      <c r="L27" s="12"/>
      <c r="M27" s="12"/>
      <c r="N27" s="12"/>
      <c r="O27" s="12"/>
      <c r="P27" s="12"/>
      <c r="Q27" s="12"/>
      <c r="R27" s="12"/>
      <c r="S27" s="12"/>
      <c r="T27" s="12"/>
    </row>
    <row r="29" spans="2:20" x14ac:dyDescent="0.3">
      <c r="C29" s="14" t="s">
        <v>8</v>
      </c>
    </row>
    <row r="30" spans="2:20" x14ac:dyDescent="0.3">
      <c r="C30" t="s">
        <v>255</v>
      </c>
    </row>
    <row r="31" spans="2:20" x14ac:dyDescent="0.3">
      <c r="C31" s="30" t="s">
        <v>256</v>
      </c>
    </row>
    <row r="32" spans="2:20" x14ac:dyDescent="0.3">
      <c r="C32" t="s">
        <v>561</v>
      </c>
    </row>
    <row r="33" spans="2:13" x14ac:dyDescent="0.3">
      <c r="C33" t="s">
        <v>562</v>
      </c>
    </row>
    <row r="34" spans="2:13" x14ac:dyDescent="0.3">
      <c r="C34" s="30" t="s">
        <v>563</v>
      </c>
    </row>
    <row r="35" spans="2:13" x14ac:dyDescent="0.3">
      <c r="C35" s="30" t="s">
        <v>564</v>
      </c>
    </row>
    <row r="36" spans="2:13" x14ac:dyDescent="0.3">
      <c r="C36" s="30" t="s">
        <v>565</v>
      </c>
    </row>
    <row r="37" spans="2:13" x14ac:dyDescent="0.3">
      <c r="C37" s="30" t="s">
        <v>566</v>
      </c>
    </row>
    <row r="38" spans="2:13" x14ac:dyDescent="0.3">
      <c r="C38" t="s">
        <v>567</v>
      </c>
    </row>
    <row r="39" spans="2:13" x14ac:dyDescent="0.3">
      <c r="C39" s="30" t="s">
        <v>568</v>
      </c>
    </row>
    <row r="40" spans="2:13" x14ac:dyDescent="0.3">
      <c r="C40" s="83" t="s">
        <v>569</v>
      </c>
    </row>
    <row r="41" spans="2:13" x14ac:dyDescent="0.3">
      <c r="C41" s="83" t="s">
        <v>570</v>
      </c>
    </row>
    <row r="44" spans="2:13" x14ac:dyDescent="0.3">
      <c r="B44" s="15" t="str" cm="1">
        <f t="array" ref="B44" xml:space="preserve"> "(" &amp; _xlfn.UNICHAR( 65 + SUMPRODUCT(--(_xlfn.REGEXTEST(B$1:B39, "^\([A-Z]\)$")))) &amp; ")"</f>
        <v>(A)</v>
      </c>
      <c r="C44" s="10" t="s">
        <v>216</v>
      </c>
    </row>
    <row r="46" spans="2:13" x14ac:dyDescent="0.3">
      <c r="C46" s="52" t="s">
        <v>212</v>
      </c>
      <c r="D46" s="22">
        <v>10</v>
      </c>
      <c r="E46" s="52" t="s">
        <v>213</v>
      </c>
      <c r="F46" s="22">
        <v>5</v>
      </c>
      <c r="H46" s="52" t="s">
        <v>224</v>
      </c>
      <c r="I46" s="55">
        <v>1</v>
      </c>
    </row>
    <row r="47" spans="2:13" x14ac:dyDescent="0.3">
      <c r="C47" s="52" t="s">
        <v>214</v>
      </c>
      <c r="D47" s="43" cm="1">
        <f t="array" ref="D47:D56" xml:space="preserve"> _xlfn.SEQUENCE(D46)</f>
        <v>1</v>
      </c>
      <c r="E47" s="52" t="s">
        <v>214</v>
      </c>
      <c r="F47" s="43" cm="1">
        <f t="array" ref="F47:F51" xml:space="preserve"> _xlfn.SEQUENCE(F46)</f>
        <v>1</v>
      </c>
      <c r="H47" s="52" t="s">
        <v>306</v>
      </c>
      <c r="I47" s="22" cm="1">
        <f t="array" ref="I47:L47" xml:space="preserve"> {2,4,-5,-3}</f>
        <v>2</v>
      </c>
      <c r="J47" s="22">
        <v>4</v>
      </c>
      <c r="K47" s="22">
        <v>-5</v>
      </c>
      <c r="L47" s="22">
        <v>-3</v>
      </c>
      <c r="M47" s="22"/>
    </row>
    <row r="48" spans="2:13" x14ac:dyDescent="0.3">
      <c r="D48" s="43">
        <v>2</v>
      </c>
      <c r="F48" s="43">
        <v>2</v>
      </c>
      <c r="H48" s="52" t="s">
        <v>168</v>
      </c>
      <c r="I48" s="43" cm="1">
        <f t="array" ref="I48:L48" xml:space="preserve"> _xlfn.LET(
  _xlpm._byR, I46,
  _xlpm._ins,_xlfn.ANCHORARRAY( I47),
  _xlpm._num, IF(_xlpm._byR, D46, F46),
  _xlpm._adj, _xlpm._ins + IF(_xlpm._ins &lt; 0, _xlpm._num + 1, 0),
  _xlpm._adj
)</f>
        <v>2</v>
      </c>
      <c r="J48" s="43">
        <v>4</v>
      </c>
      <c r="K48" s="43">
        <v>6</v>
      </c>
      <c r="L48" s="43">
        <v>8</v>
      </c>
      <c r="M48" s="43"/>
    </row>
    <row r="49" spans="2:10" x14ac:dyDescent="0.3">
      <c r="D49" s="43">
        <v>3</v>
      </c>
      <c r="F49" s="43">
        <v>3</v>
      </c>
      <c r="I49" s="16" t="str" cm="1">
        <f t="array" aca="1" ref="I49:I55" ca="1" xml:space="preserve"> _xlfn.TEXTSPLIT( _xlfn.FORMULATEXT(I48), , CHAR(10))</f>
        <v>= LET(</v>
      </c>
    </row>
    <row r="50" spans="2:10" x14ac:dyDescent="0.3">
      <c r="D50" s="43">
        <v>4</v>
      </c>
      <c r="F50" s="43">
        <v>4</v>
      </c>
      <c r="I50" s="16" t="str">
        <f ca="1"/>
        <v xml:space="preserve">  _byR, I46,</v>
      </c>
    </row>
    <row r="51" spans="2:10" x14ac:dyDescent="0.3">
      <c r="D51" s="43">
        <v>5</v>
      </c>
      <c r="F51" s="43">
        <v>5</v>
      </c>
      <c r="I51" s="16" t="str">
        <f ca="1"/>
        <v xml:space="preserve">  _ins, I47#,</v>
      </c>
    </row>
    <row r="52" spans="2:10" x14ac:dyDescent="0.3">
      <c r="D52" s="43">
        <v>6</v>
      </c>
      <c r="F52" s="43"/>
      <c r="I52" s="16" t="str">
        <f ca="1"/>
        <v xml:space="preserve">  _num, IF(_byR, D46, F46),</v>
      </c>
    </row>
    <row r="53" spans="2:10" x14ac:dyDescent="0.3">
      <c r="D53" s="43">
        <v>7</v>
      </c>
      <c r="F53" s="43"/>
      <c r="I53" s="16" t="str">
        <f ca="1"/>
        <v xml:space="preserve">  _adj, _ins + IF(_ins &lt; 0, _num + 1, 0),</v>
      </c>
    </row>
    <row r="54" spans="2:10" x14ac:dyDescent="0.3">
      <c r="D54" s="43">
        <v>8</v>
      </c>
      <c r="F54" s="43"/>
      <c r="I54" s="16" t="str">
        <f ca="1"/>
        <v xml:space="preserve">  _adj</v>
      </c>
    </row>
    <row r="55" spans="2:10" x14ac:dyDescent="0.3">
      <c r="D55" s="43">
        <v>9</v>
      </c>
      <c r="F55" s="43"/>
      <c r="I55" s="16" t="str">
        <f ca="1"/>
        <v>)</v>
      </c>
    </row>
    <row r="56" spans="2:10" x14ac:dyDescent="0.3">
      <c r="D56" s="43">
        <v>10</v>
      </c>
      <c r="F56" s="43"/>
    </row>
    <row r="59" spans="2:10" x14ac:dyDescent="0.3">
      <c r="B59" s="15" t="str" cm="1">
        <f t="array" ref="B59" xml:space="preserve"> "(" &amp; _xlfn.UNICHAR( 65 + SUMPRODUCT(--(_xlfn.REGEXTEST(B$1:B58, "^\([A-Z]\)$")))) &amp; ")"</f>
        <v>(B)</v>
      </c>
      <c r="C59" s="10" t="s">
        <v>279</v>
      </c>
    </row>
    <row r="61" spans="2:10" x14ac:dyDescent="0.3">
      <c r="C61" s="52" t="s">
        <v>212</v>
      </c>
      <c r="D61" s="22">
        <v>5</v>
      </c>
      <c r="E61" s="52" t="s">
        <v>213</v>
      </c>
      <c r="F61" s="22">
        <v>5</v>
      </c>
    </row>
    <row r="62" spans="2:10" x14ac:dyDescent="0.3">
      <c r="C62" s="52" t="s">
        <v>274</v>
      </c>
      <c r="D62" s="43" cm="1">
        <f t="array" ref="D62:D66" xml:space="preserve"> _xlfn.SEQUENCE(D61)</f>
        <v>1</v>
      </c>
      <c r="E62" s="52" t="s">
        <v>214</v>
      </c>
      <c r="F62" s="43" cm="1">
        <f t="array" ref="F62:J62" xml:space="preserve"> _xlfn.SEQUENCE(1, F61)</f>
        <v>1</v>
      </c>
      <c r="G62" s="43">
        <v>2</v>
      </c>
      <c r="H62" s="43">
        <v>3</v>
      </c>
      <c r="I62" s="43">
        <v>4</v>
      </c>
      <c r="J62" s="43">
        <v>5</v>
      </c>
    </row>
    <row r="63" spans="2:10" x14ac:dyDescent="0.3">
      <c r="D63" s="43">
        <v>2</v>
      </c>
    </row>
    <row r="64" spans="2:10" x14ac:dyDescent="0.3">
      <c r="D64" s="43">
        <v>3</v>
      </c>
      <c r="E64" s="52" t="s">
        <v>173</v>
      </c>
      <c r="F64" s="55">
        <v>1</v>
      </c>
    </row>
    <row r="65" spans="4:15" x14ac:dyDescent="0.3">
      <c r="D65" s="43">
        <v>4</v>
      </c>
      <c r="E65" s="52" t="s">
        <v>276</v>
      </c>
      <c r="F65" s="55">
        <v>0</v>
      </c>
      <c r="G65" s="52" t="s">
        <v>312</v>
      </c>
      <c r="H65" s="24" t="s">
        <v>278</v>
      </c>
    </row>
    <row r="66" spans="4:15" x14ac:dyDescent="0.3">
      <c r="D66" s="43">
        <v>5</v>
      </c>
      <c r="E66" s="52" t="s">
        <v>277</v>
      </c>
      <c r="F66" s="22" cm="1">
        <f t="array" ref="F66:I66" xml:space="preserve"> {2,4,-5,-3}</f>
        <v>2</v>
      </c>
      <c r="G66" s="22">
        <v>4</v>
      </c>
      <c r="H66" s="22">
        <v>-5</v>
      </c>
      <c r="I66" s="22">
        <v>-3</v>
      </c>
      <c r="J66" s="22"/>
    </row>
    <row r="67" spans="4:15" x14ac:dyDescent="0.3">
      <c r="E67" s="52" t="s">
        <v>275</v>
      </c>
      <c r="F67" s="43" cm="1">
        <f t="array" ref="F67:F75" xml:space="preserve"> _xlfn.LET(
  _xlpm._byR, F64,
  _xlpm._bfr, F65,
  _xlpm._inp, H65,
  _xlpm._arr, IF(_xlpm._byR,_xlfn.ANCHORARRAY( D62),_xlfn.ANCHORARRAY( F62)),
  _xlpm._num, IF(_xlpm._byR, D61, F61),
  _xlpm._ins,_xlfn.ANCHORARRAY( F66),
  _xlpm._adj, _xlpm._ins + IF(_xlpm._ins &lt; 0, _xlpm._num + 1, 0),
  _xlpm._rtn, IF(_xlpm._byR,
    _xlfn.DROP(
      _xlfn.REDUCE(0, _xlpm._arr, _xlfn.LAMBDA(_xlpm._acc,_xlpm._val,
        IF( ISNUMBER(_xlfn.XMATCH(_xlpm._val, _xlpm._adj)),
          IF(_xlpm._bfr, _xlfn.VSTACK(_xlpm._acc, _xlpm._inp, _xlpm._val), _xlfn.VSTACK(_xlpm._acc, _xlpm._val, _xlpm._inp)),
          _xlfn.VSTACK(_xlpm._acc, _xlpm._val))
      )), 1
    ),
    _xlfn.DROP(
      _xlfn.REDUCE(0, _xlpm._arr, _xlfn.LAMBDA(_xlpm._acc,_xlpm._val,
        IF( ISNUMBER(_xlfn.XMATCH(_xlpm._val, _xlpm._adj)),
          IF(_xlpm._bfr, _xlfn.HSTACK(_xlpm._acc, _xlpm._inp, _xlpm._val), _xlfn.HSTACK(_xlpm._acc, _xlpm._val, _xlpm._inp)),
          _xlfn.HSTACK(_xlpm._acc, _xlpm._val))
      )), , 1
    )
  ),
  _xlpm._rtn
)</f>
        <v>1</v>
      </c>
      <c r="G67" s="43"/>
      <c r="H67" s="43"/>
      <c r="I67" s="43"/>
      <c r="J67" s="43"/>
      <c r="K67" s="43"/>
      <c r="L67" s="43"/>
      <c r="M67" s="43"/>
      <c r="N67" s="43"/>
      <c r="O67" s="43"/>
    </row>
    <row r="68" spans="4:15" x14ac:dyDescent="0.3">
      <c r="F68" s="43" t="str">
        <v>[X]</v>
      </c>
      <c r="G68" s="16" t="str" cm="1">
        <f t="array" aca="1" ref="G68:G93" ca="1" xml:space="preserve"> _xlfn.TEXTSPLIT( _xlfn.FORMULATEXT(F67), , CHAR(10))</f>
        <v>= LET(</v>
      </c>
    </row>
    <row r="69" spans="4:15" x14ac:dyDescent="0.3">
      <c r="F69" s="43">
        <v>2</v>
      </c>
      <c r="G69" s="16" t="str">
        <f ca="1"/>
        <v xml:space="preserve">  _byR, F64,</v>
      </c>
    </row>
    <row r="70" spans="4:15" x14ac:dyDescent="0.3">
      <c r="F70" s="43" t="str">
        <v>[X]</v>
      </c>
      <c r="G70" s="16" t="str">
        <f ca="1"/>
        <v xml:space="preserve">  _bfr, F65,</v>
      </c>
    </row>
    <row r="71" spans="4:15" x14ac:dyDescent="0.3">
      <c r="F71" s="43">
        <v>3</v>
      </c>
      <c r="G71" s="16" t="str">
        <f ca="1"/>
        <v xml:space="preserve">  _inp, H65,</v>
      </c>
    </row>
    <row r="72" spans="4:15" x14ac:dyDescent="0.3">
      <c r="F72" s="43" t="str">
        <v>[X]</v>
      </c>
      <c r="G72" s="16" t="str">
        <f ca="1"/>
        <v xml:space="preserve">  _arr, IF(_byR, D62#, F62#),</v>
      </c>
    </row>
    <row r="73" spans="4:15" x14ac:dyDescent="0.3">
      <c r="F73" s="43">
        <v>4</v>
      </c>
      <c r="G73" s="16" t="str">
        <f ca="1"/>
        <v xml:space="preserve">  _num, IF(_byR, D61, F61),</v>
      </c>
    </row>
    <row r="74" spans="4:15" x14ac:dyDescent="0.3">
      <c r="F74" s="43" t="str">
        <v>[X]</v>
      </c>
      <c r="G74" s="16" t="str">
        <f ca="1"/>
        <v xml:space="preserve">  _ins, F66#,</v>
      </c>
    </row>
    <row r="75" spans="4:15" x14ac:dyDescent="0.3">
      <c r="F75" s="43">
        <v>5</v>
      </c>
      <c r="G75" s="16" t="str">
        <f ca="1"/>
        <v xml:space="preserve">  _adj, _ins + IF(_ins &lt; 0, _num + 1, 0),</v>
      </c>
    </row>
    <row r="76" spans="4:15" x14ac:dyDescent="0.3">
      <c r="F76" s="43"/>
      <c r="G76" s="16" t="str">
        <f ca="1"/>
        <v xml:space="preserve">  _rtn, IF(_byR,</v>
      </c>
    </row>
    <row r="77" spans="4:15" x14ac:dyDescent="0.3">
      <c r="G77" s="16" t="str">
        <f ca="1"/>
        <v xml:space="preserve">    DROP(</v>
      </c>
    </row>
    <row r="78" spans="4:15" x14ac:dyDescent="0.3">
      <c r="G78" s="16" t="str">
        <f ca="1"/>
        <v xml:space="preserve">      REDUCE(0, _arr, LAMBDA(_acc,_val,</v>
      </c>
    </row>
    <row r="79" spans="4:15" x14ac:dyDescent="0.3">
      <c r="G79" s="16" t="str">
        <f ca="1"/>
        <v xml:space="preserve">        IF( ISNUMBER(XMATCH(_val, _adj)),</v>
      </c>
    </row>
    <row r="80" spans="4:15" x14ac:dyDescent="0.3">
      <c r="G80" s="16" t="str">
        <f ca="1"/>
        <v xml:space="preserve">          IF(_bfr, VSTACK(_acc, _inp, _val), VSTACK(_acc, _val, _inp)),</v>
      </c>
    </row>
    <row r="81" spans="2:7" x14ac:dyDescent="0.3">
      <c r="G81" s="16" t="str">
        <f ca="1"/>
        <v xml:space="preserve">          VSTACK(_acc, _val))</v>
      </c>
    </row>
    <row r="82" spans="2:7" x14ac:dyDescent="0.3">
      <c r="G82" s="16" t="str">
        <f ca="1"/>
        <v xml:space="preserve">      )), 1</v>
      </c>
    </row>
    <row r="83" spans="2:7" x14ac:dyDescent="0.3">
      <c r="G83" s="16" t="str">
        <f ca="1"/>
        <v xml:space="preserve">    ),</v>
      </c>
    </row>
    <row r="84" spans="2:7" x14ac:dyDescent="0.3">
      <c r="G84" s="16" t="str">
        <f ca="1"/>
        <v xml:space="preserve">    DROP(</v>
      </c>
    </row>
    <row r="85" spans="2:7" x14ac:dyDescent="0.3">
      <c r="G85" s="16" t="str">
        <f ca="1"/>
        <v xml:space="preserve">      REDUCE(0, _arr, LAMBDA(_acc,_val,</v>
      </c>
    </row>
    <row r="86" spans="2:7" x14ac:dyDescent="0.3">
      <c r="G86" s="16" t="str">
        <f ca="1"/>
        <v xml:space="preserve">        IF( ISNUMBER(XMATCH(_val, _adj)),</v>
      </c>
    </row>
    <row r="87" spans="2:7" x14ac:dyDescent="0.3">
      <c r="G87" s="16" t="str">
        <f ca="1"/>
        <v xml:space="preserve">          IF(_bfr, HSTACK(_acc, _inp, _val), HSTACK(_acc, _val, _inp)),</v>
      </c>
    </row>
    <row r="88" spans="2:7" x14ac:dyDescent="0.3">
      <c r="G88" s="16" t="str">
        <f ca="1"/>
        <v xml:space="preserve">          HSTACK(_acc, _val))</v>
      </c>
    </row>
    <row r="89" spans="2:7" x14ac:dyDescent="0.3">
      <c r="G89" s="16" t="str">
        <f ca="1"/>
        <v xml:space="preserve">      )), , 1</v>
      </c>
    </row>
    <row r="90" spans="2:7" x14ac:dyDescent="0.3">
      <c r="G90" s="16" t="str">
        <f ca="1"/>
        <v xml:space="preserve">    )</v>
      </c>
    </row>
    <row r="91" spans="2:7" x14ac:dyDescent="0.3">
      <c r="G91" s="16" t="str">
        <f ca="1"/>
        <v xml:space="preserve">  ),</v>
      </c>
    </row>
    <row r="92" spans="2:7" x14ac:dyDescent="0.3">
      <c r="G92" s="16" t="str">
        <f ca="1"/>
        <v xml:space="preserve">  _rtn</v>
      </c>
    </row>
    <row r="93" spans="2:7" x14ac:dyDescent="0.3">
      <c r="G93" s="16" t="str">
        <f ca="1"/>
        <v>)</v>
      </c>
    </row>
    <row r="95" spans="2:7" x14ac:dyDescent="0.3">
      <c r="B95" s="15" t="str" cm="1">
        <f t="array" ref="B95" xml:space="preserve"> "(" &amp; _xlfn.UNICHAR( 65 + SUMPRODUCT(--(_xlfn.REGEXTEST(B$1:B94, "^\([A-Z]\)$")))) &amp; ")"</f>
        <v>(C)</v>
      </c>
      <c r="C95" s="10" t="s">
        <v>280</v>
      </c>
    </row>
    <row r="96" spans="2:7" x14ac:dyDescent="0.3">
      <c r="C96" s="10" t="s">
        <v>281</v>
      </c>
    </row>
    <row r="98" spans="3:11" x14ac:dyDescent="0.3">
      <c r="C98" s="52" t="s">
        <v>212</v>
      </c>
      <c r="D98" s="67">
        <v>5</v>
      </c>
      <c r="F98" s="52" t="s">
        <v>276</v>
      </c>
      <c r="G98" s="55">
        <v>1</v>
      </c>
    </row>
    <row r="99" spans="3:11" x14ac:dyDescent="0.3">
      <c r="C99" s="52" t="s">
        <v>214</v>
      </c>
      <c r="D99" s="43" cm="1">
        <f t="array" ref="D99:D103" xml:space="preserve"> _xlfn.SEQUENCE(D98, 1)</f>
        <v>1</v>
      </c>
      <c r="F99" s="52" t="s">
        <v>283</v>
      </c>
      <c r="G99" s="22" cm="1">
        <f t="array" ref="G99:I99" xml:space="preserve"> {2,3,4}</f>
        <v>2</v>
      </c>
      <c r="H99" s="22">
        <v>3</v>
      </c>
      <c r="I99" s="22">
        <v>4</v>
      </c>
      <c r="J99" s="22"/>
      <c r="K99" s="22"/>
    </row>
    <row r="100" spans="3:11" x14ac:dyDescent="0.3">
      <c r="D100" s="43">
        <v>2</v>
      </c>
      <c r="F100" s="52" t="s">
        <v>215</v>
      </c>
      <c r="G100" s="24" t="str" cm="1">
        <f t="array" ref="G100:G102" xml:space="preserve"> {"[X]";"[Y]";"[Z]"}</f>
        <v>[X]</v>
      </c>
    </row>
    <row r="101" spans="3:11" x14ac:dyDescent="0.3">
      <c r="D101" s="43">
        <v>3</v>
      </c>
      <c r="G101" s="24" t="str">
        <v>[Y]</v>
      </c>
    </row>
    <row r="102" spans="3:11" x14ac:dyDescent="0.3">
      <c r="D102" s="43">
        <v>4</v>
      </c>
      <c r="G102" s="24" t="str">
        <v>[Z]</v>
      </c>
    </row>
    <row r="103" spans="3:11" x14ac:dyDescent="0.3">
      <c r="D103" s="43">
        <v>5</v>
      </c>
      <c r="F103" s="52" t="s">
        <v>284</v>
      </c>
      <c r="G103" s="55">
        <v>1</v>
      </c>
    </row>
    <row r="105" spans="3:11" x14ac:dyDescent="0.3">
      <c r="F105" s="52" t="s">
        <v>168</v>
      </c>
      <c r="G105" s="43" cm="1">
        <f t="array" ref="G105:G112" xml:space="preserve"> _xlfn.LET(
  _xlpm._bfr, G98,
  _xlpm._inp,_xlfn.ANCHORARRAY( G100),
  _xlpm._rInp, ROWS(_xlpm._inp),
  _xlpm._idv, G103,
  _xlpm._arr,_xlfn.ANCHORARRAY( D99),
  _xlpm._rr, D98,
  _xlpm._ins,_xlfn.ANCHORARRAY( G99),
  _xlpm._adj, _xlpm._ins + IF(_xlpm._ins &lt; 0, _xlpm._rr + 1, 0),
  _xlpm._rtn, _xlfn.DROP(
    _xlfn.REDUCE(0, _xlpm._arr, _xlfn.LAMBDA(_xlpm._acc,_xlpm._val,
      IF( ISNUMBER(_xlfn.XMATCH(_xlpm._val, _xlpm._adj)),
        _xlfn.LET(
          _xlpm._new, IF(_xlpm._idv, INDEX(_xlpm._inp, MOD( _xlfn.XMATCH(_xlpm._val, _xlpm._adj) - 1, _xlpm._rInp) + 1), _xlpm._inp),
          _xlpm._1st, IF(_xlpm._bfr, _xlpm._new, _xlpm._val),
          _xlpm._2nd, IF(_xlpm._bfr, _xlpm._val, _xlpm._new),
          _xlfn.VSTACK(_xlpm._acc, _xlpm._1st, _xlpm._2nd)
        ),
        _xlfn.VSTACK(_xlpm._acc, _xlpm._val))
    )), 1
  ),
  _xlpm._rtn
)</f>
        <v>1</v>
      </c>
      <c r="H105" s="16" t="str" cm="1">
        <f t="array" aca="1" ref="H105:H127" ca="1" xml:space="preserve"> _xlfn.TEXTSPLIT( _xlfn.FORMULATEXT(G105), , CHAR(10))</f>
        <v>= LET(</v>
      </c>
    </row>
    <row r="106" spans="3:11" x14ac:dyDescent="0.3">
      <c r="G106" s="43" t="str">
        <v>[X]</v>
      </c>
      <c r="H106" s="16" t="str">
        <f ca="1"/>
        <v xml:space="preserve">  _bfr, G98,</v>
      </c>
    </row>
    <row r="107" spans="3:11" x14ac:dyDescent="0.3">
      <c r="G107" s="43">
        <v>2</v>
      </c>
      <c r="H107" s="16" t="str">
        <f ca="1"/>
        <v xml:space="preserve">  _inp, G100#,</v>
      </c>
    </row>
    <row r="108" spans="3:11" x14ac:dyDescent="0.3">
      <c r="G108" s="43" t="str">
        <v>[Y]</v>
      </c>
      <c r="H108" s="16" t="str">
        <f ca="1"/>
        <v xml:space="preserve">  _rInp, ROWS(_inp),</v>
      </c>
    </row>
    <row r="109" spans="3:11" x14ac:dyDescent="0.3">
      <c r="G109" s="43">
        <v>3</v>
      </c>
      <c r="H109" s="16" t="str">
        <f ca="1"/>
        <v xml:space="preserve">  _idv, G103,</v>
      </c>
    </row>
    <row r="110" spans="3:11" x14ac:dyDescent="0.3">
      <c r="G110" s="43" t="str">
        <v>[Z]</v>
      </c>
      <c r="H110" s="16" t="str">
        <f ca="1"/>
        <v xml:space="preserve">  _arr, D99#,</v>
      </c>
    </row>
    <row r="111" spans="3:11" x14ac:dyDescent="0.3">
      <c r="G111" s="43">
        <v>4</v>
      </c>
      <c r="H111" s="16" t="str">
        <f ca="1"/>
        <v xml:space="preserve">  _rr, D98,</v>
      </c>
    </row>
    <row r="112" spans="3:11" x14ac:dyDescent="0.3">
      <c r="G112" s="43">
        <v>5</v>
      </c>
      <c r="H112" s="16" t="str">
        <f ca="1"/>
        <v xml:space="preserve">  _ins, G99#,</v>
      </c>
    </row>
    <row r="113" spans="7:8" x14ac:dyDescent="0.3">
      <c r="G113" s="43"/>
      <c r="H113" s="16" t="str">
        <f ca="1"/>
        <v xml:space="preserve">  _adj, _ins + IF(_ins &lt; 0, _rr + 1, 0),</v>
      </c>
    </row>
    <row r="114" spans="7:8" x14ac:dyDescent="0.3">
      <c r="G114" s="43"/>
      <c r="H114" s="16" t="str">
        <f ca="1"/>
        <v xml:space="preserve">  _rtn, DROP(</v>
      </c>
    </row>
    <row r="115" spans="7:8" x14ac:dyDescent="0.3">
      <c r="G115" s="43"/>
      <c r="H115" s="16" t="str">
        <f ca="1"/>
        <v xml:space="preserve">    REDUCE(0, _arr, LAMBDA(_acc,_val,</v>
      </c>
    </row>
    <row r="116" spans="7:8" x14ac:dyDescent="0.3">
      <c r="G116" s="43"/>
      <c r="H116" s="16" t="str">
        <f ca="1"/>
        <v xml:space="preserve">      IF( ISNUMBER(XMATCH(_val, _adj)),</v>
      </c>
    </row>
    <row r="117" spans="7:8" x14ac:dyDescent="0.3">
      <c r="G117" s="43"/>
      <c r="H117" s="16" t="str">
        <f ca="1"/>
        <v xml:space="preserve">        LET(</v>
      </c>
    </row>
    <row r="118" spans="7:8" x14ac:dyDescent="0.3">
      <c r="G118" s="43"/>
      <c r="H118" s="16" t="str">
        <f ca="1"/>
        <v xml:space="preserve">          _new, IF(_idv, INDEX(_inp, MOD( XMATCH(_val, _adj) - 1, _rInp) + 1), _inp),</v>
      </c>
    </row>
    <row r="119" spans="7:8" x14ac:dyDescent="0.3">
      <c r="H119" s="16" t="str">
        <f ca="1"/>
        <v xml:space="preserve">          _1st, IF(_bfr, _new, _val),</v>
      </c>
    </row>
    <row r="120" spans="7:8" x14ac:dyDescent="0.3">
      <c r="H120" s="16" t="str">
        <f ca="1"/>
        <v xml:space="preserve">          _2nd, IF(_bfr, _val, _new),</v>
      </c>
    </row>
    <row r="121" spans="7:8" x14ac:dyDescent="0.3">
      <c r="H121" s="16" t="str">
        <f ca="1"/>
        <v xml:space="preserve">          VSTACK(_acc, _1st, _2nd)</v>
      </c>
    </row>
    <row r="122" spans="7:8" x14ac:dyDescent="0.3">
      <c r="H122" s="16" t="str">
        <f ca="1"/>
        <v xml:space="preserve">        ),</v>
      </c>
    </row>
    <row r="123" spans="7:8" x14ac:dyDescent="0.3">
      <c r="H123" s="16" t="str">
        <f ca="1"/>
        <v xml:space="preserve">        VSTACK(_acc, _val))</v>
      </c>
    </row>
    <row r="124" spans="7:8" x14ac:dyDescent="0.3">
      <c r="H124" s="16" t="str">
        <f ca="1"/>
        <v xml:space="preserve">    )), 1</v>
      </c>
    </row>
    <row r="125" spans="7:8" x14ac:dyDescent="0.3">
      <c r="H125" s="16" t="str">
        <f ca="1"/>
        <v xml:space="preserve">  ),</v>
      </c>
    </row>
    <row r="126" spans="7:8" x14ac:dyDescent="0.3">
      <c r="H126" s="16" t="str">
        <f ca="1"/>
        <v xml:space="preserve">  _rtn</v>
      </c>
    </row>
    <row r="127" spans="7:8" x14ac:dyDescent="0.3">
      <c r="H127" s="16" t="str">
        <f ca="1"/>
        <v>)</v>
      </c>
    </row>
    <row r="129" spans="2:17" x14ac:dyDescent="0.3">
      <c r="B129" s="15" t="str" cm="1">
        <f t="array" ref="B129" xml:space="preserve"> "(" &amp; _xlfn.UNICHAR( 65 + SUMPRODUCT(--(_xlfn.REGEXTEST(B$1:B128, "^\([A-Z]\)$")))) &amp; ")"</f>
        <v>(D)</v>
      </c>
      <c r="C129" s="10" t="s">
        <v>285</v>
      </c>
    </row>
    <row r="130" spans="2:17" x14ac:dyDescent="0.3">
      <c r="C130" s="10" t="s">
        <v>467</v>
      </c>
    </row>
    <row r="132" spans="2:17" x14ac:dyDescent="0.3">
      <c r="C132" s="52" t="s">
        <v>213</v>
      </c>
      <c r="D132" s="67">
        <v>5</v>
      </c>
    </row>
    <row r="133" spans="2:17" x14ac:dyDescent="0.3">
      <c r="C133" s="52" t="s">
        <v>214</v>
      </c>
      <c r="D133" s="43" cm="1">
        <f t="array" ref="D133:H133" xml:space="preserve"> _xlfn.SEQUENCE(1, D132)</f>
        <v>1</v>
      </c>
      <c r="E133" s="43">
        <v>2</v>
      </c>
      <c r="F133" s="43">
        <v>3</v>
      </c>
      <c r="G133" s="43">
        <v>4</v>
      </c>
      <c r="H133" s="43">
        <v>5</v>
      </c>
    </row>
    <row r="135" spans="2:17" x14ac:dyDescent="0.3">
      <c r="C135" s="52" t="s">
        <v>286</v>
      </c>
      <c r="D135" s="22" cm="1">
        <f t="array" ref="D135:F135" xml:space="preserve"> {2,3,-2}</f>
        <v>2</v>
      </c>
      <c r="E135" s="22">
        <v>3</v>
      </c>
      <c r="F135" s="22">
        <v>-2</v>
      </c>
      <c r="G135" s="22"/>
      <c r="H135" s="22"/>
    </row>
    <row r="136" spans="2:17" x14ac:dyDescent="0.3">
      <c r="C136" s="52" t="s">
        <v>215</v>
      </c>
      <c r="D136" s="24" t="str" cm="1">
        <f t="array" ref="D136:F136" xml:space="preserve"> {"[X]","[Y]","[Z]"}</f>
        <v>[X]</v>
      </c>
      <c r="E136" s="24" t="str">
        <v>[Y]</v>
      </c>
      <c r="F136" s="24" t="str">
        <v>[Z]</v>
      </c>
    </row>
    <row r="137" spans="2:17" x14ac:dyDescent="0.3">
      <c r="C137" s="52" t="s">
        <v>284</v>
      </c>
      <c r="D137" s="55">
        <v>1</v>
      </c>
    </row>
    <row r="138" spans="2:17" x14ac:dyDescent="0.3">
      <c r="C138" s="52" t="s">
        <v>276</v>
      </c>
      <c r="D138" s="55">
        <v>1</v>
      </c>
    </row>
    <row r="140" spans="2:17" x14ac:dyDescent="0.3">
      <c r="C140" s="52" t="s">
        <v>168</v>
      </c>
      <c r="D140" s="43" cm="1">
        <f t="array" ref="D140:K140" xml:space="preserve"> _xlfn.LET(
  _xlpm._bfr, D138,
  _xlpm._inp,_xlfn.ANCHORARRAY( D136),
  _xlpm._cInp, COLUMNS(_xlpm._inp),
  _xlpm._idv, D137,
  _xlpm._arr,_xlfn.ANCHORARRAY( D133),
  _xlpm._cc, D132,
  _xlpm._ins,_xlfn.ANCHORARRAY( D135),
  _xlpm._adj, _xlpm._ins + IF(_xlpm._ins &lt; 0, _xlpm._cc + 1, 0),
  _xlpm._rtn, _xlfn.DROP(
    _xlfn.REDUCE(0, _xlpm._arr, _xlfn.LAMBDA(_xlpm._acc,_xlpm._val,
      IF( ISNUMBER(_xlfn.XMATCH(_xlpm._val, _xlpm._adj)),
        _xlfn.LET(
          _xlpm._new, IF(_xlpm._idv, INDEX(_xlpm._inp, 1, MOD( _xlfn.XMATCH(_xlpm._val, _xlpm._adj) - 1, _xlpm._cInp) + 1), _xlpm._inp),
          _xlpm._1st, IF(_xlpm._bfr, _xlpm._new, _xlpm._val),
          _xlpm._2nd, IF(_xlpm._bfr, _xlpm._val, _xlpm._new),
          _xlfn.HSTACK(_xlpm._acc, _xlpm._1st, _xlpm._2nd)
        ),
        _xlfn.HSTACK(_xlpm._acc, _xlpm._val))
    )), , 1
  ),
  _xlpm._rtn
)</f>
        <v>1</v>
      </c>
      <c r="E140" s="43" t="str">
        <v>[X]</v>
      </c>
      <c r="F140" s="43">
        <v>2</v>
      </c>
      <c r="G140" s="43" t="str">
        <v>[Y]</v>
      </c>
      <c r="H140" s="43">
        <v>3</v>
      </c>
      <c r="I140" s="43" t="str">
        <v>[Z]</v>
      </c>
      <c r="J140" s="43">
        <v>4</v>
      </c>
      <c r="K140" s="43">
        <v>5</v>
      </c>
      <c r="L140" s="43"/>
      <c r="M140" s="43"/>
      <c r="N140" s="43"/>
      <c r="O140" s="43"/>
      <c r="P140" s="43"/>
      <c r="Q140" s="43"/>
    </row>
    <row r="141" spans="2:17" x14ac:dyDescent="0.3">
      <c r="D141" s="16" t="str" cm="1">
        <f t="array" aca="1" ref="D141:D163" ca="1" xml:space="preserve"> _xlfn.TEXTSPLIT( _xlfn.FORMULATEXT(D140), , CHAR(10))</f>
        <v>= LET(</v>
      </c>
    </row>
    <row r="142" spans="2:17" x14ac:dyDescent="0.3">
      <c r="D142" s="16" t="str">
        <f ca="1"/>
        <v xml:space="preserve">  _bfr, D138,</v>
      </c>
    </row>
    <row r="143" spans="2:17" x14ac:dyDescent="0.3">
      <c r="D143" s="16" t="str">
        <f ca="1"/>
        <v xml:space="preserve">  _inp, D136#,</v>
      </c>
    </row>
    <row r="144" spans="2:17" x14ac:dyDescent="0.3">
      <c r="D144" s="16" t="str">
        <f ca="1"/>
        <v xml:space="preserve">  _cInp, COLUMNS(_inp),</v>
      </c>
    </row>
    <row r="145" spans="4:4" x14ac:dyDescent="0.3">
      <c r="D145" s="16" t="str">
        <f ca="1"/>
        <v xml:space="preserve">  _idv, D137,</v>
      </c>
    </row>
    <row r="146" spans="4:4" x14ac:dyDescent="0.3">
      <c r="D146" s="16" t="str">
        <f ca="1"/>
        <v xml:space="preserve">  _arr, D133#,</v>
      </c>
    </row>
    <row r="147" spans="4:4" x14ac:dyDescent="0.3">
      <c r="D147" s="16" t="str">
        <f ca="1"/>
        <v xml:space="preserve">  _cc, D132,</v>
      </c>
    </row>
    <row r="148" spans="4:4" x14ac:dyDescent="0.3">
      <c r="D148" s="16" t="str">
        <f ca="1"/>
        <v xml:space="preserve">  _ins, D135#,</v>
      </c>
    </row>
    <row r="149" spans="4:4" x14ac:dyDescent="0.3">
      <c r="D149" s="16" t="str">
        <f ca="1"/>
        <v xml:space="preserve">  _adj, _ins + IF(_ins &lt; 0, _cc + 1, 0),</v>
      </c>
    </row>
    <row r="150" spans="4:4" x14ac:dyDescent="0.3">
      <c r="D150" s="16" t="str">
        <f ca="1"/>
        <v xml:space="preserve">  _rtn, DROP(</v>
      </c>
    </row>
    <row r="151" spans="4:4" x14ac:dyDescent="0.3">
      <c r="D151" s="16" t="str">
        <f ca="1"/>
        <v xml:space="preserve">    REDUCE(0, _arr, LAMBDA(_acc,_val,</v>
      </c>
    </row>
    <row r="152" spans="4:4" x14ac:dyDescent="0.3">
      <c r="D152" s="16" t="str">
        <f ca="1"/>
        <v xml:space="preserve">      IF( ISNUMBER(XMATCH(_val, _adj)),</v>
      </c>
    </row>
    <row r="153" spans="4:4" x14ac:dyDescent="0.3">
      <c r="D153" s="16" t="str">
        <f ca="1"/>
        <v xml:space="preserve">        LET(</v>
      </c>
    </row>
    <row r="154" spans="4:4" x14ac:dyDescent="0.3">
      <c r="D154" s="16" t="str">
        <f ca="1"/>
        <v xml:space="preserve">          _new, IF(_idv, INDEX(_inp, 1, MOD( XMATCH(_val, _adj) - 1, _cInp) + 1), _inp),</v>
      </c>
    </row>
    <row r="155" spans="4:4" x14ac:dyDescent="0.3">
      <c r="D155" s="16" t="str">
        <f ca="1"/>
        <v xml:space="preserve">          _1st, IF(_bfr, _new, _val),</v>
      </c>
    </row>
    <row r="156" spans="4:4" x14ac:dyDescent="0.3">
      <c r="D156" s="16" t="str">
        <f ca="1"/>
        <v xml:space="preserve">          _2nd, IF(_bfr, _val, _new),</v>
      </c>
    </row>
    <row r="157" spans="4:4" x14ac:dyDescent="0.3">
      <c r="D157" s="16" t="str">
        <f ca="1"/>
        <v xml:space="preserve">          HSTACK(_acc, _1st, _2nd)</v>
      </c>
    </row>
    <row r="158" spans="4:4" x14ac:dyDescent="0.3">
      <c r="D158" s="16" t="str">
        <f ca="1"/>
        <v xml:space="preserve">        ),</v>
      </c>
    </row>
    <row r="159" spans="4:4" x14ac:dyDescent="0.3">
      <c r="D159" s="16" t="str">
        <f ca="1"/>
        <v xml:space="preserve">        HSTACK(_acc, _val))</v>
      </c>
    </row>
    <row r="160" spans="4:4" x14ac:dyDescent="0.3">
      <c r="D160" s="16" t="str">
        <f ca="1"/>
        <v xml:space="preserve">    )), , 1</v>
      </c>
    </row>
    <row r="161" spans="2:19" x14ac:dyDescent="0.3">
      <c r="D161" s="16" t="str">
        <f ca="1"/>
        <v xml:space="preserve">  ),</v>
      </c>
    </row>
    <row r="162" spans="2:19" x14ac:dyDescent="0.3">
      <c r="D162" s="16" t="str">
        <f ca="1"/>
        <v xml:space="preserve">  _rtn</v>
      </c>
    </row>
    <row r="163" spans="2:19" x14ac:dyDescent="0.3">
      <c r="D163" s="16" t="str">
        <f ca="1"/>
        <v>)</v>
      </c>
    </row>
    <row r="165" spans="2:19" x14ac:dyDescent="0.3">
      <c r="B165" s="15" t="str" cm="1">
        <f t="array" ref="B165" xml:space="preserve"> "(" &amp; _xlfn.UNICHAR( 65 + SUMPRODUCT(--(_xlfn.REGEXTEST(B$1:B164, "^\([A-Z]\)$")))) &amp; ")"</f>
        <v>(E)</v>
      </c>
      <c r="C165" s="10" t="s">
        <v>287</v>
      </c>
    </row>
    <row r="167" spans="2:19" x14ac:dyDescent="0.3">
      <c r="C167" t="s">
        <v>288</v>
      </c>
      <c r="I167" s="52" t="s">
        <v>306</v>
      </c>
      <c r="J167" s="22" cm="1">
        <f t="array" ref="J167:L167" xml:space="preserve"> {2,3,-2}</f>
        <v>2</v>
      </c>
      <c r="K167" s="22">
        <v>3</v>
      </c>
      <c r="L167" s="22">
        <v>-2</v>
      </c>
      <c r="M167" s="22"/>
    </row>
    <row r="168" spans="2:19" x14ac:dyDescent="0.3">
      <c r="C168" s="42" cm="1">
        <f t="array" ref="C168:G172" xml:space="preserve"> $C$17:$G$21</f>
        <v>1</v>
      </c>
      <c r="D168" s="42">
        <v>1</v>
      </c>
      <c r="E168" s="42">
        <v>1</v>
      </c>
      <c r="F168" s="42">
        <v>1</v>
      </c>
      <c r="G168" s="42">
        <v>1</v>
      </c>
      <c r="I168" s="52" t="s">
        <v>215</v>
      </c>
      <c r="J168" s="22" t="str" cm="1">
        <f t="array" ref="J168:N170" xml:space="preserve"> _xlfn.MAKEARRAY(3, 5, _xlfn.LAMBDA(_xlpm._r,_xlpm._c, "[" &amp; CHAR(87 + _xlpm._r) &amp; "]"))</f>
        <v>[X]</v>
      </c>
      <c r="K168" s="22" t="str">
        <v>[X]</v>
      </c>
      <c r="L168" s="22" t="str">
        <v>[X]</v>
      </c>
      <c r="M168" s="22" t="str">
        <v>[X]</v>
      </c>
      <c r="N168" s="22" t="str">
        <v>[X]</v>
      </c>
    </row>
    <row r="169" spans="2:19" x14ac:dyDescent="0.3">
      <c r="C169" s="42">
        <v>2</v>
      </c>
      <c r="D169" s="42">
        <v>2</v>
      </c>
      <c r="E169" s="42">
        <v>2</v>
      </c>
      <c r="F169" s="42">
        <v>2</v>
      </c>
      <c r="G169" s="42">
        <v>2</v>
      </c>
      <c r="J169" s="22" t="str">
        <v>[Y]</v>
      </c>
      <c r="K169" s="22" t="str">
        <v>[Y]</v>
      </c>
      <c r="L169" s="22" t="str">
        <v>[Y]</v>
      </c>
      <c r="M169" s="22" t="str">
        <v>[Y]</v>
      </c>
      <c r="N169" s="22" t="str">
        <v>[Y]</v>
      </c>
    </row>
    <row r="170" spans="2:19" x14ac:dyDescent="0.3">
      <c r="C170" s="42">
        <v>3</v>
      </c>
      <c r="D170" s="42">
        <v>3</v>
      </c>
      <c r="E170" s="42">
        <v>3</v>
      </c>
      <c r="F170" s="42">
        <v>3</v>
      </c>
      <c r="G170" s="42">
        <v>3</v>
      </c>
      <c r="J170" s="22" t="str">
        <v>[Z]</v>
      </c>
      <c r="K170" s="22" t="str">
        <v>[Z]</v>
      </c>
      <c r="L170" s="22" t="str">
        <v>[Z]</v>
      </c>
      <c r="M170" s="22" t="str">
        <v>[Z]</v>
      </c>
      <c r="N170" s="22" t="str">
        <v>[Z]</v>
      </c>
    </row>
    <row r="171" spans="2:19" x14ac:dyDescent="0.3">
      <c r="C171" s="42">
        <v>4</v>
      </c>
      <c r="D171" s="42">
        <v>4</v>
      </c>
      <c r="E171" s="42">
        <v>4</v>
      </c>
      <c r="F171" s="42">
        <v>4</v>
      </c>
      <c r="G171" s="42">
        <v>4</v>
      </c>
      <c r="I171" s="52" t="s">
        <v>307</v>
      </c>
      <c r="J171" s="55">
        <v>0</v>
      </c>
    </row>
    <row r="172" spans="2:19" x14ac:dyDescent="0.3">
      <c r="C172" s="42">
        <v>5</v>
      </c>
      <c r="D172" s="42">
        <v>5</v>
      </c>
      <c r="E172" s="42">
        <v>5</v>
      </c>
      <c r="F172" s="42">
        <v>5</v>
      </c>
      <c r="G172" s="42">
        <v>5</v>
      </c>
      <c r="I172" s="52" t="s">
        <v>308</v>
      </c>
      <c r="J172" s="55">
        <v>0</v>
      </c>
    </row>
    <row r="173" spans="2:19" x14ac:dyDescent="0.3">
      <c r="I173" s="52" t="s">
        <v>289</v>
      </c>
      <c r="J173" s="55">
        <v>1</v>
      </c>
    </row>
    <row r="174" spans="2:19" x14ac:dyDescent="0.3">
      <c r="C174" t="s">
        <v>290</v>
      </c>
    </row>
    <row r="175" spans="2:19" x14ac:dyDescent="0.3">
      <c r="C175" s="43" cm="1">
        <f t="array" ref="C175:G182" xml:space="preserve"> _xlfn.LET(
  _xlpm._arr,_xlfn.ANCHORARRAY( C168),
  _xlpm._rr, ROWS(_xlpm._arr),
  _xlpm._cc, COLUMNS(_xlpm._arr),
  _xlpm._ins,_xlfn.ANCHORARRAY( J167),
  _xlpm._inp, IF(J172, TRANSPOSE(_xlfn.ANCHORARRAY(J168)),_xlfn.ANCHORARRAY( J168)),
  _xlpm._rInp, ROWS(_xlpm._inp),
  _xlpm._cInp, COLUMNS(_xlpm._inp),
  _xlpm._iCol, J172,
  _xlpm._idv, J173,
  _xlpm._iAft, J171,
  _xlpm._num, IF(_xlpm._iCol, _xlpm._cc, _xlpm._rr),
  _xlpm._aIns, _xlpm._ins + IF(_xlpm._ins &lt; 0, _xlpm._num + 1, 0),
  _xlpm._rIdx, _xlfn.SEQUENCE(ROWS(_xlpm._arr), 1),
  _xlpm._cIdx, _xlfn.SEQUENCE(1, COLUMNS(_xlpm._arr)),
  _xlpm._calc, IF(_xlpm._iCol,
    _xlfn.DROP(
      _xlfn.REDUCE(0, _xlfn.SEQUENCE(1, _xlpm._cc), _xlfn.LAMBDA(_xlpm._acc,_xlpm._val,
        IF( ISNUMBER(_xlfn.XMATCH(_xlpm._val, _xlpm._aIns)),
          _xlfn.LET(
            _xlpm._idx, _xlfn.SEQUENCE(ROWS(_xlpm._inp), 1),
            _xlpm._new, IF(_xlpm._idv, INDEX(_xlpm._inp, _xlpm._idx, MOD( _xlfn.XMATCH(_xlpm._val, _xlpm._aIns) - 1, _xlpm._cInp) + 1), _xlpm._inp),
            _xlpm._old, INDEX(_xlpm._arr, _xlpm._rIdx, _xlpm._val),
            _xlpm._1st, IF(_xlpm._iAft, _xlpm._old, _xlpm._new),
            _xlpm._2nd, IF(_xlpm._iAft, _xlpm._new, _xlpm._old),
            _xlfn.HSTACK(_xlpm._acc, _xlpm._1st, _xlpm._2nd)
          ),
          _xlfn.HSTACK(_xlpm._acc, INDEX(_xlpm._arr, _xlpm._rIdx, _xlpm._val)))
      )), , 1
    ),
    _xlfn.DROP(
      _xlfn.REDUCE(0, _xlfn.SEQUENCE(_xlpm._rr, 1), _xlfn.LAMBDA(_xlpm._acc,_xlpm._val,
        IF( ISNUMBER(_xlfn.XMATCH(_xlpm._val, _xlpm._aIns)),
          _xlfn.LET(
            _xlpm._idx, _xlfn.SEQUENCE(1, COLUMNS(_xlpm._inp)),
            _xlpm._new, IF(_xlpm._idv, INDEX(_xlpm._inp, MOD( _xlfn.XMATCH(_xlpm._val, _xlpm._aIns) - 1, _xlpm._rInp) + 1, _xlpm._idx), _xlpm._inp),
            _xlpm._old, INDEX(_xlpm._arr, _xlpm._val, _xlpm._cIdx),
            _xlpm._1st, IF(_xlpm._iAft, _xlpm._old, _xlpm._new),
            _xlpm._2nd, IF(_xlpm._iAft, _xlpm._new, _xlpm._old),
            _xlfn.VSTACK(_xlpm._acc, _xlpm._1st, _xlpm._2nd)
          ),
          _xlfn.VSTACK(_xlpm._acc, INDEX(_xlpm._arr, _xlpm._val, _xlpm._cIdx)))
      )), 1
    )
  ),
  _xlpm._rtn, _xlpm._calc,
  _xlpm._rtn
)</f>
        <v>1</v>
      </c>
      <c r="D175" s="43">
        <v>1</v>
      </c>
      <c r="E175" s="43">
        <v>1</v>
      </c>
      <c r="F175" s="43">
        <v>1</v>
      </c>
      <c r="G175" s="43">
        <v>1</v>
      </c>
      <c r="H175" s="43"/>
      <c r="I175" s="43"/>
      <c r="J175" s="43"/>
      <c r="K175" s="43"/>
      <c r="L175" s="43"/>
      <c r="M175" s="43"/>
      <c r="N175" s="43"/>
      <c r="O175" s="43"/>
      <c r="P175" s="43"/>
      <c r="Q175" s="43"/>
      <c r="R175" s="43"/>
      <c r="S175" s="43"/>
    </row>
    <row r="176" spans="2:19" x14ac:dyDescent="0.3">
      <c r="C176" s="43" t="str">
        <v>[X]</v>
      </c>
      <c r="D176" s="43" t="str">
        <v>[X]</v>
      </c>
      <c r="E176" s="43" t="str">
        <v>[X]</v>
      </c>
      <c r="F176" s="43" t="str">
        <v>[X]</v>
      </c>
      <c r="G176" s="43" t="str">
        <v>[X]</v>
      </c>
      <c r="H176" s="43"/>
      <c r="I176" s="43"/>
      <c r="J176" s="43"/>
      <c r="K176" s="43"/>
      <c r="L176" s="43"/>
      <c r="M176" s="43"/>
      <c r="N176" s="43"/>
      <c r="O176" s="43"/>
      <c r="P176" s="43"/>
      <c r="Q176" s="43"/>
      <c r="R176" s="43"/>
      <c r="S176" s="43"/>
    </row>
    <row r="177" spans="3:19" x14ac:dyDescent="0.3">
      <c r="C177" s="43">
        <v>2</v>
      </c>
      <c r="D177" s="43">
        <v>2</v>
      </c>
      <c r="E177" s="43">
        <v>2</v>
      </c>
      <c r="F177" s="43">
        <v>2</v>
      </c>
      <c r="G177" s="43">
        <v>2</v>
      </c>
      <c r="H177" s="43"/>
      <c r="I177" s="43"/>
      <c r="J177" s="43"/>
      <c r="K177" s="43"/>
      <c r="L177" s="43"/>
      <c r="M177" s="43"/>
      <c r="N177" s="43"/>
      <c r="O177" s="43"/>
      <c r="P177" s="43"/>
      <c r="Q177" s="43"/>
      <c r="R177" s="43"/>
      <c r="S177" s="43"/>
    </row>
    <row r="178" spans="3:19" x14ac:dyDescent="0.3">
      <c r="C178" s="43" t="str">
        <v>[Y]</v>
      </c>
      <c r="D178" s="43" t="str">
        <v>[Y]</v>
      </c>
      <c r="E178" s="43" t="str">
        <v>[Y]</v>
      </c>
      <c r="F178" s="43" t="str">
        <v>[Y]</v>
      </c>
      <c r="G178" s="43" t="str">
        <v>[Y]</v>
      </c>
      <c r="H178" s="43"/>
      <c r="I178" s="43"/>
      <c r="J178" s="43"/>
      <c r="K178" s="43"/>
      <c r="L178" s="43"/>
      <c r="M178" s="43"/>
      <c r="N178" s="43"/>
      <c r="O178" s="43"/>
      <c r="P178" s="43"/>
      <c r="Q178" s="43"/>
      <c r="R178" s="43"/>
      <c r="S178" s="43"/>
    </row>
    <row r="179" spans="3:19" x14ac:dyDescent="0.3">
      <c r="C179" s="43">
        <v>3</v>
      </c>
      <c r="D179" s="43">
        <v>3</v>
      </c>
      <c r="E179" s="43">
        <v>3</v>
      </c>
      <c r="F179" s="43">
        <v>3</v>
      </c>
      <c r="G179" s="43">
        <v>3</v>
      </c>
      <c r="H179" s="43"/>
      <c r="I179" s="43"/>
      <c r="J179" s="43"/>
      <c r="K179" s="43"/>
      <c r="L179" s="43"/>
      <c r="M179" s="43"/>
      <c r="N179" s="43"/>
      <c r="O179" s="43"/>
      <c r="P179" s="43"/>
      <c r="Q179" s="43"/>
      <c r="R179" s="43"/>
      <c r="S179" s="43"/>
    </row>
    <row r="180" spans="3:19" x14ac:dyDescent="0.3">
      <c r="C180" s="43" t="str">
        <v>[Z]</v>
      </c>
      <c r="D180" s="43" t="str">
        <v>[Z]</v>
      </c>
      <c r="E180" s="43" t="str">
        <v>[Z]</v>
      </c>
      <c r="F180" s="43" t="str">
        <v>[Z]</v>
      </c>
      <c r="G180" s="43" t="str">
        <v>[Z]</v>
      </c>
      <c r="H180" s="43"/>
      <c r="I180" s="43"/>
      <c r="J180" s="43"/>
      <c r="K180" s="43"/>
      <c r="L180" s="43"/>
      <c r="M180" s="43"/>
      <c r="N180" s="43"/>
      <c r="O180" s="43"/>
      <c r="P180" s="43"/>
      <c r="Q180" s="43"/>
      <c r="R180" s="43"/>
      <c r="S180" s="43"/>
    </row>
    <row r="181" spans="3:19" x14ac:dyDescent="0.3">
      <c r="C181" s="43">
        <v>4</v>
      </c>
      <c r="D181" s="43">
        <v>4</v>
      </c>
      <c r="E181" s="43">
        <v>4</v>
      </c>
      <c r="F181" s="43">
        <v>4</v>
      </c>
      <c r="G181" s="43">
        <v>4</v>
      </c>
      <c r="H181" s="43"/>
      <c r="I181" s="43"/>
      <c r="J181" s="43"/>
      <c r="K181" s="43"/>
      <c r="L181" s="43"/>
      <c r="M181" s="43"/>
      <c r="N181" s="43"/>
      <c r="O181" s="43"/>
      <c r="P181" s="43"/>
      <c r="Q181" s="43"/>
      <c r="R181" s="43"/>
      <c r="S181" s="43"/>
    </row>
    <row r="182" spans="3:19" x14ac:dyDescent="0.3">
      <c r="C182" s="43">
        <v>5</v>
      </c>
      <c r="D182" s="43">
        <v>5</v>
      </c>
      <c r="E182" s="43">
        <v>5</v>
      </c>
      <c r="F182" s="43">
        <v>5</v>
      </c>
      <c r="G182" s="43">
        <v>5</v>
      </c>
      <c r="H182" s="43"/>
      <c r="I182" s="43"/>
      <c r="J182" s="43"/>
      <c r="K182" s="43"/>
      <c r="L182" s="43"/>
      <c r="M182" s="43"/>
      <c r="N182" s="43"/>
      <c r="O182" s="43"/>
      <c r="P182" s="43"/>
      <c r="Q182" s="43"/>
      <c r="R182" s="43"/>
      <c r="S182" s="43"/>
    </row>
    <row r="183" spans="3:19" x14ac:dyDescent="0.3">
      <c r="C183" s="43"/>
      <c r="D183" s="43"/>
      <c r="E183" s="43"/>
      <c r="F183" s="43"/>
      <c r="G183" s="43"/>
      <c r="H183" s="43"/>
      <c r="I183" s="43"/>
      <c r="J183" s="43"/>
      <c r="K183" s="43"/>
      <c r="L183" s="43"/>
      <c r="M183" s="43"/>
      <c r="N183" s="43"/>
      <c r="O183" s="43"/>
      <c r="P183" s="43"/>
      <c r="Q183" s="43"/>
      <c r="R183" s="43"/>
      <c r="S183" s="43"/>
    </row>
    <row r="184" spans="3:19" x14ac:dyDescent="0.3">
      <c r="C184" s="43"/>
      <c r="D184" s="43"/>
      <c r="E184" s="43"/>
      <c r="F184" s="43"/>
      <c r="G184" s="43"/>
      <c r="H184" s="43"/>
      <c r="I184" s="43"/>
      <c r="J184" s="43"/>
      <c r="K184" s="43"/>
      <c r="L184" s="43"/>
      <c r="M184" s="43"/>
      <c r="N184" s="43"/>
      <c r="O184" s="43"/>
      <c r="P184" s="43"/>
      <c r="Q184" s="43"/>
      <c r="R184" s="43"/>
      <c r="S184" s="43"/>
    </row>
    <row r="185" spans="3:19" x14ac:dyDescent="0.3">
      <c r="C185" s="43"/>
      <c r="D185" s="43"/>
      <c r="E185" s="43"/>
      <c r="F185" s="43"/>
      <c r="G185" s="43"/>
      <c r="H185" s="43"/>
      <c r="I185" s="43"/>
      <c r="J185" s="43"/>
      <c r="K185" s="43"/>
      <c r="L185" s="43"/>
      <c r="M185" s="43"/>
      <c r="N185" s="43"/>
      <c r="O185" s="43"/>
      <c r="P185" s="43"/>
      <c r="Q185" s="43"/>
      <c r="R185" s="43"/>
      <c r="S185" s="43"/>
    </row>
    <row r="186" spans="3:19" x14ac:dyDescent="0.3">
      <c r="C186" s="43"/>
      <c r="D186" s="43"/>
      <c r="E186" s="43"/>
      <c r="F186" s="43"/>
      <c r="G186" s="43"/>
      <c r="H186" s="43"/>
      <c r="I186" s="43"/>
      <c r="J186" s="43"/>
      <c r="K186" s="43"/>
      <c r="L186" s="43"/>
      <c r="M186" s="43"/>
      <c r="N186" s="43"/>
      <c r="O186" s="43"/>
      <c r="P186" s="43"/>
      <c r="Q186" s="43"/>
      <c r="R186" s="43"/>
      <c r="S186" s="43"/>
    </row>
    <row r="187" spans="3:19" x14ac:dyDescent="0.3">
      <c r="C187" s="43"/>
      <c r="D187" s="43"/>
      <c r="E187" s="43"/>
      <c r="F187" s="43"/>
      <c r="G187" s="43"/>
      <c r="H187" s="43"/>
      <c r="I187" s="43"/>
      <c r="J187" s="43"/>
      <c r="K187" s="43"/>
      <c r="L187" s="43"/>
      <c r="M187" s="43"/>
      <c r="N187" s="43"/>
      <c r="O187" s="43"/>
      <c r="P187" s="43"/>
      <c r="Q187" s="43"/>
      <c r="R187" s="43"/>
      <c r="S187" s="43"/>
    </row>
    <row r="188" spans="3:19" x14ac:dyDescent="0.3">
      <c r="C188" s="43"/>
      <c r="D188" s="43"/>
      <c r="E188" s="43"/>
      <c r="F188" s="43"/>
      <c r="G188" s="43"/>
      <c r="H188" s="43"/>
      <c r="I188" s="43"/>
      <c r="J188" s="43"/>
      <c r="K188" s="43"/>
      <c r="L188" s="43"/>
      <c r="M188" s="43"/>
      <c r="N188" s="43"/>
      <c r="O188" s="43"/>
      <c r="P188" s="43"/>
      <c r="Q188" s="43"/>
      <c r="R188" s="43"/>
      <c r="S188" s="43"/>
    </row>
    <row r="189" spans="3:19" x14ac:dyDescent="0.3">
      <c r="C189" s="43"/>
      <c r="D189" s="43"/>
      <c r="E189" s="43"/>
      <c r="F189" s="43"/>
      <c r="G189" s="43"/>
      <c r="H189" s="43"/>
      <c r="I189" s="43"/>
      <c r="J189" s="43"/>
      <c r="K189" s="43"/>
      <c r="L189" s="43"/>
      <c r="M189" s="43"/>
      <c r="N189" s="43"/>
      <c r="O189" s="43"/>
      <c r="P189" s="43"/>
      <c r="Q189" s="43"/>
      <c r="R189" s="43"/>
      <c r="S189" s="43"/>
    </row>
    <row r="190" spans="3:19" x14ac:dyDescent="0.3">
      <c r="C190" s="43"/>
      <c r="D190" s="43"/>
      <c r="E190" s="43"/>
      <c r="F190" s="43"/>
      <c r="G190" s="43"/>
      <c r="H190" s="43"/>
      <c r="I190" s="43"/>
      <c r="J190" s="43"/>
      <c r="K190" s="43"/>
      <c r="L190" s="43"/>
      <c r="M190" s="43"/>
      <c r="N190" s="43"/>
      <c r="O190" s="43"/>
      <c r="P190" s="43"/>
      <c r="Q190" s="43"/>
      <c r="R190" s="43"/>
      <c r="S190" s="43"/>
    </row>
    <row r="191" spans="3:19" x14ac:dyDescent="0.3">
      <c r="C191" s="43"/>
      <c r="D191" s="43"/>
      <c r="E191" s="43"/>
      <c r="F191" s="43"/>
      <c r="G191" s="43"/>
      <c r="H191" s="43"/>
      <c r="I191" s="43"/>
      <c r="J191" s="43"/>
      <c r="K191" s="43"/>
      <c r="L191" s="43"/>
      <c r="M191" s="43"/>
      <c r="N191" s="43"/>
      <c r="O191" s="43"/>
      <c r="P191" s="43"/>
      <c r="Q191" s="43"/>
      <c r="R191" s="43"/>
      <c r="S191" s="43"/>
    </row>
    <row r="192" spans="3:19" x14ac:dyDescent="0.3">
      <c r="C192" s="16" t="str" cm="1">
        <f t="array" aca="1" ref="C192:C239" ca="1" xml:space="preserve"> _xlfn.TEXTSPLIT( _xlfn.FORMULATEXT(C175), , CHAR(10))</f>
        <v>= LET(</v>
      </c>
    </row>
    <row r="193" spans="3:3" x14ac:dyDescent="0.3">
      <c r="C193" s="16" t="str">
        <f ca="1"/>
        <v xml:space="preserve">  _arr, C168#,</v>
      </c>
    </row>
    <row r="194" spans="3:3" x14ac:dyDescent="0.3">
      <c r="C194" s="16" t="str">
        <f ca="1"/>
        <v xml:space="preserve">  _rr, ROWS(_arr),</v>
      </c>
    </row>
    <row r="195" spans="3:3" x14ac:dyDescent="0.3">
      <c r="C195" s="16" t="str">
        <f ca="1"/>
        <v xml:space="preserve">  _cc, COLUMNS(_arr),</v>
      </c>
    </row>
    <row r="196" spans="3:3" x14ac:dyDescent="0.3">
      <c r="C196" s="16" t="str">
        <f ca="1"/>
        <v xml:space="preserve">  _ins, J167#,</v>
      </c>
    </row>
    <row r="197" spans="3:3" x14ac:dyDescent="0.3">
      <c r="C197" s="16" t="str">
        <f ca="1"/>
        <v xml:space="preserve">  _inp, IF(J172, TRANSPOSE(J168#), J168#),</v>
      </c>
    </row>
    <row r="198" spans="3:3" x14ac:dyDescent="0.3">
      <c r="C198" s="16" t="str">
        <f ca="1"/>
        <v xml:space="preserve">  _rInp, ROWS(_inp),</v>
      </c>
    </row>
    <row r="199" spans="3:3" x14ac:dyDescent="0.3">
      <c r="C199" s="16" t="str">
        <f ca="1"/>
        <v xml:space="preserve">  _cInp, COLUMNS(_inp),</v>
      </c>
    </row>
    <row r="200" spans="3:3" x14ac:dyDescent="0.3">
      <c r="C200" s="16" t="str">
        <f ca="1"/>
        <v xml:space="preserve">  _iCol, J172,</v>
      </c>
    </row>
    <row r="201" spans="3:3" x14ac:dyDescent="0.3">
      <c r="C201" s="16" t="str">
        <f ca="1"/>
        <v xml:space="preserve">  _idv, J173,</v>
      </c>
    </row>
    <row r="202" spans="3:3" x14ac:dyDescent="0.3">
      <c r="C202" s="16" t="str">
        <f ca="1"/>
        <v xml:space="preserve">  _iAft, J171,</v>
      </c>
    </row>
    <row r="203" spans="3:3" x14ac:dyDescent="0.3">
      <c r="C203" s="16" t="str">
        <f ca="1"/>
        <v xml:space="preserve">  _num, IF(_iCol, _cc, _rr),</v>
      </c>
    </row>
    <row r="204" spans="3:3" x14ac:dyDescent="0.3">
      <c r="C204" s="16" t="str">
        <f ca="1"/>
        <v xml:space="preserve">  _aIns, _ins + IF(_ins &lt; 0, _num + 1, 0),</v>
      </c>
    </row>
    <row r="205" spans="3:3" x14ac:dyDescent="0.3">
      <c r="C205" s="16" t="str">
        <f ca="1"/>
        <v xml:space="preserve">  _rIdx, SEQUENCE(ROWS(_arr), 1),</v>
      </c>
    </row>
    <row r="206" spans="3:3" x14ac:dyDescent="0.3">
      <c r="C206" s="16" t="str">
        <f ca="1"/>
        <v xml:space="preserve">  _cIdx, SEQUENCE(1, COLUMNS(_arr)),</v>
      </c>
    </row>
    <row r="207" spans="3:3" x14ac:dyDescent="0.3">
      <c r="C207" s="16" t="str">
        <f ca="1"/>
        <v xml:space="preserve">  _calc, IF(_iCol,</v>
      </c>
    </row>
    <row r="208" spans="3:3" x14ac:dyDescent="0.3">
      <c r="C208" s="16" t="str">
        <f ca="1"/>
        <v xml:space="preserve">    DROP(</v>
      </c>
    </row>
    <row r="209" spans="3:3" x14ac:dyDescent="0.3">
      <c r="C209" s="16" t="str">
        <f ca="1"/>
        <v xml:space="preserve">      REDUCE(0, SEQUENCE(1, _cc), LAMBDA(_acc,_val,</v>
      </c>
    </row>
    <row r="210" spans="3:3" x14ac:dyDescent="0.3">
      <c r="C210" s="16" t="str">
        <f ca="1"/>
        <v xml:space="preserve">        IF( ISNUMBER(XMATCH(_val, _aIns)),</v>
      </c>
    </row>
    <row r="211" spans="3:3" x14ac:dyDescent="0.3">
      <c r="C211" s="16" t="str">
        <f ca="1"/>
        <v xml:space="preserve">          LET(</v>
      </c>
    </row>
    <row r="212" spans="3:3" x14ac:dyDescent="0.3">
      <c r="C212" s="16" t="str">
        <f ca="1"/>
        <v xml:space="preserve">            _idx, SEQUENCE(ROWS(_inp), 1),</v>
      </c>
    </row>
    <row r="213" spans="3:3" x14ac:dyDescent="0.3">
      <c r="C213" s="16" t="str">
        <f ca="1"/>
        <v xml:space="preserve">            _new, IF(_idv, INDEX(_inp, _idx, MOD( XMATCH(_val, _aIns) - 1, _cInp) + 1), _inp),</v>
      </c>
    </row>
    <row r="214" spans="3:3" x14ac:dyDescent="0.3">
      <c r="C214" s="16" t="str">
        <f ca="1"/>
        <v xml:space="preserve">            _old, INDEX(_arr, _rIdx, _val),</v>
      </c>
    </row>
    <row r="215" spans="3:3" x14ac:dyDescent="0.3">
      <c r="C215" s="16" t="str">
        <f ca="1"/>
        <v xml:space="preserve">            _1st, IF(_iAft, _old, _new),</v>
      </c>
    </row>
    <row r="216" spans="3:3" x14ac:dyDescent="0.3">
      <c r="C216" s="16" t="str">
        <f ca="1"/>
        <v xml:space="preserve">            _2nd, IF(_iAft, _new, _old),</v>
      </c>
    </row>
    <row r="217" spans="3:3" x14ac:dyDescent="0.3">
      <c r="C217" s="16" t="str">
        <f ca="1"/>
        <v xml:space="preserve">            HSTACK(_acc, _1st, _2nd)</v>
      </c>
    </row>
    <row r="218" spans="3:3" x14ac:dyDescent="0.3">
      <c r="C218" s="16" t="str">
        <f ca="1"/>
        <v xml:space="preserve">          ),</v>
      </c>
    </row>
    <row r="219" spans="3:3" x14ac:dyDescent="0.3">
      <c r="C219" s="16" t="str">
        <f ca="1"/>
        <v xml:space="preserve">          HSTACK(_acc, INDEX(_arr, _rIdx, _val)))</v>
      </c>
    </row>
    <row r="220" spans="3:3" x14ac:dyDescent="0.3">
      <c r="C220" s="16" t="str">
        <f ca="1"/>
        <v xml:space="preserve">      )), , 1</v>
      </c>
    </row>
    <row r="221" spans="3:3" x14ac:dyDescent="0.3">
      <c r="C221" s="16" t="str">
        <f ca="1"/>
        <v xml:space="preserve">    ),</v>
      </c>
    </row>
    <row r="222" spans="3:3" x14ac:dyDescent="0.3">
      <c r="C222" s="16" t="str">
        <f ca="1"/>
        <v xml:space="preserve">    DROP(</v>
      </c>
    </row>
    <row r="223" spans="3:3" x14ac:dyDescent="0.3">
      <c r="C223" s="16" t="str">
        <f ca="1"/>
        <v xml:space="preserve">      REDUCE(0, SEQUENCE(_rr, 1), LAMBDA(_acc,_val,</v>
      </c>
    </row>
    <row r="224" spans="3:3" x14ac:dyDescent="0.3">
      <c r="C224" s="16" t="str">
        <f ca="1"/>
        <v xml:space="preserve">        IF( ISNUMBER(XMATCH(_val, _aIns)),</v>
      </c>
    </row>
    <row r="225" spans="3:3" x14ac:dyDescent="0.3">
      <c r="C225" s="16" t="str">
        <f ca="1"/>
        <v xml:space="preserve">          LET(</v>
      </c>
    </row>
    <row r="226" spans="3:3" x14ac:dyDescent="0.3">
      <c r="C226" s="16" t="str">
        <f ca="1"/>
        <v xml:space="preserve">            _idx, SEQUENCE(1, COLUMNS(_inp)),</v>
      </c>
    </row>
    <row r="227" spans="3:3" x14ac:dyDescent="0.3">
      <c r="C227" s="16" t="str">
        <f ca="1"/>
        <v xml:space="preserve">            _new, IF(_idv, INDEX(_inp, MOD( XMATCH(_val, _aIns) - 1, _rInp) + 1, _idx), _inp),</v>
      </c>
    </row>
    <row r="228" spans="3:3" x14ac:dyDescent="0.3">
      <c r="C228" s="16" t="str">
        <f ca="1"/>
        <v xml:space="preserve">            _old, INDEX(_arr, _val, _cIdx),</v>
      </c>
    </row>
    <row r="229" spans="3:3" x14ac:dyDescent="0.3">
      <c r="C229" s="16" t="str">
        <f ca="1"/>
        <v xml:space="preserve">            _1st, IF(_iAft, _old, _new),</v>
      </c>
    </row>
    <row r="230" spans="3:3" x14ac:dyDescent="0.3">
      <c r="C230" s="16" t="str">
        <f ca="1"/>
        <v xml:space="preserve">            _2nd, IF(_iAft, _new, _old),</v>
      </c>
    </row>
    <row r="231" spans="3:3" x14ac:dyDescent="0.3">
      <c r="C231" s="16" t="str">
        <f ca="1"/>
        <v xml:space="preserve">            VSTACK(_acc, _1st, _2nd)</v>
      </c>
    </row>
    <row r="232" spans="3:3" x14ac:dyDescent="0.3">
      <c r="C232" s="16" t="str">
        <f ca="1"/>
        <v xml:space="preserve">          ),</v>
      </c>
    </row>
    <row r="233" spans="3:3" x14ac:dyDescent="0.3">
      <c r="C233" s="16" t="str">
        <f ca="1"/>
        <v xml:space="preserve">          VSTACK(_acc, INDEX(_arr, _val, _cIdx)))</v>
      </c>
    </row>
    <row r="234" spans="3:3" x14ac:dyDescent="0.3">
      <c r="C234" s="16" t="str">
        <f ca="1"/>
        <v xml:space="preserve">      )), 1</v>
      </c>
    </row>
    <row r="235" spans="3:3" x14ac:dyDescent="0.3">
      <c r="C235" s="16" t="str">
        <f ca="1"/>
        <v xml:space="preserve">    )</v>
      </c>
    </row>
    <row r="236" spans="3:3" x14ac:dyDescent="0.3">
      <c r="C236" s="16" t="str">
        <f ca="1"/>
        <v xml:space="preserve">  ),</v>
      </c>
    </row>
    <row r="237" spans="3:3" x14ac:dyDescent="0.3">
      <c r="C237" s="16" t="str">
        <f ca="1"/>
        <v xml:space="preserve">  _rtn, _calc,</v>
      </c>
    </row>
    <row r="238" spans="3:3" x14ac:dyDescent="0.3">
      <c r="C238" s="16" t="str">
        <f ca="1"/>
        <v xml:space="preserve">  _rtn</v>
      </c>
    </row>
    <row r="239" spans="3:3" x14ac:dyDescent="0.3">
      <c r="C239" s="16" t="str">
        <f ca="1"/>
        <v>)</v>
      </c>
    </row>
    <row r="241" spans="2:19" x14ac:dyDescent="0.3">
      <c r="B241" s="15" t="str" cm="1">
        <f t="array" ref="B241" xml:space="preserve"> "(" &amp; _xlfn.UNICHAR( 65 + SUMPRODUCT(--(_xlfn.REGEXTEST(B$1:B240, "^\([A-Z]\)$")))) &amp; ")"</f>
        <v>(F)</v>
      </c>
      <c r="C241" s="10" t="s">
        <v>310</v>
      </c>
    </row>
    <row r="243" spans="2:19" x14ac:dyDescent="0.3">
      <c r="C243" t="s">
        <v>288</v>
      </c>
      <c r="I243" s="52" t="s">
        <v>306</v>
      </c>
      <c r="J243" s="22" cm="1">
        <f t="array" ref="J243:L243" xml:space="preserve"> {2,3,-2}</f>
        <v>2</v>
      </c>
      <c r="K243" s="22">
        <v>3</v>
      </c>
      <c r="L243" s="22">
        <v>-2</v>
      </c>
      <c r="M243" s="22"/>
    </row>
    <row r="244" spans="2:19" x14ac:dyDescent="0.3">
      <c r="C244" s="42" cm="1">
        <f t="array" ref="C244:G248" xml:space="preserve"> $C$17:$G$21</f>
        <v>1</v>
      </c>
      <c r="D244" s="42">
        <v>1</v>
      </c>
      <c r="E244" s="42">
        <v>1</v>
      </c>
      <c r="F244" s="42">
        <v>1</v>
      </c>
      <c r="G244" s="42">
        <v>1</v>
      </c>
      <c r="I244" s="52" t="s">
        <v>215</v>
      </c>
      <c r="J244" s="22" t="str" cm="1">
        <f t="array" ref="J244:M246" xml:space="preserve"> _xlfn.MAKEARRAY(3, 4, _xlfn.LAMBDA(_xlpm._r,_xlpm._c, "[" &amp; CHAR(87 + _xlpm._r) &amp; "]"))</f>
        <v>[X]</v>
      </c>
      <c r="K244" s="22" t="str">
        <v>[X]</v>
      </c>
      <c r="L244" s="22" t="str">
        <v>[X]</v>
      </c>
      <c r="M244" s="22" t="str">
        <v>[X]</v>
      </c>
      <c r="N244" s="22"/>
    </row>
    <row r="245" spans="2:19" x14ac:dyDescent="0.3">
      <c r="C245" s="42">
        <v>2</v>
      </c>
      <c r="D245" s="42">
        <v>2</v>
      </c>
      <c r="E245" s="42">
        <v>2</v>
      </c>
      <c r="F245" s="42">
        <v>2</v>
      </c>
      <c r="G245" s="42">
        <v>2</v>
      </c>
      <c r="J245" s="22" t="str">
        <v>[Y]</v>
      </c>
      <c r="K245" s="22" t="str">
        <v>[Y]</v>
      </c>
      <c r="L245" s="22" t="str">
        <v>[Y]</v>
      </c>
      <c r="M245" s="22" t="str">
        <v>[Y]</v>
      </c>
      <c r="N245" s="22"/>
    </row>
    <row r="246" spans="2:19" x14ac:dyDescent="0.3">
      <c r="C246" s="42">
        <v>3</v>
      </c>
      <c r="D246" s="42">
        <v>3</v>
      </c>
      <c r="E246" s="42">
        <v>3</v>
      </c>
      <c r="F246" s="42">
        <v>3</v>
      </c>
      <c r="G246" s="42">
        <v>3</v>
      </c>
      <c r="J246" s="22" t="str">
        <v>[Z]</v>
      </c>
      <c r="K246" s="22" t="str">
        <v>[Z]</v>
      </c>
      <c r="L246" s="22" t="str">
        <v>[Z]</v>
      </c>
      <c r="M246" s="22" t="str">
        <v>[Z]</v>
      </c>
      <c r="N246" s="22"/>
    </row>
    <row r="247" spans="2:19" x14ac:dyDescent="0.3">
      <c r="C247" s="42">
        <v>4</v>
      </c>
      <c r="D247" s="42">
        <v>4</v>
      </c>
      <c r="E247" s="42">
        <v>4</v>
      </c>
      <c r="F247" s="42">
        <v>4</v>
      </c>
      <c r="G247" s="42">
        <v>4</v>
      </c>
      <c r="I247" s="52" t="s">
        <v>307</v>
      </c>
      <c r="J247" s="55">
        <v>0</v>
      </c>
    </row>
    <row r="248" spans="2:19" x14ac:dyDescent="0.3">
      <c r="C248" s="42">
        <v>5</v>
      </c>
      <c r="D248" s="42">
        <v>5</v>
      </c>
      <c r="E248" s="42">
        <v>5</v>
      </c>
      <c r="F248" s="42">
        <v>5</v>
      </c>
      <c r="G248" s="42">
        <v>5</v>
      </c>
      <c r="I248" s="52" t="s">
        <v>308</v>
      </c>
      <c r="J248" s="55">
        <v>0</v>
      </c>
    </row>
    <row r="249" spans="2:19" x14ac:dyDescent="0.3">
      <c r="I249" s="52" t="s">
        <v>289</v>
      </c>
      <c r="J249" s="55">
        <v>1</v>
      </c>
    </row>
    <row r="250" spans="2:19" x14ac:dyDescent="0.3">
      <c r="I250" s="52" t="s">
        <v>311</v>
      </c>
      <c r="J250" s="24" t="b">
        <v>1</v>
      </c>
    </row>
    <row r="251" spans="2:19" x14ac:dyDescent="0.3">
      <c r="C251" t="s">
        <v>290</v>
      </c>
    </row>
    <row r="252" spans="2:19" x14ac:dyDescent="0.3">
      <c r="C252" s="43" cm="1">
        <f t="array" ref="C252:G259" xml:space="preserve"> _xlfn.LET(
  _xlpm._arr,_xlfn.ANCHORARRAY( C244),
  _xlpm._rr, ROWS(_xlpm._arr),
  _xlpm._cc, COLUMNS(_xlpm._arr),
  _xlpm._ins,_xlfn.ANCHORARRAY( J243),
  _xlpm._inp, IF(J248, TRANSPOSE(_xlfn.ANCHORARRAY(J244)),_xlfn.ANCHORARRAY( J244)),
  _xlpm._rInp, ROWS(_xlpm._inp),
  _xlpm._cInp, COLUMNS(_xlpm._inp),
  _xlpm._iCol, J248,
  _xlpm._idv, J249,
  _xlpm._iAft, J247,
  _xlpm._rep, IF( ISLOGICAL(J250), IF(J250, 0, NA()), J250),
  _xlpm._num, IF(_xlpm._iCol, _xlpm._cc, _xlpm._rr),
  _xlpm._aIns, _xlpm._ins + IF(_xlpm._ins &lt; 0, _xlpm._num + 1, 0),
  _xlpm._rIdx, _xlfn.SEQUENCE(ROWS(_xlpm._arr), 1),
  _xlpm._cIdx, _xlfn.SEQUENCE(1, COLUMNS(_xlpm._arr)),
  _xlpm._calc, IF(_xlpm._iCol,
    _xlfn.DROP(
      _xlfn.REDUCE(0, _xlfn.SEQUENCE(1, _xlpm._cc), _xlfn.LAMBDA(_xlpm._acc,_xlpm._val,
        IF( ISNUMBER(_xlfn.XMATCH(_xlpm._val, _xlpm._aIns)),
          _xlfn.LET(
            _xlpm._idx, _xlfn.SEQUENCE(ROWS(_xlpm._inp), 1),
            _xlpm._new, IF(_xlpm._idv, INDEX(_xlpm._inp, _xlpm._idx, MOD( _xlfn.XMATCH(_xlpm._val, _xlpm._aIns) - 1, _xlpm._cInp) + 1), _xlpm._inp),
            _xlpm._old, INDEX(_xlpm._arr, _xlpm._rIdx, _xlpm._val),
            _xlpm._1st, IF(_xlpm._iAft, _xlpm._old, _xlpm._new),
            _xlpm._2nd, IF(_xlpm._iAft, _xlpm._new, _xlpm._old),
            _xlfn.HSTACK(_xlpm._acc, _xlpm._1st, _xlpm._2nd)
          ),
          _xlfn.HSTACK(_xlpm._acc, INDEX(_xlpm._arr, _xlpm._rIdx, _xlpm._val)))
      )), , 1
    ),
    _xlfn.DROP(
      _xlfn.REDUCE(0, _xlfn.SEQUENCE(_xlpm._rr, 1), _xlfn.LAMBDA(_xlpm._acc,_xlpm._val,
        IF( ISNUMBER(_xlfn.XMATCH(_xlpm._val, _xlpm._aIns)),
          _xlfn.LET(
            _xlpm._idx, _xlfn.SEQUENCE(1, COLUMNS(_xlpm._inp)),
            _xlpm._new, IF(_xlpm._idv, INDEX(_xlpm._inp, MOD( _xlfn.XMATCH(_xlpm._val, _xlpm._aIns) - 1, _xlpm._rInp) + 1, _xlpm._idx), _xlpm._inp),
            _xlpm._old, INDEX(_xlpm._arr, _xlpm._val, _xlpm._cIdx),
            _xlpm._1st, IF(_xlpm._iAft, _xlpm._old, _xlpm._new),
            _xlpm._2nd, IF(_xlpm._iAft, _xlpm._new, _xlpm._old),
            _xlfn.VSTACK(_xlpm._acc, _xlpm._1st, _xlpm._2nd)
          ),
          _xlfn.VSTACK(_xlpm._acc, INDEX(_xlpm._arr, _xlpm._val, _xlpm._cIdx)))
      )), 1
    )
  ),
  _xlpm._rtn, IF( ISNA(_xlpm._calc), _xlpm._rep, _xlpm._calc),
  _xlpm._rtn
)</f>
        <v>1</v>
      </c>
      <c r="D252" s="43">
        <v>1</v>
      </c>
      <c r="E252" s="43">
        <v>1</v>
      </c>
      <c r="F252" s="43">
        <v>1</v>
      </c>
      <c r="G252" s="43">
        <v>1</v>
      </c>
      <c r="H252" s="43"/>
      <c r="I252" s="43"/>
      <c r="J252" s="43"/>
      <c r="K252" s="43"/>
      <c r="L252" s="43"/>
      <c r="M252" s="43"/>
      <c r="N252" s="43"/>
      <c r="O252" s="43"/>
      <c r="P252" s="43"/>
      <c r="Q252" s="43"/>
      <c r="R252" s="43"/>
      <c r="S252" s="43"/>
    </row>
    <row r="253" spans="2:19" x14ac:dyDescent="0.3">
      <c r="C253" s="43" t="str">
        <v>[X]</v>
      </c>
      <c r="D253" s="43" t="str">
        <v>[X]</v>
      </c>
      <c r="E253" s="43" t="str">
        <v>[X]</v>
      </c>
      <c r="F253" s="43" t="str">
        <v>[X]</v>
      </c>
      <c r="G253" s="43">
        <v>0</v>
      </c>
      <c r="H253" s="43"/>
      <c r="I253" s="43"/>
      <c r="J253" s="43"/>
      <c r="K253" s="43"/>
      <c r="L253" s="43"/>
      <c r="M253" s="43"/>
      <c r="N253" s="43"/>
      <c r="O253" s="43"/>
      <c r="P253" s="43"/>
      <c r="Q253" s="43"/>
      <c r="R253" s="43"/>
      <c r="S253" s="43"/>
    </row>
    <row r="254" spans="2:19" x14ac:dyDescent="0.3">
      <c r="C254" s="43">
        <v>2</v>
      </c>
      <c r="D254" s="43">
        <v>2</v>
      </c>
      <c r="E254" s="43">
        <v>2</v>
      </c>
      <c r="F254" s="43">
        <v>2</v>
      </c>
      <c r="G254" s="43">
        <v>2</v>
      </c>
      <c r="H254" s="43"/>
      <c r="I254" s="43"/>
      <c r="J254" s="43"/>
      <c r="K254" s="43"/>
      <c r="L254" s="43"/>
      <c r="M254" s="43"/>
      <c r="N254" s="43"/>
      <c r="O254" s="43"/>
      <c r="P254" s="43"/>
      <c r="Q254" s="43"/>
      <c r="R254" s="43"/>
      <c r="S254" s="43"/>
    </row>
    <row r="255" spans="2:19" x14ac:dyDescent="0.3">
      <c r="C255" s="43" t="str">
        <v>[Y]</v>
      </c>
      <c r="D255" s="43" t="str">
        <v>[Y]</v>
      </c>
      <c r="E255" s="43" t="str">
        <v>[Y]</v>
      </c>
      <c r="F255" s="43" t="str">
        <v>[Y]</v>
      </c>
      <c r="G255" s="43">
        <v>0</v>
      </c>
      <c r="H255" s="43"/>
      <c r="I255" s="43"/>
      <c r="J255" s="43"/>
      <c r="K255" s="43"/>
      <c r="L255" s="43"/>
      <c r="M255" s="43"/>
      <c r="N255" s="43"/>
      <c r="O255" s="43"/>
      <c r="P255" s="43"/>
      <c r="Q255" s="43"/>
      <c r="R255" s="43"/>
      <c r="S255" s="43"/>
    </row>
    <row r="256" spans="2:19" x14ac:dyDescent="0.3">
      <c r="C256" s="43">
        <v>3</v>
      </c>
      <c r="D256" s="43">
        <v>3</v>
      </c>
      <c r="E256" s="43">
        <v>3</v>
      </c>
      <c r="F256" s="43">
        <v>3</v>
      </c>
      <c r="G256" s="43">
        <v>3</v>
      </c>
      <c r="H256" s="43"/>
      <c r="I256" s="43"/>
      <c r="J256" s="43"/>
      <c r="K256" s="43"/>
      <c r="L256" s="43"/>
      <c r="M256" s="43"/>
      <c r="N256" s="43"/>
      <c r="O256" s="43"/>
      <c r="P256" s="43"/>
      <c r="Q256" s="43"/>
      <c r="R256" s="43"/>
      <c r="S256" s="43"/>
    </row>
    <row r="257" spans="3:19" x14ac:dyDescent="0.3">
      <c r="C257" s="43" t="str">
        <v>[Z]</v>
      </c>
      <c r="D257" s="43" t="str">
        <v>[Z]</v>
      </c>
      <c r="E257" s="43" t="str">
        <v>[Z]</v>
      </c>
      <c r="F257" s="43" t="str">
        <v>[Z]</v>
      </c>
      <c r="G257" s="43">
        <v>0</v>
      </c>
      <c r="H257" s="43"/>
      <c r="I257" s="43"/>
      <c r="J257" s="43"/>
      <c r="K257" s="43"/>
      <c r="L257" s="43"/>
      <c r="M257" s="43"/>
      <c r="N257" s="43"/>
      <c r="O257" s="43"/>
      <c r="P257" s="43"/>
      <c r="Q257" s="43"/>
      <c r="R257" s="43"/>
      <c r="S257" s="43"/>
    </row>
    <row r="258" spans="3:19" x14ac:dyDescent="0.3">
      <c r="C258" s="43">
        <v>4</v>
      </c>
      <c r="D258" s="43">
        <v>4</v>
      </c>
      <c r="E258" s="43">
        <v>4</v>
      </c>
      <c r="F258" s="43">
        <v>4</v>
      </c>
      <c r="G258" s="43">
        <v>4</v>
      </c>
      <c r="H258" s="43"/>
      <c r="I258" s="43"/>
      <c r="J258" s="43"/>
      <c r="K258" s="43"/>
      <c r="L258" s="43"/>
      <c r="M258" s="43"/>
      <c r="N258" s="43"/>
      <c r="O258" s="43"/>
      <c r="P258" s="43"/>
      <c r="Q258" s="43"/>
      <c r="R258" s="43"/>
      <c r="S258" s="43"/>
    </row>
    <row r="259" spans="3:19" x14ac:dyDescent="0.3">
      <c r="C259" s="43">
        <v>5</v>
      </c>
      <c r="D259" s="43">
        <v>5</v>
      </c>
      <c r="E259" s="43">
        <v>5</v>
      </c>
      <c r="F259" s="43">
        <v>5</v>
      </c>
      <c r="G259" s="43">
        <v>5</v>
      </c>
      <c r="H259" s="43"/>
      <c r="I259" s="43"/>
      <c r="J259" s="43"/>
      <c r="K259" s="43"/>
      <c r="L259" s="43"/>
      <c r="M259" s="43"/>
      <c r="N259" s="43"/>
      <c r="O259" s="43"/>
      <c r="P259" s="43"/>
      <c r="Q259" s="43"/>
      <c r="R259" s="43"/>
      <c r="S259" s="43"/>
    </row>
    <row r="260" spans="3:19" x14ac:dyDescent="0.3">
      <c r="C260" s="43"/>
      <c r="D260" s="43"/>
      <c r="E260" s="43"/>
      <c r="F260" s="43"/>
      <c r="G260" s="43"/>
      <c r="H260" s="43"/>
      <c r="I260" s="43"/>
      <c r="J260" s="43"/>
      <c r="K260" s="43"/>
      <c r="L260" s="43"/>
      <c r="M260" s="43"/>
      <c r="N260" s="43"/>
      <c r="O260" s="43"/>
      <c r="P260" s="43"/>
      <c r="Q260" s="43"/>
      <c r="R260" s="43"/>
      <c r="S260" s="43"/>
    </row>
    <row r="261" spans="3:19" x14ac:dyDescent="0.3">
      <c r="C261" s="43"/>
      <c r="D261" s="43"/>
      <c r="E261" s="43"/>
      <c r="F261" s="43"/>
      <c r="G261" s="43"/>
      <c r="H261" s="43"/>
      <c r="I261" s="43"/>
      <c r="J261" s="43"/>
      <c r="K261" s="43"/>
      <c r="L261" s="43"/>
      <c r="M261" s="43"/>
      <c r="N261" s="43"/>
      <c r="O261" s="43"/>
      <c r="P261" s="43"/>
      <c r="Q261" s="43"/>
      <c r="R261" s="43"/>
      <c r="S261" s="43"/>
    </row>
    <row r="262" spans="3:19" x14ac:dyDescent="0.3">
      <c r="C262" s="43"/>
      <c r="D262" s="43"/>
      <c r="E262" s="43"/>
      <c r="F262" s="43"/>
      <c r="G262" s="43"/>
      <c r="H262" s="43"/>
      <c r="I262" s="43"/>
      <c r="J262" s="43"/>
      <c r="K262" s="43"/>
      <c r="L262" s="43"/>
      <c r="M262" s="43"/>
      <c r="N262" s="43"/>
      <c r="O262" s="43"/>
      <c r="P262" s="43"/>
      <c r="Q262" s="43"/>
      <c r="R262" s="43"/>
      <c r="S262" s="43"/>
    </row>
    <row r="263" spans="3:19" x14ac:dyDescent="0.3">
      <c r="C263" s="43"/>
      <c r="D263" s="43"/>
      <c r="E263" s="43"/>
      <c r="F263" s="43"/>
      <c r="G263" s="43"/>
      <c r="H263" s="43"/>
      <c r="I263" s="43"/>
      <c r="J263" s="43"/>
      <c r="K263" s="43"/>
      <c r="L263" s="43"/>
      <c r="M263" s="43"/>
      <c r="N263" s="43"/>
      <c r="O263" s="43"/>
      <c r="P263" s="43"/>
      <c r="Q263" s="43"/>
      <c r="R263" s="43"/>
      <c r="S263" s="43"/>
    </row>
    <row r="264" spans="3:19" x14ac:dyDescent="0.3">
      <c r="C264" s="43"/>
      <c r="D264" s="43"/>
      <c r="E264" s="43"/>
      <c r="F264" s="43"/>
      <c r="G264" s="43"/>
      <c r="H264" s="43"/>
      <c r="I264" s="43"/>
      <c r="J264" s="43"/>
      <c r="K264" s="43"/>
      <c r="L264" s="43"/>
      <c r="M264" s="43"/>
      <c r="N264" s="43"/>
      <c r="O264" s="43"/>
      <c r="P264" s="43"/>
      <c r="Q264" s="43"/>
      <c r="R264" s="43"/>
      <c r="S264" s="43"/>
    </row>
    <row r="265" spans="3:19" x14ac:dyDescent="0.3">
      <c r="C265" s="43"/>
      <c r="D265" s="43"/>
      <c r="E265" s="43"/>
      <c r="F265" s="43"/>
      <c r="G265" s="43"/>
      <c r="H265" s="43"/>
      <c r="I265" s="43"/>
      <c r="J265" s="43"/>
      <c r="K265" s="43"/>
      <c r="L265" s="43"/>
      <c r="M265" s="43"/>
      <c r="N265" s="43"/>
      <c r="O265" s="43"/>
      <c r="P265" s="43"/>
      <c r="Q265" s="43"/>
      <c r="R265" s="43"/>
      <c r="S265" s="43"/>
    </row>
    <row r="266" spans="3:19" x14ac:dyDescent="0.3">
      <c r="C266" s="43"/>
      <c r="D266" s="43"/>
      <c r="E266" s="43"/>
      <c r="F266" s="43"/>
      <c r="G266" s="43"/>
      <c r="H266" s="43"/>
      <c r="I266" s="43"/>
      <c r="J266" s="43"/>
      <c r="K266" s="43"/>
      <c r="L266" s="43"/>
      <c r="M266" s="43"/>
      <c r="N266" s="43"/>
      <c r="O266" s="43"/>
      <c r="P266" s="43"/>
      <c r="Q266" s="43"/>
      <c r="R266" s="43"/>
      <c r="S266" s="43"/>
    </row>
    <row r="267" spans="3:19" x14ac:dyDescent="0.3">
      <c r="C267" s="43"/>
      <c r="D267" s="43"/>
      <c r="E267" s="43"/>
      <c r="F267" s="43"/>
      <c r="G267" s="43"/>
      <c r="H267" s="43"/>
      <c r="I267" s="43"/>
      <c r="J267" s="43"/>
      <c r="K267" s="43"/>
      <c r="L267" s="43"/>
      <c r="M267" s="43"/>
      <c r="N267" s="43"/>
      <c r="O267" s="43"/>
      <c r="P267" s="43"/>
      <c r="Q267" s="43"/>
      <c r="R267" s="43"/>
      <c r="S267" s="43"/>
    </row>
    <row r="268" spans="3:19" x14ac:dyDescent="0.3">
      <c r="C268" s="43"/>
      <c r="D268" s="43"/>
      <c r="E268" s="43"/>
      <c r="F268" s="43"/>
      <c r="G268" s="43"/>
      <c r="H268" s="43"/>
      <c r="I268" s="43"/>
      <c r="J268" s="43"/>
      <c r="K268" s="43"/>
      <c r="L268" s="43"/>
      <c r="M268" s="43"/>
      <c r="N268" s="43"/>
      <c r="O268" s="43"/>
      <c r="P268" s="43"/>
      <c r="Q268" s="43"/>
      <c r="R268" s="43"/>
      <c r="S268" s="43"/>
    </row>
    <row r="269" spans="3:19" x14ac:dyDescent="0.3">
      <c r="C269" s="16" t="str" cm="1">
        <f t="array" aca="1" ref="C269:C317" ca="1" xml:space="preserve"> _xlfn.TEXTSPLIT( _xlfn.FORMULATEXT(C252), , CHAR(10))</f>
        <v>= LET(</v>
      </c>
    </row>
    <row r="270" spans="3:19" x14ac:dyDescent="0.3">
      <c r="C270" s="16" t="str">
        <f ca="1"/>
        <v xml:space="preserve">  _arr, C244#,</v>
      </c>
    </row>
    <row r="271" spans="3:19" x14ac:dyDescent="0.3">
      <c r="C271" s="16" t="str">
        <f ca="1"/>
        <v xml:space="preserve">  _rr, ROWS(_arr),</v>
      </c>
    </row>
    <row r="272" spans="3:19" x14ac:dyDescent="0.3">
      <c r="C272" s="16" t="str">
        <f ca="1"/>
        <v xml:space="preserve">  _cc, COLUMNS(_arr),</v>
      </c>
    </row>
    <row r="273" spans="3:3" x14ac:dyDescent="0.3">
      <c r="C273" s="16" t="str">
        <f ca="1"/>
        <v xml:space="preserve">  _ins, J243#,</v>
      </c>
    </row>
    <row r="274" spans="3:3" x14ac:dyDescent="0.3">
      <c r="C274" s="16" t="str">
        <f ca="1"/>
        <v xml:space="preserve">  _inp, IF(J248, TRANSPOSE(J244#), J244#),</v>
      </c>
    </row>
    <row r="275" spans="3:3" x14ac:dyDescent="0.3">
      <c r="C275" s="16" t="str">
        <f ca="1"/>
        <v xml:space="preserve">  _rInp, ROWS(_inp),</v>
      </c>
    </row>
    <row r="276" spans="3:3" x14ac:dyDescent="0.3">
      <c r="C276" s="16" t="str">
        <f ca="1"/>
        <v xml:space="preserve">  _cInp, COLUMNS(_inp),</v>
      </c>
    </row>
    <row r="277" spans="3:3" x14ac:dyDescent="0.3">
      <c r="C277" s="16" t="str">
        <f ca="1"/>
        <v xml:space="preserve">  _iCol, J248,</v>
      </c>
    </row>
    <row r="278" spans="3:3" x14ac:dyDescent="0.3">
      <c r="C278" s="16" t="str">
        <f ca="1"/>
        <v xml:space="preserve">  _idv, J249,</v>
      </c>
    </row>
    <row r="279" spans="3:3" x14ac:dyDescent="0.3">
      <c r="C279" s="16" t="str">
        <f ca="1"/>
        <v xml:space="preserve">  _iAft, J247,</v>
      </c>
    </row>
    <row r="280" spans="3:3" x14ac:dyDescent="0.3">
      <c r="C280" s="16" t="str">
        <f ca="1"/>
        <v xml:space="preserve">  _rep, IF( ISLOGICAL(J250), IF(J250, 0, NA()), J250),</v>
      </c>
    </row>
    <row r="281" spans="3:3" x14ac:dyDescent="0.3">
      <c r="C281" s="16" t="str">
        <f ca="1"/>
        <v xml:space="preserve">  _num, IF(_iCol, _cc, _rr),</v>
      </c>
    </row>
    <row r="282" spans="3:3" x14ac:dyDescent="0.3">
      <c r="C282" s="16" t="str">
        <f ca="1"/>
        <v xml:space="preserve">  _aIns, _ins + IF(_ins &lt; 0, _num + 1, 0),</v>
      </c>
    </row>
    <row r="283" spans="3:3" x14ac:dyDescent="0.3">
      <c r="C283" s="16" t="str">
        <f ca="1"/>
        <v xml:space="preserve">  _rIdx, SEQUENCE(ROWS(_arr), 1),</v>
      </c>
    </row>
    <row r="284" spans="3:3" x14ac:dyDescent="0.3">
      <c r="C284" s="16" t="str">
        <f ca="1"/>
        <v xml:space="preserve">  _cIdx, SEQUENCE(1, COLUMNS(_arr)),</v>
      </c>
    </row>
    <row r="285" spans="3:3" x14ac:dyDescent="0.3">
      <c r="C285" s="16" t="str">
        <f ca="1"/>
        <v xml:space="preserve">  _calc, IF(_iCol,</v>
      </c>
    </row>
    <row r="286" spans="3:3" x14ac:dyDescent="0.3">
      <c r="C286" s="16" t="str">
        <f ca="1"/>
        <v xml:space="preserve">    DROP(</v>
      </c>
    </row>
    <row r="287" spans="3:3" x14ac:dyDescent="0.3">
      <c r="C287" s="16" t="str">
        <f ca="1"/>
        <v xml:space="preserve">      REDUCE(0, SEQUENCE(1, _cc), LAMBDA(_acc,_val,</v>
      </c>
    </row>
    <row r="288" spans="3:3" x14ac:dyDescent="0.3">
      <c r="C288" s="16" t="str">
        <f ca="1"/>
        <v xml:space="preserve">        IF( ISNUMBER(XMATCH(_val, _aIns)),</v>
      </c>
    </row>
    <row r="289" spans="3:3" x14ac:dyDescent="0.3">
      <c r="C289" s="16" t="str">
        <f ca="1"/>
        <v xml:space="preserve">          LET(</v>
      </c>
    </row>
    <row r="290" spans="3:3" x14ac:dyDescent="0.3">
      <c r="C290" s="16" t="str">
        <f ca="1"/>
        <v xml:space="preserve">            _idx, SEQUENCE(ROWS(_inp), 1),</v>
      </c>
    </row>
    <row r="291" spans="3:3" x14ac:dyDescent="0.3">
      <c r="C291" s="16" t="str">
        <f ca="1"/>
        <v xml:space="preserve">            _new, IF(_idv, INDEX(_inp, _idx, MOD( XMATCH(_val, _aIns) - 1, _cInp) + 1), _inp),</v>
      </c>
    </row>
    <row r="292" spans="3:3" x14ac:dyDescent="0.3">
      <c r="C292" s="16" t="str">
        <f ca="1"/>
        <v xml:space="preserve">            _old, INDEX(_arr, _rIdx, _val),</v>
      </c>
    </row>
    <row r="293" spans="3:3" x14ac:dyDescent="0.3">
      <c r="C293" s="16" t="str">
        <f ca="1"/>
        <v xml:space="preserve">            _1st, IF(_iAft, _old, _new),</v>
      </c>
    </row>
    <row r="294" spans="3:3" x14ac:dyDescent="0.3">
      <c r="C294" s="16" t="str">
        <f ca="1"/>
        <v xml:space="preserve">            _2nd, IF(_iAft, _new, _old),</v>
      </c>
    </row>
    <row r="295" spans="3:3" x14ac:dyDescent="0.3">
      <c r="C295" s="16" t="str">
        <f ca="1"/>
        <v xml:space="preserve">            HSTACK(_acc, _1st, _2nd)</v>
      </c>
    </row>
    <row r="296" spans="3:3" x14ac:dyDescent="0.3">
      <c r="C296" s="16" t="str">
        <f ca="1"/>
        <v xml:space="preserve">          ),</v>
      </c>
    </row>
    <row r="297" spans="3:3" x14ac:dyDescent="0.3">
      <c r="C297" s="16" t="str">
        <f ca="1"/>
        <v xml:space="preserve">          HSTACK(_acc, INDEX(_arr, _rIdx, _val)))</v>
      </c>
    </row>
    <row r="298" spans="3:3" x14ac:dyDescent="0.3">
      <c r="C298" s="16" t="str">
        <f ca="1"/>
        <v xml:space="preserve">      )), , 1</v>
      </c>
    </row>
    <row r="299" spans="3:3" x14ac:dyDescent="0.3">
      <c r="C299" s="16" t="str">
        <f ca="1"/>
        <v xml:space="preserve">    ),</v>
      </c>
    </row>
    <row r="300" spans="3:3" x14ac:dyDescent="0.3">
      <c r="C300" s="16" t="str">
        <f ca="1"/>
        <v xml:space="preserve">    DROP(</v>
      </c>
    </row>
    <row r="301" spans="3:3" x14ac:dyDescent="0.3">
      <c r="C301" s="16" t="str">
        <f ca="1"/>
        <v xml:space="preserve">      REDUCE(0, SEQUENCE(_rr, 1), LAMBDA(_acc,_val,</v>
      </c>
    </row>
    <row r="302" spans="3:3" x14ac:dyDescent="0.3">
      <c r="C302" s="16" t="str">
        <f ca="1"/>
        <v xml:space="preserve">        IF( ISNUMBER(XMATCH(_val, _aIns)),</v>
      </c>
    </row>
    <row r="303" spans="3:3" x14ac:dyDescent="0.3">
      <c r="C303" s="16" t="str">
        <f ca="1"/>
        <v xml:space="preserve">          LET(</v>
      </c>
    </row>
    <row r="304" spans="3:3" x14ac:dyDescent="0.3">
      <c r="C304" s="16" t="str">
        <f ca="1"/>
        <v xml:space="preserve">            _idx, SEQUENCE(1, COLUMNS(_inp)),</v>
      </c>
    </row>
    <row r="305" spans="2:20" x14ac:dyDescent="0.3">
      <c r="C305" s="16" t="str">
        <f ca="1"/>
        <v xml:space="preserve">            _new, IF(_idv, INDEX(_inp, MOD( XMATCH(_val, _aIns) - 1, _rInp) + 1, _idx), _inp),</v>
      </c>
    </row>
    <row r="306" spans="2:20" x14ac:dyDescent="0.3">
      <c r="C306" s="16" t="str">
        <f ca="1"/>
        <v xml:space="preserve">            _old, INDEX(_arr, _val, _cIdx),</v>
      </c>
    </row>
    <row r="307" spans="2:20" x14ac:dyDescent="0.3">
      <c r="C307" s="16" t="str">
        <f ca="1"/>
        <v xml:space="preserve">            _1st, IF(_iAft, _old, _new),</v>
      </c>
    </row>
    <row r="308" spans="2:20" x14ac:dyDescent="0.3">
      <c r="C308" s="16" t="str">
        <f ca="1"/>
        <v xml:space="preserve">            _2nd, IF(_iAft, _new, _old),</v>
      </c>
    </row>
    <row r="309" spans="2:20" x14ac:dyDescent="0.3">
      <c r="C309" s="16" t="str">
        <f ca="1"/>
        <v xml:space="preserve">            VSTACK(_acc, _1st, _2nd)</v>
      </c>
    </row>
    <row r="310" spans="2:20" x14ac:dyDescent="0.3">
      <c r="C310" s="16" t="str">
        <f ca="1"/>
        <v xml:space="preserve">          ),</v>
      </c>
    </row>
    <row r="311" spans="2:20" x14ac:dyDescent="0.3">
      <c r="C311" s="16" t="str">
        <f ca="1"/>
        <v xml:space="preserve">          VSTACK(_acc, INDEX(_arr, _val, _cIdx)))</v>
      </c>
    </row>
    <row r="312" spans="2:20" x14ac:dyDescent="0.3">
      <c r="C312" s="16" t="str">
        <f ca="1"/>
        <v xml:space="preserve">      )), 1</v>
      </c>
    </row>
    <row r="313" spans="2:20" x14ac:dyDescent="0.3">
      <c r="C313" s="16" t="str">
        <f ca="1"/>
        <v xml:space="preserve">    )</v>
      </c>
    </row>
    <row r="314" spans="2:20" x14ac:dyDescent="0.3">
      <c r="C314" s="16" t="str">
        <f ca="1"/>
        <v xml:space="preserve">  ),</v>
      </c>
    </row>
    <row r="315" spans="2:20" x14ac:dyDescent="0.3">
      <c r="C315" s="16" t="str">
        <f ca="1"/>
        <v xml:space="preserve">  _rtn, IF( ISNA(_calc), _rep, _calc),</v>
      </c>
    </row>
    <row r="316" spans="2:20" x14ac:dyDescent="0.3">
      <c r="C316" s="16" t="str">
        <f ca="1"/>
        <v xml:space="preserve">  _rtn</v>
      </c>
    </row>
    <row r="317" spans="2:20" x14ac:dyDescent="0.3">
      <c r="C317" s="16" t="str">
        <f ca="1"/>
        <v>)</v>
      </c>
    </row>
    <row r="320" spans="2:20" x14ac:dyDescent="0.3">
      <c r="B320" s="13" t="s">
        <v>175</v>
      </c>
      <c r="C320" s="12"/>
      <c r="D320" s="12"/>
      <c r="E320" s="12"/>
      <c r="F320" s="12"/>
      <c r="G320" s="12"/>
      <c r="H320" s="12"/>
      <c r="I320" s="12"/>
      <c r="J320" s="12"/>
      <c r="K320" s="12"/>
      <c r="L320" s="12"/>
      <c r="M320" s="12"/>
      <c r="N320" s="12"/>
      <c r="O320" s="12"/>
      <c r="P320" s="12"/>
      <c r="Q320" s="12"/>
      <c r="R320" s="12"/>
      <c r="S320" s="12"/>
      <c r="T320" s="12"/>
    </row>
    <row r="322" spans="2:8" x14ac:dyDescent="0.3">
      <c r="B322" s="15" t="str" cm="1">
        <f t="array" ref="B322" xml:space="preserve"> "(" &amp; _xlfn.UNICHAR( 65 + SUMPRODUCT(--(_xlfn.REGEXTEST(B$1:B321, "^\([A-Z]\)$")))) &amp; ")"</f>
        <v>(G)</v>
      </c>
      <c r="C322" s="10" t="s">
        <v>364</v>
      </c>
    </row>
    <row r="324" spans="2:8" x14ac:dyDescent="0.3">
      <c r="C324" s="52" t="s">
        <v>306</v>
      </c>
      <c r="D324" s="22" cm="1">
        <f t="array" ref="D324:F324" xml:space="preserve"> {2,3,-2}</f>
        <v>2</v>
      </c>
      <c r="E324" s="22">
        <v>3</v>
      </c>
      <c r="F324" s="22">
        <v>-2</v>
      </c>
      <c r="G324" s="22"/>
    </row>
    <row r="325" spans="2:8" x14ac:dyDescent="0.3">
      <c r="C325" s="52" t="s">
        <v>215</v>
      </c>
      <c r="D325" s="22" t="str" cm="1">
        <f t="array" ref="D325:H327" xml:space="preserve"> _xlfn.MAKEARRAY(3, 5, _xlfn.LAMBDA(_xlpm._r,_xlpm._c, "[" &amp; CHAR(87 + _xlpm._r) &amp; "]"))</f>
        <v>[X]</v>
      </c>
      <c r="E325" s="22" t="str">
        <v>[X]</v>
      </c>
      <c r="F325" s="22" t="str">
        <v>[X]</v>
      </c>
      <c r="G325" s="22" t="str">
        <v>[X]</v>
      </c>
      <c r="H325" s="22" t="str">
        <v>[X]</v>
      </c>
    </row>
    <row r="326" spans="2:8" x14ac:dyDescent="0.3">
      <c r="D326" s="22" t="str">
        <v>[Y]</v>
      </c>
      <c r="E326" s="22" t="str">
        <v>[Y]</v>
      </c>
      <c r="F326" s="22" t="str">
        <v>[Y]</v>
      </c>
      <c r="G326" s="22" t="str">
        <v>[Y]</v>
      </c>
      <c r="H326" s="22" t="str">
        <v>[Y]</v>
      </c>
    </row>
    <row r="327" spans="2:8" x14ac:dyDescent="0.3">
      <c r="D327" s="22" t="str">
        <v>[Z]</v>
      </c>
      <c r="E327" s="22" t="str">
        <v>[Z]</v>
      </c>
      <c r="F327" s="22" t="str">
        <v>[Z]</v>
      </c>
      <c r="G327" s="22" t="str">
        <v>[Z]</v>
      </c>
      <c r="H327" s="22" t="str">
        <v>[Z]</v>
      </c>
    </row>
    <row r="328" spans="2:8" x14ac:dyDescent="0.3">
      <c r="C328" s="52" t="s">
        <v>307</v>
      </c>
      <c r="D328" s="24">
        <v>0</v>
      </c>
    </row>
    <row r="329" spans="2:8" x14ac:dyDescent="0.3">
      <c r="C329" s="52" t="s">
        <v>308</v>
      </c>
      <c r="D329" s="24">
        <v>0</v>
      </c>
    </row>
    <row r="330" spans="2:8" x14ac:dyDescent="0.3">
      <c r="C330" s="52" t="s">
        <v>289</v>
      </c>
      <c r="D330" s="24">
        <v>0</v>
      </c>
    </row>
    <row r="331" spans="2:8" x14ac:dyDescent="0.3">
      <c r="C331" s="52" t="s">
        <v>311</v>
      </c>
      <c r="D331" s="23" t="b">
        <v>1</v>
      </c>
    </row>
    <row r="333" spans="2:8" x14ac:dyDescent="0.3">
      <c r="C333" s="52" t="s">
        <v>168</v>
      </c>
      <c r="D333" s="43" t="str" cm="1">
        <f t="array" ref="D333" xml:space="preserve"> _xlfn.LAMBDA(_xlpm.insert_index,_xlop.insert_inputs,_xlop.insert_after,_xlop.insert_columns,_xlop.as_individual,_xlop.replace_na,
  _xlfn.LET(
    _xlpm._arr, $C$17:$G$21,
    _xlpm._rr, ROWS(_xlpm._arr),
    _xlpm._cc, COLUMNS(_xlpm._arr),
    _xlpm._inp, IF( _xlfn.ISOMITTED(_xlpm.insert_inputs), NA(), _xlpm.insert_inputs),
    _xlpm._iAft, IF( _xlfn.ISOMITTED(_xlpm.insert_after), 0, INT(_xlpm.insert_after)),
    _xlpm._iCol, IF( _xlfn.ISOMITTED(_xlpm.insert_columns), 0, INT(_xlpm.insert_columns)),
    _xlpm._idv, IF( _xlfn.ISOMITTED(_xlpm.as_individual), 0, INT(_xlpm.as_individual)),
    _xlpm._nInp, IF( _xlfn.ISOMITTED(_xlpm.replace_na), FALSE, INDEX(_xlpm.replace_na, 1, 1)),
    _xlpm._rep, IF( ISLOGICAL(_xlpm._nInp), IF(_xlpm._nInp, 0, NA()), _xlpm._nInp),
    _xlpm._num, IF(_xlpm._iCol, _xlpm._cc, _xlpm._rr),
    _xlpm._ins, INT(_xlpm.insert_index) + IF(_xlpm.insert_index &lt; 0, _xlpm._num + 1, 0),
    _xlpm._inpChk, IF(
      OR(
        AND(_xlpm._rr &lt;= 1, _xlpm._cc &lt;= 1),
        SUM(--ISERROR(_xlpm._ins)) &gt; 0
      ), 2, IF(
      OR(
        SUM(--ISERR(_xlpm._inp)) &gt; 0,
        _xlfn.REDUCE(0, _xlfn.VSTACK(_xlpm._iAft,_xlpm._iCol,_xlpm._idv), _xlfn.LAMBDA(_xlpm._acc,_xlpm._val, _xlpm._acc + IF(
          SUM(--ISERROR(_xlpm._val)) &gt; 0, 1, IF(
          OR( MIN(_xlpm._val) &lt; 0, MAX(_xlpm._val) &gt; 1), 1,
          0))
        )) &gt; 0
      ), 3, 1
    )),
    _xlpm._rtn, "OK",
    CHOOSE(_xlpm._inpChk, _xlpm._rtn, _xlfn.LAMBDA(0), #VALUE!)
  )
)(_xlfn.ANCHORARRAY(D324),_xlfn.ANCHORARRAY( D325), D328, D329, D330, D331)</f>
        <v>OK</v>
      </c>
      <c r="E333" s="16" t="str" cm="1">
        <f t="array" aca="1" ref="E333:E363" ca="1" xml:space="preserve"> _xlfn.TEXTSPLIT( _xlfn.FORMULATEXT(D333), , CHAR(10))</f>
        <v>= LAMBDA(insert_index,[insert_inputs],[insert_after],[insert_columns],[as_individual],[replace_na],</v>
      </c>
    </row>
    <row r="334" spans="2:8" x14ac:dyDescent="0.3">
      <c r="E334" s="16" t="str">
        <f ca="1"/>
        <v xml:space="preserve">  LET(</v>
      </c>
    </row>
    <row r="335" spans="2:8" x14ac:dyDescent="0.3">
      <c r="E335" s="16" t="str">
        <f ca="1"/>
        <v xml:space="preserve">    _arr, $C$17:$G$21,</v>
      </c>
    </row>
    <row r="336" spans="2:8" x14ac:dyDescent="0.3">
      <c r="E336" s="16" t="str">
        <f ca="1"/>
        <v xml:space="preserve">    _rr, ROWS(_arr),</v>
      </c>
    </row>
    <row r="337" spans="5:5" x14ac:dyDescent="0.3">
      <c r="E337" s="16" t="str">
        <f ca="1"/>
        <v xml:space="preserve">    _cc, COLUMNS(_arr),</v>
      </c>
    </row>
    <row r="338" spans="5:5" x14ac:dyDescent="0.3">
      <c r="E338" s="16" t="str">
        <f ca="1"/>
        <v xml:space="preserve">    _inp, IF( ISOMITTED(insert_inputs), NA(), insert_inputs),</v>
      </c>
    </row>
    <row r="339" spans="5:5" x14ac:dyDescent="0.3">
      <c r="E339" s="16" t="str">
        <f ca="1"/>
        <v xml:space="preserve">    _iAft, IF( ISOMITTED(insert_after), 0, INT(insert_after)),</v>
      </c>
    </row>
    <row r="340" spans="5:5" x14ac:dyDescent="0.3">
      <c r="E340" s="16" t="str">
        <f ca="1"/>
        <v xml:space="preserve">    _iCol, IF( ISOMITTED(insert_columns), 0, INT(insert_columns)),</v>
      </c>
    </row>
    <row r="341" spans="5:5" x14ac:dyDescent="0.3">
      <c r="E341" s="16" t="str">
        <f ca="1"/>
        <v xml:space="preserve">    _idv, IF( ISOMITTED(as_individual), 0, INT(as_individual)),</v>
      </c>
    </row>
    <row r="342" spans="5:5" x14ac:dyDescent="0.3">
      <c r="E342" s="16" t="str">
        <f ca="1"/>
        <v xml:space="preserve">    _nInp, IF( ISOMITTED(replace_na), FALSE, INDEX(replace_na, 1, 1)),</v>
      </c>
    </row>
    <row r="343" spans="5:5" x14ac:dyDescent="0.3">
      <c r="E343" s="16" t="str">
        <f ca="1"/>
        <v xml:space="preserve">    _rep, IF( ISLOGICAL(_nInp), IF(_nInp, 0, NA()), _nInp),</v>
      </c>
    </row>
    <row r="344" spans="5:5" x14ac:dyDescent="0.3">
      <c r="E344" s="16" t="str">
        <f ca="1"/>
        <v xml:space="preserve">    _num, IF(_iCol, _cc, _rr),</v>
      </c>
    </row>
    <row r="345" spans="5:5" x14ac:dyDescent="0.3">
      <c r="E345" s="16" t="str">
        <f ca="1"/>
        <v xml:space="preserve">    _ins, INT(insert_index) + IF(insert_index &lt; 0, _num + 1, 0),</v>
      </c>
    </row>
    <row r="346" spans="5:5" x14ac:dyDescent="0.3">
      <c r="E346" s="16" t="str">
        <f ca="1"/>
        <v xml:space="preserve">    _inpChk, IF(</v>
      </c>
    </row>
    <row r="347" spans="5:5" x14ac:dyDescent="0.3">
      <c r="E347" s="16" t="str">
        <f ca="1"/>
        <v xml:space="preserve">      OR(</v>
      </c>
    </row>
    <row r="348" spans="5:5" x14ac:dyDescent="0.3">
      <c r="E348" s="16" t="str">
        <f ca="1"/>
        <v xml:space="preserve">        AND(_rr &lt;= 1, _cc &lt;= 1),</v>
      </c>
    </row>
    <row r="349" spans="5:5" x14ac:dyDescent="0.3">
      <c r="E349" s="16" t="str">
        <f ca="1"/>
        <v xml:space="preserve">        SUM(--ISERROR(_ins)) &gt; 0</v>
      </c>
    </row>
    <row r="350" spans="5:5" x14ac:dyDescent="0.3">
      <c r="E350" s="16" t="str">
        <f ca="1"/>
        <v xml:space="preserve">      ), 2, IF(</v>
      </c>
    </row>
    <row r="351" spans="5:5" x14ac:dyDescent="0.3">
      <c r="E351" s="16" t="str">
        <f ca="1"/>
        <v xml:space="preserve">      OR(</v>
      </c>
    </row>
    <row r="352" spans="5:5" x14ac:dyDescent="0.3">
      <c r="E352" s="16" t="str">
        <f ca="1"/>
        <v xml:space="preserve">        SUM(--ISERR(_inp)) &gt; 0,</v>
      </c>
    </row>
    <row r="353" spans="2:14" x14ac:dyDescent="0.3">
      <c r="E353" s="16" t="str">
        <f ca="1"/>
        <v xml:space="preserve">        REDUCE(0, VSTACK(_iAft,_iCol,_idv), LAMBDA(_acc,_val, _acc + IF(</v>
      </c>
    </row>
    <row r="354" spans="2:14" x14ac:dyDescent="0.3">
      <c r="E354" s="16" t="str">
        <f ca="1"/>
        <v xml:space="preserve">          SUM(--ISERROR(_val)) &gt; 0, 1, IF(</v>
      </c>
    </row>
    <row r="355" spans="2:14" x14ac:dyDescent="0.3">
      <c r="E355" s="16" t="str">
        <f ca="1"/>
        <v xml:space="preserve">          OR( MIN(_val) &lt; 0, MAX(_val) &gt; 1), 1,</v>
      </c>
    </row>
    <row r="356" spans="2:14" x14ac:dyDescent="0.3">
      <c r="E356" s="16" t="str">
        <f ca="1"/>
        <v xml:space="preserve">          0))</v>
      </c>
    </row>
    <row r="357" spans="2:14" x14ac:dyDescent="0.3">
      <c r="E357" s="16" t="str">
        <f ca="1"/>
        <v xml:space="preserve">        )) &gt; 0</v>
      </c>
    </row>
    <row r="358" spans="2:14" x14ac:dyDescent="0.3">
      <c r="E358" s="16" t="str">
        <f ca="1"/>
        <v xml:space="preserve">      ), 3, 1</v>
      </c>
    </row>
    <row r="359" spans="2:14" x14ac:dyDescent="0.3">
      <c r="E359" s="16" t="str">
        <f ca="1"/>
        <v xml:space="preserve">    )),</v>
      </c>
    </row>
    <row r="360" spans="2:14" x14ac:dyDescent="0.3">
      <c r="E360" s="16" t="str">
        <f ca="1"/>
        <v xml:space="preserve">    _rtn, "OK",</v>
      </c>
    </row>
    <row r="361" spans="2:14" x14ac:dyDescent="0.3">
      <c r="E361" s="16" t="str">
        <f ca="1"/>
        <v xml:space="preserve">    CHOOSE(_inpChk, _rtn, LAMBDA(0), #VALUE!)</v>
      </c>
    </row>
    <row r="362" spans="2:14" x14ac:dyDescent="0.3">
      <c r="E362" s="16" t="str">
        <f ca="1"/>
        <v xml:space="preserve">  )</v>
      </c>
    </row>
    <row r="363" spans="2:14" x14ac:dyDescent="0.3">
      <c r="E363" s="16" t="str">
        <f ca="1"/>
        <v>)(D324#, D325#, D328, D329, D330, D331)</v>
      </c>
    </row>
    <row r="365" spans="2:14" x14ac:dyDescent="0.3">
      <c r="B365" s="15" t="str" cm="1">
        <f t="array" ref="B365" xml:space="preserve"> "(" &amp; _xlfn.UNICHAR( 65 + SUMPRODUCT(--(_xlfn.REGEXTEST(B$1:B364, "^\([A-Z]\)$")))) &amp; ")"</f>
        <v>(H)</v>
      </c>
      <c r="C365" s="10" t="s">
        <v>313</v>
      </c>
    </row>
    <row r="367" spans="2:14" x14ac:dyDescent="0.3">
      <c r="C367" t="s">
        <v>288</v>
      </c>
      <c r="I367" s="52" t="s">
        <v>306</v>
      </c>
      <c r="J367" s="22" cm="1">
        <f t="array" ref="J367:L367" xml:space="preserve"> {2,3,-2}</f>
        <v>2</v>
      </c>
      <c r="K367" s="22">
        <v>3</v>
      </c>
      <c r="L367" s="22">
        <v>-2</v>
      </c>
      <c r="M367" s="22"/>
    </row>
    <row r="368" spans="2:14" x14ac:dyDescent="0.3">
      <c r="C368" s="42" cm="1">
        <f t="array" ref="C368:G372" xml:space="preserve"> $C$17:$G$21</f>
        <v>1</v>
      </c>
      <c r="D368" s="42">
        <v>1</v>
      </c>
      <c r="E368" s="42">
        <v>1</v>
      </c>
      <c r="F368" s="42">
        <v>1</v>
      </c>
      <c r="G368" s="42">
        <v>1</v>
      </c>
      <c r="I368" s="52" t="s">
        <v>215</v>
      </c>
      <c r="J368" s="22" t="str" cm="1">
        <f t="array" ref="J368:N370" xml:space="preserve"> _xlfn.MAKEARRAY(3, 5, _xlfn.LAMBDA(_xlpm._r,_xlpm._c, "[" &amp; CHAR(87 + _xlpm._r) &amp; "]"))</f>
        <v>[X]</v>
      </c>
      <c r="K368" s="22" t="str">
        <v>[X]</v>
      </c>
      <c r="L368" s="22" t="str">
        <v>[X]</v>
      </c>
      <c r="M368" s="22" t="str">
        <v>[X]</v>
      </c>
      <c r="N368" s="22" t="str">
        <v>[X]</v>
      </c>
    </row>
    <row r="369" spans="3:22" x14ac:dyDescent="0.3">
      <c r="C369" s="42">
        <v>2</v>
      </c>
      <c r="D369" s="42">
        <v>2</v>
      </c>
      <c r="E369" s="42">
        <v>2</v>
      </c>
      <c r="F369" s="42">
        <v>2</v>
      </c>
      <c r="G369" s="42">
        <v>2</v>
      </c>
      <c r="J369" s="22" t="str">
        <v>[Y]</v>
      </c>
      <c r="K369" s="22" t="str">
        <v>[Y]</v>
      </c>
      <c r="L369" s="22" t="str">
        <v>[Y]</v>
      </c>
      <c r="M369" s="22" t="str">
        <v>[Y]</v>
      </c>
      <c r="N369" s="22" t="str">
        <v>[Y]</v>
      </c>
    </row>
    <row r="370" spans="3:22" x14ac:dyDescent="0.3">
      <c r="C370" s="42">
        <v>3</v>
      </c>
      <c r="D370" s="42">
        <v>3</v>
      </c>
      <c r="E370" s="42">
        <v>3</v>
      </c>
      <c r="F370" s="42">
        <v>3</v>
      </c>
      <c r="G370" s="42">
        <v>3</v>
      </c>
      <c r="J370" s="22" t="str">
        <v>[Z]</v>
      </c>
      <c r="K370" s="22" t="str">
        <v>[Z]</v>
      </c>
      <c r="L370" s="22" t="str">
        <v>[Z]</v>
      </c>
      <c r="M370" s="22" t="str">
        <v>[Z]</v>
      </c>
      <c r="N370" s="22" t="str">
        <v>[Z]</v>
      </c>
    </row>
    <row r="371" spans="3:22" x14ac:dyDescent="0.3">
      <c r="C371" s="42">
        <v>4</v>
      </c>
      <c r="D371" s="42">
        <v>4</v>
      </c>
      <c r="E371" s="42">
        <v>4</v>
      </c>
      <c r="F371" s="42">
        <v>4</v>
      </c>
      <c r="G371" s="42">
        <v>4</v>
      </c>
      <c r="I371" s="52" t="s">
        <v>307</v>
      </c>
      <c r="J371" s="55">
        <v>0</v>
      </c>
    </row>
    <row r="372" spans="3:22" x14ac:dyDescent="0.3">
      <c r="C372" s="42">
        <v>5</v>
      </c>
      <c r="D372" s="42">
        <v>5</v>
      </c>
      <c r="E372" s="42">
        <v>5</v>
      </c>
      <c r="F372" s="42">
        <v>5</v>
      </c>
      <c r="G372" s="42">
        <v>5</v>
      </c>
      <c r="I372" s="52" t="s">
        <v>308</v>
      </c>
      <c r="J372" s="55">
        <v>0</v>
      </c>
    </row>
    <row r="373" spans="3:22" x14ac:dyDescent="0.3">
      <c r="I373" s="52" t="s">
        <v>289</v>
      </c>
      <c r="J373" s="55">
        <v>0</v>
      </c>
    </row>
    <row r="374" spans="3:22" x14ac:dyDescent="0.3">
      <c r="I374" s="52" t="s">
        <v>311</v>
      </c>
      <c r="J374" s="24" t="b">
        <v>1</v>
      </c>
    </row>
    <row r="375" spans="3:22" x14ac:dyDescent="0.3">
      <c r="C375" t="s">
        <v>290</v>
      </c>
    </row>
    <row r="376" spans="3:22" x14ac:dyDescent="0.3">
      <c r="C376" s="43" cm="1">
        <f t="array" ref="C376:G389" xml:space="preserve"> _xlfn.LAMBDA(_xlpm.array,_xlpm.insert_index,_xlop.insert_inputs,_xlop.insert_after,_xlop.insert_columns,_xlop.as_individual,_xlop.replace_na,
  _xlfn.LET(
    _xlpm._arr, _xlpm.array,
    _xlpm._rr, ROWS(_xlpm._arr),
    _xlpm._cc, COLUMNS(_xlpm._arr),
    _xlpm._inp, IF( _xlfn.ISOMITTED(_xlpm.insert_inputs), NA(), _xlpm.insert_inputs),
    _xlpm._iAft, IF( _xlfn.ISOMITTED(_xlpm.insert_after), 0, INT(_xlpm.insert_after)),
    _xlpm._iCol, IF( _xlfn.ISOMITTED(_xlpm.insert_columns), 0, INT(_xlpm.insert_columns)),
    _xlpm._idv, IF( _xlfn.ISOMITTED(_xlpm.as_individual), 0, INT(_xlpm.as_individual)),
    _xlpm._nInp, IF( _xlfn.ISOMITTED(_xlpm.replace_na), FALSE, INDEX(_xlpm.replace_na, 1, 1)),
    _xlpm._rep, IF( ISLOGICAL(_xlpm._nInp), IF(_xlpm._nInp, 0, NA()), _xlpm._nInp),
    _xlpm._num, IF(_xlpm._iCol, _xlpm._cc, _xlpm._rr),
    _xlpm._ins, INT(_xlpm.insert_index) + IF(_xlpm.insert_index &lt; 0, _xlpm._num + 1, 0),
    _xlpm._inpChk, IF(
      OR(
        AND(_xlpm._rr &lt;= 1, _xlpm._cc &lt;= 1),
        SUM(--ISERROR(_xlpm._ins)) &gt; 0
      ), 2, IF(
      OR(
        SUM(--ISERR(_xlpm._inp)) &gt; 0,
        _xlfn.REDUCE(0, _xlfn.VSTACK(_xlpm._iAft,_xlpm._iCol,_xlpm._idv), _xlfn.LAMBDA(_xlpm._acc,_xlpm._val, _xlpm._acc + IF(
          SUM(--ISERROR(_xlpm._val)) &gt; 0, 1, IF(
          OR( MIN(_xlpm._val) &lt; 0, MAX(_xlpm._val) &gt; 1), 1,
          0))
        )) &gt; 0
      ), 3, 1
    )),
    _xlpm._rInp, ROWS(_xlpm._inp),
    _xlpm._cInp, COLUMNS(_xlpm._inp),
    _xlpm._rIdx, _xlfn.SEQUENCE(ROWS(_xlpm._arr), 1),
    _xlpm._cIdx, _xlfn.SEQUENCE(1, COLUMNS(_xlpm._arr)),
    _xlpm._calc, IF(_xlpm._iCol,
      _xlfn.DROP(
        _xlfn.REDUCE(0, _xlfn.SEQUENCE(1, _xlpm._cc), _xlfn.LAMBDA(_xlpm._acc,_xlpm._val,
          IF( ISNUMBER(_xlfn.XMATCH(_xlpm._val, _xlpm._ins)),
            _xlfn.LET(
              _xlpm._idx, _xlfn.SEQUENCE(ROWS(_xlpm._inp), 1),
              _xlpm._new, IF(_xlpm._idv, INDEX(_xlpm._inp, _xlpm._idx, MOD( _xlfn.XMATCH(_xlpm._val, _xlpm._ins) - 1, _xlpm._cInp) + 1), _xlpm._inp),
              _xlpm._old, INDEX(_xlpm._arr, _xlpm._rIdx, _xlpm._val),
              _xlpm._1st, IF(_xlpm._iAft, _xlpm._old, _xlpm._new),
              _xlpm._2nd, IF(_xlpm._iAft, _xlpm._new, _xlpm._old),
              _xlfn.HSTACK(_xlpm._acc, _xlpm._1st, _xlpm._2nd)
            ),
            _xlfn.HSTACK(_xlpm._acc, INDEX(_xlpm._arr, _xlpm._rIdx, _xlpm._val)))
        )), , 1
      ),
      _xlfn.DROP(
        _xlfn.REDUCE(0, _xlfn.SEQUENCE(_xlpm._rr, 1), _xlfn.LAMBDA(_xlpm._acc,_xlpm._val,
          IF( ISNUMBER(_xlfn.XMATCH(_xlpm._val, _xlpm._ins)),
            _xlfn.LET(
              _xlpm._idx, _xlfn.SEQUENCE(1, COLUMNS(_xlpm._inp)),
              _xlpm._new, IF(_xlpm._idv, INDEX(_xlpm._inp, MOD( _xlfn.XMATCH(_xlpm._val, _xlpm._ins) - 1, _xlpm._rInp) + 1, _xlpm._idx), _xlpm._inp),
              _xlpm._old, INDEX(_xlpm._arr, _xlpm._val, _xlpm._cIdx),
              _xlpm._1st, IF(_xlpm._iAft, _xlpm._old, _xlpm._new),
              _xlpm._2nd, IF(_xlpm._iAft, _xlpm._new, _xlpm._old),
              _xlfn.VSTACK(_xlpm._acc, _xlpm._1st, _xlpm._2nd)
            ),
            _xlfn.VSTACK(_xlpm._acc, INDEX(_xlpm._arr, _xlpm._val, _xlpm._cIdx)))
        )), 1
      )
    ),
    _xlpm._rtn, IF( ISNA(_xlpm._rep),
      _xlpm._calc,
      IF( ISNA(_xlpm._calc), _xlpm._rep, _xlpm._calc)
    ),
    CHOOSE(_xlpm._inpChk, _xlpm._rtn, _xlfn.LAMBDA(0), #VALUE!)
  )
)(_xlfn.ANCHORARRAY(C368),_xlfn.ANCHORARRAY( J367),_xlfn.ANCHORARRAY( J368), J371, J372, J373, J374)</f>
        <v>1</v>
      </c>
      <c r="D376" s="43">
        <v>1</v>
      </c>
      <c r="E376" s="43">
        <v>1</v>
      </c>
      <c r="F376" s="43">
        <v>1</v>
      </c>
      <c r="G376" s="43">
        <v>1</v>
      </c>
      <c r="H376" s="43"/>
      <c r="I376" s="43"/>
      <c r="J376" s="43"/>
      <c r="K376" s="43"/>
      <c r="L376" s="43"/>
      <c r="M376" s="43"/>
      <c r="N376" s="43"/>
      <c r="O376" s="43"/>
      <c r="P376" s="43"/>
      <c r="Q376" s="43"/>
      <c r="R376" s="43"/>
      <c r="S376" s="43"/>
      <c r="T376" s="43"/>
      <c r="U376" s="43"/>
      <c r="V376" s="43"/>
    </row>
    <row r="377" spans="3:22" x14ac:dyDescent="0.3">
      <c r="C377" s="43" t="str">
        <v>[X]</v>
      </c>
      <c r="D377" s="43" t="str">
        <v>[X]</v>
      </c>
      <c r="E377" s="43" t="str">
        <v>[X]</v>
      </c>
      <c r="F377" s="43" t="str">
        <v>[X]</v>
      </c>
      <c r="G377" s="43" t="str">
        <v>[X]</v>
      </c>
      <c r="H377" s="43"/>
      <c r="I377" s="43"/>
      <c r="J377" s="43"/>
      <c r="K377" s="43"/>
      <c r="L377" s="43"/>
      <c r="M377" s="43"/>
      <c r="N377" s="43"/>
      <c r="O377" s="43"/>
      <c r="P377" s="43"/>
      <c r="Q377" s="43"/>
      <c r="R377" s="43"/>
      <c r="S377" s="43"/>
      <c r="T377" s="43"/>
      <c r="U377" s="43"/>
      <c r="V377" s="43"/>
    </row>
    <row r="378" spans="3:22" x14ac:dyDescent="0.3">
      <c r="C378" s="43" t="str">
        <v>[Y]</v>
      </c>
      <c r="D378" s="43" t="str">
        <v>[Y]</v>
      </c>
      <c r="E378" s="43" t="str">
        <v>[Y]</v>
      </c>
      <c r="F378" s="43" t="str">
        <v>[Y]</v>
      </c>
      <c r="G378" s="43" t="str">
        <v>[Y]</v>
      </c>
      <c r="H378" s="43"/>
      <c r="I378" s="43"/>
      <c r="J378" s="43"/>
      <c r="K378" s="43"/>
      <c r="L378" s="43"/>
      <c r="M378" s="43"/>
      <c r="N378" s="43"/>
      <c r="O378" s="43"/>
      <c r="P378" s="43"/>
      <c r="Q378" s="43"/>
      <c r="R378" s="43"/>
      <c r="S378" s="43"/>
      <c r="T378" s="43"/>
      <c r="U378" s="43"/>
      <c r="V378" s="43"/>
    </row>
    <row r="379" spans="3:22" x14ac:dyDescent="0.3">
      <c r="C379" s="43" t="str">
        <v>[Z]</v>
      </c>
      <c r="D379" s="43" t="str">
        <v>[Z]</v>
      </c>
      <c r="E379" s="43" t="str">
        <v>[Z]</v>
      </c>
      <c r="F379" s="43" t="str">
        <v>[Z]</v>
      </c>
      <c r="G379" s="43" t="str">
        <v>[Z]</v>
      </c>
      <c r="H379" s="43"/>
      <c r="I379" s="43"/>
      <c r="J379" s="43"/>
      <c r="K379" s="43"/>
      <c r="L379" s="43"/>
      <c r="M379" s="43"/>
      <c r="N379" s="43"/>
      <c r="O379" s="43"/>
      <c r="P379" s="43"/>
      <c r="Q379" s="43"/>
      <c r="R379" s="43"/>
      <c r="S379" s="43"/>
      <c r="T379" s="43"/>
      <c r="U379" s="43"/>
      <c r="V379" s="43"/>
    </row>
    <row r="380" spans="3:22" x14ac:dyDescent="0.3">
      <c r="C380" s="43">
        <v>2</v>
      </c>
      <c r="D380" s="43">
        <v>2</v>
      </c>
      <c r="E380" s="43">
        <v>2</v>
      </c>
      <c r="F380" s="43">
        <v>2</v>
      </c>
      <c r="G380" s="43">
        <v>2</v>
      </c>
      <c r="H380" s="43"/>
      <c r="I380" s="43"/>
      <c r="J380" s="43"/>
      <c r="K380" s="43"/>
      <c r="L380" s="43"/>
      <c r="M380" s="43"/>
      <c r="N380" s="43"/>
      <c r="O380" s="43"/>
      <c r="P380" s="43"/>
      <c r="Q380" s="43"/>
      <c r="R380" s="43"/>
      <c r="S380" s="43"/>
      <c r="T380" s="43"/>
      <c r="U380" s="43"/>
      <c r="V380" s="43"/>
    </row>
    <row r="381" spans="3:22" x14ac:dyDescent="0.3">
      <c r="C381" s="43" t="str">
        <v>[X]</v>
      </c>
      <c r="D381" s="43" t="str">
        <v>[X]</v>
      </c>
      <c r="E381" s="43" t="str">
        <v>[X]</v>
      </c>
      <c r="F381" s="43" t="str">
        <v>[X]</v>
      </c>
      <c r="G381" s="43" t="str">
        <v>[X]</v>
      </c>
      <c r="H381" s="43"/>
      <c r="I381" s="43"/>
      <c r="J381" s="43"/>
      <c r="K381" s="43"/>
      <c r="L381" s="43"/>
      <c r="M381" s="43"/>
      <c r="N381" s="43"/>
      <c r="O381" s="43"/>
      <c r="P381" s="43"/>
      <c r="Q381" s="43"/>
      <c r="R381" s="43"/>
      <c r="S381" s="43"/>
      <c r="T381" s="43"/>
      <c r="U381" s="43"/>
      <c r="V381" s="43"/>
    </row>
    <row r="382" spans="3:22" x14ac:dyDescent="0.3">
      <c r="C382" s="43" t="str">
        <v>[Y]</v>
      </c>
      <c r="D382" s="43" t="str">
        <v>[Y]</v>
      </c>
      <c r="E382" s="43" t="str">
        <v>[Y]</v>
      </c>
      <c r="F382" s="43" t="str">
        <v>[Y]</v>
      </c>
      <c r="G382" s="43" t="str">
        <v>[Y]</v>
      </c>
      <c r="H382" s="43"/>
      <c r="I382" s="43"/>
      <c r="J382" s="43"/>
      <c r="K382" s="43"/>
      <c r="L382" s="43"/>
      <c r="M382" s="43"/>
      <c r="N382" s="43"/>
      <c r="O382" s="43"/>
      <c r="P382" s="43"/>
      <c r="Q382" s="43"/>
      <c r="R382" s="43"/>
      <c r="S382" s="43"/>
      <c r="T382" s="43"/>
      <c r="U382" s="43"/>
      <c r="V382" s="43"/>
    </row>
    <row r="383" spans="3:22" x14ac:dyDescent="0.3">
      <c r="C383" s="43" t="str">
        <v>[Z]</v>
      </c>
      <c r="D383" s="43" t="str">
        <v>[Z]</v>
      </c>
      <c r="E383" s="43" t="str">
        <v>[Z]</v>
      </c>
      <c r="F383" s="43" t="str">
        <v>[Z]</v>
      </c>
      <c r="G383" s="43" t="str">
        <v>[Z]</v>
      </c>
      <c r="H383" s="43"/>
      <c r="I383" s="43"/>
      <c r="J383" s="43"/>
      <c r="K383" s="43"/>
      <c r="L383" s="43"/>
      <c r="M383" s="43"/>
      <c r="N383" s="43"/>
      <c r="O383" s="43"/>
      <c r="P383" s="43"/>
      <c r="Q383" s="43"/>
      <c r="R383" s="43"/>
      <c r="S383" s="43"/>
      <c r="T383" s="43"/>
      <c r="U383" s="43"/>
      <c r="V383" s="43"/>
    </row>
    <row r="384" spans="3:22" x14ac:dyDescent="0.3">
      <c r="C384" s="43">
        <v>3</v>
      </c>
      <c r="D384" s="43">
        <v>3</v>
      </c>
      <c r="E384" s="43">
        <v>3</v>
      </c>
      <c r="F384" s="43">
        <v>3</v>
      </c>
      <c r="G384" s="43">
        <v>3</v>
      </c>
      <c r="H384" s="43"/>
      <c r="I384" s="43"/>
      <c r="J384" s="43"/>
      <c r="K384" s="43"/>
      <c r="L384" s="43"/>
      <c r="M384" s="43"/>
      <c r="N384" s="43"/>
      <c r="O384" s="43"/>
      <c r="P384" s="43"/>
      <c r="Q384" s="43"/>
      <c r="R384" s="43"/>
      <c r="S384" s="43"/>
      <c r="T384" s="43"/>
      <c r="U384" s="43"/>
      <c r="V384" s="43"/>
    </row>
    <row r="385" spans="3:22" x14ac:dyDescent="0.3">
      <c r="C385" s="43" t="str">
        <v>[X]</v>
      </c>
      <c r="D385" s="43" t="str">
        <v>[X]</v>
      </c>
      <c r="E385" s="43" t="str">
        <v>[X]</v>
      </c>
      <c r="F385" s="43" t="str">
        <v>[X]</v>
      </c>
      <c r="G385" s="43" t="str">
        <v>[X]</v>
      </c>
      <c r="H385" s="43"/>
      <c r="I385" s="43"/>
      <c r="J385" s="43"/>
      <c r="K385" s="43"/>
      <c r="L385" s="43"/>
      <c r="M385" s="43"/>
      <c r="N385" s="43"/>
      <c r="O385" s="43"/>
      <c r="P385" s="43"/>
      <c r="Q385" s="43"/>
      <c r="R385" s="43"/>
      <c r="S385" s="43"/>
      <c r="T385" s="43"/>
      <c r="U385" s="43"/>
      <c r="V385" s="43"/>
    </row>
    <row r="386" spans="3:22" x14ac:dyDescent="0.3">
      <c r="C386" s="43" t="str">
        <v>[Y]</v>
      </c>
      <c r="D386" s="43" t="str">
        <v>[Y]</v>
      </c>
      <c r="E386" s="43" t="str">
        <v>[Y]</v>
      </c>
      <c r="F386" s="43" t="str">
        <v>[Y]</v>
      </c>
      <c r="G386" s="43" t="str">
        <v>[Y]</v>
      </c>
      <c r="H386" s="43"/>
      <c r="I386" s="43"/>
      <c r="J386" s="43"/>
      <c r="K386" s="43"/>
      <c r="L386" s="43"/>
      <c r="M386" s="43"/>
      <c r="N386" s="43"/>
      <c r="O386" s="43"/>
      <c r="P386" s="43"/>
      <c r="Q386" s="43"/>
      <c r="R386" s="43"/>
      <c r="S386" s="43"/>
      <c r="T386" s="43"/>
      <c r="U386" s="43"/>
      <c r="V386" s="43"/>
    </row>
    <row r="387" spans="3:22" x14ac:dyDescent="0.3">
      <c r="C387" s="43" t="str">
        <v>[Z]</v>
      </c>
      <c r="D387" s="43" t="str">
        <v>[Z]</v>
      </c>
      <c r="E387" s="43" t="str">
        <v>[Z]</v>
      </c>
      <c r="F387" s="43" t="str">
        <v>[Z]</v>
      </c>
      <c r="G387" s="43" t="str">
        <v>[Z]</v>
      </c>
      <c r="H387" s="43"/>
      <c r="I387" s="43"/>
      <c r="J387" s="43"/>
      <c r="K387" s="43"/>
      <c r="L387" s="43"/>
      <c r="M387" s="43"/>
      <c r="N387" s="43"/>
      <c r="O387" s="43"/>
      <c r="P387" s="43"/>
      <c r="Q387" s="43"/>
      <c r="R387" s="43"/>
      <c r="S387" s="43"/>
      <c r="T387" s="43"/>
      <c r="U387" s="43"/>
      <c r="V387" s="43"/>
    </row>
    <row r="388" spans="3:22" x14ac:dyDescent="0.3">
      <c r="C388" s="43">
        <v>4</v>
      </c>
      <c r="D388" s="43">
        <v>4</v>
      </c>
      <c r="E388" s="43">
        <v>4</v>
      </c>
      <c r="F388" s="43">
        <v>4</v>
      </c>
      <c r="G388" s="43">
        <v>4</v>
      </c>
      <c r="H388" s="43"/>
      <c r="I388" s="43"/>
      <c r="J388" s="43"/>
      <c r="K388" s="43"/>
      <c r="L388" s="43"/>
      <c r="M388" s="43"/>
      <c r="N388" s="43"/>
      <c r="O388" s="43"/>
      <c r="P388" s="43"/>
      <c r="Q388" s="43"/>
      <c r="R388" s="43"/>
      <c r="S388" s="43"/>
      <c r="T388" s="43"/>
      <c r="U388" s="43"/>
      <c r="V388" s="43"/>
    </row>
    <row r="389" spans="3:22" x14ac:dyDescent="0.3">
      <c r="C389" s="43">
        <v>5</v>
      </c>
      <c r="D389" s="43">
        <v>5</v>
      </c>
      <c r="E389" s="43">
        <v>5</v>
      </c>
      <c r="F389" s="43">
        <v>5</v>
      </c>
      <c r="G389" s="43">
        <v>5</v>
      </c>
      <c r="H389" s="43"/>
      <c r="I389" s="43"/>
      <c r="J389" s="43"/>
      <c r="K389" s="43"/>
      <c r="L389" s="43"/>
      <c r="M389" s="43"/>
      <c r="N389" s="43"/>
      <c r="O389" s="43"/>
      <c r="P389" s="43"/>
      <c r="Q389" s="43"/>
      <c r="R389" s="43"/>
      <c r="S389" s="43"/>
      <c r="T389" s="43"/>
      <c r="U389" s="43"/>
      <c r="V389" s="43"/>
    </row>
    <row r="390" spans="3:22" x14ac:dyDescent="0.3">
      <c r="C390" s="43"/>
      <c r="D390" s="43"/>
      <c r="E390" s="43"/>
      <c r="F390" s="43"/>
      <c r="G390" s="43"/>
      <c r="H390" s="43"/>
      <c r="I390" s="43"/>
      <c r="J390" s="43"/>
      <c r="K390" s="43"/>
      <c r="L390" s="43"/>
      <c r="M390" s="43"/>
      <c r="N390" s="43"/>
      <c r="O390" s="43"/>
      <c r="P390" s="43"/>
      <c r="Q390" s="43"/>
      <c r="R390" s="43"/>
      <c r="S390" s="43"/>
      <c r="T390" s="43"/>
      <c r="U390" s="43"/>
      <c r="V390" s="43"/>
    </row>
    <row r="391" spans="3:22" x14ac:dyDescent="0.3">
      <c r="C391" s="43"/>
      <c r="D391" s="43"/>
      <c r="E391" s="43"/>
      <c r="F391" s="43"/>
      <c r="G391" s="43"/>
      <c r="H391" s="43"/>
      <c r="I391" s="43"/>
      <c r="J391" s="43"/>
      <c r="K391" s="43"/>
      <c r="L391" s="43"/>
      <c r="M391" s="43"/>
      <c r="N391" s="43"/>
      <c r="O391" s="43"/>
      <c r="P391" s="43"/>
      <c r="Q391" s="43"/>
      <c r="R391" s="43"/>
      <c r="S391" s="43"/>
      <c r="T391" s="43"/>
      <c r="U391" s="43"/>
      <c r="V391" s="43"/>
    </row>
    <row r="392" spans="3:22" x14ac:dyDescent="0.3">
      <c r="C392" s="43"/>
      <c r="D392" s="43"/>
      <c r="E392" s="43"/>
      <c r="F392" s="43"/>
      <c r="G392" s="43"/>
      <c r="H392" s="43"/>
      <c r="I392" s="43"/>
      <c r="J392" s="43"/>
      <c r="K392" s="43"/>
      <c r="L392" s="43"/>
      <c r="M392" s="43"/>
      <c r="N392" s="43"/>
      <c r="O392" s="43"/>
      <c r="P392" s="43"/>
      <c r="Q392" s="43"/>
      <c r="R392" s="43"/>
      <c r="S392" s="43"/>
      <c r="T392" s="43"/>
      <c r="U392" s="43"/>
      <c r="V392" s="43"/>
    </row>
    <row r="393" spans="3:22" x14ac:dyDescent="0.3">
      <c r="C393" s="16" t="str" cm="1">
        <f t="array" aca="1" ref="C393:C460" ca="1" xml:space="preserve"> _xlfn.TEXTSPLIT( _xlfn.FORMULATEXT(C376), , CHAR(10))</f>
        <v>= LAMBDA(array,insert_index,[insert_inputs],[insert_after],[insert_columns],[as_individual],[replace_na],</v>
      </c>
    </row>
    <row r="394" spans="3:22" x14ac:dyDescent="0.3">
      <c r="C394" s="16" t="str">
        <f ca="1"/>
        <v xml:space="preserve">  LET(</v>
      </c>
    </row>
    <row r="395" spans="3:22" x14ac:dyDescent="0.3">
      <c r="C395" s="16" t="str">
        <f ca="1"/>
        <v xml:space="preserve">    _arr, array,</v>
      </c>
    </row>
    <row r="396" spans="3:22" x14ac:dyDescent="0.3">
      <c r="C396" s="16" t="str">
        <f ca="1"/>
        <v xml:space="preserve">    _rr, ROWS(_arr),</v>
      </c>
    </row>
    <row r="397" spans="3:22" x14ac:dyDescent="0.3">
      <c r="C397" s="16" t="str">
        <f ca="1"/>
        <v xml:space="preserve">    _cc, COLUMNS(_arr),</v>
      </c>
    </row>
    <row r="398" spans="3:22" x14ac:dyDescent="0.3">
      <c r="C398" s="16" t="str">
        <f ca="1"/>
        <v xml:space="preserve">    _inp, IF( ISOMITTED(insert_inputs), NA(), insert_inputs),</v>
      </c>
    </row>
    <row r="399" spans="3:22" x14ac:dyDescent="0.3">
      <c r="C399" s="16" t="str">
        <f ca="1"/>
        <v xml:space="preserve">    _iAft, IF( ISOMITTED(insert_after), 0, INT(insert_after)),</v>
      </c>
    </row>
    <row r="400" spans="3:22" x14ac:dyDescent="0.3">
      <c r="C400" s="16" t="str">
        <f ca="1"/>
        <v xml:space="preserve">    _iCol, IF( ISOMITTED(insert_columns), 0, INT(insert_columns)),</v>
      </c>
    </row>
    <row r="401" spans="3:3" x14ac:dyDescent="0.3">
      <c r="C401" s="16" t="str">
        <f ca="1"/>
        <v xml:space="preserve">    _idv, IF( ISOMITTED(as_individual), 0, INT(as_individual)),</v>
      </c>
    </row>
    <row r="402" spans="3:3" x14ac:dyDescent="0.3">
      <c r="C402" s="16" t="str">
        <f ca="1"/>
        <v xml:space="preserve">    _nInp, IF( ISOMITTED(replace_na), FALSE, INDEX(replace_na, 1, 1)),</v>
      </c>
    </row>
    <row r="403" spans="3:3" x14ac:dyDescent="0.3">
      <c r="C403" s="16" t="str">
        <f ca="1"/>
        <v xml:space="preserve">    _rep, IF( ISLOGICAL(_nInp), IF(_nInp, 0, NA()), _nInp),</v>
      </c>
    </row>
    <row r="404" spans="3:3" x14ac:dyDescent="0.3">
      <c r="C404" s="16" t="str">
        <f ca="1"/>
        <v xml:space="preserve">    _num, IF(_iCol, _cc, _rr),</v>
      </c>
    </row>
    <row r="405" spans="3:3" x14ac:dyDescent="0.3">
      <c r="C405" s="16" t="str">
        <f ca="1"/>
        <v xml:space="preserve">    _ins, INT(insert_index) + IF(insert_index &lt; 0, _num + 1, 0),</v>
      </c>
    </row>
    <row r="406" spans="3:3" x14ac:dyDescent="0.3">
      <c r="C406" s="16" t="str">
        <f ca="1"/>
        <v xml:space="preserve">    _inpChk, IF(</v>
      </c>
    </row>
    <row r="407" spans="3:3" x14ac:dyDescent="0.3">
      <c r="C407" s="16" t="str">
        <f ca="1"/>
        <v xml:space="preserve">      OR(</v>
      </c>
    </row>
    <row r="408" spans="3:3" x14ac:dyDescent="0.3">
      <c r="C408" s="16" t="str">
        <f ca="1"/>
        <v xml:space="preserve">        AND(_rr &lt;= 1, _cc &lt;= 1),</v>
      </c>
    </row>
    <row r="409" spans="3:3" x14ac:dyDescent="0.3">
      <c r="C409" s="16" t="str">
        <f ca="1"/>
        <v xml:space="preserve">        SUM(--ISERROR(_ins)) &gt; 0</v>
      </c>
    </row>
    <row r="410" spans="3:3" x14ac:dyDescent="0.3">
      <c r="C410" s="16" t="str">
        <f ca="1"/>
        <v xml:space="preserve">      ), 2, IF(</v>
      </c>
    </row>
    <row r="411" spans="3:3" x14ac:dyDescent="0.3">
      <c r="C411" s="16" t="str">
        <f ca="1"/>
        <v xml:space="preserve">      OR(</v>
      </c>
    </row>
    <row r="412" spans="3:3" x14ac:dyDescent="0.3">
      <c r="C412" s="16" t="str">
        <f ca="1"/>
        <v xml:space="preserve">        SUM(--ISERR(_inp)) &gt; 0,</v>
      </c>
    </row>
    <row r="413" spans="3:3" x14ac:dyDescent="0.3">
      <c r="C413" s="16" t="str">
        <f ca="1"/>
        <v xml:space="preserve">        REDUCE(0, VSTACK(_iAft,_iCol,_idv), LAMBDA(_acc,_val, _acc + IF(</v>
      </c>
    </row>
    <row r="414" spans="3:3" x14ac:dyDescent="0.3">
      <c r="C414" s="16" t="str">
        <f ca="1"/>
        <v xml:space="preserve">          SUM(--ISERROR(_val)) &gt; 0, 1, IF(</v>
      </c>
    </row>
    <row r="415" spans="3:3" x14ac:dyDescent="0.3">
      <c r="C415" s="16" t="str">
        <f ca="1"/>
        <v xml:space="preserve">          OR( MIN(_val) &lt; 0, MAX(_val) &gt; 1), 1,</v>
      </c>
    </row>
    <row r="416" spans="3:3" x14ac:dyDescent="0.3">
      <c r="C416" s="16" t="str">
        <f ca="1"/>
        <v xml:space="preserve">          0))</v>
      </c>
    </row>
    <row r="417" spans="3:3" x14ac:dyDescent="0.3">
      <c r="C417" s="16" t="str">
        <f ca="1"/>
        <v xml:space="preserve">        )) &gt; 0</v>
      </c>
    </row>
    <row r="418" spans="3:3" x14ac:dyDescent="0.3">
      <c r="C418" s="16" t="str">
        <f ca="1"/>
        <v xml:space="preserve">      ), 3, 1</v>
      </c>
    </row>
    <row r="419" spans="3:3" x14ac:dyDescent="0.3">
      <c r="C419" s="16" t="str">
        <f ca="1"/>
        <v xml:space="preserve">    )),</v>
      </c>
    </row>
    <row r="420" spans="3:3" x14ac:dyDescent="0.3">
      <c r="C420" s="16" t="str">
        <f ca="1"/>
        <v xml:space="preserve">    _rInp, ROWS(_inp),</v>
      </c>
    </row>
    <row r="421" spans="3:3" x14ac:dyDescent="0.3">
      <c r="C421" s="16" t="str">
        <f ca="1"/>
        <v xml:space="preserve">    _cInp, COLUMNS(_inp),</v>
      </c>
    </row>
    <row r="422" spans="3:3" x14ac:dyDescent="0.3">
      <c r="C422" s="16" t="str">
        <f ca="1"/>
        <v xml:space="preserve">    _rIdx, SEQUENCE(ROWS(_arr), 1),</v>
      </c>
    </row>
    <row r="423" spans="3:3" x14ac:dyDescent="0.3">
      <c r="C423" s="16" t="str">
        <f ca="1"/>
        <v xml:space="preserve">    _cIdx, SEQUENCE(1, COLUMNS(_arr)),</v>
      </c>
    </row>
    <row r="424" spans="3:3" x14ac:dyDescent="0.3">
      <c r="C424" s="16" t="str">
        <f ca="1"/>
        <v xml:space="preserve">    _calc, IF(_iCol,</v>
      </c>
    </row>
    <row r="425" spans="3:3" x14ac:dyDescent="0.3">
      <c r="C425" s="16" t="str">
        <f ca="1"/>
        <v xml:space="preserve">      DROP(</v>
      </c>
    </row>
    <row r="426" spans="3:3" x14ac:dyDescent="0.3">
      <c r="C426" s="16" t="str">
        <f ca="1"/>
        <v xml:space="preserve">        REDUCE(0, SEQUENCE(1, _cc), LAMBDA(_acc,_val,</v>
      </c>
    </row>
    <row r="427" spans="3:3" x14ac:dyDescent="0.3">
      <c r="C427" s="16" t="str">
        <f ca="1"/>
        <v xml:space="preserve">          IF( ISNUMBER(XMATCH(_val, _ins)),</v>
      </c>
    </row>
    <row r="428" spans="3:3" x14ac:dyDescent="0.3">
      <c r="C428" s="16" t="str">
        <f ca="1"/>
        <v xml:space="preserve">            LET(</v>
      </c>
    </row>
    <row r="429" spans="3:3" x14ac:dyDescent="0.3">
      <c r="C429" s="16" t="str">
        <f ca="1"/>
        <v xml:space="preserve">              _idx, SEQUENCE(ROWS(_inp), 1),</v>
      </c>
    </row>
    <row r="430" spans="3:3" x14ac:dyDescent="0.3">
      <c r="C430" s="16" t="str">
        <f ca="1"/>
        <v xml:space="preserve">              _new, IF(_idv, INDEX(_inp, _idx, MOD( XMATCH(_val, _ins) - 1, _cInp) + 1), _inp),</v>
      </c>
    </row>
    <row r="431" spans="3:3" x14ac:dyDescent="0.3">
      <c r="C431" s="16" t="str">
        <f ca="1"/>
        <v xml:space="preserve">              _old, INDEX(_arr, _rIdx, _val),</v>
      </c>
    </row>
    <row r="432" spans="3:3" x14ac:dyDescent="0.3">
      <c r="C432" s="16" t="str">
        <f ca="1"/>
        <v xml:space="preserve">              _1st, IF(_iAft, _old, _new),</v>
      </c>
    </row>
    <row r="433" spans="3:3" x14ac:dyDescent="0.3">
      <c r="C433" s="16" t="str">
        <f ca="1"/>
        <v xml:space="preserve">              _2nd, IF(_iAft, _new, _old),</v>
      </c>
    </row>
    <row r="434" spans="3:3" x14ac:dyDescent="0.3">
      <c r="C434" s="16" t="str">
        <f ca="1"/>
        <v xml:space="preserve">              HSTACK(_acc, _1st, _2nd)</v>
      </c>
    </row>
    <row r="435" spans="3:3" x14ac:dyDescent="0.3">
      <c r="C435" s="16" t="str">
        <f ca="1"/>
        <v xml:space="preserve">            ),</v>
      </c>
    </row>
    <row r="436" spans="3:3" x14ac:dyDescent="0.3">
      <c r="C436" s="16" t="str">
        <f ca="1"/>
        <v xml:space="preserve">            HSTACK(_acc, INDEX(_arr, _rIdx, _val)))</v>
      </c>
    </row>
    <row r="437" spans="3:3" x14ac:dyDescent="0.3">
      <c r="C437" s="16" t="str">
        <f ca="1"/>
        <v xml:space="preserve">        )), , 1</v>
      </c>
    </row>
    <row r="438" spans="3:3" x14ac:dyDescent="0.3">
      <c r="C438" s="16" t="str">
        <f ca="1"/>
        <v xml:space="preserve">      ),</v>
      </c>
    </row>
    <row r="439" spans="3:3" x14ac:dyDescent="0.3">
      <c r="C439" s="16" t="str">
        <f ca="1"/>
        <v xml:space="preserve">      DROP(</v>
      </c>
    </row>
    <row r="440" spans="3:3" x14ac:dyDescent="0.3">
      <c r="C440" s="16" t="str">
        <f ca="1"/>
        <v xml:space="preserve">        REDUCE(0, SEQUENCE(_rr, 1), LAMBDA(_acc,_val,</v>
      </c>
    </row>
    <row r="441" spans="3:3" x14ac:dyDescent="0.3">
      <c r="C441" s="16" t="str">
        <f ca="1"/>
        <v xml:space="preserve">          IF( ISNUMBER(XMATCH(_val, _ins)),</v>
      </c>
    </row>
    <row r="442" spans="3:3" x14ac:dyDescent="0.3">
      <c r="C442" s="16" t="str">
        <f ca="1"/>
        <v xml:space="preserve">            LET(</v>
      </c>
    </row>
    <row r="443" spans="3:3" x14ac:dyDescent="0.3">
      <c r="C443" s="16" t="str">
        <f ca="1"/>
        <v xml:space="preserve">              _idx, SEQUENCE(1, COLUMNS(_inp)),</v>
      </c>
    </row>
    <row r="444" spans="3:3" x14ac:dyDescent="0.3">
      <c r="C444" s="16" t="str">
        <f ca="1"/>
        <v xml:space="preserve">              _new, IF(_idv, INDEX(_inp, MOD( XMATCH(_val, _ins) - 1, _rInp) + 1, _idx), _inp),</v>
      </c>
    </row>
    <row r="445" spans="3:3" x14ac:dyDescent="0.3">
      <c r="C445" s="16" t="str">
        <f ca="1"/>
        <v xml:space="preserve">              _old, INDEX(_arr, _val, _cIdx),</v>
      </c>
    </row>
    <row r="446" spans="3:3" x14ac:dyDescent="0.3">
      <c r="C446" s="16" t="str">
        <f ca="1"/>
        <v xml:space="preserve">              _1st, IF(_iAft, _old, _new),</v>
      </c>
    </row>
    <row r="447" spans="3:3" x14ac:dyDescent="0.3">
      <c r="C447" s="16" t="str">
        <f ca="1"/>
        <v xml:space="preserve">              _2nd, IF(_iAft, _new, _old),</v>
      </c>
    </row>
    <row r="448" spans="3:3" x14ac:dyDescent="0.3">
      <c r="C448" s="16" t="str">
        <f ca="1"/>
        <v xml:space="preserve">              VSTACK(_acc, _1st, _2nd)</v>
      </c>
    </row>
    <row r="449" spans="2:20" x14ac:dyDescent="0.3">
      <c r="C449" s="16" t="str">
        <f ca="1"/>
        <v xml:space="preserve">            ),</v>
      </c>
    </row>
    <row r="450" spans="2:20" x14ac:dyDescent="0.3">
      <c r="C450" s="16" t="str">
        <f ca="1"/>
        <v xml:space="preserve">            VSTACK(_acc, INDEX(_arr, _val, _cIdx)))</v>
      </c>
    </row>
    <row r="451" spans="2:20" x14ac:dyDescent="0.3">
      <c r="C451" s="16" t="str">
        <f ca="1"/>
        <v xml:space="preserve">        )), 1</v>
      </c>
    </row>
    <row r="452" spans="2:20" x14ac:dyDescent="0.3">
      <c r="C452" s="16" t="str">
        <f ca="1"/>
        <v xml:space="preserve">      )</v>
      </c>
    </row>
    <row r="453" spans="2:20" x14ac:dyDescent="0.3">
      <c r="C453" s="16" t="str">
        <f ca="1"/>
        <v xml:space="preserve">    ),</v>
      </c>
    </row>
    <row r="454" spans="2:20" x14ac:dyDescent="0.3">
      <c r="C454" s="16" t="str">
        <f ca="1"/>
        <v xml:space="preserve">    _rtn, IF( ISNA(_rep),</v>
      </c>
    </row>
    <row r="455" spans="2:20" x14ac:dyDescent="0.3">
      <c r="C455" s="16" t="str">
        <f ca="1"/>
        <v xml:space="preserve">      _calc,</v>
      </c>
    </row>
    <row r="456" spans="2:20" x14ac:dyDescent="0.3">
      <c r="C456" s="16" t="str">
        <f ca="1"/>
        <v xml:space="preserve">      IF( ISNA(_calc), _rep, _calc)</v>
      </c>
    </row>
    <row r="457" spans="2:20" x14ac:dyDescent="0.3">
      <c r="C457" s="16" t="str">
        <f ca="1"/>
        <v xml:space="preserve">    ),</v>
      </c>
    </row>
    <row r="458" spans="2:20" x14ac:dyDescent="0.3">
      <c r="C458" s="16" t="str">
        <f ca="1"/>
        <v xml:space="preserve">    CHOOSE(_inpChk, _rtn, LAMBDA(0), #VALUE!)</v>
      </c>
    </row>
    <row r="459" spans="2:20" x14ac:dyDescent="0.3">
      <c r="C459" s="16" t="str">
        <f ca="1"/>
        <v xml:space="preserve">  )</v>
      </c>
    </row>
    <row r="460" spans="2:20" x14ac:dyDescent="0.3">
      <c r="C460" s="16" t="str">
        <f ca="1"/>
        <v>)(C368#, J367#, J368#, J371, J372, J373, J374)</v>
      </c>
    </row>
    <row r="463" spans="2:20" x14ac:dyDescent="0.3">
      <c r="B463" s="13" t="s">
        <v>469</v>
      </c>
      <c r="C463" s="12"/>
      <c r="D463" s="12"/>
      <c r="E463" s="12"/>
      <c r="F463" s="12"/>
      <c r="G463" s="12"/>
      <c r="H463" s="12"/>
      <c r="I463" s="12"/>
      <c r="J463" s="12"/>
      <c r="K463" s="12"/>
      <c r="L463" s="12"/>
      <c r="M463" s="12"/>
      <c r="N463" s="12"/>
      <c r="O463" s="12"/>
      <c r="P463" s="12"/>
      <c r="Q463" s="12"/>
      <c r="R463" s="12"/>
      <c r="S463" s="12"/>
      <c r="T463" s="12"/>
    </row>
    <row r="465" spans="2:10" x14ac:dyDescent="0.3">
      <c r="B465" s="15" t="str" cm="1">
        <f t="array" ref="B465" xml:space="preserve"> "(" &amp; _xlfn.UNICHAR( 65 + SUMPRODUCT(--(_xlfn.REGEXTEST(B$1:B464, "^\([A-Z]\)$")))) &amp; ")"</f>
        <v>(I)</v>
      </c>
      <c r="C465" s="10" t="s">
        <v>470</v>
      </c>
    </row>
    <row r="466" spans="2:10" x14ac:dyDescent="0.3">
      <c r="C466" s="10" t="s">
        <v>281</v>
      </c>
    </row>
    <row r="468" spans="2:10" x14ac:dyDescent="0.3">
      <c r="C468" s="52" t="s">
        <v>212</v>
      </c>
      <c r="D468" s="67">
        <v>5</v>
      </c>
      <c r="F468" s="52" t="s">
        <v>306</v>
      </c>
      <c r="G468" s="22" cm="1">
        <f t="array" ref="G468:J468" xml:space="preserve"> {2,3,4,5}</f>
        <v>2</v>
      </c>
      <c r="H468" s="22">
        <v>3</v>
      </c>
      <c r="I468" s="22">
        <v>4</v>
      </c>
      <c r="J468" s="22">
        <v>5</v>
      </c>
    </row>
    <row r="469" spans="2:10" x14ac:dyDescent="0.3">
      <c r="C469" s="52" t="s">
        <v>214</v>
      </c>
      <c r="D469" s="43" cm="1">
        <f t="array" ref="D469:D473" xml:space="preserve"> _xlfn.SEQUENCE(D468, 1)</f>
        <v>1</v>
      </c>
      <c r="F469" s="52" t="s">
        <v>215</v>
      </c>
      <c r="G469" s="24"/>
    </row>
    <row r="470" spans="2:10" x14ac:dyDescent="0.3">
      <c r="D470" s="43">
        <v>2</v>
      </c>
      <c r="F470" s="52" t="s">
        <v>307</v>
      </c>
      <c r="G470" s="55">
        <v>0</v>
      </c>
    </row>
    <row r="471" spans="2:10" x14ac:dyDescent="0.3">
      <c r="D471" s="43">
        <v>3</v>
      </c>
      <c r="F471" s="52" t="s">
        <v>308</v>
      </c>
      <c r="G471" s="55">
        <v>0</v>
      </c>
    </row>
    <row r="472" spans="2:10" x14ac:dyDescent="0.3">
      <c r="D472" s="43">
        <v>4</v>
      </c>
      <c r="F472" s="52" t="s">
        <v>289</v>
      </c>
      <c r="G472" s="55">
        <v>0</v>
      </c>
    </row>
    <row r="473" spans="2:10" x14ac:dyDescent="0.3">
      <c r="D473" s="43">
        <v>5</v>
      </c>
      <c r="F473" s="52" t="s">
        <v>311</v>
      </c>
      <c r="G473" s="24" t="b">
        <v>1</v>
      </c>
    </row>
    <row r="475" spans="2:10" x14ac:dyDescent="0.3">
      <c r="F475" s="52" t="s">
        <v>168</v>
      </c>
      <c r="G475" s="43" cm="1">
        <f t="array" ref="G475:G483" xml:space="preserve"> _xlfn.LAMBDA(_xlpm.array,_xlpm.insert_index,_xlop.insert_inputs,_xlop.insert_after,_xlop.insert_columns,_xlop.as_individual,_xlop.replace_na,
  _xlfn.LET(
    _xlpm._arr, _xlpm.array,
    _xlpm._rr, ROWS(_xlpm._arr),
    _xlpm._cc, COLUMNS(_xlpm._arr),
    _xlpm._inp, IF( _xlfn.ISOMITTED(_xlpm.insert_inputs), "¦", _xlpm.insert_inputs),
    _xlpm._iAft, IF( _xlfn.ISOMITTED(_xlpm.insert_after), 0, INT(_xlpm.insert_after)),
    _xlpm._iCol, IF( _xlfn.ISOMITTED(_xlpm.insert_columns), 0, INT(_xlpm.insert_columns)),
    _xlpm._idv, IF( _xlfn.ISOMITTED(_xlpm.as_individual), 0, INT(_xlpm.as_individual)),
    _xlpm._nInp, IF( _xlfn.ISOMITTED(_xlpm.replace_na), FALSE, INDEX(_xlpm.replace_na, 1, 1)),
    _xlpm._rep, IF( ISLOGICAL(_xlpm._nInp), IF(_xlpm._nInp, 0, NA()), _xlpm._nInp),
    _xlpm._num, IF(_xlpm._iCol, _xlpm._cc, _xlpm._rr),
    _xlpm._ins, INT(_xlpm.insert_index) + IF(_xlpm.insert_index &lt; 0, _xlpm._num + 1, 0),
    _xlpm._inpChk, IF(
      OR(
        AND(_xlpm._rr &lt;= 1, _xlpm._cc &lt;= 1),
        SUM(--ISERROR(_xlpm._ins)) &gt; 0
      ), 2, IF(
      OR(
        SUM(--ISERROR(_xlpm._inp)) &gt; 0,
        _xlfn.REDUCE(0, _xlfn.VSTACK(_xlpm._iAft,_xlpm._iCol,_xlpm._idv), _xlfn.LAMBDA(_xlpm._acc,_xlpm._val, _xlpm._acc + IF(
          SUM(--ISERROR(_xlpm._val)) &gt; 0, 1, IF(
          OR( MIN(_xlpm._val) &lt; 0, MAX(_xlpm._val) &gt; 1), 1,
          0))
        )) &gt; 0
      ), 3, 1
    )),
    _xlpm._rInp, ROWS(_xlpm._inp),
    _xlpm._cInp, COLUMNS(_xlpm._inp),
    _xlpm._rIdx, _xlfn.SEQUENCE(ROWS(_xlpm._arr), 1),
    _xlpm._cIdx, _xlfn.SEQUENCE(1, COLUMNS(_xlpm._arr)),
    _xlpm._calc, IF(_xlpm._iCol,
      _xlfn.DROP(
        _xlfn.REDUCE(0, _xlfn.SEQUENCE(1, _xlpm._cc), _xlfn.LAMBDA(_xlpm._acc,_xlpm._val,
          IF( ISNUMBER(_xlfn.XMATCH(_xlpm._val, _xlpm._ins)),
            _xlfn.LET(
              _xlpm._idx, _xlfn.SEQUENCE(ROWS(_xlpm._inp), 1),
              _xlpm._new, IF(_xlpm._idv, INDEX(_xlpm._inp, _xlpm._idx, MOD( _xlfn.XMATCH(_xlpm._val, _xlpm._ins) - 1, _xlpm._cInp) + 1), _xlpm._inp),
              _xlpm._old, INDEX(_xlpm._arr, _xlpm._rIdx, _xlpm._val),
              _xlpm._1st, IF(_xlpm._iAft, _xlpm._old, _xlpm._new),
              _xlpm._2nd, IF(_xlpm._iAft, _xlpm._new, _xlpm._old),
              _xlfn.HSTACK(_xlpm._acc, _xlpm._1st, _xlpm._2nd)
            ),
            _xlfn.HSTACK(_xlpm._acc, INDEX(_xlpm._arr, _xlpm._rIdx, _xlpm._val)))
        )), , 1
      ),
      _xlfn.DROP(
        _xlfn.REDUCE(0, _xlfn.SEQUENCE(_xlpm._rr, 1), _xlfn.LAMBDA(_xlpm._acc,_xlpm._val,
          IF( ISNUMBER(_xlfn.XMATCH(_xlpm._val, _xlpm._ins)),
            _xlfn.LET(
              _xlpm._idx, _xlfn.SEQUENCE(1, COLUMNS(_xlpm._inp)),
              _xlpm._new, IF(_xlpm._idv, INDEX(_xlpm._inp, MOD( _xlfn.XMATCH(_xlpm._val, _xlpm._ins) - 1, _xlpm._rInp) + 1, _xlpm._idx), _xlpm._inp),
              _xlpm._old, INDEX(_xlpm._arr, _xlpm._val, _xlpm._cIdx),
              _xlpm._1st, IF(_xlpm._iAft, _xlpm._old, _xlpm._new),
              _xlpm._2nd, IF(_xlpm._iAft, _xlpm._new, _xlpm._old),
              _xlfn.VSTACK(_xlpm._acc, _xlpm._1st, _xlpm._2nd)
            ),
            _xlfn.VSTACK(_xlpm._acc, INDEX(_xlpm._arr, _xlpm._val, _xlpm._cIdx)))
        )), 1
      )
    ),
    _xlpm._rtn, IF( ISNA(_xlpm._rep),
      IF(_xlpm._calc = "¦", NA(), _xlpm._calc),
      IF((IFERROR(_xlpm._calc = "¦", FALSE) + ISNA(_xlpm._calc)), _xlpm._rep, _xlpm._calc)
    ),
    CHOOSE(_xlpm._inpChk, _xlpm._rtn, _xlfn.LAMBDA(0), #VALUE!)
  )
)(_xlfn.ANCHORARRAY(D469),_xlfn.ANCHORARRAY( G468), , G470, G471, G472, G473)</f>
        <v>1</v>
      </c>
      <c r="H475" s="16" t="str" cm="1">
        <f t="array" aca="1" ref="H475:H542" ca="1" xml:space="preserve"> _xlfn.TEXTSPLIT( _xlfn.FORMULATEXT(G475), , CHAR(10))</f>
        <v>= LAMBDA(array,insert_index,[insert_inputs],[insert_after],[insert_columns],[as_individual],[replace_na],</v>
      </c>
    </row>
    <row r="476" spans="2:10" x14ac:dyDescent="0.3">
      <c r="G476" s="43">
        <v>0</v>
      </c>
      <c r="H476" s="16" t="str">
        <f ca="1"/>
        <v xml:space="preserve">  LET(</v>
      </c>
    </row>
    <row r="477" spans="2:10" x14ac:dyDescent="0.3">
      <c r="G477" s="43">
        <v>2</v>
      </c>
      <c r="H477" s="16" t="str">
        <f ca="1"/>
        <v xml:space="preserve">    _arr, array,</v>
      </c>
    </row>
    <row r="478" spans="2:10" x14ac:dyDescent="0.3">
      <c r="G478" s="43">
        <v>0</v>
      </c>
      <c r="H478" s="16" t="str">
        <f ca="1"/>
        <v xml:space="preserve">    _rr, ROWS(_arr),</v>
      </c>
    </row>
    <row r="479" spans="2:10" x14ac:dyDescent="0.3">
      <c r="G479" s="43">
        <v>3</v>
      </c>
      <c r="H479" s="16" t="str">
        <f ca="1"/>
        <v xml:space="preserve">    _cc, COLUMNS(_arr),</v>
      </c>
    </row>
    <row r="480" spans="2:10" x14ac:dyDescent="0.3">
      <c r="G480" s="43">
        <v>0</v>
      </c>
      <c r="H480" s="16" t="str">
        <f ca="1"/>
        <v xml:space="preserve">    _inp, IF( ISOMITTED(insert_inputs), "¦", insert_inputs),</v>
      </c>
    </row>
    <row r="481" spans="7:8" x14ac:dyDescent="0.3">
      <c r="G481" s="43">
        <v>4</v>
      </c>
      <c r="H481" s="16" t="str">
        <f ca="1"/>
        <v xml:space="preserve">    _iAft, IF( ISOMITTED(insert_after), 0, INT(insert_after)),</v>
      </c>
    </row>
    <row r="482" spans="7:8" x14ac:dyDescent="0.3">
      <c r="G482" s="43">
        <v>0</v>
      </c>
      <c r="H482" s="16" t="str">
        <f ca="1"/>
        <v xml:space="preserve">    _iCol, IF( ISOMITTED(insert_columns), 0, INT(insert_columns)),</v>
      </c>
    </row>
    <row r="483" spans="7:8" x14ac:dyDescent="0.3">
      <c r="G483" s="43">
        <v>5</v>
      </c>
      <c r="H483" s="16" t="str">
        <f ca="1"/>
        <v xml:space="preserve">    _idv, IF( ISOMITTED(as_individual), 0, INT(as_individual)),</v>
      </c>
    </row>
    <row r="484" spans="7:8" x14ac:dyDescent="0.3">
      <c r="H484" s="16" t="str">
        <f ca="1"/>
        <v xml:space="preserve">    _nInp, IF( ISOMITTED(replace_na), FALSE, INDEX(replace_na, 1, 1)),</v>
      </c>
    </row>
    <row r="485" spans="7:8" x14ac:dyDescent="0.3">
      <c r="H485" s="16" t="str">
        <f ca="1"/>
        <v xml:space="preserve">    _rep, IF( ISLOGICAL(_nInp), IF(_nInp, 0, NA()), _nInp),</v>
      </c>
    </row>
    <row r="486" spans="7:8" x14ac:dyDescent="0.3">
      <c r="H486" s="16" t="str">
        <f ca="1"/>
        <v xml:space="preserve">    _num, IF(_iCol, _cc, _rr),</v>
      </c>
    </row>
    <row r="487" spans="7:8" x14ac:dyDescent="0.3">
      <c r="H487" s="16" t="str">
        <f ca="1"/>
        <v xml:space="preserve">    _ins, INT(insert_index) + IF(insert_index &lt; 0, _num + 1, 0),</v>
      </c>
    </row>
    <row r="488" spans="7:8" x14ac:dyDescent="0.3">
      <c r="H488" s="16" t="str">
        <f ca="1"/>
        <v xml:space="preserve">    _inpChk, IF(</v>
      </c>
    </row>
    <row r="489" spans="7:8" x14ac:dyDescent="0.3">
      <c r="H489" s="16" t="str">
        <f ca="1"/>
        <v xml:space="preserve">      OR(</v>
      </c>
    </row>
    <row r="490" spans="7:8" x14ac:dyDescent="0.3">
      <c r="H490" s="16" t="str">
        <f ca="1"/>
        <v xml:space="preserve">        AND(_rr &lt;= 1, _cc &lt;= 1),</v>
      </c>
    </row>
    <row r="491" spans="7:8" x14ac:dyDescent="0.3">
      <c r="H491" s="16" t="str">
        <f ca="1"/>
        <v xml:space="preserve">        SUM(--ISERROR(_ins)) &gt; 0</v>
      </c>
    </row>
    <row r="492" spans="7:8" x14ac:dyDescent="0.3">
      <c r="H492" s="16" t="str">
        <f ca="1"/>
        <v xml:space="preserve">      ), 2, IF(</v>
      </c>
    </row>
    <row r="493" spans="7:8" x14ac:dyDescent="0.3">
      <c r="H493" s="16" t="str">
        <f ca="1"/>
        <v xml:space="preserve">      OR(</v>
      </c>
    </row>
    <row r="494" spans="7:8" x14ac:dyDescent="0.3">
      <c r="H494" s="16" t="str">
        <f ca="1"/>
        <v xml:space="preserve">        SUM(--ISERROR(_inp)) &gt; 0,</v>
      </c>
    </row>
    <row r="495" spans="7:8" x14ac:dyDescent="0.3">
      <c r="H495" s="16" t="str">
        <f ca="1"/>
        <v xml:space="preserve">        REDUCE(0, VSTACK(_iAft,_iCol,_idv), LAMBDA(_acc,_val, _acc + IF(</v>
      </c>
    </row>
    <row r="496" spans="7:8" x14ac:dyDescent="0.3">
      <c r="H496" s="16" t="str">
        <f ca="1"/>
        <v xml:space="preserve">          SUM(--ISERROR(_val)) &gt; 0, 1, IF(</v>
      </c>
    </row>
    <row r="497" spans="8:8" x14ac:dyDescent="0.3">
      <c r="H497" s="16" t="str">
        <f ca="1"/>
        <v xml:space="preserve">          OR( MIN(_val) &lt; 0, MAX(_val) &gt; 1), 1,</v>
      </c>
    </row>
    <row r="498" spans="8:8" x14ac:dyDescent="0.3">
      <c r="H498" s="16" t="str">
        <f ca="1"/>
        <v xml:space="preserve">          0))</v>
      </c>
    </row>
    <row r="499" spans="8:8" x14ac:dyDescent="0.3">
      <c r="H499" s="16" t="str">
        <f ca="1"/>
        <v xml:space="preserve">        )) &gt; 0</v>
      </c>
    </row>
    <row r="500" spans="8:8" x14ac:dyDescent="0.3">
      <c r="H500" s="16" t="str">
        <f ca="1"/>
        <v xml:space="preserve">      ), 3, 1</v>
      </c>
    </row>
    <row r="501" spans="8:8" x14ac:dyDescent="0.3">
      <c r="H501" s="16" t="str">
        <f ca="1"/>
        <v xml:space="preserve">    )),</v>
      </c>
    </row>
    <row r="502" spans="8:8" x14ac:dyDescent="0.3">
      <c r="H502" s="16" t="str">
        <f ca="1"/>
        <v xml:space="preserve">    _rInp, ROWS(_inp),</v>
      </c>
    </row>
    <row r="503" spans="8:8" x14ac:dyDescent="0.3">
      <c r="H503" s="16" t="str">
        <f ca="1"/>
        <v xml:space="preserve">    _cInp, COLUMNS(_inp),</v>
      </c>
    </row>
    <row r="504" spans="8:8" x14ac:dyDescent="0.3">
      <c r="H504" s="16" t="str">
        <f ca="1"/>
        <v xml:space="preserve">    _rIdx, SEQUENCE(ROWS(_arr), 1),</v>
      </c>
    </row>
    <row r="505" spans="8:8" x14ac:dyDescent="0.3">
      <c r="H505" s="16" t="str">
        <f ca="1"/>
        <v xml:space="preserve">    _cIdx, SEQUENCE(1, COLUMNS(_arr)),</v>
      </c>
    </row>
    <row r="506" spans="8:8" x14ac:dyDescent="0.3">
      <c r="H506" s="16" t="str">
        <f ca="1"/>
        <v xml:space="preserve">    _calc, IF(_iCol,</v>
      </c>
    </row>
    <row r="507" spans="8:8" x14ac:dyDescent="0.3">
      <c r="H507" s="16" t="str">
        <f ca="1"/>
        <v xml:space="preserve">      DROP(</v>
      </c>
    </row>
    <row r="508" spans="8:8" x14ac:dyDescent="0.3">
      <c r="H508" s="16" t="str">
        <f ca="1"/>
        <v xml:space="preserve">        REDUCE(0, SEQUENCE(1, _cc), LAMBDA(_acc,_val,</v>
      </c>
    </row>
    <row r="509" spans="8:8" x14ac:dyDescent="0.3">
      <c r="H509" s="16" t="str">
        <f ca="1"/>
        <v xml:space="preserve">          IF( ISNUMBER(XMATCH(_val, _ins)),</v>
      </c>
    </row>
    <row r="510" spans="8:8" x14ac:dyDescent="0.3">
      <c r="H510" s="16" t="str">
        <f ca="1"/>
        <v xml:space="preserve">            LET(</v>
      </c>
    </row>
    <row r="511" spans="8:8" x14ac:dyDescent="0.3">
      <c r="H511" s="16" t="str">
        <f ca="1"/>
        <v xml:space="preserve">              _idx, SEQUENCE(ROWS(_inp), 1),</v>
      </c>
    </row>
    <row r="512" spans="8:8" x14ac:dyDescent="0.3">
      <c r="H512" s="16" t="str">
        <f ca="1"/>
        <v xml:space="preserve">              _new, IF(_idv, INDEX(_inp, _idx, MOD( XMATCH(_val, _ins) - 1, _cInp) + 1), _inp),</v>
      </c>
    </row>
    <row r="513" spans="8:8" x14ac:dyDescent="0.3">
      <c r="H513" s="16" t="str">
        <f ca="1"/>
        <v xml:space="preserve">              _old, INDEX(_arr, _rIdx, _val),</v>
      </c>
    </row>
    <row r="514" spans="8:8" x14ac:dyDescent="0.3">
      <c r="H514" s="16" t="str">
        <f ca="1"/>
        <v xml:space="preserve">              _1st, IF(_iAft, _old, _new),</v>
      </c>
    </row>
    <row r="515" spans="8:8" x14ac:dyDescent="0.3">
      <c r="H515" s="16" t="str">
        <f ca="1"/>
        <v xml:space="preserve">              _2nd, IF(_iAft, _new, _old),</v>
      </c>
    </row>
    <row r="516" spans="8:8" x14ac:dyDescent="0.3">
      <c r="H516" s="16" t="str">
        <f ca="1"/>
        <v xml:space="preserve">              HSTACK(_acc, _1st, _2nd)</v>
      </c>
    </row>
    <row r="517" spans="8:8" x14ac:dyDescent="0.3">
      <c r="H517" s="16" t="str">
        <f ca="1"/>
        <v xml:space="preserve">            ),</v>
      </c>
    </row>
    <row r="518" spans="8:8" x14ac:dyDescent="0.3">
      <c r="H518" s="16" t="str">
        <f ca="1"/>
        <v xml:space="preserve">            HSTACK(_acc, INDEX(_arr, _rIdx, _val)))</v>
      </c>
    </row>
    <row r="519" spans="8:8" x14ac:dyDescent="0.3">
      <c r="H519" s="16" t="str">
        <f ca="1"/>
        <v xml:space="preserve">        )), , 1</v>
      </c>
    </row>
    <row r="520" spans="8:8" x14ac:dyDescent="0.3">
      <c r="H520" s="16" t="str">
        <f ca="1"/>
        <v xml:space="preserve">      ),</v>
      </c>
    </row>
    <row r="521" spans="8:8" x14ac:dyDescent="0.3">
      <c r="H521" s="16" t="str">
        <f ca="1"/>
        <v xml:space="preserve">      DROP(</v>
      </c>
    </row>
    <row r="522" spans="8:8" x14ac:dyDescent="0.3">
      <c r="H522" s="16" t="str">
        <f ca="1"/>
        <v xml:space="preserve">        REDUCE(0, SEQUENCE(_rr, 1), LAMBDA(_acc,_val,</v>
      </c>
    </row>
    <row r="523" spans="8:8" x14ac:dyDescent="0.3">
      <c r="H523" s="16" t="str">
        <f ca="1"/>
        <v xml:space="preserve">          IF( ISNUMBER(XMATCH(_val, _ins)),</v>
      </c>
    </row>
    <row r="524" spans="8:8" x14ac:dyDescent="0.3">
      <c r="H524" s="16" t="str">
        <f ca="1"/>
        <v xml:space="preserve">            LET(</v>
      </c>
    </row>
    <row r="525" spans="8:8" x14ac:dyDescent="0.3">
      <c r="H525" s="16" t="str">
        <f ca="1"/>
        <v xml:space="preserve">              _idx, SEQUENCE(1, COLUMNS(_inp)),</v>
      </c>
    </row>
    <row r="526" spans="8:8" x14ac:dyDescent="0.3">
      <c r="H526" s="16" t="str">
        <f ca="1"/>
        <v xml:space="preserve">              _new, IF(_idv, INDEX(_inp, MOD( XMATCH(_val, _ins) - 1, _rInp) + 1, _idx), _inp),</v>
      </c>
    </row>
    <row r="527" spans="8:8" x14ac:dyDescent="0.3">
      <c r="H527" s="16" t="str">
        <f ca="1"/>
        <v xml:space="preserve">              _old, INDEX(_arr, _val, _cIdx),</v>
      </c>
    </row>
    <row r="528" spans="8:8" x14ac:dyDescent="0.3">
      <c r="H528" s="16" t="str">
        <f ca="1"/>
        <v xml:space="preserve">              _1st, IF(_iAft, _old, _new),</v>
      </c>
    </row>
    <row r="529" spans="2:8" x14ac:dyDescent="0.3">
      <c r="H529" s="16" t="str">
        <f ca="1"/>
        <v xml:space="preserve">              _2nd, IF(_iAft, _new, _old),</v>
      </c>
    </row>
    <row r="530" spans="2:8" x14ac:dyDescent="0.3">
      <c r="H530" s="16" t="str">
        <f ca="1"/>
        <v xml:space="preserve">              VSTACK(_acc, _1st, _2nd)</v>
      </c>
    </row>
    <row r="531" spans="2:8" x14ac:dyDescent="0.3">
      <c r="H531" s="16" t="str">
        <f ca="1"/>
        <v xml:space="preserve">            ),</v>
      </c>
    </row>
    <row r="532" spans="2:8" x14ac:dyDescent="0.3">
      <c r="H532" s="16" t="str">
        <f ca="1"/>
        <v xml:space="preserve">            VSTACK(_acc, INDEX(_arr, _val, _cIdx)))</v>
      </c>
    </row>
    <row r="533" spans="2:8" x14ac:dyDescent="0.3">
      <c r="H533" s="16" t="str">
        <f ca="1"/>
        <v xml:space="preserve">        )), 1</v>
      </c>
    </row>
    <row r="534" spans="2:8" x14ac:dyDescent="0.3">
      <c r="H534" s="16" t="str">
        <f ca="1"/>
        <v xml:space="preserve">      )</v>
      </c>
    </row>
    <row r="535" spans="2:8" x14ac:dyDescent="0.3">
      <c r="H535" s="16" t="str">
        <f ca="1"/>
        <v xml:space="preserve">    ),</v>
      </c>
    </row>
    <row r="536" spans="2:8" x14ac:dyDescent="0.3">
      <c r="H536" s="16" t="str">
        <f ca="1"/>
        <v xml:space="preserve">    _rtn, IF( ISNA(_rep),</v>
      </c>
    </row>
    <row r="537" spans="2:8" x14ac:dyDescent="0.3">
      <c r="H537" s="16" t="str">
        <f ca="1"/>
        <v xml:space="preserve">      IF(_calc = "¦", NA(), _calc),</v>
      </c>
    </row>
    <row r="538" spans="2:8" x14ac:dyDescent="0.3">
      <c r="H538" s="16" t="str">
        <f ca="1"/>
        <v xml:space="preserve">      IF((IFERROR(_calc = "¦", FALSE) + ISNA(_calc)), _rep, _calc)</v>
      </c>
    </row>
    <row r="539" spans="2:8" x14ac:dyDescent="0.3">
      <c r="H539" s="16" t="str">
        <f ca="1"/>
        <v xml:space="preserve">    ),</v>
      </c>
    </row>
    <row r="540" spans="2:8" x14ac:dyDescent="0.3">
      <c r="H540" s="16" t="str">
        <f ca="1"/>
        <v xml:space="preserve">    CHOOSE(_inpChk, _rtn, LAMBDA(0), #VALUE!)</v>
      </c>
    </row>
    <row r="541" spans="2:8" x14ac:dyDescent="0.3">
      <c r="H541" s="16" t="str">
        <f ca="1"/>
        <v xml:space="preserve">  )</v>
      </c>
    </row>
    <row r="542" spans="2:8" x14ac:dyDescent="0.3">
      <c r="H542" s="16" t="str">
        <f ca="1"/>
        <v>)(D469#, G468#, , G470, G471, G472, G473)</v>
      </c>
    </row>
    <row r="544" spans="2:8" s="4" customFormat="1" ht="16.2" thickBot="1" x14ac:dyDescent="0.35">
      <c r="B544" s="5">
        <f xml:space="preserve"> MAX(B$1:B543) + 1</f>
        <v>2</v>
      </c>
      <c r="C544" s="4" t="s">
        <v>9</v>
      </c>
    </row>
    <row r="546" spans="2:7" x14ac:dyDescent="0.3">
      <c r="B546" s="10" t="s">
        <v>10</v>
      </c>
    </row>
    <row r="547" spans="2:7" x14ac:dyDescent="0.3">
      <c r="C547" t="s">
        <v>366</v>
      </c>
    </row>
    <row r="548" spans="2:7" x14ac:dyDescent="0.3">
      <c r="C548" t="s">
        <v>367</v>
      </c>
    </row>
    <row r="549" spans="2:7" x14ac:dyDescent="0.3">
      <c r="C549" t="s">
        <v>368</v>
      </c>
    </row>
    <row r="551" spans="2:7" x14ac:dyDescent="0.3">
      <c r="B551" s="10" t="s">
        <v>11</v>
      </c>
    </row>
    <row r="552" spans="2:7" x14ac:dyDescent="0.3">
      <c r="C552" s="17" t="s">
        <v>70</v>
      </c>
      <c r="E552" s="19" t="s">
        <v>16</v>
      </c>
      <c r="F552" t="s">
        <v>369</v>
      </c>
    </row>
    <row r="553" spans="2:7" x14ac:dyDescent="0.3">
      <c r="C553" s="17" t="s">
        <v>291</v>
      </c>
      <c r="E553" s="19" t="s">
        <v>16</v>
      </c>
      <c r="F553" t="s">
        <v>370</v>
      </c>
      <c r="G553" s="69"/>
    </row>
    <row r="554" spans="2:7" x14ac:dyDescent="0.3">
      <c r="F554" t="s">
        <v>371</v>
      </c>
    </row>
    <row r="555" spans="2:7" x14ac:dyDescent="0.3">
      <c r="F555" s="30" t="s">
        <v>378</v>
      </c>
    </row>
    <row r="556" spans="2:7" x14ac:dyDescent="0.3">
      <c r="F556" s="30" t="s">
        <v>377</v>
      </c>
    </row>
    <row r="557" spans="2:7" x14ac:dyDescent="0.3">
      <c r="C557" s="17" t="s">
        <v>293</v>
      </c>
      <c r="E557" s="20" t="s">
        <v>17</v>
      </c>
      <c r="F557" t="s">
        <v>379</v>
      </c>
    </row>
    <row r="558" spans="2:7" x14ac:dyDescent="0.3">
      <c r="F558" t="s">
        <v>474</v>
      </c>
    </row>
    <row r="559" spans="2:7" x14ac:dyDescent="0.3">
      <c r="C559" s="17" t="s">
        <v>305</v>
      </c>
      <c r="E559" s="20" t="s">
        <v>17</v>
      </c>
      <c r="F559" t="s">
        <v>372</v>
      </c>
    </row>
    <row r="560" spans="2:7" x14ac:dyDescent="0.3">
      <c r="F560" t="s">
        <v>382</v>
      </c>
    </row>
    <row r="561" spans="3:7" x14ac:dyDescent="0.3">
      <c r="F561" s="73" t="s">
        <v>375</v>
      </c>
      <c r="G561" s="69" t="s">
        <v>381</v>
      </c>
    </row>
    <row r="562" spans="3:7" x14ac:dyDescent="0.3">
      <c r="F562" s="73" t="s">
        <v>374</v>
      </c>
      <c r="G562" s="69" t="s">
        <v>380</v>
      </c>
    </row>
    <row r="563" spans="3:7" x14ac:dyDescent="0.3">
      <c r="C563" s="17" t="s">
        <v>292</v>
      </c>
      <c r="E563" s="20" t="s">
        <v>17</v>
      </c>
      <c r="F563" t="s">
        <v>386</v>
      </c>
    </row>
    <row r="564" spans="3:7" x14ac:dyDescent="0.3">
      <c r="F564" t="s">
        <v>382</v>
      </c>
    </row>
    <row r="565" spans="3:7" x14ac:dyDescent="0.3">
      <c r="F565" s="73" t="s">
        <v>375</v>
      </c>
      <c r="G565" s="69" t="s">
        <v>376</v>
      </c>
    </row>
    <row r="566" spans="3:7" x14ac:dyDescent="0.3">
      <c r="F566" s="73" t="s">
        <v>374</v>
      </c>
      <c r="G566" s="69" t="s">
        <v>373</v>
      </c>
    </row>
    <row r="567" spans="3:7" x14ac:dyDescent="0.3">
      <c r="C567" s="17" t="s">
        <v>294</v>
      </c>
      <c r="E567" s="20" t="s">
        <v>17</v>
      </c>
      <c r="F567" t="s">
        <v>387</v>
      </c>
    </row>
    <row r="568" spans="3:7" x14ac:dyDescent="0.3">
      <c r="F568" t="s">
        <v>382</v>
      </c>
    </row>
    <row r="569" spans="3:7" x14ac:dyDescent="0.3">
      <c r="F569" s="73" t="s">
        <v>375</v>
      </c>
      <c r="G569" s="69" t="s">
        <v>383</v>
      </c>
    </row>
    <row r="570" spans="3:7" x14ac:dyDescent="0.3">
      <c r="F570" s="73" t="s">
        <v>374</v>
      </c>
      <c r="G570" s="69" t="s">
        <v>383</v>
      </c>
    </row>
    <row r="571" spans="3:7" x14ac:dyDescent="0.3">
      <c r="C571" s="17" t="s">
        <v>309</v>
      </c>
      <c r="E571" s="20" t="s">
        <v>17</v>
      </c>
      <c r="F571" t="s">
        <v>388</v>
      </c>
    </row>
    <row r="572" spans="3:7" x14ac:dyDescent="0.3">
      <c r="F572" t="s">
        <v>384</v>
      </c>
    </row>
    <row r="573" spans="3:7" x14ac:dyDescent="0.3">
      <c r="F573" s="74" t="b">
        <v>0</v>
      </c>
      <c r="G573" s="69" t="s">
        <v>389</v>
      </c>
    </row>
    <row r="574" spans="3:7" x14ac:dyDescent="0.3">
      <c r="F574" s="74" t="b">
        <v>1</v>
      </c>
      <c r="G574" s="69" t="s">
        <v>390</v>
      </c>
    </row>
    <row r="575" spans="3:7" x14ac:dyDescent="0.3">
      <c r="F575" s="74" t="s">
        <v>385</v>
      </c>
      <c r="G575" s="69" t="s">
        <v>391</v>
      </c>
    </row>
    <row r="577" spans="2:5" x14ac:dyDescent="0.3">
      <c r="B577" s="10" t="s">
        <v>12</v>
      </c>
    </row>
    <row r="578" spans="2:5" x14ac:dyDescent="0.3">
      <c r="C578" s="18" t="e">
        <v>#VALUE!</v>
      </c>
      <c r="E578" t="s">
        <v>392</v>
      </c>
    </row>
    <row r="579" spans="2:5" x14ac:dyDescent="0.3">
      <c r="C579" s="18" t="e" vm="1">
        <v>#VALUE!</v>
      </c>
      <c r="E579" t="s">
        <v>394</v>
      </c>
    </row>
    <row r="580" spans="2:5" x14ac:dyDescent="0.3">
      <c r="C580" s="18"/>
      <c r="E580" t="s">
        <v>395</v>
      </c>
    </row>
    <row r="581" spans="2:5" x14ac:dyDescent="0.3">
      <c r="C581" s="18" t="e">
        <v>#VALUE!</v>
      </c>
      <c r="E581" t="s">
        <v>475</v>
      </c>
    </row>
    <row r="582" spans="2:5" x14ac:dyDescent="0.3">
      <c r="C582" s="18"/>
      <c r="E582" t="s">
        <v>393</v>
      </c>
    </row>
    <row r="583" spans="2:5" x14ac:dyDescent="0.3">
      <c r="E583" s="30" t="s">
        <v>77</v>
      </c>
    </row>
    <row r="585" spans="2:5" x14ac:dyDescent="0.3">
      <c r="B585" s="10" t="s">
        <v>14</v>
      </c>
    </row>
    <row r="586" spans="2:5" x14ac:dyDescent="0.3">
      <c r="C586" s="62" t="s">
        <v>80</v>
      </c>
    </row>
    <row r="587" spans="2:5" x14ac:dyDescent="0.3">
      <c r="C587" s="63" t="s">
        <v>81</v>
      </c>
    </row>
    <row r="588" spans="2:5" x14ac:dyDescent="0.3">
      <c r="C588" s="32" t="s">
        <v>82</v>
      </c>
    </row>
    <row r="589" spans="2:5" x14ac:dyDescent="0.3">
      <c r="C589" s="32" t="s">
        <v>348</v>
      </c>
    </row>
    <row r="590" spans="2:5" x14ac:dyDescent="0.3">
      <c r="C590" s="32" t="s">
        <v>349</v>
      </c>
    </row>
    <row r="591" spans="2:5" x14ac:dyDescent="0.3">
      <c r="C591" s="32" t="s">
        <v>350</v>
      </c>
    </row>
    <row r="592" spans="2:5" x14ac:dyDescent="0.3">
      <c r="C592" s="32" t="s">
        <v>351</v>
      </c>
    </row>
    <row r="593" spans="3:3" x14ac:dyDescent="0.3">
      <c r="C593" s="32" t="s">
        <v>352</v>
      </c>
    </row>
    <row r="594" spans="3:3" x14ac:dyDescent="0.3">
      <c r="C594" s="32" t="s">
        <v>353</v>
      </c>
    </row>
    <row r="595" spans="3:3" x14ac:dyDescent="0.3">
      <c r="C595" s="63" t="s">
        <v>84</v>
      </c>
    </row>
    <row r="596" spans="3:3" x14ac:dyDescent="0.3">
      <c r="C596" s="32" t="s">
        <v>85</v>
      </c>
    </row>
    <row r="597" spans="3:3" x14ac:dyDescent="0.3">
      <c r="C597" s="64" t="s">
        <v>397</v>
      </c>
    </row>
    <row r="598" spans="3:3" x14ac:dyDescent="0.3">
      <c r="C598" s="33" t="s">
        <v>231</v>
      </c>
    </row>
    <row r="599" spans="3:3" x14ac:dyDescent="0.3">
      <c r="C599" s="33" t="s">
        <v>232</v>
      </c>
    </row>
    <row r="600" spans="3:3" x14ac:dyDescent="0.3">
      <c r="C600" s="33" t="s">
        <v>233</v>
      </c>
    </row>
    <row r="601" spans="3:3" x14ac:dyDescent="0.3">
      <c r="C601" s="64" t="s">
        <v>90</v>
      </c>
    </row>
    <row r="602" spans="3:3" x14ac:dyDescent="0.3">
      <c r="C602" s="33" t="s">
        <v>471</v>
      </c>
    </row>
    <row r="603" spans="3:3" x14ac:dyDescent="0.3">
      <c r="C603" s="33" t="s">
        <v>314</v>
      </c>
    </row>
    <row r="604" spans="3:3" x14ac:dyDescent="0.3">
      <c r="C604" s="33" t="s">
        <v>315</v>
      </c>
    </row>
    <row r="605" spans="3:3" x14ac:dyDescent="0.3">
      <c r="C605" s="33" t="s">
        <v>316</v>
      </c>
    </row>
    <row r="606" spans="3:3" x14ac:dyDescent="0.3">
      <c r="C606" s="33" t="s">
        <v>317</v>
      </c>
    </row>
    <row r="607" spans="3:3" x14ac:dyDescent="0.3">
      <c r="C607" s="33" t="s">
        <v>318</v>
      </c>
    </row>
    <row r="608" spans="3:3" x14ac:dyDescent="0.3">
      <c r="C608" s="64" t="s">
        <v>488</v>
      </c>
    </row>
    <row r="609" spans="3:3" x14ac:dyDescent="0.3">
      <c r="C609" s="33" t="s">
        <v>489</v>
      </c>
    </row>
    <row r="610" spans="3:3" x14ac:dyDescent="0.3">
      <c r="C610" s="33" t="s">
        <v>490</v>
      </c>
    </row>
    <row r="611" spans="3:3" x14ac:dyDescent="0.3">
      <c r="C611" s="64" t="s">
        <v>92</v>
      </c>
    </row>
    <row r="612" spans="3:3" x14ac:dyDescent="0.3">
      <c r="C612" s="33" t="s">
        <v>93</v>
      </c>
    </row>
    <row r="613" spans="3:3" x14ac:dyDescent="0.3">
      <c r="C613" s="36" t="s">
        <v>97</v>
      </c>
    </row>
    <row r="614" spans="3:3" x14ac:dyDescent="0.3">
      <c r="C614" s="37" t="s">
        <v>236</v>
      </c>
    </row>
    <row r="615" spans="3:3" x14ac:dyDescent="0.3">
      <c r="C615" s="37" t="s">
        <v>319</v>
      </c>
    </row>
    <row r="616" spans="3:3" x14ac:dyDescent="0.3">
      <c r="C616" s="36" t="s">
        <v>96</v>
      </c>
    </row>
    <row r="617" spans="3:3" x14ac:dyDescent="0.3">
      <c r="C617" s="36" t="s">
        <v>97</v>
      </c>
    </row>
    <row r="618" spans="3:3" x14ac:dyDescent="0.3">
      <c r="C618" s="37" t="s">
        <v>472</v>
      </c>
    </row>
    <row r="619" spans="3:3" x14ac:dyDescent="0.3">
      <c r="C619" s="37" t="s">
        <v>320</v>
      </c>
    </row>
    <row r="620" spans="3:3" x14ac:dyDescent="0.3">
      <c r="C620" s="38" t="s">
        <v>321</v>
      </c>
    </row>
    <row r="621" spans="3:3" x14ac:dyDescent="0.3">
      <c r="C621" s="38" t="s">
        <v>322</v>
      </c>
    </row>
    <row r="622" spans="3:3" x14ac:dyDescent="0.3">
      <c r="C622" s="38" t="s">
        <v>323</v>
      </c>
    </row>
    <row r="623" spans="3:3" x14ac:dyDescent="0.3">
      <c r="C623" s="37" t="s">
        <v>324</v>
      </c>
    </row>
    <row r="624" spans="3:3" x14ac:dyDescent="0.3">
      <c r="C624" s="36" t="s">
        <v>325</v>
      </c>
    </row>
    <row r="625" spans="3:3" x14ac:dyDescent="0.3">
      <c r="C625" s="33" t="s">
        <v>118</v>
      </c>
    </row>
    <row r="626" spans="3:3" x14ac:dyDescent="0.3">
      <c r="C626" s="64" t="s">
        <v>359</v>
      </c>
    </row>
    <row r="627" spans="3:3" x14ac:dyDescent="0.3">
      <c r="C627" s="64" t="s">
        <v>360</v>
      </c>
    </row>
    <row r="628" spans="3:3" x14ac:dyDescent="0.3">
      <c r="C628" s="64" t="s">
        <v>361</v>
      </c>
    </row>
    <row r="629" spans="3:3" x14ac:dyDescent="0.3">
      <c r="C629" s="33" t="s">
        <v>326</v>
      </c>
    </row>
    <row r="630" spans="3:3" x14ac:dyDescent="0.3">
      <c r="C630" s="33" t="s">
        <v>327</v>
      </c>
    </row>
    <row r="631" spans="3:3" x14ac:dyDescent="0.3">
      <c r="C631" s="33" t="s">
        <v>328</v>
      </c>
    </row>
    <row r="632" spans="3:3" x14ac:dyDescent="0.3">
      <c r="C632" s="33" t="s">
        <v>329</v>
      </c>
    </row>
    <row r="633" spans="3:3" x14ac:dyDescent="0.3">
      <c r="C633" s="64" t="s">
        <v>356</v>
      </c>
    </row>
    <row r="634" spans="3:3" x14ac:dyDescent="0.3">
      <c r="C634" s="64" t="s">
        <v>362</v>
      </c>
    </row>
    <row r="635" spans="3:3" x14ac:dyDescent="0.3">
      <c r="C635" s="64" t="s">
        <v>363</v>
      </c>
    </row>
    <row r="636" spans="3:3" x14ac:dyDescent="0.3">
      <c r="C636" s="33" t="s">
        <v>330</v>
      </c>
    </row>
    <row r="637" spans="3:3" x14ac:dyDescent="0.3">
      <c r="C637" s="72" t="s">
        <v>357</v>
      </c>
    </row>
    <row r="638" spans="3:3" x14ac:dyDescent="0.3">
      <c r="C638" s="36" t="s">
        <v>331</v>
      </c>
    </row>
    <row r="639" spans="3:3" x14ac:dyDescent="0.3">
      <c r="C639" s="37" t="s">
        <v>252</v>
      </c>
    </row>
    <row r="640" spans="3:3" x14ac:dyDescent="0.3">
      <c r="C640" s="38" t="s">
        <v>332</v>
      </c>
    </row>
    <row r="641" spans="3:3" x14ac:dyDescent="0.3">
      <c r="C641" s="70" t="s">
        <v>85</v>
      </c>
    </row>
    <row r="642" spans="3:3" x14ac:dyDescent="0.3">
      <c r="C642" s="71" t="s">
        <v>333</v>
      </c>
    </row>
    <row r="643" spans="3:3" x14ac:dyDescent="0.3">
      <c r="C643" s="71" t="s">
        <v>334</v>
      </c>
    </row>
    <row r="644" spans="3:3" x14ac:dyDescent="0.3">
      <c r="C644" s="71" t="s">
        <v>335</v>
      </c>
    </row>
    <row r="645" spans="3:3" x14ac:dyDescent="0.3">
      <c r="C645" s="71" t="s">
        <v>336</v>
      </c>
    </row>
    <row r="646" spans="3:3" x14ac:dyDescent="0.3">
      <c r="C646" s="71" t="s">
        <v>337</v>
      </c>
    </row>
    <row r="647" spans="3:3" x14ac:dyDescent="0.3">
      <c r="C647" s="71" t="s">
        <v>338</v>
      </c>
    </row>
    <row r="648" spans="3:3" x14ac:dyDescent="0.3">
      <c r="C648" s="70" t="s">
        <v>101</v>
      </c>
    </row>
    <row r="649" spans="3:3" x14ac:dyDescent="0.3">
      <c r="C649" s="70" t="s">
        <v>339</v>
      </c>
    </row>
    <row r="650" spans="3:3" x14ac:dyDescent="0.3">
      <c r="C650" s="37" t="s">
        <v>340</v>
      </c>
    </row>
    <row r="651" spans="3:3" x14ac:dyDescent="0.3">
      <c r="C651" s="36" t="s">
        <v>101</v>
      </c>
    </row>
    <row r="652" spans="3:3" x14ac:dyDescent="0.3">
      <c r="C652" s="72" t="s">
        <v>358</v>
      </c>
    </row>
    <row r="653" spans="3:3" x14ac:dyDescent="0.3">
      <c r="C653" s="36" t="s">
        <v>331</v>
      </c>
    </row>
    <row r="654" spans="3:3" x14ac:dyDescent="0.3">
      <c r="C654" s="37" t="s">
        <v>242</v>
      </c>
    </row>
    <row r="655" spans="3:3" x14ac:dyDescent="0.3">
      <c r="C655" s="38" t="s">
        <v>332</v>
      </c>
    </row>
    <row r="656" spans="3:3" x14ac:dyDescent="0.3">
      <c r="C656" s="70" t="s">
        <v>85</v>
      </c>
    </row>
    <row r="657" spans="3:3" x14ac:dyDescent="0.3">
      <c r="C657" s="71" t="s">
        <v>341</v>
      </c>
    </row>
    <row r="658" spans="3:3" x14ac:dyDescent="0.3">
      <c r="C658" s="71" t="s">
        <v>342</v>
      </c>
    </row>
    <row r="659" spans="3:3" x14ac:dyDescent="0.3">
      <c r="C659" s="71" t="s">
        <v>343</v>
      </c>
    </row>
    <row r="660" spans="3:3" x14ac:dyDescent="0.3">
      <c r="C660" s="71" t="s">
        <v>336</v>
      </c>
    </row>
    <row r="661" spans="3:3" x14ac:dyDescent="0.3">
      <c r="C661" s="71" t="s">
        <v>337</v>
      </c>
    </row>
    <row r="662" spans="3:3" x14ac:dyDescent="0.3">
      <c r="C662" s="71" t="s">
        <v>344</v>
      </c>
    </row>
    <row r="663" spans="3:3" x14ac:dyDescent="0.3">
      <c r="C663" s="70" t="s">
        <v>101</v>
      </c>
    </row>
    <row r="664" spans="3:3" x14ac:dyDescent="0.3">
      <c r="C664" s="70" t="s">
        <v>345</v>
      </c>
    </row>
    <row r="665" spans="3:3" x14ac:dyDescent="0.3">
      <c r="C665" s="37" t="s">
        <v>346</v>
      </c>
    </row>
    <row r="666" spans="3:3" x14ac:dyDescent="0.3">
      <c r="C666" s="36" t="s">
        <v>117</v>
      </c>
    </row>
    <row r="667" spans="3:3" x14ac:dyDescent="0.3">
      <c r="C667" s="33" t="s">
        <v>101</v>
      </c>
    </row>
    <row r="668" spans="3:3" x14ac:dyDescent="0.3">
      <c r="C668" s="64" t="s">
        <v>354</v>
      </c>
    </row>
    <row r="669" spans="3:3" x14ac:dyDescent="0.3">
      <c r="C669" s="64" t="s">
        <v>355</v>
      </c>
    </row>
    <row r="670" spans="3:3" x14ac:dyDescent="0.3">
      <c r="C670" s="33" t="s">
        <v>347</v>
      </c>
    </row>
    <row r="671" spans="3:3" x14ac:dyDescent="0.3">
      <c r="C671" s="36" t="s">
        <v>476</v>
      </c>
    </row>
    <row r="672" spans="3:3" x14ac:dyDescent="0.3">
      <c r="C672" s="36" t="s">
        <v>473</v>
      </c>
    </row>
    <row r="673" spans="2:3" x14ac:dyDescent="0.3">
      <c r="C673" s="33" t="s">
        <v>101</v>
      </c>
    </row>
    <row r="674" spans="2:3" x14ac:dyDescent="0.3">
      <c r="C674" s="64" t="s">
        <v>126</v>
      </c>
    </row>
    <row r="675" spans="2:3" x14ac:dyDescent="0.3">
      <c r="C675" s="64" t="s">
        <v>127</v>
      </c>
    </row>
    <row r="676" spans="2:3" x14ac:dyDescent="0.3">
      <c r="C676" s="33" t="s">
        <v>128</v>
      </c>
    </row>
    <row r="677" spans="2:3" x14ac:dyDescent="0.3">
      <c r="C677" s="32" t="s">
        <v>117</v>
      </c>
    </row>
    <row r="678" spans="2:3" x14ac:dyDescent="0.3">
      <c r="C678" s="17" t="s">
        <v>117</v>
      </c>
    </row>
    <row r="680" spans="2:3" x14ac:dyDescent="0.3">
      <c r="C680" s="10" t="s">
        <v>15</v>
      </c>
    </row>
    <row r="681" spans="2:3" x14ac:dyDescent="0.3">
      <c r="C681" s="62" t="s">
        <v>491</v>
      </c>
    </row>
    <row r="683" spans="2:3" ht="14.4" thickBot="1" x14ac:dyDescent="0.35"/>
    <row r="684" spans="2:3" s="3" customFormat="1" x14ac:dyDescent="0.3">
      <c r="B684" s="3" t="s">
        <v>0</v>
      </c>
    </row>
  </sheetData>
  <dataValidations disablePrompts="1" count="1">
    <dataValidation type="list" allowBlank="1" showInputMessage="1" showErrorMessage="1" sqref="I46 F64:F65 G98 G103 D137:D138 J171:J173 J247:J249 J371:J373 G470:G472" xr:uid="{3A1D5262-D1E2-4BE3-95F5-7B5497642E49}">
      <formula1>_YesNo</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3AE66-29E9-4086-98FB-EACAD7D8B435}">
  <sheetPr codeName="Sheet2"/>
  <dimension ref="B1:T382"/>
  <sheetViews>
    <sheetView showGridLines="0" workbookViewId="0">
      <pane ySplit="1" topLeftCell="A2" activePane="bottomLeft" state="frozen"/>
      <selection pane="bottomLeft"/>
    </sheetView>
  </sheetViews>
  <sheetFormatPr defaultRowHeight="13.8" x14ac:dyDescent="0.3"/>
  <cols>
    <col min="1" max="2" width="4.33203125" customWidth="1"/>
  </cols>
  <sheetData>
    <row r="1" spans="2:19" s="1" customFormat="1" ht="30" customHeight="1" x14ac:dyDescent="0.3">
      <c r="C1" s="2" t="s">
        <v>18</v>
      </c>
    </row>
    <row r="3" spans="2:19" x14ac:dyDescent="0.3">
      <c r="B3" s="11" t="s">
        <v>4</v>
      </c>
    </row>
    <row r="4" spans="2:19" x14ac:dyDescent="0.3">
      <c r="C4" t="s">
        <v>21</v>
      </c>
    </row>
    <row r="5" spans="2:19" x14ac:dyDescent="0.3">
      <c r="C5" t="s">
        <v>22</v>
      </c>
    </row>
    <row r="6" spans="2:19" x14ac:dyDescent="0.3">
      <c r="C6" t="s">
        <v>23</v>
      </c>
    </row>
    <row r="7" spans="2:19" x14ac:dyDescent="0.3">
      <c r="C7" s="30" t="s">
        <v>253</v>
      </c>
    </row>
    <row r="8" spans="2:19" x14ac:dyDescent="0.3">
      <c r="C8" s="30" t="s">
        <v>254</v>
      </c>
    </row>
    <row r="11" spans="2:19" x14ac:dyDescent="0.3">
      <c r="B11" s="11" t="s">
        <v>5</v>
      </c>
    </row>
    <row r="12" spans="2:19" x14ac:dyDescent="0.3">
      <c r="C12" s="39" t="s">
        <v>178</v>
      </c>
      <c r="I12" s="39" t="s">
        <v>199</v>
      </c>
    </row>
    <row r="13" spans="2:19" ht="14.4" thickBot="1" x14ac:dyDescent="0.35">
      <c r="C13" s="26" t="s">
        <v>205</v>
      </c>
      <c r="D13" s="26" t="s">
        <v>206</v>
      </c>
      <c r="E13" s="26" t="s">
        <v>207</v>
      </c>
      <c r="F13" s="26" t="s">
        <v>208</v>
      </c>
      <c r="G13" s="26" t="s">
        <v>209</v>
      </c>
      <c r="I13" s="54" t="s">
        <v>200</v>
      </c>
      <c r="J13" s="58">
        <v>100</v>
      </c>
      <c r="K13" s="22">
        <v>200</v>
      </c>
      <c r="L13" s="22">
        <v>300</v>
      </c>
      <c r="M13" s="22">
        <v>400</v>
      </c>
      <c r="N13" s="22">
        <v>500</v>
      </c>
      <c r="O13" s="22">
        <v>600</v>
      </c>
      <c r="P13" s="22">
        <v>700</v>
      </c>
      <c r="Q13" s="22">
        <v>800</v>
      </c>
      <c r="R13" s="22">
        <v>900</v>
      </c>
      <c r="S13" s="22">
        <v>1000</v>
      </c>
    </row>
    <row r="14" spans="2:19" x14ac:dyDescent="0.3">
      <c r="C14" s="25">
        <v>100</v>
      </c>
      <c r="D14" s="25" t="s">
        <v>179</v>
      </c>
      <c r="E14" s="25" t="s">
        <v>31</v>
      </c>
      <c r="F14" s="25" t="s">
        <v>189</v>
      </c>
      <c r="G14" s="25" t="s">
        <v>30</v>
      </c>
      <c r="I14" s="54" t="s">
        <v>201</v>
      </c>
      <c r="J14" s="58" t="s">
        <v>179</v>
      </c>
      <c r="K14" s="22" t="s">
        <v>180</v>
      </c>
      <c r="L14" s="22" t="s">
        <v>181</v>
      </c>
      <c r="M14" s="22" t="s">
        <v>182</v>
      </c>
      <c r="N14" s="22" t="s">
        <v>183</v>
      </c>
      <c r="O14" s="22" t="s">
        <v>184</v>
      </c>
      <c r="P14" s="22" t="s">
        <v>185</v>
      </c>
      <c r="Q14" s="22" t="s">
        <v>186</v>
      </c>
      <c r="R14" s="22" t="s">
        <v>187</v>
      </c>
      <c r="S14" s="22" t="s">
        <v>188</v>
      </c>
    </row>
    <row r="15" spans="2:19" x14ac:dyDescent="0.3">
      <c r="C15" s="22">
        <v>200</v>
      </c>
      <c r="D15" s="22" t="s">
        <v>180</v>
      </c>
      <c r="E15" s="22" t="s">
        <v>33</v>
      </c>
      <c r="F15" s="22" t="s">
        <v>190</v>
      </c>
      <c r="G15" s="22" t="s">
        <v>32</v>
      </c>
      <c r="I15" s="54" t="s">
        <v>202</v>
      </c>
      <c r="J15" s="58" t="s">
        <v>31</v>
      </c>
      <c r="K15" s="22" t="s">
        <v>33</v>
      </c>
      <c r="L15" s="22" t="s">
        <v>35</v>
      </c>
      <c r="M15" s="22" t="s">
        <v>37</v>
      </c>
      <c r="N15" s="22" t="s">
        <v>39</v>
      </c>
      <c r="O15" s="22" t="s">
        <v>41</v>
      </c>
      <c r="P15" s="22" t="s">
        <v>43</v>
      </c>
      <c r="Q15" s="22" t="s">
        <v>45</v>
      </c>
      <c r="R15" s="22" t="s">
        <v>47</v>
      </c>
      <c r="S15" s="22" t="s">
        <v>49</v>
      </c>
    </row>
    <row r="16" spans="2:19" x14ac:dyDescent="0.3">
      <c r="C16" s="22">
        <v>300</v>
      </c>
      <c r="D16" s="22" t="s">
        <v>181</v>
      </c>
      <c r="E16" s="22" t="s">
        <v>35</v>
      </c>
      <c r="F16" s="22" t="s">
        <v>191</v>
      </c>
      <c r="G16" s="22" t="s">
        <v>34</v>
      </c>
      <c r="I16" s="54" t="s">
        <v>203</v>
      </c>
      <c r="J16" s="58" t="s">
        <v>189</v>
      </c>
      <c r="K16" s="22" t="s">
        <v>190</v>
      </c>
      <c r="L16" s="22" t="s">
        <v>191</v>
      </c>
      <c r="M16" s="22" t="s">
        <v>198</v>
      </c>
      <c r="N16" s="22" t="s">
        <v>197</v>
      </c>
      <c r="O16" s="22" t="s">
        <v>196</v>
      </c>
      <c r="P16" s="22" t="s">
        <v>195</v>
      </c>
      <c r="Q16" s="22" t="s">
        <v>194</v>
      </c>
      <c r="R16" s="22" t="s">
        <v>193</v>
      </c>
      <c r="S16" s="22" t="s">
        <v>192</v>
      </c>
    </row>
    <row r="17" spans="2:20" x14ac:dyDescent="0.3">
      <c r="C17" s="22">
        <v>400</v>
      </c>
      <c r="D17" s="22" t="s">
        <v>182</v>
      </c>
      <c r="E17" s="22" t="s">
        <v>37</v>
      </c>
      <c r="F17" s="22" t="s">
        <v>198</v>
      </c>
      <c r="G17" s="22" t="s">
        <v>36</v>
      </c>
      <c r="I17" s="54" t="s">
        <v>204</v>
      </c>
      <c r="J17" s="58" t="s">
        <v>30</v>
      </c>
      <c r="K17" s="22" t="s">
        <v>32</v>
      </c>
      <c r="L17" s="22" t="s">
        <v>34</v>
      </c>
      <c r="M17" s="22" t="s">
        <v>36</v>
      </c>
      <c r="N17" s="22" t="s">
        <v>38</v>
      </c>
      <c r="O17" s="22" t="s">
        <v>40</v>
      </c>
      <c r="P17" s="22" t="s">
        <v>42</v>
      </c>
      <c r="Q17" s="22" t="s">
        <v>44</v>
      </c>
      <c r="R17" s="22" t="s">
        <v>46</v>
      </c>
      <c r="S17" s="22" t="s">
        <v>48</v>
      </c>
    </row>
    <row r="18" spans="2:20" x14ac:dyDescent="0.3">
      <c r="C18" s="22">
        <v>500</v>
      </c>
      <c r="D18" s="22" t="s">
        <v>183</v>
      </c>
      <c r="E18" s="22" t="s">
        <v>39</v>
      </c>
      <c r="F18" s="22" t="s">
        <v>197</v>
      </c>
      <c r="G18" s="22" t="s">
        <v>38</v>
      </c>
    </row>
    <row r="19" spans="2:20" x14ac:dyDescent="0.3">
      <c r="C19" s="22">
        <v>600</v>
      </c>
      <c r="D19" s="22" t="s">
        <v>184</v>
      </c>
      <c r="E19" s="22" t="s">
        <v>41</v>
      </c>
      <c r="F19" s="22" t="s">
        <v>196</v>
      </c>
      <c r="G19" s="22" t="s">
        <v>40</v>
      </c>
    </row>
    <row r="20" spans="2:20" x14ac:dyDescent="0.3">
      <c r="C20" s="22">
        <v>700</v>
      </c>
      <c r="D20" s="22" t="s">
        <v>185</v>
      </c>
      <c r="E20" s="22" t="s">
        <v>43</v>
      </c>
      <c r="F20" s="22" t="s">
        <v>195</v>
      </c>
      <c r="G20" s="22" t="s">
        <v>42</v>
      </c>
    </row>
    <row r="21" spans="2:20" x14ac:dyDescent="0.3">
      <c r="C21" s="22">
        <v>800</v>
      </c>
      <c r="D21" s="22" t="s">
        <v>186</v>
      </c>
      <c r="E21" s="22" t="s">
        <v>45</v>
      </c>
      <c r="F21" s="22" t="s">
        <v>194</v>
      </c>
      <c r="G21" s="22" t="s">
        <v>44</v>
      </c>
    </row>
    <row r="22" spans="2:20" x14ac:dyDescent="0.3">
      <c r="C22" s="22">
        <v>900</v>
      </c>
      <c r="D22" s="22" t="s">
        <v>187</v>
      </c>
      <c r="E22" s="22" t="s">
        <v>47</v>
      </c>
      <c r="F22" s="22" t="s">
        <v>193</v>
      </c>
      <c r="G22" s="22" t="s">
        <v>46</v>
      </c>
    </row>
    <row r="23" spans="2:20" x14ac:dyDescent="0.3">
      <c r="C23" s="22">
        <v>1000</v>
      </c>
      <c r="D23" s="22" t="s">
        <v>188</v>
      </c>
      <c r="E23" s="22" t="s">
        <v>49</v>
      </c>
      <c r="F23" s="22" t="s">
        <v>192</v>
      </c>
      <c r="G23" s="22" t="s">
        <v>48</v>
      </c>
    </row>
    <row r="26" spans="2:20" s="4" customFormat="1" ht="16.2" thickBot="1" x14ac:dyDescent="0.35">
      <c r="B26" s="5">
        <f xml:space="preserve"> MAX(B$1:B25) + 1</f>
        <v>1</v>
      </c>
      <c r="C26" s="4" t="s">
        <v>7</v>
      </c>
    </row>
    <row r="28" spans="2:20" x14ac:dyDescent="0.3">
      <c r="B28" s="13" t="s">
        <v>6</v>
      </c>
      <c r="C28" s="12"/>
      <c r="D28" s="12"/>
      <c r="E28" s="12"/>
      <c r="F28" s="12"/>
      <c r="G28" s="12"/>
      <c r="H28" s="12"/>
      <c r="I28" s="12"/>
      <c r="J28" s="12"/>
      <c r="K28" s="12"/>
      <c r="L28" s="12"/>
      <c r="M28" s="12"/>
      <c r="N28" s="12"/>
      <c r="O28" s="12"/>
      <c r="P28" s="12"/>
      <c r="Q28" s="12"/>
      <c r="R28" s="12"/>
      <c r="S28" s="12"/>
      <c r="T28" s="12"/>
    </row>
    <row r="30" spans="2:20" x14ac:dyDescent="0.3">
      <c r="C30" s="14" t="s">
        <v>8</v>
      </c>
    </row>
    <row r="31" spans="2:20" x14ac:dyDescent="0.3">
      <c r="C31" t="s">
        <v>255</v>
      </c>
    </row>
    <row r="32" spans="2:20" x14ac:dyDescent="0.3">
      <c r="C32" s="30" t="s">
        <v>256</v>
      </c>
    </row>
    <row r="33" spans="3:14" x14ac:dyDescent="0.3">
      <c r="C33" t="s">
        <v>257</v>
      </c>
    </row>
    <row r="34" spans="3:14" x14ac:dyDescent="0.3">
      <c r="C34" s="30" t="s">
        <v>271</v>
      </c>
    </row>
    <row r="35" spans="3:14" x14ac:dyDescent="0.3">
      <c r="C35" t="s">
        <v>272</v>
      </c>
    </row>
    <row r="36" spans="3:14" x14ac:dyDescent="0.3">
      <c r="C36" s="30" t="s">
        <v>273</v>
      </c>
    </row>
    <row r="39" spans="3:14" x14ac:dyDescent="0.3">
      <c r="C39" s="59" t="s">
        <v>210</v>
      </c>
      <c r="E39" s="52" t="s">
        <v>167</v>
      </c>
      <c r="F39" s="23" t="s">
        <v>178</v>
      </c>
    </row>
    <row r="40" spans="3:14" x14ac:dyDescent="0.3">
      <c r="C40" s="49" t="s">
        <v>178</v>
      </c>
      <c r="E40" s="56" cm="1">
        <f t="array" ref="E40:I49" xml:space="preserve"> CHOOSE( _xlfn.XMATCH(F39, C40:C42), $C$14:$G$23, $J$13:$S$17, 0)</f>
        <v>100</v>
      </c>
      <c r="F40" s="56" t="str">
        <v>AAA</v>
      </c>
      <c r="G40" s="56" t="str">
        <v>!!!</v>
      </c>
      <c r="H40" s="56" t="str">
        <v>ZZZ</v>
      </c>
      <c r="I40" s="56" t="str">
        <v>One</v>
      </c>
      <c r="J40" s="56"/>
      <c r="K40" s="56"/>
      <c r="L40" s="56"/>
      <c r="M40" s="56"/>
      <c r="N40" s="56"/>
    </row>
    <row r="41" spans="3:14" x14ac:dyDescent="0.3">
      <c r="C41" s="49" t="s">
        <v>199</v>
      </c>
      <c r="E41" s="56">
        <v>200</v>
      </c>
      <c r="F41" s="56" t="str">
        <v>BBB</v>
      </c>
      <c r="G41" s="56" t="str">
        <v>"""</v>
      </c>
      <c r="H41" s="56" t="str">
        <v>YYY</v>
      </c>
      <c r="I41" s="56" t="str">
        <v>Two</v>
      </c>
      <c r="J41" s="56"/>
      <c r="K41" s="56"/>
      <c r="L41" s="56"/>
      <c r="M41" s="56"/>
      <c r="N41" s="56"/>
    </row>
    <row r="42" spans="3:14" x14ac:dyDescent="0.3">
      <c r="C42" s="49" t="s">
        <v>211</v>
      </c>
      <c r="E42" s="56">
        <v>300</v>
      </c>
      <c r="F42" s="56" t="str">
        <v>CCC</v>
      </c>
      <c r="G42" s="56" t="str">
        <v>£££</v>
      </c>
      <c r="H42" s="56" t="str">
        <v>XXX</v>
      </c>
      <c r="I42" s="56" t="str">
        <v>Three</v>
      </c>
      <c r="J42" s="56"/>
      <c r="K42" s="56"/>
      <c r="L42" s="56"/>
      <c r="M42" s="56"/>
      <c r="N42" s="56"/>
    </row>
    <row r="43" spans="3:14" x14ac:dyDescent="0.3">
      <c r="E43" s="56">
        <v>400</v>
      </c>
      <c r="F43" s="56" t="str">
        <v>DDD</v>
      </c>
      <c r="G43" s="56" t="str">
        <v>$$$</v>
      </c>
      <c r="H43" s="56" t="str">
        <v>WWW</v>
      </c>
      <c r="I43" s="56" t="str">
        <v>Four</v>
      </c>
      <c r="J43" s="56"/>
      <c r="K43" s="56"/>
      <c r="L43" s="56"/>
      <c r="M43" s="56"/>
      <c r="N43" s="56"/>
    </row>
    <row r="44" spans="3:14" x14ac:dyDescent="0.3">
      <c r="E44" s="56">
        <v>500</v>
      </c>
      <c r="F44" s="56" t="str">
        <v>EEE</v>
      </c>
      <c r="G44" s="56" t="str">
        <v>%%%</v>
      </c>
      <c r="H44" s="56" t="str">
        <v>VVV</v>
      </c>
      <c r="I44" s="56" t="str">
        <v>Five</v>
      </c>
      <c r="J44" s="56"/>
      <c r="K44" s="56"/>
      <c r="L44" s="56"/>
      <c r="M44" s="56"/>
      <c r="N44" s="56"/>
    </row>
    <row r="45" spans="3:14" x14ac:dyDescent="0.3">
      <c r="E45" s="56">
        <v>600</v>
      </c>
      <c r="F45" s="56" t="str">
        <v>FFF</v>
      </c>
      <c r="G45" s="56" t="str">
        <v>^^^</v>
      </c>
      <c r="H45" s="56" t="str">
        <v>UUU</v>
      </c>
      <c r="I45" s="56" t="str">
        <v>Six</v>
      </c>
      <c r="J45" s="56"/>
      <c r="K45" s="56"/>
      <c r="L45" s="56"/>
      <c r="M45" s="56"/>
      <c r="N45" s="56"/>
    </row>
    <row r="46" spans="3:14" x14ac:dyDescent="0.3">
      <c r="E46" s="56">
        <v>700</v>
      </c>
      <c r="F46" s="56" t="str">
        <v>GGG</v>
      </c>
      <c r="G46" s="56" t="str">
        <v>&amp;&amp;&amp;</v>
      </c>
      <c r="H46" s="56" t="str">
        <v>TTT</v>
      </c>
      <c r="I46" s="56" t="str">
        <v>Seven</v>
      </c>
      <c r="J46" s="56"/>
      <c r="K46" s="56"/>
      <c r="L46" s="56"/>
      <c r="M46" s="56"/>
      <c r="N46" s="56"/>
    </row>
    <row r="47" spans="3:14" x14ac:dyDescent="0.3">
      <c r="E47" s="56">
        <v>800</v>
      </c>
      <c r="F47" s="56" t="str">
        <v>HHH</v>
      </c>
      <c r="G47" s="56" t="str">
        <v>***</v>
      </c>
      <c r="H47" s="56" t="str">
        <v>SSS</v>
      </c>
      <c r="I47" s="56" t="str">
        <v>Eight</v>
      </c>
      <c r="J47" s="56"/>
      <c r="K47" s="56"/>
      <c r="L47" s="56"/>
      <c r="M47" s="56"/>
      <c r="N47" s="56"/>
    </row>
    <row r="48" spans="3:14" x14ac:dyDescent="0.3">
      <c r="E48" s="56">
        <v>900</v>
      </c>
      <c r="F48" s="56" t="str">
        <v>III</v>
      </c>
      <c r="G48" s="56" t="str">
        <v>(((</v>
      </c>
      <c r="H48" s="56" t="str">
        <v>RRR</v>
      </c>
      <c r="I48" s="56" t="str">
        <v>Nine</v>
      </c>
      <c r="J48" s="56"/>
      <c r="K48" s="56"/>
      <c r="L48" s="56"/>
      <c r="M48" s="56"/>
      <c r="N48" s="56"/>
    </row>
    <row r="49" spans="2:14" x14ac:dyDescent="0.3">
      <c r="E49" s="56">
        <v>1000</v>
      </c>
      <c r="F49" s="56" t="str">
        <v>JJJ</v>
      </c>
      <c r="G49" s="56" t="str">
        <v>)))</v>
      </c>
      <c r="H49" s="56" t="str">
        <v>QQQ</v>
      </c>
      <c r="I49" s="56" t="str">
        <v>Ten</v>
      </c>
      <c r="J49" s="56"/>
      <c r="K49" s="56"/>
      <c r="L49" s="56"/>
      <c r="M49" s="56"/>
      <c r="N49" s="56"/>
    </row>
    <row r="52" spans="2:14" x14ac:dyDescent="0.3">
      <c r="B52" s="15" t="str" cm="1">
        <f t="array" ref="B52" xml:space="preserve"> "(" &amp; _xlfn.UNICHAR( 65 + SUMPRODUCT(--(_xlfn.REGEXTEST(B$1:B51, "^\([A-Z]\)$")))) &amp; ")"</f>
        <v>(A)</v>
      </c>
      <c r="C52" s="10" t="s">
        <v>216</v>
      </c>
    </row>
    <row r="54" spans="2:14" x14ac:dyDescent="0.3">
      <c r="C54" s="52" t="s">
        <v>212</v>
      </c>
      <c r="D54" s="43">
        <f xml:space="preserve"> ROWS(_xlfn.ANCHORARRAY(E40))</f>
        <v>10</v>
      </c>
      <c r="E54" s="52" t="s">
        <v>213</v>
      </c>
      <c r="F54" s="43">
        <f xml:space="preserve"> COLUMNS(_xlfn.ANCHORARRAY(E40))</f>
        <v>5</v>
      </c>
      <c r="H54" s="52" t="s">
        <v>224</v>
      </c>
      <c r="I54" s="55">
        <v>1</v>
      </c>
    </row>
    <row r="55" spans="2:14" x14ac:dyDescent="0.3">
      <c r="C55" s="52" t="s">
        <v>214</v>
      </c>
      <c r="D55" s="43" cm="1">
        <f t="array" ref="D55:D64" xml:space="preserve"> _xlfn.SEQUENCE(D54)</f>
        <v>1</v>
      </c>
      <c r="E55" s="52" t="s">
        <v>214</v>
      </c>
      <c r="F55" s="43" cm="1">
        <f t="array" ref="F55:F59" xml:space="preserve"> _xlfn.SEQUENCE(F54)</f>
        <v>1</v>
      </c>
      <c r="H55" s="52" t="s">
        <v>215</v>
      </c>
      <c r="I55" s="22" cm="1">
        <f t="array" ref="I55:L55" xml:space="preserve"> {-2,-4,6,8}</f>
        <v>-2</v>
      </c>
      <c r="J55" s="22">
        <v>-4</v>
      </c>
      <c r="K55" s="22">
        <v>6</v>
      </c>
      <c r="L55" s="22">
        <v>8</v>
      </c>
      <c r="M55" s="22"/>
    </row>
    <row r="56" spans="2:14" x14ac:dyDescent="0.3">
      <c r="D56" s="43">
        <v>2</v>
      </c>
      <c r="F56" s="43">
        <v>2</v>
      </c>
      <c r="H56" s="52" t="s">
        <v>168</v>
      </c>
      <c r="I56" s="43" cm="1">
        <f t="array" ref="I56:L56" xml:space="preserve"> IF(I54,_xlfn.ANCHORARRAY(
  I55) + IF(_xlfn.ANCHORARRAY(I55) &lt; 0, D54 + 1, 0),_xlfn.ANCHORARRAY(
  I55) + IF(_xlfn.ANCHORARRAY(I55) &lt; 0, F54 + 1, 0)
)</f>
        <v>9</v>
      </c>
      <c r="J56" s="43">
        <v>7</v>
      </c>
      <c r="K56" s="43">
        <v>6</v>
      </c>
      <c r="L56" s="43">
        <v>8</v>
      </c>
      <c r="M56" s="43"/>
    </row>
    <row r="57" spans="2:14" x14ac:dyDescent="0.3">
      <c r="D57" s="43">
        <v>3</v>
      </c>
      <c r="F57" s="43">
        <v>3</v>
      </c>
      <c r="I57" s="16" t="str" cm="1">
        <f t="array" aca="1" ref="I57:I60" ca="1" xml:space="preserve"> _xlfn.TEXTSPLIT( _xlfn.FORMULATEXT(I56), , CHAR(10))</f>
        <v>= IF(I54,</v>
      </c>
    </row>
    <row r="58" spans="2:14" x14ac:dyDescent="0.3">
      <c r="D58" s="43">
        <v>4</v>
      </c>
      <c r="F58" s="43">
        <v>4</v>
      </c>
      <c r="I58" s="16" t="str">
        <f ca="1"/>
        <v xml:space="preserve">  I55# + IF(I55# &lt; 0, D54 + 1, 0),</v>
      </c>
    </row>
    <row r="59" spans="2:14" x14ac:dyDescent="0.3">
      <c r="D59" s="43">
        <v>5</v>
      </c>
      <c r="F59" s="43">
        <v>5</v>
      </c>
      <c r="I59" s="16" t="str">
        <f ca="1"/>
        <v xml:space="preserve">  I55# + IF(I55# &lt; 0, F54 + 1, 0)</v>
      </c>
    </row>
    <row r="60" spans="2:14" x14ac:dyDescent="0.3">
      <c r="D60" s="43">
        <v>6</v>
      </c>
      <c r="F60" s="43"/>
      <c r="I60" s="16" t="str">
        <f ca="1"/>
        <v>)</v>
      </c>
    </row>
    <row r="61" spans="2:14" x14ac:dyDescent="0.3">
      <c r="D61" s="43">
        <v>7</v>
      </c>
      <c r="F61" s="43"/>
    </row>
    <row r="62" spans="2:14" x14ac:dyDescent="0.3">
      <c r="D62" s="43">
        <v>8</v>
      </c>
      <c r="F62" s="43"/>
    </row>
    <row r="63" spans="2:14" x14ac:dyDescent="0.3">
      <c r="D63" s="43">
        <v>9</v>
      </c>
      <c r="F63" s="43"/>
    </row>
    <row r="64" spans="2:14" x14ac:dyDescent="0.3">
      <c r="D64" s="43">
        <v>10</v>
      </c>
      <c r="F64" s="43"/>
    </row>
    <row r="65" spans="2:14" x14ac:dyDescent="0.3">
      <c r="D65" s="16" t="str">
        <f ca="1" xml:space="preserve"> _xlfn.FORMULATEXT(D55)</f>
        <v>= SEQUENCE(D54)</v>
      </c>
      <c r="F65" s="16" t="str">
        <f ca="1" xml:space="preserve"> _xlfn.FORMULATEXT(F55)</f>
        <v>= SEQUENCE(F54)</v>
      </c>
    </row>
    <row r="68" spans="2:14" x14ac:dyDescent="0.3">
      <c r="B68" s="15" t="str" cm="1">
        <f t="array" ref="B68" xml:space="preserve"> "(" &amp; _xlfn.UNICHAR( 65 + SUMPRODUCT(--(_xlfn.REGEXTEST(B$1:B67, "^\([A-Z]\)$")))) &amp; ")"</f>
        <v>(B)</v>
      </c>
      <c r="C68" s="10" t="s">
        <v>217</v>
      </c>
    </row>
    <row r="70" spans="2:14" x14ac:dyDescent="0.3">
      <c r="C70" s="52" t="s">
        <v>219</v>
      </c>
      <c r="D70" s="21" cm="1">
        <f t="array" ref="D70:G70" xml:space="preserve"> {2,4,6,8}</f>
        <v>2</v>
      </c>
      <c r="E70" s="21">
        <v>4</v>
      </c>
      <c r="F70" s="21">
        <v>6</v>
      </c>
      <c r="G70" s="21">
        <v>8</v>
      </c>
    </row>
    <row r="72" spans="2:14" ht="14.4" thickBot="1" x14ac:dyDescent="0.35">
      <c r="C72" s="29" t="s">
        <v>218</v>
      </c>
      <c r="D72" s="60"/>
      <c r="E72" s="60"/>
      <c r="F72" s="60"/>
      <c r="G72" s="60"/>
      <c r="I72" s="29" t="s">
        <v>220</v>
      </c>
      <c r="J72" s="60"/>
      <c r="K72" s="60"/>
      <c r="L72" s="60"/>
      <c r="M72" s="60"/>
    </row>
    <row r="73" spans="2:14" x14ac:dyDescent="0.3">
      <c r="C73" s="57" cm="1">
        <f t="array" ref="C73:G82" xml:space="preserve"> $C$14:$G$23</f>
        <v>100</v>
      </c>
      <c r="D73" s="57" t="str">
        <v>AAA</v>
      </c>
      <c r="E73" s="57" t="str">
        <v>!!!</v>
      </c>
      <c r="F73" s="57" t="str">
        <v>ZZZ</v>
      </c>
      <c r="G73" s="57" t="str">
        <v>One</v>
      </c>
      <c r="I73" s="43" cm="1">
        <f t="array" ref="I73:M78" xml:space="preserve"> _xlfn.LET(
  _xlpm._arr,_xlfn.ANCHORARRAY( C73),
  _xlpm._inp,_xlfn.ANCHORARRAY( D70),
  _xlpm._rr, ROWS(_xlpm._arr),
  _xlpm._cc, COLUMNS(_xlpm._arr),
  _xlpm._rIx, _xlfn.SEQUENCE(_xlpm._rr, 1),
  _xlpm._cIx, _xlfn.SEQUENCE(1, _xlpm._cc),
  _xlpm._rtn, _xlfn.DROP(
    _xlfn.REDUCE(0, _xlpm._rIx, _xlfn.LAMBDA(_xlpm._acc,_xlpm._val,
      IF( ISNA(_xlfn.XMATCH(_xlpm._val, _xlpm._inp)),
        _xlfn.VSTACK(_xlpm._acc, INDEX(_xlpm._arr, _xlpm._val, _xlpm._cIx)),
        _xlpm._acc
      ))
    ), 1
  ),
  _xlpm._rtn
)</f>
        <v>100</v>
      </c>
      <c r="J73" s="43" t="str">
        <v>AAA</v>
      </c>
      <c r="K73" s="43" t="str">
        <v>!!!</v>
      </c>
      <c r="L73" s="43" t="str">
        <v>ZZZ</v>
      </c>
      <c r="M73" s="43" t="str">
        <v>One</v>
      </c>
      <c r="N73" s="16" t="str" cm="1">
        <f t="array" aca="1" ref="N73:N89" ca="1" xml:space="preserve"> _xlfn.TEXTSPLIT( _xlfn.FORMULATEXT(I73), , CHAR(10))</f>
        <v>= LET(</v>
      </c>
    </row>
    <row r="74" spans="2:14" x14ac:dyDescent="0.3">
      <c r="C74" s="56">
        <v>200</v>
      </c>
      <c r="D74" s="56" t="str">
        <v>BBB</v>
      </c>
      <c r="E74" s="56" t="str">
        <v>"""</v>
      </c>
      <c r="F74" s="56" t="str">
        <v>YYY</v>
      </c>
      <c r="G74" s="56" t="str">
        <v>Two</v>
      </c>
      <c r="I74" s="43">
        <v>300</v>
      </c>
      <c r="J74" s="43" t="str">
        <v>CCC</v>
      </c>
      <c r="K74" s="43" t="str">
        <v>£££</v>
      </c>
      <c r="L74" s="43" t="str">
        <v>XXX</v>
      </c>
      <c r="M74" s="43" t="str">
        <v>Three</v>
      </c>
      <c r="N74" s="16" t="str">
        <f ca="1"/>
        <v xml:space="preserve">  _arr, C73#,</v>
      </c>
    </row>
    <row r="75" spans="2:14" x14ac:dyDescent="0.3">
      <c r="C75" s="56">
        <v>300</v>
      </c>
      <c r="D75" s="56" t="str">
        <v>CCC</v>
      </c>
      <c r="E75" s="56" t="str">
        <v>£££</v>
      </c>
      <c r="F75" s="56" t="str">
        <v>XXX</v>
      </c>
      <c r="G75" s="56" t="str">
        <v>Three</v>
      </c>
      <c r="I75" s="43">
        <v>500</v>
      </c>
      <c r="J75" s="43" t="str">
        <v>EEE</v>
      </c>
      <c r="K75" s="43" t="str">
        <v>%%%</v>
      </c>
      <c r="L75" s="43" t="str">
        <v>VVV</v>
      </c>
      <c r="M75" s="43" t="str">
        <v>Five</v>
      </c>
      <c r="N75" s="16" t="str">
        <f ca="1"/>
        <v xml:space="preserve">  _inp, D70#,</v>
      </c>
    </row>
    <row r="76" spans="2:14" x14ac:dyDescent="0.3">
      <c r="C76" s="56">
        <v>400</v>
      </c>
      <c r="D76" s="56" t="str">
        <v>DDD</v>
      </c>
      <c r="E76" s="56" t="str">
        <v>$$$</v>
      </c>
      <c r="F76" s="56" t="str">
        <v>WWW</v>
      </c>
      <c r="G76" s="56" t="str">
        <v>Four</v>
      </c>
      <c r="I76" s="43">
        <v>700</v>
      </c>
      <c r="J76" s="43" t="str">
        <v>GGG</v>
      </c>
      <c r="K76" s="43" t="str">
        <v>&amp;&amp;&amp;</v>
      </c>
      <c r="L76" s="43" t="str">
        <v>TTT</v>
      </c>
      <c r="M76" s="43" t="str">
        <v>Seven</v>
      </c>
      <c r="N76" s="16" t="str">
        <f ca="1"/>
        <v xml:space="preserve">  _rr, ROWS(_arr),</v>
      </c>
    </row>
    <row r="77" spans="2:14" x14ac:dyDescent="0.3">
      <c r="C77" s="56">
        <v>500</v>
      </c>
      <c r="D77" s="56" t="str">
        <v>EEE</v>
      </c>
      <c r="E77" s="56" t="str">
        <v>%%%</v>
      </c>
      <c r="F77" s="56" t="str">
        <v>VVV</v>
      </c>
      <c r="G77" s="56" t="str">
        <v>Five</v>
      </c>
      <c r="I77" s="43">
        <v>900</v>
      </c>
      <c r="J77" s="43" t="str">
        <v>III</v>
      </c>
      <c r="K77" s="43" t="str">
        <v>(((</v>
      </c>
      <c r="L77" s="43" t="str">
        <v>RRR</v>
      </c>
      <c r="M77" s="43" t="str">
        <v>Nine</v>
      </c>
      <c r="N77" s="16" t="str">
        <f ca="1"/>
        <v xml:space="preserve">  _cc, COLUMNS(_arr),</v>
      </c>
    </row>
    <row r="78" spans="2:14" x14ac:dyDescent="0.3">
      <c r="C78" s="56">
        <v>600</v>
      </c>
      <c r="D78" s="56" t="str">
        <v>FFF</v>
      </c>
      <c r="E78" s="56" t="str">
        <v>^^^</v>
      </c>
      <c r="F78" s="56" t="str">
        <v>UUU</v>
      </c>
      <c r="G78" s="56" t="str">
        <v>Six</v>
      </c>
      <c r="I78" s="43">
        <v>1000</v>
      </c>
      <c r="J78" s="43" t="str">
        <v>JJJ</v>
      </c>
      <c r="K78" s="43" t="str">
        <v>)))</v>
      </c>
      <c r="L78" s="43" t="str">
        <v>QQQ</v>
      </c>
      <c r="M78" s="43" t="str">
        <v>Ten</v>
      </c>
      <c r="N78" s="16" t="str">
        <f ca="1"/>
        <v xml:space="preserve">  _rIx, SEQUENCE(_rr, 1),</v>
      </c>
    </row>
    <row r="79" spans="2:14" x14ac:dyDescent="0.3">
      <c r="C79" s="56">
        <v>700</v>
      </c>
      <c r="D79" s="56" t="str">
        <v>GGG</v>
      </c>
      <c r="E79" s="56" t="str">
        <v>&amp;&amp;&amp;</v>
      </c>
      <c r="F79" s="56" t="str">
        <v>TTT</v>
      </c>
      <c r="G79" s="56" t="str">
        <v>Seven</v>
      </c>
      <c r="I79" s="43"/>
      <c r="J79" s="43"/>
      <c r="K79" s="43"/>
      <c r="L79" s="43"/>
      <c r="M79" s="43"/>
      <c r="N79" s="16" t="str">
        <f ca="1"/>
        <v xml:space="preserve">  _cIx, SEQUENCE(1, _cc),</v>
      </c>
    </row>
    <row r="80" spans="2:14" x14ac:dyDescent="0.3">
      <c r="C80" s="56">
        <v>800</v>
      </c>
      <c r="D80" s="56" t="str">
        <v>HHH</v>
      </c>
      <c r="E80" s="56" t="str">
        <v>***</v>
      </c>
      <c r="F80" s="56" t="str">
        <v>SSS</v>
      </c>
      <c r="G80" s="56" t="str">
        <v>Eight</v>
      </c>
      <c r="I80" s="43"/>
      <c r="J80" s="43"/>
      <c r="K80" s="43"/>
      <c r="L80" s="43"/>
      <c r="M80" s="43"/>
      <c r="N80" s="16" t="str">
        <f ca="1"/>
        <v xml:space="preserve">  _rtn, DROP(</v>
      </c>
    </row>
    <row r="81" spans="2:14" x14ac:dyDescent="0.3">
      <c r="C81" s="56">
        <v>900</v>
      </c>
      <c r="D81" s="56" t="str">
        <v>III</v>
      </c>
      <c r="E81" s="56" t="str">
        <v>(((</v>
      </c>
      <c r="F81" s="56" t="str">
        <v>RRR</v>
      </c>
      <c r="G81" s="56" t="str">
        <v>Nine</v>
      </c>
      <c r="I81" s="43"/>
      <c r="J81" s="43"/>
      <c r="K81" s="43"/>
      <c r="L81" s="43"/>
      <c r="M81" s="43"/>
      <c r="N81" s="16" t="str">
        <f ca="1"/>
        <v xml:space="preserve">    REDUCE(0, _rIx, LAMBDA(_acc,_val,</v>
      </c>
    </row>
    <row r="82" spans="2:14" x14ac:dyDescent="0.3">
      <c r="C82" s="56">
        <v>1000</v>
      </c>
      <c r="D82" s="56" t="str">
        <v>JJJ</v>
      </c>
      <c r="E82" s="56" t="str">
        <v>)))</v>
      </c>
      <c r="F82" s="56" t="str">
        <v>QQQ</v>
      </c>
      <c r="G82" s="56" t="str">
        <v>Ten</v>
      </c>
      <c r="I82" s="43"/>
      <c r="J82" s="43"/>
      <c r="K82" s="43"/>
      <c r="L82" s="43"/>
      <c r="M82" s="43"/>
      <c r="N82" s="16" t="str">
        <f ca="1"/>
        <v xml:space="preserve">      IF( ISNA(XMATCH(_val, _inp)),</v>
      </c>
    </row>
    <row r="83" spans="2:14" x14ac:dyDescent="0.3">
      <c r="N83" s="16" t="str">
        <f ca="1"/>
        <v xml:space="preserve">        VSTACK(_acc, INDEX(_arr, _val, _cIx)),</v>
      </c>
    </row>
    <row r="84" spans="2:14" x14ac:dyDescent="0.3">
      <c r="N84" s="16" t="str">
        <f ca="1"/>
        <v xml:space="preserve">        _acc</v>
      </c>
    </row>
    <row r="85" spans="2:14" x14ac:dyDescent="0.3">
      <c r="N85" s="16" t="str">
        <f ca="1"/>
        <v xml:space="preserve">      ))</v>
      </c>
    </row>
    <row r="86" spans="2:14" x14ac:dyDescent="0.3">
      <c r="N86" s="16" t="str">
        <f ca="1"/>
        <v xml:space="preserve">    ), 1</v>
      </c>
    </row>
    <row r="87" spans="2:14" x14ac:dyDescent="0.3">
      <c r="N87" s="16" t="str">
        <f ca="1"/>
        <v xml:space="preserve">  ),</v>
      </c>
    </row>
    <row r="88" spans="2:14" x14ac:dyDescent="0.3">
      <c r="N88" s="16" t="str">
        <f ca="1"/>
        <v xml:space="preserve">  _rtn</v>
      </c>
    </row>
    <row r="89" spans="2:14" x14ac:dyDescent="0.3">
      <c r="N89" s="16" t="str">
        <f ca="1"/>
        <v>)</v>
      </c>
    </row>
    <row r="91" spans="2:14" x14ac:dyDescent="0.3">
      <c r="B91" s="15" t="str" cm="1">
        <f t="array" ref="B91" xml:space="preserve"> "(" &amp; _xlfn.UNICHAR( 65 + SUMPRODUCT(--(_xlfn.REGEXTEST(B$1:B90, "^\([A-Z]\)$")))) &amp; ")"</f>
        <v>(C)</v>
      </c>
      <c r="C91" s="10" t="s">
        <v>223</v>
      </c>
    </row>
    <row r="93" spans="2:14" x14ac:dyDescent="0.3">
      <c r="C93" s="52" t="s">
        <v>219</v>
      </c>
      <c r="D93" s="21" cm="1">
        <f t="array" ref="D93:G93" xml:space="preserve"> {2,4,6,8}</f>
        <v>2</v>
      </c>
      <c r="E93" s="21">
        <v>4</v>
      </c>
      <c r="F93" s="21">
        <v>6</v>
      </c>
      <c r="G93" s="21">
        <v>8</v>
      </c>
    </row>
    <row r="95" spans="2:14" x14ac:dyDescent="0.3">
      <c r="C95" s="54" t="s">
        <v>65</v>
      </c>
      <c r="D95" s="61" cm="1">
        <f t="array" ref="D95:M99" xml:space="preserve"> $J$13:$S$17</f>
        <v>100</v>
      </c>
      <c r="E95" s="56">
        <v>200</v>
      </c>
      <c r="F95" s="56">
        <v>300</v>
      </c>
      <c r="G95" s="56">
        <v>400</v>
      </c>
      <c r="H95" s="56">
        <v>500</v>
      </c>
      <c r="I95" s="56">
        <v>600</v>
      </c>
      <c r="J95" s="56">
        <v>700</v>
      </c>
      <c r="K95" s="56">
        <v>800</v>
      </c>
      <c r="L95" s="56">
        <v>900</v>
      </c>
      <c r="M95" s="56">
        <v>1000</v>
      </c>
    </row>
    <row r="96" spans="2:14" x14ac:dyDescent="0.3">
      <c r="C96" s="54" t="s">
        <v>221</v>
      </c>
      <c r="D96" s="61" t="str">
        <v>AAA</v>
      </c>
      <c r="E96" s="56" t="str">
        <v>BBB</v>
      </c>
      <c r="F96" s="56" t="str">
        <v>CCC</v>
      </c>
      <c r="G96" s="56" t="str">
        <v>DDD</v>
      </c>
      <c r="H96" s="56" t="str">
        <v>EEE</v>
      </c>
      <c r="I96" s="56" t="str">
        <v>FFF</v>
      </c>
      <c r="J96" s="56" t="str">
        <v>GGG</v>
      </c>
      <c r="K96" s="56" t="str">
        <v>HHH</v>
      </c>
      <c r="L96" s="56" t="str">
        <v>III</v>
      </c>
      <c r="M96" s="56" t="str">
        <v>JJJ</v>
      </c>
    </row>
    <row r="97" spans="3:14" x14ac:dyDescent="0.3">
      <c r="C97" s="54"/>
      <c r="D97" s="61" t="str">
        <v>!!!</v>
      </c>
      <c r="E97" s="56" t="str">
        <v>"""</v>
      </c>
      <c r="F97" s="56" t="str">
        <v>£££</v>
      </c>
      <c r="G97" s="56" t="str">
        <v>$$$</v>
      </c>
      <c r="H97" s="56" t="str">
        <v>%%%</v>
      </c>
      <c r="I97" s="56" t="str">
        <v>^^^</v>
      </c>
      <c r="J97" s="56" t="str">
        <v>&amp;&amp;&amp;</v>
      </c>
      <c r="K97" s="56" t="str">
        <v>***</v>
      </c>
      <c r="L97" s="56" t="str">
        <v>(((</v>
      </c>
      <c r="M97" s="56" t="str">
        <v>)))</v>
      </c>
    </row>
    <row r="98" spans="3:14" x14ac:dyDescent="0.3">
      <c r="C98" s="54"/>
      <c r="D98" s="61" t="str">
        <v>ZZZ</v>
      </c>
      <c r="E98" s="56" t="str">
        <v>YYY</v>
      </c>
      <c r="F98" s="56" t="str">
        <v>XXX</v>
      </c>
      <c r="G98" s="56" t="str">
        <v>WWW</v>
      </c>
      <c r="H98" s="56" t="str">
        <v>VVV</v>
      </c>
      <c r="I98" s="56" t="str">
        <v>UUU</v>
      </c>
      <c r="J98" s="56" t="str">
        <v>TTT</v>
      </c>
      <c r="K98" s="56" t="str">
        <v>SSS</v>
      </c>
      <c r="L98" s="56" t="str">
        <v>RRR</v>
      </c>
      <c r="M98" s="56" t="str">
        <v>QQQ</v>
      </c>
    </row>
    <row r="99" spans="3:14" x14ac:dyDescent="0.3">
      <c r="C99" s="54"/>
      <c r="D99" s="61" t="str">
        <v>One</v>
      </c>
      <c r="E99" s="56" t="str">
        <v>Two</v>
      </c>
      <c r="F99" s="56" t="str">
        <v>Three</v>
      </c>
      <c r="G99" s="56" t="str">
        <v>Four</v>
      </c>
      <c r="H99" s="56" t="str">
        <v>Five</v>
      </c>
      <c r="I99" s="56" t="str">
        <v>Six</v>
      </c>
      <c r="J99" s="56" t="str">
        <v>Seven</v>
      </c>
      <c r="K99" s="56" t="str">
        <v>Eight</v>
      </c>
      <c r="L99" s="56" t="str">
        <v>Nine</v>
      </c>
      <c r="M99" s="56" t="str">
        <v>Ten</v>
      </c>
    </row>
    <row r="101" spans="3:14" x14ac:dyDescent="0.3">
      <c r="C101" s="54" t="s">
        <v>222</v>
      </c>
      <c r="D101" s="43" cm="1">
        <f t="array" ref="D101:I105" xml:space="preserve"> _xlfn.LET(
  _xlpm._arr,_xlfn.ANCHORARRAY( D95),
  _xlpm._inp,_xlfn.ANCHORARRAY( D93),
  _xlpm._rr, ROWS( _xlpm._arr),
  _xlpm._cc, COLUMNS(_xlpm._arr),
  _xlpm._rIx, _xlfn.SEQUENCE(_xlpm._rr, 1),
  _xlpm._cIx, _xlfn.SEQUENCE(1, _xlpm._cc),
  _xlpm._rtn, _xlfn.DROP(
    _xlfn.REDUCE(0, _xlpm._cIx, _xlfn.LAMBDA(_xlpm._acc,_xlpm._val,
      IF( ISNA(_xlfn.XMATCH(_xlpm._val, _xlpm._inp)),
        _xlfn.HSTACK(_xlpm._acc, INDEX(_xlpm._arr, _xlpm._rIx, _xlpm._val)),
        _xlpm._acc
      ))
    ), , 1
  ),
  _xlpm._rtn
)</f>
        <v>100</v>
      </c>
      <c r="E101" s="43">
        <v>300</v>
      </c>
      <c r="F101" s="43">
        <v>500</v>
      </c>
      <c r="G101" s="43">
        <v>700</v>
      </c>
      <c r="H101" s="43">
        <v>900</v>
      </c>
      <c r="I101" s="43">
        <v>1000</v>
      </c>
      <c r="J101" s="43"/>
      <c r="K101" s="43"/>
      <c r="L101" s="43"/>
      <c r="M101" s="43"/>
      <c r="N101" s="16" t="str" cm="1">
        <f t="array" aca="1" ref="N101:N117" ca="1" xml:space="preserve"> _xlfn.TEXTSPLIT( _xlfn.FORMULATEXT(D101), , CHAR(10))</f>
        <v>= LET(</v>
      </c>
    </row>
    <row r="102" spans="3:14" x14ac:dyDescent="0.3">
      <c r="C102" s="54" t="s">
        <v>159</v>
      </c>
      <c r="D102" s="43" t="str">
        <v>AAA</v>
      </c>
      <c r="E102" s="43" t="str">
        <v>CCC</v>
      </c>
      <c r="F102" s="43" t="str">
        <v>EEE</v>
      </c>
      <c r="G102" s="43" t="str">
        <v>GGG</v>
      </c>
      <c r="H102" s="43" t="str">
        <v>III</v>
      </c>
      <c r="I102" s="43" t="str">
        <v>JJJ</v>
      </c>
      <c r="J102" s="43"/>
      <c r="K102" s="43"/>
      <c r="L102" s="43"/>
      <c r="M102" s="43"/>
      <c r="N102" s="16" t="str">
        <f ca="1"/>
        <v xml:space="preserve">  _arr, D95#,</v>
      </c>
    </row>
    <row r="103" spans="3:14" x14ac:dyDescent="0.3">
      <c r="C103" s="54"/>
      <c r="D103" s="43" t="str">
        <v>!!!</v>
      </c>
      <c r="E103" s="43" t="str">
        <v>£££</v>
      </c>
      <c r="F103" s="43" t="str">
        <v>%%%</v>
      </c>
      <c r="G103" s="43" t="str">
        <v>&amp;&amp;&amp;</v>
      </c>
      <c r="H103" s="43" t="str">
        <v>(((</v>
      </c>
      <c r="I103" s="43" t="str">
        <v>)))</v>
      </c>
      <c r="J103" s="43"/>
      <c r="K103" s="43"/>
      <c r="L103" s="43"/>
      <c r="M103" s="43"/>
      <c r="N103" s="16" t="str">
        <f ca="1"/>
        <v xml:space="preserve">  _inp, D93#,</v>
      </c>
    </row>
    <row r="104" spans="3:14" x14ac:dyDescent="0.3">
      <c r="C104" s="54"/>
      <c r="D104" s="43" t="str">
        <v>ZZZ</v>
      </c>
      <c r="E104" s="43" t="str">
        <v>XXX</v>
      </c>
      <c r="F104" s="43" t="str">
        <v>VVV</v>
      </c>
      <c r="G104" s="43" t="str">
        <v>TTT</v>
      </c>
      <c r="H104" s="43" t="str">
        <v>RRR</v>
      </c>
      <c r="I104" s="43" t="str">
        <v>QQQ</v>
      </c>
      <c r="J104" s="43"/>
      <c r="K104" s="43"/>
      <c r="L104" s="43"/>
      <c r="M104" s="43"/>
      <c r="N104" s="16" t="str">
        <f ca="1"/>
        <v xml:space="preserve">  _rr, ROWS( _arr),</v>
      </c>
    </row>
    <row r="105" spans="3:14" x14ac:dyDescent="0.3">
      <c r="C105" s="54"/>
      <c r="D105" s="43" t="str">
        <v>One</v>
      </c>
      <c r="E105" s="43" t="str">
        <v>Three</v>
      </c>
      <c r="F105" s="43" t="str">
        <v>Five</v>
      </c>
      <c r="G105" s="43" t="str">
        <v>Seven</v>
      </c>
      <c r="H105" s="43" t="str">
        <v>Nine</v>
      </c>
      <c r="I105" s="43" t="str">
        <v>Ten</v>
      </c>
      <c r="J105" s="43"/>
      <c r="K105" s="43"/>
      <c r="L105" s="43"/>
      <c r="M105" s="43"/>
      <c r="N105" s="16" t="str">
        <f ca="1"/>
        <v xml:space="preserve">  _cc, COLUMNS(_arr),</v>
      </c>
    </row>
    <row r="106" spans="3:14" x14ac:dyDescent="0.3">
      <c r="N106" s="16" t="str">
        <f ca="1"/>
        <v xml:space="preserve">  _rIx, SEQUENCE(_rr, 1),</v>
      </c>
    </row>
    <row r="107" spans="3:14" x14ac:dyDescent="0.3">
      <c r="N107" s="16" t="str">
        <f ca="1"/>
        <v xml:space="preserve">  _cIx, SEQUENCE(1, _cc),</v>
      </c>
    </row>
    <row r="108" spans="3:14" x14ac:dyDescent="0.3">
      <c r="N108" s="16" t="str">
        <f ca="1"/>
        <v xml:space="preserve">  _rtn, DROP(</v>
      </c>
    </row>
    <row r="109" spans="3:14" x14ac:dyDescent="0.3">
      <c r="N109" s="16" t="str">
        <f ca="1"/>
        <v xml:space="preserve">    REDUCE(0, _cIx, LAMBDA(_acc,_val,</v>
      </c>
    </row>
    <row r="110" spans="3:14" x14ac:dyDescent="0.3">
      <c r="N110" s="16" t="str">
        <f ca="1"/>
        <v xml:space="preserve">      IF( ISNA(XMATCH(_val, _inp)),</v>
      </c>
    </row>
    <row r="111" spans="3:14" x14ac:dyDescent="0.3">
      <c r="N111" s="16" t="str">
        <f ca="1"/>
        <v xml:space="preserve">        HSTACK(_acc, INDEX(_arr, _rIx, _val)),</v>
      </c>
    </row>
    <row r="112" spans="3:14" x14ac:dyDescent="0.3">
      <c r="N112" s="16" t="str">
        <f ca="1"/>
        <v xml:space="preserve">        _acc</v>
      </c>
    </row>
    <row r="113" spans="2:14" x14ac:dyDescent="0.3">
      <c r="N113" s="16" t="str">
        <f ca="1"/>
        <v xml:space="preserve">      ))</v>
      </c>
    </row>
    <row r="114" spans="2:14" x14ac:dyDescent="0.3">
      <c r="N114" s="16" t="str">
        <f ca="1"/>
        <v xml:space="preserve">    ), , 1</v>
      </c>
    </row>
    <row r="115" spans="2:14" x14ac:dyDescent="0.3">
      <c r="N115" s="16" t="str">
        <f ca="1"/>
        <v xml:space="preserve">  ),</v>
      </c>
    </row>
    <row r="116" spans="2:14" x14ac:dyDescent="0.3">
      <c r="N116" s="16" t="str">
        <f ca="1"/>
        <v xml:space="preserve">  _rtn</v>
      </c>
    </row>
    <row r="117" spans="2:14" x14ac:dyDescent="0.3">
      <c r="N117" s="16" t="str">
        <f ca="1"/>
        <v>)</v>
      </c>
    </row>
    <row r="119" spans="2:14" x14ac:dyDescent="0.3">
      <c r="B119" s="15" t="str" cm="1">
        <f t="array" ref="B119" xml:space="preserve"> "(" &amp; _xlfn.UNICHAR( 65 + SUMPRODUCT(--(_xlfn.REGEXTEST(B$1:B118, "^\([A-Z]\)$")))) &amp; ")"</f>
        <v>(D)</v>
      </c>
      <c r="C119" s="10" t="s">
        <v>225</v>
      </c>
    </row>
    <row r="121" spans="2:14" x14ac:dyDescent="0.3">
      <c r="C121" s="52" t="s">
        <v>219</v>
      </c>
      <c r="D121" s="21" cm="1">
        <f t="array" ref="D121:G121" xml:space="preserve"> {-2,4,6,8}</f>
        <v>-2</v>
      </c>
      <c r="E121" s="21">
        <v>4</v>
      </c>
      <c r="F121" s="21">
        <v>6</v>
      </c>
      <c r="G121" s="21">
        <v>8</v>
      </c>
    </row>
    <row r="122" spans="2:14" x14ac:dyDescent="0.3">
      <c r="C122" s="52" t="s">
        <v>224</v>
      </c>
      <c r="D122" s="55">
        <v>1</v>
      </c>
    </row>
    <row r="124" spans="2:14" ht="14.4" thickBot="1" x14ac:dyDescent="0.35">
      <c r="C124" s="29" t="s">
        <v>218</v>
      </c>
      <c r="D124" s="60"/>
      <c r="E124" s="60"/>
      <c r="F124" s="60"/>
      <c r="G124" s="60"/>
      <c r="I124" s="29" t="s">
        <v>220</v>
      </c>
      <c r="J124" s="60"/>
      <c r="K124" s="60"/>
      <c r="L124" s="60"/>
      <c r="M124" s="60"/>
    </row>
    <row r="125" spans="2:14" x14ac:dyDescent="0.3">
      <c r="C125" s="56" cm="1">
        <f t="array" ref="C125:G134" xml:space="preserve"> $C$14:$G$23</f>
        <v>100</v>
      </c>
      <c r="D125" s="56" t="str">
        <v>AAA</v>
      </c>
      <c r="E125" s="56" t="str">
        <v>!!!</v>
      </c>
      <c r="F125" s="56" t="str">
        <v>ZZZ</v>
      </c>
      <c r="G125" s="56" t="str">
        <v>One</v>
      </c>
      <c r="I125" s="40" cm="1">
        <f t="array" ref="I125:M130" xml:space="preserve"> _xlfn.LET(
  _xlpm._arr,_xlfn.ANCHORARRAY( C125),
  _xlpm._inp,_xlfn.ANCHORARRAY( D121),
  _xlpm._byR, D122,
  _xlpm._rr, ROWS(_xlpm._arr),
  _xlpm._cc, COLUMNS(_xlpm._arr),
  _xlpm._adj, IF(_xlpm._byR,
    _xlpm._inp + IF(_xlpm._inp &lt; 0, _xlpm._rr + 1, 0),
    _xlpm._inp + IF(_xlpm._inp &lt; 0, _xlpm._cc + 1, 0)
  ),
  _xlpm._rIx, _xlfn.SEQUENCE(_xlpm._rr, 1),
  _xlpm._cIx, _xlfn.SEQUENCE(1, _xlpm._cc),
  _xlpm._rtn, IF(_xlpm._byR = 1,
    _xlfn.DROP(
      _xlfn.REDUCE(0, _xlpm._rIx, _xlfn.LAMBDA(_xlpm._acc,_xlpm._val,
        IF( ISNA(_xlfn.XMATCH(_xlpm._val, _xlpm._adj)),
          _xlfn.VSTACK(_xlpm._acc, INDEX(_xlpm._arr, _xlpm._val, _xlpm._cIx)), _xlpm._acc))
      ), 1),
    _xlfn.DROP(
      _xlfn.REDUCE(0, _xlpm._cIx, _xlfn.LAMBDA(_xlpm._acc,_xlpm._val,
        IF( ISNA(_xlfn.XMATCH(_xlpm._val, _xlpm._adj)),
          _xlfn.HSTACK(_xlpm._acc, INDEX(_xlpm._arr, _xlpm._rIx, _xlpm._val)), _xlpm._acc))
      ), , 1)
  ),
  _xlpm._rtn
)</f>
        <v>100</v>
      </c>
      <c r="J125" s="40" t="str">
        <v>AAA</v>
      </c>
      <c r="K125" s="40" t="str">
        <v>!!!</v>
      </c>
      <c r="L125" s="40" t="str">
        <v>ZZZ</v>
      </c>
      <c r="M125" s="40" t="str">
        <v>One</v>
      </c>
      <c r="N125" s="16" t="str" cm="1">
        <f t="array" aca="1" ref="N125:N150" ca="1" xml:space="preserve"> _xlfn.TEXTSPLIT( _xlfn.FORMULATEXT(I125), , CHAR(10))</f>
        <v>= LET(</v>
      </c>
    </row>
    <row r="126" spans="2:14" x14ac:dyDescent="0.3">
      <c r="C126" s="56">
        <v>200</v>
      </c>
      <c r="D126" s="56" t="str">
        <v>BBB</v>
      </c>
      <c r="E126" s="56" t="str">
        <v>"""</v>
      </c>
      <c r="F126" s="56" t="str">
        <v>YYY</v>
      </c>
      <c r="G126" s="56" t="str">
        <v>Two</v>
      </c>
      <c r="I126" s="40">
        <v>200</v>
      </c>
      <c r="J126" s="40" t="str">
        <v>BBB</v>
      </c>
      <c r="K126" s="40" t="str">
        <v>"""</v>
      </c>
      <c r="L126" s="40" t="str">
        <v>YYY</v>
      </c>
      <c r="M126" s="40" t="str">
        <v>Two</v>
      </c>
      <c r="N126" s="16" t="str">
        <f ca="1"/>
        <v xml:space="preserve">  _arr, C125#,</v>
      </c>
    </row>
    <row r="127" spans="2:14" x14ac:dyDescent="0.3">
      <c r="C127" s="56">
        <v>300</v>
      </c>
      <c r="D127" s="56" t="str">
        <v>CCC</v>
      </c>
      <c r="E127" s="56" t="str">
        <v>£££</v>
      </c>
      <c r="F127" s="56" t="str">
        <v>XXX</v>
      </c>
      <c r="G127" s="56" t="str">
        <v>Three</v>
      </c>
      <c r="I127" s="40">
        <v>300</v>
      </c>
      <c r="J127" s="40" t="str">
        <v>CCC</v>
      </c>
      <c r="K127" s="40" t="str">
        <v>£££</v>
      </c>
      <c r="L127" s="40" t="str">
        <v>XXX</v>
      </c>
      <c r="M127" s="40" t="str">
        <v>Three</v>
      </c>
      <c r="N127" s="16" t="str">
        <f ca="1"/>
        <v xml:space="preserve">  _inp, D121#,</v>
      </c>
    </row>
    <row r="128" spans="2:14" x14ac:dyDescent="0.3">
      <c r="C128" s="56">
        <v>400</v>
      </c>
      <c r="D128" s="56" t="str">
        <v>DDD</v>
      </c>
      <c r="E128" s="56" t="str">
        <v>$$$</v>
      </c>
      <c r="F128" s="56" t="str">
        <v>WWW</v>
      </c>
      <c r="G128" s="56" t="str">
        <v>Four</v>
      </c>
      <c r="I128" s="40">
        <v>500</v>
      </c>
      <c r="J128" s="40" t="str">
        <v>EEE</v>
      </c>
      <c r="K128" s="40" t="str">
        <v>%%%</v>
      </c>
      <c r="L128" s="40" t="str">
        <v>VVV</v>
      </c>
      <c r="M128" s="40" t="str">
        <v>Five</v>
      </c>
      <c r="N128" s="16" t="str">
        <f ca="1"/>
        <v xml:space="preserve">  _byR, D122,</v>
      </c>
    </row>
    <row r="129" spans="3:14" x14ac:dyDescent="0.3">
      <c r="C129" s="56">
        <v>500</v>
      </c>
      <c r="D129" s="56" t="str">
        <v>EEE</v>
      </c>
      <c r="E129" s="56" t="str">
        <v>%%%</v>
      </c>
      <c r="F129" s="56" t="str">
        <v>VVV</v>
      </c>
      <c r="G129" s="56" t="str">
        <v>Five</v>
      </c>
      <c r="I129" s="40">
        <v>700</v>
      </c>
      <c r="J129" s="40" t="str">
        <v>GGG</v>
      </c>
      <c r="K129" s="40" t="str">
        <v>&amp;&amp;&amp;</v>
      </c>
      <c r="L129" s="40" t="str">
        <v>TTT</v>
      </c>
      <c r="M129" s="40" t="str">
        <v>Seven</v>
      </c>
      <c r="N129" s="16" t="str">
        <f ca="1"/>
        <v xml:space="preserve">  _rr, ROWS(_arr),</v>
      </c>
    </row>
    <row r="130" spans="3:14" x14ac:dyDescent="0.3">
      <c r="C130" s="56">
        <v>600</v>
      </c>
      <c r="D130" s="56" t="str">
        <v>FFF</v>
      </c>
      <c r="E130" s="56" t="str">
        <v>^^^</v>
      </c>
      <c r="F130" s="56" t="str">
        <v>UUU</v>
      </c>
      <c r="G130" s="56" t="str">
        <v>Six</v>
      </c>
      <c r="I130" s="40">
        <v>1000</v>
      </c>
      <c r="J130" s="40" t="str">
        <v>JJJ</v>
      </c>
      <c r="K130" s="40" t="str">
        <v>)))</v>
      </c>
      <c r="L130" s="40" t="str">
        <v>QQQ</v>
      </c>
      <c r="M130" s="40" t="str">
        <v>Ten</v>
      </c>
      <c r="N130" s="16" t="str">
        <f ca="1"/>
        <v xml:space="preserve">  _cc, COLUMNS(_arr),</v>
      </c>
    </row>
    <row r="131" spans="3:14" x14ac:dyDescent="0.3">
      <c r="C131" s="56">
        <v>700</v>
      </c>
      <c r="D131" s="56" t="str">
        <v>GGG</v>
      </c>
      <c r="E131" s="56" t="str">
        <v>&amp;&amp;&amp;</v>
      </c>
      <c r="F131" s="56" t="str">
        <v>TTT</v>
      </c>
      <c r="G131" s="56" t="str">
        <v>Seven</v>
      </c>
      <c r="I131" s="40"/>
      <c r="J131" s="40"/>
      <c r="K131" s="40"/>
      <c r="L131" s="40"/>
      <c r="M131" s="40"/>
      <c r="N131" s="16" t="str">
        <f ca="1"/>
        <v xml:space="preserve">  _adj, IF(_byR,</v>
      </c>
    </row>
    <row r="132" spans="3:14" x14ac:dyDescent="0.3">
      <c r="C132" s="56">
        <v>800</v>
      </c>
      <c r="D132" s="56" t="str">
        <v>HHH</v>
      </c>
      <c r="E132" s="56" t="str">
        <v>***</v>
      </c>
      <c r="F132" s="56" t="str">
        <v>SSS</v>
      </c>
      <c r="G132" s="56" t="str">
        <v>Eight</v>
      </c>
      <c r="I132" s="40"/>
      <c r="J132" s="40"/>
      <c r="K132" s="40"/>
      <c r="L132" s="40"/>
      <c r="M132" s="40"/>
      <c r="N132" s="16" t="str">
        <f ca="1"/>
        <v xml:space="preserve">    _inp + IF(_inp &lt; 0, _rr + 1, 0),</v>
      </c>
    </row>
    <row r="133" spans="3:14" x14ac:dyDescent="0.3">
      <c r="C133" s="56">
        <v>900</v>
      </c>
      <c r="D133" s="56" t="str">
        <v>III</v>
      </c>
      <c r="E133" s="56" t="str">
        <v>(((</v>
      </c>
      <c r="F133" s="56" t="str">
        <v>RRR</v>
      </c>
      <c r="G133" s="56" t="str">
        <v>Nine</v>
      </c>
      <c r="I133" s="40"/>
      <c r="J133" s="40"/>
      <c r="K133" s="40"/>
      <c r="L133" s="40"/>
      <c r="M133" s="40"/>
      <c r="N133" s="16" t="str">
        <f ca="1"/>
        <v xml:space="preserve">    _inp + IF(_inp &lt; 0, _cc + 1, 0)</v>
      </c>
    </row>
    <row r="134" spans="3:14" x14ac:dyDescent="0.3">
      <c r="C134" s="56">
        <v>1000</v>
      </c>
      <c r="D134" s="56" t="str">
        <v>JJJ</v>
      </c>
      <c r="E134" s="56" t="str">
        <v>)))</v>
      </c>
      <c r="F134" s="56" t="str">
        <v>QQQ</v>
      </c>
      <c r="G134" s="56" t="str">
        <v>Ten</v>
      </c>
      <c r="I134" s="40"/>
      <c r="J134" s="40"/>
      <c r="K134" s="40"/>
      <c r="L134" s="40"/>
      <c r="M134" s="40"/>
      <c r="N134" s="16" t="str">
        <f ca="1"/>
        <v xml:space="preserve">  ),</v>
      </c>
    </row>
    <row r="135" spans="3:14" x14ac:dyDescent="0.3">
      <c r="N135" s="16" t="str">
        <f ca="1"/>
        <v xml:space="preserve">  _rIx, SEQUENCE(_rr, 1),</v>
      </c>
    </row>
    <row r="136" spans="3:14" x14ac:dyDescent="0.3">
      <c r="N136" s="16" t="str">
        <f ca="1"/>
        <v xml:space="preserve">  _cIx, SEQUENCE(1, _cc),</v>
      </c>
    </row>
    <row r="137" spans="3:14" x14ac:dyDescent="0.3">
      <c r="N137" s="16" t="str">
        <f ca="1"/>
        <v xml:space="preserve">  _rtn, IF(_byR = 1,</v>
      </c>
    </row>
    <row r="138" spans="3:14" x14ac:dyDescent="0.3">
      <c r="N138" s="16" t="str">
        <f ca="1"/>
        <v xml:space="preserve">    DROP(</v>
      </c>
    </row>
    <row r="139" spans="3:14" x14ac:dyDescent="0.3">
      <c r="N139" s="16" t="str">
        <f ca="1"/>
        <v xml:space="preserve">      REDUCE(0, _rIx, LAMBDA(_acc,_val,</v>
      </c>
    </row>
    <row r="140" spans="3:14" x14ac:dyDescent="0.3">
      <c r="N140" s="16" t="str">
        <f ca="1"/>
        <v xml:space="preserve">        IF( ISNA(XMATCH(_val, _adj)),</v>
      </c>
    </row>
    <row r="141" spans="3:14" x14ac:dyDescent="0.3">
      <c r="N141" s="16" t="str">
        <f ca="1"/>
        <v xml:space="preserve">          VSTACK(_acc, INDEX(_arr, _val, _cIx)), _acc))</v>
      </c>
    </row>
    <row r="142" spans="3:14" x14ac:dyDescent="0.3">
      <c r="N142" s="16" t="str">
        <f ca="1"/>
        <v xml:space="preserve">      ), 1),</v>
      </c>
    </row>
    <row r="143" spans="3:14" x14ac:dyDescent="0.3">
      <c r="N143" s="16" t="str">
        <f ca="1"/>
        <v xml:space="preserve">    DROP(</v>
      </c>
    </row>
    <row r="144" spans="3:14" x14ac:dyDescent="0.3">
      <c r="N144" s="16" t="str">
        <f ca="1"/>
        <v xml:space="preserve">      REDUCE(0, _cIx, LAMBDA(_acc,_val,</v>
      </c>
    </row>
    <row r="145" spans="2:20" x14ac:dyDescent="0.3">
      <c r="N145" s="16" t="str">
        <f ca="1"/>
        <v xml:space="preserve">        IF( ISNA(XMATCH(_val, _adj)),</v>
      </c>
    </row>
    <row r="146" spans="2:20" x14ac:dyDescent="0.3">
      <c r="N146" s="16" t="str">
        <f ca="1"/>
        <v xml:space="preserve">          HSTACK(_acc, INDEX(_arr, _rIx, _val)), _acc))</v>
      </c>
    </row>
    <row r="147" spans="2:20" x14ac:dyDescent="0.3">
      <c r="N147" s="16" t="str">
        <f ca="1"/>
        <v xml:space="preserve">      ), , 1)</v>
      </c>
    </row>
    <row r="148" spans="2:20" x14ac:dyDescent="0.3">
      <c r="N148" s="16" t="str">
        <f ca="1"/>
        <v xml:space="preserve">  ),</v>
      </c>
    </row>
    <row r="149" spans="2:20" x14ac:dyDescent="0.3">
      <c r="N149" s="16" t="str">
        <f ca="1"/>
        <v xml:space="preserve">  _rtn</v>
      </c>
    </row>
    <row r="150" spans="2:20" x14ac:dyDescent="0.3">
      <c r="N150" s="16" t="str">
        <f ca="1"/>
        <v>)</v>
      </c>
    </row>
    <row r="152" spans="2:20" x14ac:dyDescent="0.3">
      <c r="B152" s="13" t="s">
        <v>175</v>
      </c>
      <c r="C152" s="12"/>
      <c r="D152" s="12"/>
      <c r="E152" s="12"/>
      <c r="F152" s="12"/>
      <c r="G152" s="12"/>
      <c r="H152" s="12"/>
      <c r="I152" s="12"/>
      <c r="J152" s="12"/>
      <c r="K152" s="12"/>
      <c r="L152" s="12"/>
      <c r="M152" s="12"/>
      <c r="N152" s="12"/>
      <c r="O152" s="12"/>
      <c r="P152" s="12"/>
      <c r="Q152" s="12"/>
      <c r="R152" s="12"/>
      <c r="S152" s="12"/>
      <c r="T152" s="12"/>
    </row>
    <row r="154" spans="2:20" x14ac:dyDescent="0.3">
      <c r="B154" s="15" t="str" cm="1">
        <f t="array" ref="B154" xml:space="preserve"> "(" &amp; _xlfn.UNICHAR( 65 + SUMPRODUCT(--(_xlfn.REGEXTEST(B$1:B153, "^\([A-Z]\)$")))) &amp; ")"</f>
        <v>(E)</v>
      </c>
      <c r="C154" s="10" t="s">
        <v>176</v>
      </c>
    </row>
    <row r="156" spans="2:20" x14ac:dyDescent="0.3">
      <c r="C156" s="52" t="s">
        <v>226</v>
      </c>
      <c r="D156" s="21" cm="1">
        <f t="array" ref="D156:G156" xml:space="preserve"> {-2,4,6,8}</f>
        <v>-2</v>
      </c>
      <c r="E156" s="21">
        <v>4</v>
      </c>
      <c r="F156" s="21">
        <v>6</v>
      </c>
      <c r="G156" s="21">
        <v>8</v>
      </c>
    </row>
    <row r="157" spans="2:20" x14ac:dyDescent="0.3">
      <c r="C157" s="52" t="s">
        <v>227</v>
      </c>
      <c r="D157" s="21" cm="1">
        <f t="array" ref="D157:E157" xml:space="preserve"> {3,-2}</f>
        <v>3</v>
      </c>
      <c r="E157" s="21">
        <v>-2</v>
      </c>
      <c r="F157" s="21"/>
      <c r="G157" s="21"/>
    </row>
    <row r="159" spans="2:20" x14ac:dyDescent="0.3">
      <c r="C159" s="52" t="s">
        <v>168</v>
      </c>
      <c r="D159" s="43" t="str" cm="1">
        <f t="array" ref="D159" xml:space="preserve"> _xlfn.LET(
  _xlpm.array, $C$14:$G$23,
  _xlpm.remove_rows,_xlfn.ANCHORARRAY( D156),
  _xlpm.remove_cols,_xlfn.ANCHORARRAY( D157),
  _xlpm._arr, _xlpm.array,
  _xlpm._rr, ROWS(_xlpm._arr),
  _xlpm._cc, COLUMNS(_xlpm._arr),
  _xlpm._rInp, IF( ISBLANK(_xlpm.remove_rows), 0, INT(_xlpm.remove_rows)),
  _xlpm._cInp, IF( ISBLANK(_xlpm.remove_cols), 0, INT(_xlpm.remove_cols)),
  _xlpm._rAdj, _xlpm._rInp + IF(_xlpm._rInp &lt; 0, _xlpm._rr + 1, 0),
  _xlpm._cAdj, _xlpm._cInp + IF(_xlpm._cInp &lt; 0, _xlpm._cc + 1, 0),
  _xlpm._inpChk, IF(
    AND(_xlpm._rr &lt;= 1, _xlpm._cc &lt;= 1),
    2, IF(
    OR(
      SUM(--ISERROR(_xlpm._rAdj)) &gt; 0, SUM(--ISLOGICAL(_xlpm.remove_rows)) &gt; 0,
      SUM(--ISERROR(_xlpm._cAdj)) &gt; 0, SUM(--ISLOGICAL(_xlpm.remove_cols)) &gt; 0
    ), 3,
    1
  )),
  CHOOSE(_xlpm._inpChk, "OK", _xlfn.LAMBDA(0), #VALUE!)
)</f>
        <v>OK</v>
      </c>
      <c r="E159" s="16" t="str" cm="1">
        <f t="array" aca="1" ref="E159:E180" ca="1" xml:space="preserve"> _xlfn.TEXTSPLIT( _xlfn.FORMULATEXT(D159), , CHAR(10))</f>
        <v>= LET(</v>
      </c>
    </row>
    <row r="160" spans="2:20" x14ac:dyDescent="0.3">
      <c r="E160" s="16" t="str">
        <f ca="1"/>
        <v xml:space="preserve">  array, $C$14:$G$23,</v>
      </c>
    </row>
    <row r="161" spans="5:5" x14ac:dyDescent="0.3">
      <c r="E161" s="16" t="str">
        <f ca="1"/>
        <v xml:space="preserve">  remove_rows, D156#,</v>
      </c>
    </row>
    <row r="162" spans="5:5" x14ac:dyDescent="0.3">
      <c r="E162" s="16" t="str">
        <f ca="1"/>
        <v xml:space="preserve">  remove_cols, D157#,</v>
      </c>
    </row>
    <row r="163" spans="5:5" x14ac:dyDescent="0.3">
      <c r="E163" s="16" t="str">
        <f ca="1"/>
        <v xml:space="preserve">  _arr, array,</v>
      </c>
    </row>
    <row r="164" spans="5:5" x14ac:dyDescent="0.3">
      <c r="E164" s="16" t="str">
        <f ca="1"/>
        <v xml:space="preserve">  _rr, ROWS(_arr),</v>
      </c>
    </row>
    <row r="165" spans="5:5" x14ac:dyDescent="0.3">
      <c r="E165" s="16" t="str">
        <f ca="1"/>
        <v xml:space="preserve">  _cc, COLUMNS(_arr),</v>
      </c>
    </row>
    <row r="166" spans="5:5" x14ac:dyDescent="0.3">
      <c r="E166" s="16" t="str">
        <f ca="1"/>
        <v xml:space="preserve">  _rInp, IF( ISBLANK(remove_rows), 0, INT(remove_rows)),</v>
      </c>
    </row>
    <row r="167" spans="5:5" x14ac:dyDescent="0.3">
      <c r="E167" s="16" t="str">
        <f ca="1"/>
        <v xml:space="preserve">  _cInp, IF( ISBLANK(remove_cols), 0, INT(remove_cols)),</v>
      </c>
    </row>
    <row r="168" spans="5:5" x14ac:dyDescent="0.3">
      <c r="E168" s="16" t="str">
        <f ca="1"/>
        <v xml:space="preserve">  _rAdj, _rInp + IF(_rInp &lt; 0, _rr + 1, 0),</v>
      </c>
    </row>
    <row r="169" spans="5:5" x14ac:dyDescent="0.3">
      <c r="E169" s="16" t="str">
        <f ca="1"/>
        <v xml:space="preserve">  _cAdj, _cInp + IF(_cInp &lt; 0, _cc + 1, 0),</v>
      </c>
    </row>
    <row r="170" spans="5:5" x14ac:dyDescent="0.3">
      <c r="E170" s="16" t="str">
        <f ca="1"/>
        <v xml:space="preserve">  _inpChk, IF(</v>
      </c>
    </row>
    <row r="171" spans="5:5" x14ac:dyDescent="0.3">
      <c r="E171" s="16" t="str">
        <f ca="1"/>
        <v xml:space="preserve">    AND(_rr &lt;= 1, _cc &lt;= 1),</v>
      </c>
    </row>
    <row r="172" spans="5:5" x14ac:dyDescent="0.3">
      <c r="E172" s="16" t="str">
        <f ca="1"/>
        <v xml:space="preserve">    2, IF(</v>
      </c>
    </row>
    <row r="173" spans="5:5" x14ac:dyDescent="0.3">
      <c r="E173" s="16" t="str">
        <f ca="1"/>
        <v xml:space="preserve">    OR(</v>
      </c>
    </row>
    <row r="174" spans="5:5" x14ac:dyDescent="0.3">
      <c r="E174" s="16" t="str">
        <f ca="1"/>
        <v xml:space="preserve">      SUM(--ISERROR(_rAdj)) &gt; 0, SUM(--ISLOGICAL(remove_rows)) &gt; 0,</v>
      </c>
    </row>
    <row r="175" spans="5:5" x14ac:dyDescent="0.3">
      <c r="E175" s="16" t="str">
        <f ca="1"/>
        <v xml:space="preserve">      SUM(--ISERROR(_cAdj)) &gt; 0, SUM(--ISLOGICAL(remove_cols)) &gt; 0</v>
      </c>
    </row>
    <row r="176" spans="5:5" x14ac:dyDescent="0.3">
      <c r="E176" s="16" t="str">
        <f ca="1"/>
        <v xml:space="preserve">    ), 3,</v>
      </c>
    </row>
    <row r="177" spans="2:14" x14ac:dyDescent="0.3">
      <c r="E177" s="16" t="str">
        <f ca="1"/>
        <v xml:space="preserve">    1</v>
      </c>
    </row>
    <row r="178" spans="2:14" x14ac:dyDescent="0.3">
      <c r="E178" s="16" t="str">
        <f ca="1"/>
        <v xml:space="preserve">  )),</v>
      </c>
    </row>
    <row r="179" spans="2:14" x14ac:dyDescent="0.3">
      <c r="E179" s="16" t="str">
        <f ca="1"/>
        <v xml:space="preserve">  CHOOSE(_inpChk, "OK", LAMBDA(0), #VALUE!)</v>
      </c>
    </row>
    <row r="180" spans="2:14" x14ac:dyDescent="0.3">
      <c r="E180" s="16" t="str">
        <f ca="1"/>
        <v>)</v>
      </c>
    </row>
    <row r="182" spans="2:14" x14ac:dyDescent="0.3">
      <c r="B182" s="15" t="str" cm="1">
        <f t="array" ref="B182" xml:space="preserve"> "(" &amp; _xlfn.UNICHAR( 65 + SUMPRODUCT(--(_xlfn.REGEXTEST(B$1:B181, "^\([A-Z]\)$")))) &amp; ")"</f>
        <v>(F)</v>
      </c>
      <c r="C182" s="10" t="s">
        <v>228</v>
      </c>
    </row>
    <row r="184" spans="2:14" x14ac:dyDescent="0.3">
      <c r="C184" s="52" t="s">
        <v>226</v>
      </c>
      <c r="D184" s="21" cm="1">
        <f t="array" ref="D184:G184" xml:space="preserve"> {2,4,-5,-3}</f>
        <v>2</v>
      </c>
      <c r="E184" s="21">
        <v>4</v>
      </c>
      <c r="F184" s="21">
        <v>-5</v>
      </c>
      <c r="G184" s="21">
        <v>-3</v>
      </c>
    </row>
    <row r="185" spans="2:14" x14ac:dyDescent="0.3">
      <c r="C185" s="52" t="s">
        <v>227</v>
      </c>
      <c r="D185" s="21" cm="1">
        <f t="array" ref="D185:E185" xml:space="preserve"> {3,-2}</f>
        <v>3</v>
      </c>
      <c r="E185" s="21">
        <v>-2</v>
      </c>
      <c r="F185" s="21"/>
      <c r="G185" s="21"/>
    </row>
    <row r="187" spans="2:14" ht="14.4" thickBot="1" x14ac:dyDescent="0.35">
      <c r="C187" s="29" t="s">
        <v>218</v>
      </c>
      <c r="D187" s="60"/>
      <c r="E187" s="60"/>
      <c r="F187" s="60"/>
      <c r="G187" s="60"/>
      <c r="I187" s="29" t="s">
        <v>229</v>
      </c>
      <c r="J187" s="60"/>
      <c r="K187" s="60"/>
      <c r="L187" s="60"/>
      <c r="M187" s="60"/>
    </row>
    <row r="188" spans="2:14" x14ac:dyDescent="0.3">
      <c r="C188" s="56" cm="1">
        <f t="array" ref="C188:G197" xml:space="preserve"> $C$14:$G$23</f>
        <v>100</v>
      </c>
      <c r="D188" s="56" t="str">
        <v>AAA</v>
      </c>
      <c r="E188" s="56" t="str">
        <v>!!!</v>
      </c>
      <c r="F188" s="56" t="str">
        <v>ZZZ</v>
      </c>
      <c r="G188" s="56" t="str">
        <v>One</v>
      </c>
      <c r="I188" s="43" cm="1">
        <f t="array" ref="I188:K193" xml:space="preserve"> _xlfn.LET(
  _xlpm.remove_rows,_xlfn.ANCHORARRAY( D184),
  _xlpm.remove_cols,_xlfn.ANCHORARRAY( D185),
  _xlpm._arr,_xlfn.ANCHORARRAY( C188),
  _xlpm._rr, ROWS(_xlpm._arr),
  _xlpm._cc, COLUMNS(_xlpm._arr),
  _xlpm._rInp, IF( ISBLANK(_xlpm.remove_rows), 0, INT(_xlpm.remove_rows)),
  _xlpm._cInp, IF( ISBLANK(_xlpm.remove_cols), 0, INT(_xlpm.remove_cols)),
  _xlpm._rAdj, _xlpm._rInp + IF(_xlpm._rInp &lt; 0, _xlpm._rr + 1, 0),
  _xlpm._cAdj, _xlpm._cInp + IF(_xlpm._cInp &lt; 0, _xlpm._cc + 1, 0),
  _xlpm._inpChk, IF(
    AND(_xlpm._rr &lt;= 1, _xlpm._cc &lt;= 1),
    2, IF(
    OR(
      SUM(--ISERROR(_xlpm._rAdj)) &gt; 0, SUM(--ISLOGICAL(_xlpm.remove_rows)) &gt; 0,
      SUM(--ISERROR(_xlpm._cAdj)) &gt; 0, SUM(--ISLOGICAL(_xlpm.remove_cols)) &gt; 0
    ), 3,
    1
  )),
  _xlpm._calc, _xlfn.DROP(
    _xlfn.REDUCE(0, _xlfn.SEQUENCE(_xlpm._rr, 1), _xlfn.LAMBDA(_xlpm._acc,_xlpm._val,
      IF( ISNA(_xlfn.XMATCH(_xlpm._val, _xlpm._rAdj)),
        _xlfn.VSTACK(_xlpm._acc, INDEX(_xlpm._arr, _xlpm._val, _xlfn.SEQUENCE(1, _xlpm._cc))), _xlpm._acc))
    ), 1),
  _xlpm._rrC, ROWS(_xlpm._calc),
  _xlpm._rtn, _xlfn.DROP(
    _xlfn.REDUCE(0, _xlfn.SEQUENCE(1, _xlpm._cc), _xlfn.LAMBDA(_xlpm._acc,_xlpm._val,
      IF( ISNA(_xlfn.XMATCH(_xlpm._val, _xlpm._cAdj)),
        _xlfn.HSTACK(_xlpm._acc, INDEX(_xlpm._calc, _xlfn.SEQUENCE(_xlpm._rrC, 1), _xlpm._val)), _xlpm._acc))
    ), , 1),
  CHOOSE(_xlpm._inpChk, _xlpm._rtn, _xlfn.LAMBDA(0), #VALUE!)
)</f>
        <v>100</v>
      </c>
      <c r="J188" s="43" t="str">
        <v>AAA</v>
      </c>
      <c r="K188" s="43" t="str">
        <v>One</v>
      </c>
      <c r="L188" s="43"/>
      <c r="M188" s="43"/>
      <c r="N188" s="16" t="str" cm="1">
        <f t="array" aca="1" ref="N188:N219" ca="1" xml:space="preserve"> _xlfn.TEXTSPLIT( _xlfn.FORMULATEXT(I188), , CHAR(10))</f>
        <v>= LET(</v>
      </c>
    </row>
    <row r="189" spans="2:14" x14ac:dyDescent="0.3">
      <c r="C189" s="56">
        <v>200</v>
      </c>
      <c r="D189" s="56" t="str">
        <v>BBB</v>
      </c>
      <c r="E189" s="56" t="str">
        <v>"""</v>
      </c>
      <c r="F189" s="56" t="str">
        <v>YYY</v>
      </c>
      <c r="G189" s="56" t="str">
        <v>Two</v>
      </c>
      <c r="I189" s="43">
        <v>300</v>
      </c>
      <c r="J189" s="43" t="str">
        <v>CCC</v>
      </c>
      <c r="K189" s="43" t="str">
        <v>Three</v>
      </c>
      <c r="L189" s="43"/>
      <c r="M189" s="43"/>
      <c r="N189" s="16" t="str">
        <f ca="1"/>
        <v xml:space="preserve">  remove_rows, D184#,</v>
      </c>
    </row>
    <row r="190" spans="2:14" x14ac:dyDescent="0.3">
      <c r="C190" s="56">
        <v>300</v>
      </c>
      <c r="D190" s="56" t="str">
        <v>CCC</v>
      </c>
      <c r="E190" s="56" t="str">
        <v>£££</v>
      </c>
      <c r="F190" s="56" t="str">
        <v>XXX</v>
      </c>
      <c r="G190" s="56" t="str">
        <v>Three</v>
      </c>
      <c r="I190" s="43">
        <v>500</v>
      </c>
      <c r="J190" s="43" t="str">
        <v>EEE</v>
      </c>
      <c r="K190" s="43" t="str">
        <v>Five</v>
      </c>
      <c r="L190" s="43"/>
      <c r="M190" s="43"/>
      <c r="N190" s="16" t="str">
        <f ca="1"/>
        <v xml:space="preserve">  remove_cols, D185#,</v>
      </c>
    </row>
    <row r="191" spans="2:14" x14ac:dyDescent="0.3">
      <c r="C191" s="56">
        <v>400</v>
      </c>
      <c r="D191" s="56" t="str">
        <v>DDD</v>
      </c>
      <c r="E191" s="56" t="str">
        <v>$$$</v>
      </c>
      <c r="F191" s="56" t="str">
        <v>WWW</v>
      </c>
      <c r="G191" s="56" t="str">
        <v>Four</v>
      </c>
      <c r="I191" s="43">
        <v>700</v>
      </c>
      <c r="J191" s="43" t="str">
        <v>GGG</v>
      </c>
      <c r="K191" s="43" t="str">
        <v>Seven</v>
      </c>
      <c r="L191" s="43"/>
      <c r="M191" s="43"/>
      <c r="N191" s="16" t="str">
        <f ca="1"/>
        <v xml:space="preserve">  _arr, C188#,</v>
      </c>
    </row>
    <row r="192" spans="2:14" x14ac:dyDescent="0.3">
      <c r="C192" s="56">
        <v>500</v>
      </c>
      <c r="D192" s="56" t="str">
        <v>EEE</v>
      </c>
      <c r="E192" s="56" t="str">
        <v>%%%</v>
      </c>
      <c r="F192" s="56" t="str">
        <v>VVV</v>
      </c>
      <c r="G192" s="56" t="str">
        <v>Five</v>
      </c>
      <c r="I192" s="43">
        <v>900</v>
      </c>
      <c r="J192" s="43" t="str">
        <v>III</v>
      </c>
      <c r="K192" s="43" t="str">
        <v>Nine</v>
      </c>
      <c r="L192" s="43"/>
      <c r="M192" s="43"/>
      <c r="N192" s="16" t="str">
        <f ca="1"/>
        <v xml:space="preserve">  _rr, ROWS(_arr),</v>
      </c>
    </row>
    <row r="193" spans="3:14" x14ac:dyDescent="0.3">
      <c r="C193" s="56">
        <v>600</v>
      </c>
      <c r="D193" s="56" t="str">
        <v>FFF</v>
      </c>
      <c r="E193" s="56" t="str">
        <v>^^^</v>
      </c>
      <c r="F193" s="56" t="str">
        <v>UUU</v>
      </c>
      <c r="G193" s="56" t="str">
        <v>Six</v>
      </c>
      <c r="I193" s="43">
        <v>1000</v>
      </c>
      <c r="J193" s="43" t="str">
        <v>JJJ</v>
      </c>
      <c r="K193" s="43" t="str">
        <v>Ten</v>
      </c>
      <c r="L193" s="43"/>
      <c r="M193" s="43"/>
      <c r="N193" s="16" t="str">
        <f ca="1"/>
        <v xml:space="preserve">  _cc, COLUMNS(_arr),</v>
      </c>
    </row>
    <row r="194" spans="3:14" x14ac:dyDescent="0.3">
      <c r="C194" s="56">
        <v>700</v>
      </c>
      <c r="D194" s="56" t="str">
        <v>GGG</v>
      </c>
      <c r="E194" s="56" t="str">
        <v>&amp;&amp;&amp;</v>
      </c>
      <c r="F194" s="56" t="str">
        <v>TTT</v>
      </c>
      <c r="G194" s="56" t="str">
        <v>Seven</v>
      </c>
      <c r="I194" s="43"/>
      <c r="J194" s="43"/>
      <c r="K194" s="43"/>
      <c r="L194" s="43"/>
      <c r="M194" s="43"/>
      <c r="N194" s="16" t="str">
        <f ca="1"/>
        <v xml:space="preserve">  _rInp, IF( ISBLANK(remove_rows), 0, INT(remove_rows)),</v>
      </c>
    </row>
    <row r="195" spans="3:14" x14ac:dyDescent="0.3">
      <c r="C195" s="56">
        <v>800</v>
      </c>
      <c r="D195" s="56" t="str">
        <v>HHH</v>
      </c>
      <c r="E195" s="56" t="str">
        <v>***</v>
      </c>
      <c r="F195" s="56" t="str">
        <v>SSS</v>
      </c>
      <c r="G195" s="56" t="str">
        <v>Eight</v>
      </c>
      <c r="I195" s="43"/>
      <c r="J195" s="43"/>
      <c r="K195" s="43"/>
      <c r="L195" s="43"/>
      <c r="M195" s="43"/>
      <c r="N195" s="16" t="str">
        <f ca="1"/>
        <v xml:space="preserve">  _cInp, IF( ISBLANK(remove_cols), 0, INT(remove_cols)),</v>
      </c>
    </row>
    <row r="196" spans="3:14" x14ac:dyDescent="0.3">
      <c r="C196" s="56">
        <v>900</v>
      </c>
      <c r="D196" s="56" t="str">
        <v>III</v>
      </c>
      <c r="E196" s="56" t="str">
        <v>(((</v>
      </c>
      <c r="F196" s="56" t="str">
        <v>RRR</v>
      </c>
      <c r="G196" s="56" t="str">
        <v>Nine</v>
      </c>
      <c r="I196" s="43"/>
      <c r="J196" s="43"/>
      <c r="K196" s="43"/>
      <c r="L196" s="43"/>
      <c r="M196" s="43"/>
      <c r="N196" s="16" t="str">
        <f ca="1"/>
        <v xml:space="preserve">  _rAdj, _rInp + IF(_rInp &lt; 0, _rr + 1, 0),</v>
      </c>
    </row>
    <row r="197" spans="3:14" x14ac:dyDescent="0.3">
      <c r="C197" s="56">
        <v>1000</v>
      </c>
      <c r="D197" s="56" t="str">
        <v>JJJ</v>
      </c>
      <c r="E197" s="56" t="str">
        <v>)))</v>
      </c>
      <c r="F197" s="56" t="str">
        <v>QQQ</v>
      </c>
      <c r="G197" s="56" t="str">
        <v>Ten</v>
      </c>
      <c r="I197" s="43"/>
      <c r="J197" s="43"/>
      <c r="K197" s="43"/>
      <c r="L197" s="43"/>
      <c r="M197" s="43"/>
      <c r="N197" s="16" t="str">
        <f ca="1"/>
        <v xml:space="preserve">  _cAdj, _cInp + IF(_cInp &lt; 0, _cc + 1, 0),</v>
      </c>
    </row>
    <row r="198" spans="3:14" x14ac:dyDescent="0.3">
      <c r="N198" s="16" t="str">
        <f ca="1"/>
        <v xml:space="preserve">  _inpChk, IF(</v>
      </c>
    </row>
    <row r="199" spans="3:14" x14ac:dyDescent="0.3">
      <c r="N199" s="16" t="str">
        <f ca="1"/>
        <v xml:space="preserve">    AND(_rr &lt;= 1, _cc &lt;= 1),</v>
      </c>
    </row>
    <row r="200" spans="3:14" x14ac:dyDescent="0.3">
      <c r="N200" s="16" t="str">
        <f ca="1"/>
        <v xml:space="preserve">    2, IF(</v>
      </c>
    </row>
    <row r="201" spans="3:14" x14ac:dyDescent="0.3">
      <c r="N201" s="16" t="str">
        <f ca="1"/>
        <v xml:space="preserve">    OR(</v>
      </c>
    </row>
    <row r="202" spans="3:14" x14ac:dyDescent="0.3">
      <c r="N202" s="16" t="str">
        <f ca="1"/>
        <v xml:space="preserve">      SUM(--ISERROR(_rAdj)) &gt; 0, SUM(--ISLOGICAL(remove_rows)) &gt; 0,</v>
      </c>
    </row>
    <row r="203" spans="3:14" x14ac:dyDescent="0.3">
      <c r="N203" s="16" t="str">
        <f ca="1"/>
        <v xml:space="preserve">      SUM(--ISERROR(_cAdj)) &gt; 0, SUM(--ISLOGICAL(remove_cols)) &gt; 0</v>
      </c>
    </row>
    <row r="204" spans="3:14" x14ac:dyDescent="0.3">
      <c r="N204" s="16" t="str">
        <f ca="1"/>
        <v xml:space="preserve">    ), 3,</v>
      </c>
    </row>
    <row r="205" spans="3:14" x14ac:dyDescent="0.3">
      <c r="N205" s="16" t="str">
        <f ca="1"/>
        <v xml:space="preserve">    1</v>
      </c>
    </row>
    <row r="206" spans="3:14" x14ac:dyDescent="0.3">
      <c r="N206" s="16" t="str">
        <f ca="1"/>
        <v xml:space="preserve">  )),</v>
      </c>
    </row>
    <row r="207" spans="3:14" x14ac:dyDescent="0.3">
      <c r="N207" s="16" t="str">
        <f ca="1"/>
        <v xml:space="preserve">  _calc, DROP(</v>
      </c>
    </row>
    <row r="208" spans="3:14" x14ac:dyDescent="0.3">
      <c r="N208" s="16" t="str">
        <f ca="1"/>
        <v xml:space="preserve">    REDUCE(0, SEQUENCE(_rr, 1), LAMBDA(_acc,_val,</v>
      </c>
    </row>
    <row r="209" spans="2:14" x14ac:dyDescent="0.3">
      <c r="N209" s="16" t="str">
        <f ca="1"/>
        <v xml:space="preserve">      IF( ISNA(XMATCH(_val, _rAdj)),</v>
      </c>
    </row>
    <row r="210" spans="2:14" x14ac:dyDescent="0.3">
      <c r="N210" s="16" t="str">
        <f ca="1"/>
        <v xml:space="preserve">        VSTACK(_acc, INDEX(_arr, _val, SEQUENCE(1, _cc))), _acc))</v>
      </c>
    </row>
    <row r="211" spans="2:14" x14ac:dyDescent="0.3">
      <c r="N211" s="16" t="str">
        <f ca="1"/>
        <v xml:space="preserve">    ), 1),</v>
      </c>
    </row>
    <row r="212" spans="2:14" x14ac:dyDescent="0.3">
      <c r="N212" s="16" t="str">
        <f ca="1"/>
        <v xml:space="preserve">  _rrC, ROWS(_calc),</v>
      </c>
    </row>
    <row r="213" spans="2:14" x14ac:dyDescent="0.3">
      <c r="N213" s="16" t="str">
        <f ca="1"/>
        <v xml:space="preserve">  _rtn, DROP(</v>
      </c>
    </row>
    <row r="214" spans="2:14" x14ac:dyDescent="0.3">
      <c r="N214" s="16" t="str">
        <f ca="1"/>
        <v xml:space="preserve">    REDUCE(0, SEQUENCE(1, _cc), LAMBDA(_acc,_val,</v>
      </c>
    </row>
    <row r="215" spans="2:14" x14ac:dyDescent="0.3">
      <c r="N215" s="16" t="str">
        <f ca="1"/>
        <v xml:space="preserve">      IF( ISNA(XMATCH(_val, _cAdj)),</v>
      </c>
    </row>
    <row r="216" spans="2:14" x14ac:dyDescent="0.3">
      <c r="N216" s="16" t="str">
        <f ca="1"/>
        <v xml:space="preserve">        HSTACK(_acc, INDEX(_calc, SEQUENCE(_rrC, 1), _val)), _acc))</v>
      </c>
    </row>
    <row r="217" spans="2:14" x14ac:dyDescent="0.3">
      <c r="N217" s="16" t="str">
        <f ca="1"/>
        <v xml:space="preserve">    ), , 1),</v>
      </c>
    </row>
    <row r="218" spans="2:14" x14ac:dyDescent="0.3">
      <c r="N218" s="16" t="str">
        <f ca="1"/>
        <v xml:space="preserve">  CHOOSE(_inpChk, _rtn, LAMBDA(0), #VALUE!)</v>
      </c>
    </row>
    <row r="219" spans="2:14" x14ac:dyDescent="0.3">
      <c r="N219" s="16" t="str">
        <f ca="1"/>
        <v>)</v>
      </c>
    </row>
    <row r="220" spans="2:14" x14ac:dyDescent="0.3">
      <c r="N220" s="16"/>
    </row>
    <row r="221" spans="2:14" x14ac:dyDescent="0.3">
      <c r="B221" s="15" t="str" cm="1">
        <f t="array" ref="B221" xml:space="preserve"> "(" &amp; _xlfn.UNICHAR( 65 + SUMPRODUCT(--(_xlfn.REGEXTEST(B$1:B220, "^\([A-Z]\)$")))) &amp; ")"</f>
        <v>(G)</v>
      </c>
      <c r="C221" s="10" t="s">
        <v>230</v>
      </c>
    </row>
    <row r="223" spans="2:14" ht="14.4" thickBot="1" x14ac:dyDescent="0.35">
      <c r="C223" s="29" t="s">
        <v>218</v>
      </c>
      <c r="D223" s="60"/>
      <c r="E223" s="60"/>
      <c r="F223" s="60"/>
      <c r="G223" s="60"/>
      <c r="I223" s="29" t="s">
        <v>229</v>
      </c>
      <c r="J223" s="60"/>
      <c r="K223" s="60"/>
      <c r="L223" s="60"/>
      <c r="M223" s="60"/>
    </row>
    <row r="224" spans="2:14" x14ac:dyDescent="0.3">
      <c r="C224" s="56" cm="1">
        <f t="array" ref="C224:G233" xml:space="preserve"> $C$14:$G$23</f>
        <v>100</v>
      </c>
      <c r="D224" s="56" t="str">
        <v>AAA</v>
      </c>
      <c r="E224" s="56" t="str">
        <v>!!!</v>
      </c>
      <c r="F224" s="56" t="str">
        <v>ZZZ</v>
      </c>
      <c r="G224" s="56" t="str">
        <v>One</v>
      </c>
      <c r="I224" s="43" cm="1">
        <f t="array" ref="I224:K229" xml:space="preserve"> _xlfn.LAMBDA(_xlpm.array,_xlop.remove_rows,_xlop.remove_cols,
  _xlfn.LET(
    _xlpm._arr, _xlpm.array,
    _xlpm._rr, ROWS(_xlpm._arr),
    _xlpm._cc, COLUMNS(_xlpm._arr),
    _xlpm._rInp, IF( _xlfn.ISOMITTED(_xlpm.remove_rows), 0, INT(_xlpm.remove_rows)),
    _xlpm._cInp, IF( _xlfn.ISOMITTED(_xlpm.remove_cols), 0, INT(_xlpm.remove_cols)),
    _xlpm._rAdj, _xlpm._rInp + IF(_xlpm._rInp &lt; 0, _xlpm._rr + 1, 0),
    _xlpm._cAdj, _xlpm._cInp + IF(_xlpm._cInp &lt; 0, _xlpm._cc + 1, 0),
    _xlpm._inpChk, IF(
      AND(_xlpm._rr &lt;= 1, _xlpm._cc &lt;= 1),
      2, IF(
      OR(
        SUM(--ISERROR(_xlpm._rAdj)) &gt; 0, SUM(--ISLOGICAL(_xlpm.remove_rows)) &gt; 0,
        SUM(--ISERROR(_xlpm._cAdj)) &gt; 0, SUM(--ISLOGICAL(_xlpm.remove_cols)) &gt; 0
      ), 3,
      1
    )),
    _xlpm._calc, _xlfn.DROP(
      _xlfn.REDUCE(0, _xlfn.SEQUENCE(_xlpm._rr, 1), _xlfn.LAMBDA(_xlpm._acc,_xlpm._val,
        IF( ISNA(_xlfn.XMATCH(_xlpm._val, _xlpm._rAdj)),
          _xlfn.VSTACK(_xlpm._acc, INDEX(_xlpm._arr, _xlpm._val, _xlfn.SEQUENCE(1, _xlpm._cc))), _xlpm._acc))
      ), 1),
    _xlpm._rrC, ROWS(_xlpm._calc),
    _xlpm._rtn, _xlfn.DROP(
      _xlfn.REDUCE(0, _xlfn.SEQUENCE(1, _xlpm._cc), _xlfn.LAMBDA(_xlpm._acc,_xlpm._val,
        IF( ISNA(_xlfn.XMATCH(_xlpm._val, _xlpm._cAdj)),
          _xlfn.HSTACK(_xlpm._acc, INDEX(_xlpm._calc, _xlfn.SEQUENCE(_xlpm._rrC, 1), _xlpm._val)), _xlpm._acc))
      ), , 1),
    CHOOSE(_xlpm._inpChk, _xlpm._rtn, _xlfn.LAMBDA(0), #VALUE!)
  )
)(_xlfn.ANCHORARRAY(C224), {2,4,-5,-3}, {3,-2})</f>
        <v>100</v>
      </c>
      <c r="J224" s="43" t="str">
        <v>AAA</v>
      </c>
      <c r="K224" s="43" t="str">
        <v>One</v>
      </c>
      <c r="L224" s="43"/>
      <c r="M224" s="43"/>
      <c r="N224" s="16" t="str" cm="1">
        <f t="array" aca="1" ref="N224:N255" ca="1" xml:space="preserve"> _xlfn.TEXTSPLIT( _xlfn.FORMULATEXT(I224), , CHAR(10))</f>
        <v>= LAMBDA(array,[remove_rows],[remove_cols],</v>
      </c>
    </row>
    <row r="225" spans="3:14" x14ac:dyDescent="0.3">
      <c r="C225" s="56">
        <v>200</v>
      </c>
      <c r="D225" s="56" t="str">
        <v>BBB</v>
      </c>
      <c r="E225" s="56" t="str">
        <v>"""</v>
      </c>
      <c r="F225" s="56" t="str">
        <v>YYY</v>
      </c>
      <c r="G225" s="56" t="str">
        <v>Two</v>
      </c>
      <c r="I225" s="43">
        <v>300</v>
      </c>
      <c r="J225" s="43" t="str">
        <v>CCC</v>
      </c>
      <c r="K225" s="43" t="str">
        <v>Three</v>
      </c>
      <c r="L225" s="43"/>
      <c r="M225" s="43"/>
      <c r="N225" s="16" t="str">
        <f ca="1"/>
        <v xml:space="preserve">  LET(</v>
      </c>
    </row>
    <row r="226" spans="3:14" x14ac:dyDescent="0.3">
      <c r="C226" s="56">
        <v>300</v>
      </c>
      <c r="D226" s="56" t="str">
        <v>CCC</v>
      </c>
      <c r="E226" s="56" t="str">
        <v>£££</v>
      </c>
      <c r="F226" s="56" t="str">
        <v>XXX</v>
      </c>
      <c r="G226" s="56" t="str">
        <v>Three</v>
      </c>
      <c r="I226" s="43">
        <v>500</v>
      </c>
      <c r="J226" s="43" t="str">
        <v>EEE</v>
      </c>
      <c r="K226" s="43" t="str">
        <v>Five</v>
      </c>
      <c r="L226" s="43"/>
      <c r="M226" s="43"/>
      <c r="N226" s="16" t="str">
        <f ca="1"/>
        <v xml:space="preserve">    _arr, array,</v>
      </c>
    </row>
    <row r="227" spans="3:14" x14ac:dyDescent="0.3">
      <c r="C227" s="56">
        <v>400</v>
      </c>
      <c r="D227" s="56" t="str">
        <v>DDD</v>
      </c>
      <c r="E227" s="56" t="str">
        <v>$$$</v>
      </c>
      <c r="F227" s="56" t="str">
        <v>WWW</v>
      </c>
      <c r="G227" s="56" t="str">
        <v>Four</v>
      </c>
      <c r="I227" s="43">
        <v>700</v>
      </c>
      <c r="J227" s="43" t="str">
        <v>GGG</v>
      </c>
      <c r="K227" s="43" t="str">
        <v>Seven</v>
      </c>
      <c r="L227" s="43"/>
      <c r="M227" s="43"/>
      <c r="N227" s="16" t="str">
        <f ca="1"/>
        <v xml:space="preserve">    _rr, ROWS(_arr),</v>
      </c>
    </row>
    <row r="228" spans="3:14" x14ac:dyDescent="0.3">
      <c r="C228" s="56">
        <v>500</v>
      </c>
      <c r="D228" s="56" t="str">
        <v>EEE</v>
      </c>
      <c r="E228" s="56" t="str">
        <v>%%%</v>
      </c>
      <c r="F228" s="56" t="str">
        <v>VVV</v>
      </c>
      <c r="G228" s="56" t="str">
        <v>Five</v>
      </c>
      <c r="I228" s="43">
        <v>900</v>
      </c>
      <c r="J228" s="43" t="str">
        <v>III</v>
      </c>
      <c r="K228" s="43" t="str">
        <v>Nine</v>
      </c>
      <c r="L228" s="43"/>
      <c r="M228" s="43"/>
      <c r="N228" s="16" t="str">
        <f ca="1"/>
        <v xml:space="preserve">    _cc, COLUMNS(_arr),</v>
      </c>
    </row>
    <row r="229" spans="3:14" x14ac:dyDescent="0.3">
      <c r="C229" s="56">
        <v>600</v>
      </c>
      <c r="D229" s="56" t="str">
        <v>FFF</v>
      </c>
      <c r="E229" s="56" t="str">
        <v>^^^</v>
      </c>
      <c r="F229" s="56" t="str">
        <v>UUU</v>
      </c>
      <c r="G229" s="56" t="str">
        <v>Six</v>
      </c>
      <c r="I229" s="43">
        <v>1000</v>
      </c>
      <c r="J229" s="43" t="str">
        <v>JJJ</v>
      </c>
      <c r="K229" s="43" t="str">
        <v>Ten</v>
      </c>
      <c r="L229" s="43"/>
      <c r="M229" s="43"/>
      <c r="N229" s="16" t="str">
        <f ca="1"/>
        <v xml:space="preserve">    _rInp, IF( ISOMITTED(remove_rows), 0, INT(remove_rows)),</v>
      </c>
    </row>
    <row r="230" spans="3:14" x14ac:dyDescent="0.3">
      <c r="C230" s="56">
        <v>700</v>
      </c>
      <c r="D230" s="56" t="str">
        <v>GGG</v>
      </c>
      <c r="E230" s="56" t="str">
        <v>&amp;&amp;&amp;</v>
      </c>
      <c r="F230" s="56" t="str">
        <v>TTT</v>
      </c>
      <c r="G230" s="56" t="str">
        <v>Seven</v>
      </c>
      <c r="I230" s="43"/>
      <c r="J230" s="43"/>
      <c r="K230" s="43"/>
      <c r="L230" s="43"/>
      <c r="M230" s="43"/>
      <c r="N230" s="16" t="str">
        <f ca="1"/>
        <v xml:space="preserve">    _cInp, IF( ISOMITTED(remove_cols), 0, INT(remove_cols)),</v>
      </c>
    </row>
    <row r="231" spans="3:14" x14ac:dyDescent="0.3">
      <c r="C231" s="56">
        <v>800</v>
      </c>
      <c r="D231" s="56" t="str">
        <v>HHH</v>
      </c>
      <c r="E231" s="56" t="str">
        <v>***</v>
      </c>
      <c r="F231" s="56" t="str">
        <v>SSS</v>
      </c>
      <c r="G231" s="56" t="str">
        <v>Eight</v>
      </c>
      <c r="I231" s="43"/>
      <c r="J231" s="43"/>
      <c r="K231" s="43"/>
      <c r="L231" s="43"/>
      <c r="M231" s="43"/>
      <c r="N231" s="16" t="str">
        <f ca="1"/>
        <v xml:space="preserve">    _rAdj, _rInp + IF(_rInp &lt; 0, _rr + 1, 0),</v>
      </c>
    </row>
    <row r="232" spans="3:14" x14ac:dyDescent="0.3">
      <c r="C232" s="56">
        <v>900</v>
      </c>
      <c r="D232" s="56" t="str">
        <v>III</v>
      </c>
      <c r="E232" s="56" t="str">
        <v>(((</v>
      </c>
      <c r="F232" s="56" t="str">
        <v>RRR</v>
      </c>
      <c r="G232" s="56" t="str">
        <v>Nine</v>
      </c>
      <c r="I232" s="43"/>
      <c r="J232" s="43"/>
      <c r="K232" s="43"/>
      <c r="L232" s="43"/>
      <c r="M232" s="43"/>
      <c r="N232" s="16" t="str">
        <f ca="1"/>
        <v xml:space="preserve">    _cAdj, _cInp + IF(_cInp &lt; 0, _cc + 1, 0),</v>
      </c>
    </row>
    <row r="233" spans="3:14" x14ac:dyDescent="0.3">
      <c r="C233" s="56">
        <v>1000</v>
      </c>
      <c r="D233" s="56" t="str">
        <v>JJJ</v>
      </c>
      <c r="E233" s="56" t="str">
        <v>)))</v>
      </c>
      <c r="F233" s="56" t="str">
        <v>QQQ</v>
      </c>
      <c r="G233" s="56" t="str">
        <v>Ten</v>
      </c>
      <c r="I233" s="43"/>
      <c r="J233" s="43"/>
      <c r="K233" s="43"/>
      <c r="L233" s="43"/>
      <c r="M233" s="43"/>
      <c r="N233" s="16" t="str">
        <f ca="1"/>
        <v xml:space="preserve">    _inpChk, IF(</v>
      </c>
    </row>
    <row r="234" spans="3:14" x14ac:dyDescent="0.3">
      <c r="N234" s="16" t="str">
        <f ca="1"/>
        <v xml:space="preserve">      AND(_rr &lt;= 1, _cc &lt;= 1),</v>
      </c>
    </row>
    <row r="235" spans="3:14" x14ac:dyDescent="0.3">
      <c r="N235" s="16" t="str">
        <f ca="1"/>
        <v xml:space="preserve">      2, IF(</v>
      </c>
    </row>
    <row r="236" spans="3:14" x14ac:dyDescent="0.3">
      <c r="N236" s="16" t="str">
        <f ca="1"/>
        <v xml:space="preserve">      OR(</v>
      </c>
    </row>
    <row r="237" spans="3:14" x14ac:dyDescent="0.3">
      <c r="N237" s="16" t="str">
        <f ca="1"/>
        <v xml:space="preserve">        SUM(--ISERROR(_rAdj)) &gt; 0, SUM(--ISLOGICAL(remove_rows)) &gt; 0,</v>
      </c>
    </row>
    <row r="238" spans="3:14" x14ac:dyDescent="0.3">
      <c r="N238" s="16" t="str">
        <f ca="1"/>
        <v xml:space="preserve">        SUM(--ISERROR(_cAdj)) &gt; 0, SUM(--ISLOGICAL(remove_cols)) &gt; 0</v>
      </c>
    </row>
    <row r="239" spans="3:14" x14ac:dyDescent="0.3">
      <c r="N239" s="16" t="str">
        <f ca="1"/>
        <v xml:space="preserve">      ), 3,</v>
      </c>
    </row>
    <row r="240" spans="3:14" x14ac:dyDescent="0.3">
      <c r="N240" s="16" t="str">
        <f ca="1"/>
        <v xml:space="preserve">      1</v>
      </c>
    </row>
    <row r="241" spans="14:14" x14ac:dyDescent="0.3">
      <c r="N241" s="16" t="str">
        <f ca="1"/>
        <v xml:space="preserve">    )),</v>
      </c>
    </row>
    <row r="242" spans="14:14" x14ac:dyDescent="0.3">
      <c r="N242" s="16" t="str">
        <f ca="1"/>
        <v xml:space="preserve">    _calc, DROP(</v>
      </c>
    </row>
    <row r="243" spans="14:14" x14ac:dyDescent="0.3">
      <c r="N243" s="16" t="str">
        <f ca="1"/>
        <v xml:space="preserve">      REDUCE(0, SEQUENCE(_rr, 1), LAMBDA(_acc,_val,</v>
      </c>
    </row>
    <row r="244" spans="14:14" x14ac:dyDescent="0.3">
      <c r="N244" s="16" t="str">
        <f ca="1"/>
        <v xml:space="preserve">        IF( ISNA(XMATCH(_val, _rAdj)),</v>
      </c>
    </row>
    <row r="245" spans="14:14" x14ac:dyDescent="0.3">
      <c r="N245" s="16" t="str">
        <f ca="1"/>
        <v xml:space="preserve">          VSTACK(_acc, INDEX(_arr, _val, SEQUENCE(1, _cc))), _acc))</v>
      </c>
    </row>
    <row r="246" spans="14:14" x14ac:dyDescent="0.3">
      <c r="N246" s="16" t="str">
        <f ca="1"/>
        <v xml:space="preserve">      ), 1),</v>
      </c>
    </row>
    <row r="247" spans="14:14" x14ac:dyDescent="0.3">
      <c r="N247" s="16" t="str">
        <f ca="1"/>
        <v xml:space="preserve">    _rrC, ROWS(_calc),</v>
      </c>
    </row>
    <row r="248" spans="14:14" x14ac:dyDescent="0.3">
      <c r="N248" s="16" t="str">
        <f ca="1"/>
        <v xml:space="preserve">    _rtn, DROP(</v>
      </c>
    </row>
    <row r="249" spans="14:14" x14ac:dyDescent="0.3">
      <c r="N249" s="16" t="str">
        <f ca="1"/>
        <v xml:space="preserve">      REDUCE(0, SEQUENCE(1, _cc), LAMBDA(_acc,_val,</v>
      </c>
    </row>
    <row r="250" spans="14:14" x14ac:dyDescent="0.3">
      <c r="N250" s="16" t="str">
        <f ca="1"/>
        <v xml:space="preserve">        IF( ISNA(XMATCH(_val, _cAdj)),</v>
      </c>
    </row>
    <row r="251" spans="14:14" x14ac:dyDescent="0.3">
      <c r="N251" s="16" t="str">
        <f ca="1"/>
        <v xml:space="preserve">          HSTACK(_acc, INDEX(_calc, SEQUENCE(_rrC, 1), _val)), _acc))</v>
      </c>
    </row>
    <row r="252" spans="14:14" x14ac:dyDescent="0.3">
      <c r="N252" s="16" t="str">
        <f ca="1"/>
        <v xml:space="preserve">      ), , 1),</v>
      </c>
    </row>
    <row r="253" spans="14:14" x14ac:dyDescent="0.3">
      <c r="N253" s="16" t="str">
        <f ca="1"/>
        <v xml:space="preserve">    CHOOSE(_inpChk, _rtn, LAMBDA(0), #VALUE!)</v>
      </c>
    </row>
    <row r="254" spans="14:14" x14ac:dyDescent="0.3">
      <c r="N254" s="16" t="str">
        <f ca="1"/>
        <v xml:space="preserve">  )</v>
      </c>
    </row>
    <row r="255" spans="14:14" x14ac:dyDescent="0.3">
      <c r="N255" s="16" t="str">
        <f ca="1"/>
        <v>)(C224#, {2,4,-5,-3}, {3,-2})</v>
      </c>
    </row>
    <row r="257" spans="2:20" x14ac:dyDescent="0.3">
      <c r="B257" s="13" t="s">
        <v>258</v>
      </c>
      <c r="C257" s="12"/>
      <c r="D257" s="12"/>
      <c r="E257" s="12"/>
      <c r="F257" s="12"/>
      <c r="G257" s="12"/>
      <c r="H257" s="12"/>
      <c r="I257" s="12"/>
      <c r="J257" s="12"/>
      <c r="K257" s="12"/>
      <c r="L257" s="12"/>
      <c r="M257" s="12"/>
      <c r="N257" s="12"/>
      <c r="O257" s="12"/>
      <c r="P257" s="12"/>
      <c r="Q257" s="12"/>
      <c r="R257" s="12"/>
      <c r="S257" s="12"/>
      <c r="T257" s="12"/>
    </row>
    <row r="259" spans="2:20" x14ac:dyDescent="0.3">
      <c r="B259" s="15" t="str" cm="1">
        <f t="array" ref="B259" xml:space="preserve"> "(" &amp; _xlfn.UNICHAR( 65 + SUMPRODUCT(--(_xlfn.REGEXTEST(B$1:B258, "^\([A-Z]\)$")))) &amp; ")"</f>
        <v>(H)</v>
      </c>
      <c r="C259" s="10" t="s">
        <v>259</v>
      </c>
    </row>
    <row r="261" spans="2:20" x14ac:dyDescent="0.3">
      <c r="C261" s="52" t="s">
        <v>226</v>
      </c>
      <c r="D261" s="21" cm="1">
        <f t="array" ref="D261:G261" xml:space="preserve"> {2,4,-5,-3}</f>
        <v>2</v>
      </c>
      <c r="E261" s="21">
        <v>4</v>
      </c>
      <c r="F261" s="21">
        <v>-5</v>
      </c>
      <c r="G261" s="21">
        <v>-3</v>
      </c>
    </row>
    <row r="262" spans="2:20" x14ac:dyDescent="0.3">
      <c r="C262" s="52" t="s">
        <v>227</v>
      </c>
      <c r="D262" s="21" cm="1">
        <f t="array" ref="D262:E262" xml:space="preserve"> {3,-2}</f>
        <v>3</v>
      </c>
      <c r="E262" s="21">
        <v>-2</v>
      </c>
      <c r="F262" s="21"/>
      <c r="G262" s="21"/>
    </row>
    <row r="263" spans="2:20" x14ac:dyDescent="0.3">
      <c r="C263" s="52" t="s">
        <v>260</v>
      </c>
      <c r="D263" s="65" t="s">
        <v>282</v>
      </c>
      <c r="E263" s="66"/>
    </row>
    <row r="265" spans="2:20" ht="14.4" thickBot="1" x14ac:dyDescent="0.35">
      <c r="C265" s="29" t="s">
        <v>218</v>
      </c>
      <c r="D265" s="60"/>
      <c r="E265" s="60"/>
      <c r="F265" s="60"/>
      <c r="G265" s="60"/>
      <c r="I265" s="29" t="s">
        <v>229</v>
      </c>
      <c r="J265" s="60"/>
      <c r="K265" s="60"/>
      <c r="L265" s="60"/>
      <c r="M265" s="60"/>
    </row>
    <row r="266" spans="2:20" x14ac:dyDescent="0.3">
      <c r="C266" s="56" cm="1">
        <f t="array" ref="C266:G275" xml:space="preserve"> $C$14:$G$23</f>
        <v>100</v>
      </c>
      <c r="D266" s="56" t="str">
        <v>AAA</v>
      </c>
      <c r="E266" s="56" t="str">
        <v>!!!</v>
      </c>
      <c r="F266" s="56" t="str">
        <v>ZZZ</v>
      </c>
      <c r="G266" s="56" t="str">
        <v>One</v>
      </c>
      <c r="I266" s="43" cm="1">
        <f t="array" ref="I266:K271" xml:space="preserve"> _xlfn.LAMBDA(_xlpm.array,_xlop.remove_rows,_xlop.remove_cols,_xlop.if_empty,
  _xlfn.LET(
    _xlpm._arr, _xlpm.array,
    _xlpm._rr, ROWS(_xlpm._arr),
    _xlpm._cc, COLUMNS(_xlpm._arr),
    _xlpm._rInp, IF( _xlfn.ISOMITTED(_xlpm.remove_rows), 0, INT(_xlpm.remove_rows)),
    _xlpm._cInp, IF( _xlfn.ISOMITTED(_xlpm.remove_cols), 0, INT(_xlpm.remove_cols)),
    _xlpm._rep, IF( _xlfn.ISOMITTED(_xlpm.if_empty), NA(), _xlpm.if_empty),
    _xlpm._rAdj, _xlpm._rInp + IF(_xlpm._rInp &lt; 0, _xlpm._rr + 1, 0),
    _xlpm._cAdj, _xlpm._cInp + IF(_xlpm._cInp &lt; 0, _xlpm._cc + 1, 0),
    _xlpm._inpChk, IF(
      AND(_xlpm._rr &lt;= 1, _xlpm._cc &lt;= 1),
      2, IF(
      OR(
        SUM(--ISERROR(_xlpm._rAdj)) &gt; 0, SUM(--ISLOGICAL(_xlpm.remove_rows)) &gt; 0,
        SUM(--ISERROR(_xlpm._cAdj)) &gt; 0, SUM(--ISLOGICAL(_xlpm.remove_cols)) &gt; 0
      ), 3,
      1
    )),
    _xlpm._rCalc, _xlfn.DROP(
      _xlfn.REDUCE(0, _xlfn.SEQUENCE(_xlpm._rr, 1), _xlfn.LAMBDA(_xlpm._acc,_xlpm._val,
        IF( ISNA(_xlfn.XMATCH(_xlpm._val, _xlpm._rAdj)),
          _xlfn.VSTACK(_xlpm._acc, INDEX(_xlpm._arr, _xlpm._val, _xlfn.SEQUENCE(1, _xlpm._cc))), _xlpm._acc))
      ), 1),
    _xlpm._rrC, ROWS(_xlpm._rCalc),
    _xlpm._cCalc, _xlfn.DROP(
      _xlfn.REDUCE(0, _xlfn.SEQUENCE(1, _xlpm._cc), _xlfn.LAMBDA(_xlpm._acc,_xlpm._val,
        IF( ISNA(_xlfn.XMATCH(_xlpm._val, _xlpm._cAdj)),
          _xlfn.HSTACK(_xlpm._acc, INDEX(_xlpm._rCalc, _xlfn.SEQUENCE(_xlpm._rrC, 1), _xlpm._val)), _xlpm._acc))
      ), , 1),
    _xlpm._rtn, IF( ISERROR(_xlpm._cCalc), _xlpm._rep, _xlpm._cCalc),
    CHOOSE(_xlpm._inpChk, _xlpm._rtn, _xlfn.LAMBDA(0), #VALUE!)
  )
)(_xlfn.ANCHORARRAY(C266),_xlfn.ANCHORARRAY( D261),_xlfn.ANCHORARRAY( D262), D263)</f>
        <v>100</v>
      </c>
      <c r="J266" s="43" t="str">
        <v>AAA</v>
      </c>
      <c r="K266" s="43" t="str">
        <v>One</v>
      </c>
      <c r="L266" s="43"/>
      <c r="M266" s="43"/>
      <c r="N266" s="16" t="str" cm="1">
        <f t="array" aca="1" ref="N266:N299" ca="1" xml:space="preserve"> _xlfn.TEXTSPLIT( _xlfn.FORMULATEXT(I266), , CHAR(10))</f>
        <v>= LAMBDA(array,[remove_rows],[remove_cols],[if_empty],</v>
      </c>
    </row>
    <row r="267" spans="2:20" x14ac:dyDescent="0.3">
      <c r="C267" s="56">
        <v>200</v>
      </c>
      <c r="D267" s="56" t="str">
        <v>BBB</v>
      </c>
      <c r="E267" s="56" t="str">
        <v>"""</v>
      </c>
      <c r="F267" s="56" t="str">
        <v>YYY</v>
      </c>
      <c r="G267" s="56" t="str">
        <v>Two</v>
      </c>
      <c r="I267" s="43">
        <v>300</v>
      </c>
      <c r="J267" s="43" t="str">
        <v>CCC</v>
      </c>
      <c r="K267" s="43" t="str">
        <v>Three</v>
      </c>
      <c r="L267" s="43"/>
      <c r="M267" s="43"/>
      <c r="N267" s="16" t="str">
        <f ca="1"/>
        <v xml:space="preserve">  LET(</v>
      </c>
    </row>
    <row r="268" spans="2:20" x14ac:dyDescent="0.3">
      <c r="C268" s="56">
        <v>300</v>
      </c>
      <c r="D268" s="56" t="str">
        <v>CCC</v>
      </c>
      <c r="E268" s="56" t="str">
        <v>£££</v>
      </c>
      <c r="F268" s="56" t="str">
        <v>XXX</v>
      </c>
      <c r="G268" s="56" t="str">
        <v>Three</v>
      </c>
      <c r="I268" s="43">
        <v>500</v>
      </c>
      <c r="J268" s="43" t="str">
        <v>EEE</v>
      </c>
      <c r="K268" s="43" t="str">
        <v>Five</v>
      </c>
      <c r="L268" s="43"/>
      <c r="M268" s="43"/>
      <c r="N268" s="16" t="str">
        <f ca="1"/>
        <v xml:space="preserve">    _arr, array,</v>
      </c>
    </row>
    <row r="269" spans="2:20" x14ac:dyDescent="0.3">
      <c r="C269" s="56">
        <v>400</v>
      </c>
      <c r="D269" s="56" t="str">
        <v>DDD</v>
      </c>
      <c r="E269" s="56" t="str">
        <v>$$$</v>
      </c>
      <c r="F269" s="56" t="str">
        <v>WWW</v>
      </c>
      <c r="G269" s="56" t="str">
        <v>Four</v>
      </c>
      <c r="I269" s="43">
        <v>700</v>
      </c>
      <c r="J269" s="43" t="str">
        <v>GGG</v>
      </c>
      <c r="K269" s="43" t="str">
        <v>Seven</v>
      </c>
      <c r="L269" s="43"/>
      <c r="M269" s="43"/>
      <c r="N269" s="16" t="str">
        <f ca="1"/>
        <v xml:space="preserve">    _rr, ROWS(_arr),</v>
      </c>
    </row>
    <row r="270" spans="2:20" x14ac:dyDescent="0.3">
      <c r="C270" s="56">
        <v>500</v>
      </c>
      <c r="D270" s="56" t="str">
        <v>EEE</v>
      </c>
      <c r="E270" s="56" t="str">
        <v>%%%</v>
      </c>
      <c r="F270" s="56" t="str">
        <v>VVV</v>
      </c>
      <c r="G270" s="56" t="str">
        <v>Five</v>
      </c>
      <c r="I270" s="43">
        <v>900</v>
      </c>
      <c r="J270" s="43" t="str">
        <v>III</v>
      </c>
      <c r="K270" s="43" t="str">
        <v>Nine</v>
      </c>
      <c r="L270" s="43"/>
      <c r="M270" s="43"/>
      <c r="N270" s="16" t="str">
        <f ca="1"/>
        <v xml:space="preserve">    _cc, COLUMNS(_arr),</v>
      </c>
    </row>
    <row r="271" spans="2:20" x14ac:dyDescent="0.3">
      <c r="C271" s="56">
        <v>600</v>
      </c>
      <c r="D271" s="56" t="str">
        <v>FFF</v>
      </c>
      <c r="E271" s="56" t="str">
        <v>^^^</v>
      </c>
      <c r="F271" s="56" t="str">
        <v>UUU</v>
      </c>
      <c r="G271" s="56" t="str">
        <v>Six</v>
      </c>
      <c r="I271" s="43">
        <v>1000</v>
      </c>
      <c r="J271" s="43" t="str">
        <v>JJJ</v>
      </c>
      <c r="K271" s="43" t="str">
        <v>Ten</v>
      </c>
      <c r="L271" s="43"/>
      <c r="M271" s="43"/>
      <c r="N271" s="16" t="str">
        <f ca="1"/>
        <v xml:space="preserve">    _rInp, IF( ISOMITTED(remove_rows), 0, INT(remove_rows)),</v>
      </c>
    </row>
    <row r="272" spans="2:20" x14ac:dyDescent="0.3">
      <c r="C272" s="56">
        <v>700</v>
      </c>
      <c r="D272" s="56" t="str">
        <v>GGG</v>
      </c>
      <c r="E272" s="56" t="str">
        <v>&amp;&amp;&amp;</v>
      </c>
      <c r="F272" s="56" t="str">
        <v>TTT</v>
      </c>
      <c r="G272" s="56" t="str">
        <v>Seven</v>
      </c>
      <c r="I272" s="43"/>
      <c r="J272" s="43"/>
      <c r="K272" s="43"/>
      <c r="L272" s="43"/>
      <c r="M272" s="43"/>
      <c r="N272" s="16" t="str">
        <f ca="1"/>
        <v xml:space="preserve">    _cInp, IF( ISOMITTED(remove_cols), 0, INT(remove_cols)),</v>
      </c>
    </row>
    <row r="273" spans="3:14" x14ac:dyDescent="0.3">
      <c r="C273" s="56">
        <v>800</v>
      </c>
      <c r="D273" s="56" t="str">
        <v>HHH</v>
      </c>
      <c r="E273" s="56" t="str">
        <v>***</v>
      </c>
      <c r="F273" s="56" t="str">
        <v>SSS</v>
      </c>
      <c r="G273" s="56" t="str">
        <v>Eight</v>
      </c>
      <c r="I273" s="43"/>
      <c r="J273" s="43"/>
      <c r="K273" s="43"/>
      <c r="L273" s="43"/>
      <c r="M273" s="43"/>
      <c r="N273" s="16" t="str">
        <f ca="1"/>
        <v xml:space="preserve">    _rep, IF( ISOMITTED(if_empty), NA(), if_empty),</v>
      </c>
    </row>
    <row r="274" spans="3:14" x14ac:dyDescent="0.3">
      <c r="C274" s="56">
        <v>900</v>
      </c>
      <c r="D274" s="56" t="str">
        <v>III</v>
      </c>
      <c r="E274" s="56" t="str">
        <v>(((</v>
      </c>
      <c r="F274" s="56" t="str">
        <v>RRR</v>
      </c>
      <c r="G274" s="56" t="str">
        <v>Nine</v>
      </c>
      <c r="I274" s="43"/>
      <c r="J274" s="43"/>
      <c r="K274" s="43"/>
      <c r="L274" s="43"/>
      <c r="M274" s="43"/>
      <c r="N274" s="16" t="str">
        <f ca="1"/>
        <v xml:space="preserve">    _rAdj, _rInp + IF(_rInp &lt; 0, _rr + 1, 0),</v>
      </c>
    </row>
    <row r="275" spans="3:14" x14ac:dyDescent="0.3">
      <c r="C275" s="56">
        <v>1000</v>
      </c>
      <c r="D275" s="56" t="str">
        <v>JJJ</v>
      </c>
      <c r="E275" s="56" t="str">
        <v>)))</v>
      </c>
      <c r="F275" s="56" t="str">
        <v>QQQ</v>
      </c>
      <c r="G275" s="56" t="str">
        <v>Ten</v>
      </c>
      <c r="I275" s="43"/>
      <c r="J275" s="43"/>
      <c r="K275" s="43"/>
      <c r="L275" s="43"/>
      <c r="M275" s="43"/>
      <c r="N275" s="16" t="str">
        <f ca="1"/>
        <v xml:space="preserve">    _cAdj, _cInp + IF(_cInp &lt; 0, _cc + 1, 0),</v>
      </c>
    </row>
    <row r="276" spans="3:14" x14ac:dyDescent="0.3">
      <c r="N276" s="16" t="str">
        <f ca="1"/>
        <v xml:space="preserve">    _inpChk, IF(</v>
      </c>
    </row>
    <row r="277" spans="3:14" x14ac:dyDescent="0.3">
      <c r="N277" s="16" t="str">
        <f ca="1"/>
        <v xml:space="preserve">      AND(_rr &lt;= 1, _cc &lt;= 1),</v>
      </c>
    </row>
    <row r="278" spans="3:14" x14ac:dyDescent="0.3">
      <c r="N278" s="16" t="str">
        <f ca="1"/>
        <v xml:space="preserve">      2, IF(</v>
      </c>
    </row>
    <row r="279" spans="3:14" x14ac:dyDescent="0.3">
      <c r="N279" s="16" t="str">
        <f ca="1"/>
        <v xml:space="preserve">      OR(</v>
      </c>
    </row>
    <row r="280" spans="3:14" x14ac:dyDescent="0.3">
      <c r="N280" s="16" t="str">
        <f ca="1"/>
        <v xml:space="preserve">        SUM(--ISERROR(_rAdj)) &gt; 0, SUM(--ISLOGICAL(remove_rows)) &gt; 0,</v>
      </c>
    </row>
    <row r="281" spans="3:14" x14ac:dyDescent="0.3">
      <c r="N281" s="16" t="str">
        <f ca="1"/>
        <v xml:space="preserve">        SUM(--ISERROR(_cAdj)) &gt; 0, SUM(--ISLOGICAL(remove_cols)) &gt; 0</v>
      </c>
    </row>
    <row r="282" spans="3:14" x14ac:dyDescent="0.3">
      <c r="N282" s="16" t="str">
        <f ca="1"/>
        <v xml:space="preserve">      ), 3,</v>
      </c>
    </row>
    <row r="283" spans="3:14" x14ac:dyDescent="0.3">
      <c r="N283" s="16" t="str">
        <f ca="1"/>
        <v xml:space="preserve">      1</v>
      </c>
    </row>
    <row r="284" spans="3:14" x14ac:dyDescent="0.3">
      <c r="N284" s="16" t="str">
        <f ca="1"/>
        <v xml:space="preserve">    )),</v>
      </c>
    </row>
    <row r="285" spans="3:14" x14ac:dyDescent="0.3">
      <c r="N285" s="16" t="str">
        <f ca="1"/>
        <v xml:space="preserve">    _rCalc, DROP(</v>
      </c>
    </row>
    <row r="286" spans="3:14" x14ac:dyDescent="0.3">
      <c r="N286" s="16" t="str">
        <f ca="1"/>
        <v xml:space="preserve">      REDUCE(0, SEQUENCE(_rr, 1), LAMBDA(_acc,_val,</v>
      </c>
    </row>
    <row r="287" spans="3:14" x14ac:dyDescent="0.3">
      <c r="N287" s="16" t="str">
        <f ca="1"/>
        <v xml:space="preserve">        IF( ISNA(XMATCH(_val, _rAdj)),</v>
      </c>
    </row>
    <row r="288" spans="3:14" x14ac:dyDescent="0.3">
      <c r="N288" s="16" t="str">
        <f ca="1"/>
        <v xml:space="preserve">          VSTACK(_acc, INDEX(_arr, _val, SEQUENCE(1, _cc))), _acc))</v>
      </c>
    </row>
    <row r="289" spans="2:14" x14ac:dyDescent="0.3">
      <c r="N289" s="16" t="str">
        <f ca="1"/>
        <v xml:space="preserve">      ), 1),</v>
      </c>
    </row>
    <row r="290" spans="2:14" x14ac:dyDescent="0.3">
      <c r="N290" s="16" t="str">
        <f ca="1"/>
        <v xml:space="preserve">    _rrC, ROWS(_rCalc),</v>
      </c>
    </row>
    <row r="291" spans="2:14" x14ac:dyDescent="0.3">
      <c r="N291" s="16" t="str">
        <f ca="1"/>
        <v xml:space="preserve">    _cCalc, DROP(</v>
      </c>
    </row>
    <row r="292" spans="2:14" x14ac:dyDescent="0.3">
      <c r="N292" s="16" t="str">
        <f ca="1"/>
        <v xml:space="preserve">      REDUCE(0, SEQUENCE(1, _cc), LAMBDA(_acc,_val,</v>
      </c>
    </row>
    <row r="293" spans="2:14" x14ac:dyDescent="0.3">
      <c r="N293" s="16" t="str">
        <f ca="1"/>
        <v xml:space="preserve">        IF( ISNA(XMATCH(_val, _cAdj)),</v>
      </c>
    </row>
    <row r="294" spans="2:14" x14ac:dyDescent="0.3">
      <c r="N294" s="16" t="str">
        <f ca="1"/>
        <v xml:space="preserve">          HSTACK(_acc, INDEX(_rCalc, SEQUENCE(_rrC, 1), _val)), _acc))</v>
      </c>
    </row>
    <row r="295" spans="2:14" x14ac:dyDescent="0.3">
      <c r="N295" s="16" t="str">
        <f ca="1"/>
        <v xml:space="preserve">      ), , 1),</v>
      </c>
    </row>
    <row r="296" spans="2:14" x14ac:dyDescent="0.3">
      <c r="N296" s="16" t="str">
        <f ca="1"/>
        <v xml:space="preserve">    _rtn, IF( ISERROR(_cCalc), _rep, _cCalc),</v>
      </c>
    </row>
    <row r="297" spans="2:14" x14ac:dyDescent="0.3">
      <c r="N297" s="16" t="str">
        <f ca="1"/>
        <v xml:space="preserve">    CHOOSE(_inpChk, _rtn, LAMBDA(0), #VALUE!)</v>
      </c>
    </row>
    <row r="298" spans="2:14" x14ac:dyDescent="0.3">
      <c r="N298" s="16" t="str">
        <f ca="1"/>
        <v xml:space="preserve">  )</v>
      </c>
    </row>
    <row r="299" spans="2:14" x14ac:dyDescent="0.3">
      <c r="N299" s="16" t="str">
        <f ca="1"/>
        <v>)(C266#, D261#, D262#, D263)</v>
      </c>
    </row>
    <row r="302" spans="2:14" s="4" customFormat="1" ht="16.2" thickBot="1" x14ac:dyDescent="0.35">
      <c r="B302" s="5">
        <f xml:space="preserve"> MAX(B$1:B301) + 1</f>
        <v>2</v>
      </c>
      <c r="C302" s="4" t="s">
        <v>9</v>
      </c>
    </row>
    <row r="304" spans="2:14" x14ac:dyDescent="0.3">
      <c r="B304" s="10" t="s">
        <v>10</v>
      </c>
    </row>
    <row r="305" spans="2:6" x14ac:dyDescent="0.3">
      <c r="C305" t="s">
        <v>404</v>
      </c>
    </row>
    <row r="306" spans="2:6" x14ac:dyDescent="0.3">
      <c r="C306" t="s">
        <v>405</v>
      </c>
    </row>
    <row r="307" spans="2:6" x14ac:dyDescent="0.3">
      <c r="C307" t="s">
        <v>406</v>
      </c>
    </row>
    <row r="309" spans="2:6" x14ac:dyDescent="0.3">
      <c r="B309" s="10" t="s">
        <v>11</v>
      </c>
    </row>
    <row r="310" spans="2:6" x14ac:dyDescent="0.3">
      <c r="C310" s="17" t="s">
        <v>70</v>
      </c>
      <c r="E310" s="19" t="s">
        <v>16</v>
      </c>
      <c r="F310" t="s">
        <v>396</v>
      </c>
    </row>
    <row r="311" spans="2:6" x14ac:dyDescent="0.3">
      <c r="C311" s="17" t="s">
        <v>268</v>
      </c>
      <c r="E311" s="20" t="s">
        <v>17</v>
      </c>
      <c r="F311" t="s">
        <v>408</v>
      </c>
    </row>
    <row r="312" spans="2:6" x14ac:dyDescent="0.3">
      <c r="F312" t="s">
        <v>407</v>
      </c>
    </row>
    <row r="313" spans="2:6" x14ac:dyDescent="0.3">
      <c r="F313" s="30" t="s">
        <v>409</v>
      </c>
    </row>
    <row r="314" spans="2:6" x14ac:dyDescent="0.3">
      <c r="F314" s="30" t="s">
        <v>410</v>
      </c>
    </row>
    <row r="315" spans="2:6" x14ac:dyDescent="0.3">
      <c r="C315" s="17" t="s">
        <v>269</v>
      </c>
      <c r="E315" s="20" t="s">
        <v>17</v>
      </c>
      <c r="F315" t="s">
        <v>411</v>
      </c>
    </row>
    <row r="316" spans="2:6" x14ac:dyDescent="0.3">
      <c r="F316" t="s">
        <v>407</v>
      </c>
    </row>
    <row r="317" spans="2:6" x14ac:dyDescent="0.3">
      <c r="F317" s="30" t="s">
        <v>413</v>
      </c>
    </row>
    <row r="318" spans="2:6" x14ac:dyDescent="0.3">
      <c r="F318" s="30" t="s">
        <v>412</v>
      </c>
    </row>
    <row r="319" spans="2:6" x14ac:dyDescent="0.3">
      <c r="C319" s="17" t="s">
        <v>270</v>
      </c>
      <c r="E319" s="20" t="s">
        <v>17</v>
      </c>
      <c r="F319" t="s">
        <v>415</v>
      </c>
    </row>
    <row r="321" spans="2:5" x14ac:dyDescent="0.3">
      <c r="B321" s="10" t="s">
        <v>12</v>
      </c>
    </row>
    <row r="322" spans="2:5" x14ac:dyDescent="0.3">
      <c r="C322" s="18" t="e">
        <v>#VALUE!</v>
      </c>
      <c r="E322" t="s">
        <v>74</v>
      </c>
    </row>
    <row r="323" spans="2:5" x14ac:dyDescent="0.3">
      <c r="C323" s="18" t="e" vm="1">
        <v>#VALUE!</v>
      </c>
      <c r="E323" t="s">
        <v>75</v>
      </c>
    </row>
    <row r="324" spans="2:5" x14ac:dyDescent="0.3">
      <c r="C324" s="18" t="e">
        <v>#VALUE!</v>
      </c>
      <c r="E324" t="s">
        <v>416</v>
      </c>
    </row>
    <row r="326" spans="2:5" x14ac:dyDescent="0.3">
      <c r="B326" s="10" t="s">
        <v>14</v>
      </c>
    </row>
    <row r="327" spans="2:5" x14ac:dyDescent="0.3">
      <c r="C327" s="62" t="s">
        <v>80</v>
      </c>
    </row>
    <row r="328" spans="2:5" x14ac:dyDescent="0.3">
      <c r="C328" s="63" t="s">
        <v>81</v>
      </c>
    </row>
    <row r="329" spans="2:5" x14ac:dyDescent="0.3">
      <c r="C329" s="32" t="s">
        <v>82</v>
      </c>
    </row>
    <row r="330" spans="2:5" x14ac:dyDescent="0.3">
      <c r="C330" s="32" t="s">
        <v>248</v>
      </c>
    </row>
    <row r="331" spans="2:5" x14ac:dyDescent="0.3">
      <c r="C331" s="32" t="s">
        <v>249</v>
      </c>
    </row>
    <row r="332" spans="2:5" x14ac:dyDescent="0.3">
      <c r="C332" s="32" t="s">
        <v>261</v>
      </c>
    </row>
    <row r="333" spans="2:5" x14ac:dyDescent="0.3">
      <c r="C333" s="63" t="s">
        <v>84</v>
      </c>
    </row>
    <row r="334" spans="2:5" x14ac:dyDescent="0.3">
      <c r="C334" s="32" t="s">
        <v>85</v>
      </c>
    </row>
    <row r="335" spans="2:5" x14ac:dyDescent="0.3">
      <c r="C335" s="64" t="s">
        <v>397</v>
      </c>
    </row>
    <row r="336" spans="2:5" x14ac:dyDescent="0.3">
      <c r="C336" s="33" t="s">
        <v>231</v>
      </c>
    </row>
    <row r="337" spans="3:3" x14ac:dyDescent="0.3">
      <c r="C337" s="33" t="s">
        <v>232</v>
      </c>
    </row>
    <row r="338" spans="3:3" x14ac:dyDescent="0.3">
      <c r="C338" s="33" t="s">
        <v>233</v>
      </c>
    </row>
    <row r="339" spans="3:3" x14ac:dyDescent="0.3">
      <c r="C339" s="64" t="s">
        <v>90</v>
      </c>
    </row>
    <row r="340" spans="3:3" x14ac:dyDescent="0.3">
      <c r="C340" s="33" t="s">
        <v>250</v>
      </c>
    </row>
    <row r="341" spans="3:3" x14ac:dyDescent="0.3">
      <c r="C341" s="33" t="s">
        <v>251</v>
      </c>
    </row>
    <row r="342" spans="3:3" x14ac:dyDescent="0.3">
      <c r="C342" s="33" t="s">
        <v>262</v>
      </c>
    </row>
    <row r="343" spans="3:3" x14ac:dyDescent="0.3">
      <c r="C343" s="64" t="s">
        <v>398</v>
      </c>
    </row>
    <row r="344" spans="3:3" x14ac:dyDescent="0.3">
      <c r="C344" s="33" t="s">
        <v>234</v>
      </c>
    </row>
    <row r="345" spans="3:3" x14ac:dyDescent="0.3">
      <c r="C345" s="33" t="s">
        <v>235</v>
      </c>
    </row>
    <row r="346" spans="3:3" x14ac:dyDescent="0.3">
      <c r="C346" s="64" t="s">
        <v>92</v>
      </c>
    </row>
    <row r="347" spans="3:3" x14ac:dyDescent="0.3">
      <c r="C347" s="33" t="s">
        <v>93</v>
      </c>
    </row>
    <row r="348" spans="3:3" x14ac:dyDescent="0.3">
      <c r="C348" s="36" t="s">
        <v>236</v>
      </c>
    </row>
    <row r="349" spans="3:3" x14ac:dyDescent="0.3">
      <c r="C349" s="36" t="s">
        <v>237</v>
      </c>
    </row>
    <row r="350" spans="3:3" x14ac:dyDescent="0.3">
      <c r="C350" s="36" t="s">
        <v>97</v>
      </c>
    </row>
    <row r="351" spans="3:3" x14ac:dyDescent="0.3">
      <c r="C351" s="37" t="s">
        <v>238</v>
      </c>
    </row>
    <row r="352" spans="3:3" x14ac:dyDescent="0.3">
      <c r="C352" s="37" t="s">
        <v>239</v>
      </c>
    </row>
    <row r="353" spans="3:3" x14ac:dyDescent="0.3">
      <c r="C353" s="36" t="s">
        <v>240</v>
      </c>
    </row>
    <row r="354" spans="3:3" x14ac:dyDescent="0.3">
      <c r="C354" s="36" t="s">
        <v>241</v>
      </c>
    </row>
    <row r="355" spans="3:3" x14ac:dyDescent="0.3">
      <c r="C355" s="33" t="s">
        <v>118</v>
      </c>
    </row>
    <row r="356" spans="3:3" x14ac:dyDescent="0.3">
      <c r="C356" s="64" t="s">
        <v>399</v>
      </c>
    </row>
    <row r="357" spans="3:3" x14ac:dyDescent="0.3">
      <c r="C357" s="33" t="s">
        <v>263</v>
      </c>
    </row>
    <row r="358" spans="3:3" x14ac:dyDescent="0.3">
      <c r="C358" s="36" t="s">
        <v>242</v>
      </c>
    </row>
    <row r="359" spans="3:3" x14ac:dyDescent="0.3">
      <c r="C359" s="37" t="s">
        <v>243</v>
      </c>
    </row>
    <row r="360" spans="3:3" x14ac:dyDescent="0.3">
      <c r="C360" s="38" t="s">
        <v>244</v>
      </c>
    </row>
    <row r="361" spans="3:3" x14ac:dyDescent="0.3">
      <c r="C361" s="36" t="s">
        <v>245</v>
      </c>
    </row>
    <row r="362" spans="3:3" x14ac:dyDescent="0.3">
      <c r="C362" s="64" t="s">
        <v>401</v>
      </c>
    </row>
    <row r="363" spans="3:3" x14ac:dyDescent="0.3">
      <c r="C363" s="33" t="s">
        <v>264</v>
      </c>
    </row>
    <row r="364" spans="3:3" x14ac:dyDescent="0.3">
      <c r="C364" s="64" t="s">
        <v>400</v>
      </c>
    </row>
    <row r="365" spans="3:3" x14ac:dyDescent="0.3">
      <c r="C365" s="33" t="s">
        <v>265</v>
      </c>
    </row>
    <row r="366" spans="3:3" x14ac:dyDescent="0.3">
      <c r="C366" s="36" t="s">
        <v>252</v>
      </c>
    </row>
    <row r="367" spans="3:3" x14ac:dyDescent="0.3">
      <c r="C367" s="37" t="s">
        <v>246</v>
      </c>
    </row>
    <row r="368" spans="3:3" x14ac:dyDescent="0.3">
      <c r="C368" s="38" t="s">
        <v>266</v>
      </c>
    </row>
    <row r="369" spans="2:3" x14ac:dyDescent="0.3">
      <c r="C369" s="36" t="s">
        <v>247</v>
      </c>
    </row>
    <row r="370" spans="2:3" x14ac:dyDescent="0.3">
      <c r="C370" s="64" t="s">
        <v>402</v>
      </c>
    </row>
    <row r="371" spans="2:3" x14ac:dyDescent="0.3">
      <c r="C371" s="33" t="s">
        <v>414</v>
      </c>
    </row>
    <row r="372" spans="2:3" x14ac:dyDescent="0.3">
      <c r="C372" s="64" t="s">
        <v>126</v>
      </c>
    </row>
    <row r="373" spans="2:3" x14ac:dyDescent="0.3">
      <c r="C373" s="64" t="s">
        <v>127</v>
      </c>
    </row>
    <row r="374" spans="2:3" x14ac:dyDescent="0.3">
      <c r="C374" s="33" t="s">
        <v>128</v>
      </c>
    </row>
    <row r="375" spans="2:3" x14ac:dyDescent="0.3">
      <c r="C375" s="32" t="s">
        <v>117</v>
      </c>
    </row>
    <row r="376" spans="2:3" x14ac:dyDescent="0.3">
      <c r="C376" s="17" t="s">
        <v>117</v>
      </c>
    </row>
    <row r="378" spans="2:3" x14ac:dyDescent="0.3">
      <c r="C378" s="10" t="s">
        <v>15</v>
      </c>
    </row>
    <row r="379" spans="2:3" x14ac:dyDescent="0.3">
      <c r="C379" s="62" t="s">
        <v>267</v>
      </c>
    </row>
    <row r="381" spans="2:3" ht="14.4" thickBot="1" x14ac:dyDescent="0.35"/>
    <row r="382" spans="2:3" s="3" customFormat="1" x14ac:dyDescent="0.3">
      <c r="B382" s="3" t="s">
        <v>0</v>
      </c>
    </row>
  </sheetData>
  <dataValidations disablePrompts="1" count="2">
    <dataValidation type="list" allowBlank="1" showInputMessage="1" showErrorMessage="1" sqref="F39" xr:uid="{2302B978-6A65-415E-8A69-0C798FEFB9FB}">
      <formula1>$C$40:$C$42</formula1>
    </dataValidation>
    <dataValidation type="list" allowBlank="1" showInputMessage="1" showErrorMessage="1" sqref="I54 D122" xr:uid="{7EDBE11F-95E3-4D88-9D95-26F27E19876E}">
      <formula1>_YesNo</formula1>
    </dataValidation>
  </dataValidation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51E1E-A6D8-404E-9101-0183D3568829}">
  <sheetPr codeName="Sheet3"/>
  <dimension ref="B1:T198"/>
  <sheetViews>
    <sheetView showGridLines="0" workbookViewId="0">
      <pane ySplit="1" topLeftCell="A2" activePane="bottomLeft" state="frozen"/>
      <selection pane="bottomLeft"/>
    </sheetView>
  </sheetViews>
  <sheetFormatPr defaultRowHeight="13.8" x14ac:dyDescent="0.3"/>
  <cols>
    <col min="1" max="2" width="4.33203125" customWidth="1"/>
  </cols>
  <sheetData>
    <row r="1" spans="2:12" s="1" customFormat="1" ht="30" customHeight="1" x14ac:dyDescent="0.3">
      <c r="C1" s="2" t="s">
        <v>468</v>
      </c>
    </row>
    <row r="3" spans="2:12" x14ac:dyDescent="0.3">
      <c r="B3" s="11" t="s">
        <v>4</v>
      </c>
    </row>
    <row r="4" spans="2:12" x14ac:dyDescent="0.3">
      <c r="C4" t="s">
        <v>525</v>
      </c>
    </row>
    <row r="5" spans="2:12" x14ac:dyDescent="0.3">
      <c r="C5" t="s">
        <v>524</v>
      </c>
    </row>
    <row r="6" spans="2:12" x14ac:dyDescent="0.3">
      <c r="C6" t="s">
        <v>526</v>
      </c>
    </row>
    <row r="8" spans="2:12" x14ac:dyDescent="0.3">
      <c r="B8" s="11" t="s">
        <v>5</v>
      </c>
    </row>
    <row r="10" spans="2:12" ht="14.4" thickBot="1" x14ac:dyDescent="0.35">
      <c r="C10" s="29" t="s">
        <v>178</v>
      </c>
      <c r="D10" s="60"/>
      <c r="E10" s="60"/>
      <c r="F10" s="60"/>
      <c r="G10" s="60"/>
      <c r="I10" s="29" t="s">
        <v>199</v>
      </c>
      <c r="J10" s="60"/>
      <c r="K10" s="60"/>
      <c r="L10" s="60"/>
    </row>
    <row r="11" spans="2:12" x14ac:dyDescent="0.3">
      <c r="C11" s="25">
        <v>1</v>
      </c>
      <c r="D11" s="25">
        <v>2</v>
      </c>
      <c r="E11" s="25">
        <v>3</v>
      </c>
      <c r="F11" s="25">
        <v>4</v>
      </c>
      <c r="G11" s="25">
        <v>5</v>
      </c>
      <c r="I11" s="22">
        <v>1</v>
      </c>
      <c r="J11" s="22" t="s">
        <v>30</v>
      </c>
      <c r="K11" s="22" t="s">
        <v>179</v>
      </c>
      <c r="L11" s="22" t="s">
        <v>189</v>
      </c>
    </row>
    <row r="12" spans="2:12" x14ac:dyDescent="0.3">
      <c r="C12" s="22">
        <v>6</v>
      </c>
      <c r="D12" s="22">
        <v>7</v>
      </c>
      <c r="E12" s="22">
        <v>8</v>
      </c>
      <c r="F12" s="22">
        <v>9</v>
      </c>
      <c r="G12" s="22">
        <v>10</v>
      </c>
      <c r="I12" s="22">
        <v>2</v>
      </c>
      <c r="J12" s="22" t="s">
        <v>32</v>
      </c>
      <c r="K12" s="22" t="s">
        <v>180</v>
      </c>
      <c r="L12" s="22" t="s">
        <v>190</v>
      </c>
    </row>
    <row r="13" spans="2:12" x14ac:dyDescent="0.3">
      <c r="C13" s="22">
        <v>11</v>
      </c>
      <c r="D13" s="22">
        <v>12</v>
      </c>
      <c r="E13" s="22">
        <v>13</v>
      </c>
      <c r="F13" s="22">
        <v>14</v>
      </c>
      <c r="G13" s="22">
        <v>15</v>
      </c>
      <c r="I13" s="22">
        <v>3</v>
      </c>
      <c r="J13" s="22" t="s">
        <v>34</v>
      </c>
      <c r="K13" s="22" t="s">
        <v>181</v>
      </c>
      <c r="L13" s="22" t="s">
        <v>191</v>
      </c>
    </row>
    <row r="14" spans="2:12" x14ac:dyDescent="0.3">
      <c r="C14" s="22">
        <v>16</v>
      </c>
      <c r="D14" s="22">
        <v>17</v>
      </c>
      <c r="E14" s="22">
        <v>18</v>
      </c>
      <c r="F14" s="22">
        <v>19</v>
      </c>
      <c r="G14" s="22">
        <v>20</v>
      </c>
      <c r="I14" s="22">
        <v>4</v>
      </c>
      <c r="J14" s="22" t="s">
        <v>36</v>
      </c>
      <c r="K14" s="22" t="s">
        <v>182</v>
      </c>
      <c r="L14" s="22" t="s">
        <v>198</v>
      </c>
    </row>
    <row r="15" spans="2:12" x14ac:dyDescent="0.3">
      <c r="C15" s="22">
        <v>21</v>
      </c>
      <c r="D15" s="22">
        <v>22</v>
      </c>
      <c r="E15" s="22">
        <v>23</v>
      </c>
      <c r="F15" s="22">
        <v>24</v>
      </c>
      <c r="G15" s="22">
        <v>25</v>
      </c>
      <c r="I15" s="22">
        <v>5</v>
      </c>
      <c r="J15" s="22" t="s">
        <v>38</v>
      </c>
      <c r="K15" s="22" t="s">
        <v>183</v>
      </c>
      <c r="L15" s="22" t="s">
        <v>197</v>
      </c>
    </row>
    <row r="18" spans="2:20" s="4" customFormat="1" ht="16.2" thickBot="1" x14ac:dyDescent="0.35">
      <c r="B18" s="5">
        <f xml:space="preserve"> MAX(B$1:B17) + 1</f>
        <v>1</v>
      </c>
      <c r="C18" s="4" t="s">
        <v>7</v>
      </c>
    </row>
    <row r="20" spans="2:20" x14ac:dyDescent="0.3">
      <c r="B20" s="13" t="s">
        <v>6</v>
      </c>
      <c r="C20" s="12"/>
      <c r="D20" s="12"/>
      <c r="E20" s="12"/>
      <c r="F20" s="12"/>
      <c r="G20" s="12"/>
      <c r="H20" s="12"/>
      <c r="I20" s="12"/>
      <c r="J20" s="12"/>
      <c r="K20" s="12"/>
      <c r="L20" s="12"/>
      <c r="M20" s="12"/>
      <c r="N20" s="12"/>
      <c r="O20" s="12"/>
      <c r="P20" s="12"/>
      <c r="Q20" s="12"/>
      <c r="R20" s="12"/>
      <c r="S20" s="12"/>
      <c r="T20" s="12"/>
    </row>
    <row r="22" spans="2:20" x14ac:dyDescent="0.3">
      <c r="C22" s="14" t="s">
        <v>8</v>
      </c>
    </row>
    <row r="23" spans="2:20" x14ac:dyDescent="0.3">
      <c r="C23" t="s">
        <v>527</v>
      </c>
    </row>
    <row r="24" spans="2:20" x14ac:dyDescent="0.3">
      <c r="C24" s="30" t="s">
        <v>528</v>
      </c>
    </row>
    <row r="25" spans="2:20" x14ac:dyDescent="0.3">
      <c r="C25" s="30" t="s">
        <v>529</v>
      </c>
    </row>
    <row r="26" spans="2:20" x14ac:dyDescent="0.3">
      <c r="C26" s="30" t="s">
        <v>530</v>
      </c>
    </row>
    <row r="29" spans="2:20" x14ac:dyDescent="0.3">
      <c r="B29" s="15" t="str" cm="1">
        <f t="array" ref="B29" xml:space="preserve"> "(" &amp; _xlfn.UNICHAR( 65 + SUMPRODUCT(--(_xlfn.REGEXTEST(B$1:B28, "^\([A-Z]\)$")))) &amp; ")"</f>
        <v>(A)</v>
      </c>
      <c r="C29" s="10" t="s">
        <v>506</v>
      </c>
    </row>
    <row r="30" spans="2:20" x14ac:dyDescent="0.3">
      <c r="C30" s="10" t="s">
        <v>507</v>
      </c>
    </row>
    <row r="32" spans="2:20" x14ac:dyDescent="0.3">
      <c r="C32" s="81" t="s">
        <v>505</v>
      </c>
      <c r="I32" s="81" t="s">
        <v>504</v>
      </c>
    </row>
    <row r="33" spans="2:14" x14ac:dyDescent="0.3">
      <c r="C33" s="42" cm="1">
        <f t="array" ref="C33:G37" xml:space="preserve"> $C$11:$G$15</f>
        <v>1</v>
      </c>
      <c r="D33" s="42">
        <v>2</v>
      </c>
      <c r="E33" s="42">
        <v>3</v>
      </c>
      <c r="F33" s="42">
        <v>4</v>
      </c>
      <c r="G33" s="42">
        <v>5</v>
      </c>
      <c r="I33" s="43" cm="1">
        <f t="array" ref="I33:M37" xml:space="preserve"> _xlfn.LET(
  _xlpm._inp,_xlfn.ANCHORARRAY( C33),
  _xlpm._rr, ROWS(_xlpm._inp),
  _xlpm._cc, COLUMNS(_xlpm._inp),
  _xlpm._rIdx, _xlfn.SEQUENCE(_xlpm._rr, 1, _xlpm._rr, -1),
  _xlpm._cIdx, _xlfn.SEQUENCE(1, _xlpm._cc, _xlpm._cc, -1),
  _xlpm._rtn, INDEX(_xlpm._inp, _xlpm._rIdx, _xlpm._cIdx),
  _xlpm._rtn
)</f>
        <v>25</v>
      </c>
      <c r="J33" s="43">
        <v>24</v>
      </c>
      <c r="K33" s="43">
        <v>23</v>
      </c>
      <c r="L33" s="43">
        <v>22</v>
      </c>
      <c r="M33" s="43">
        <v>21</v>
      </c>
      <c r="N33" s="16" t="str" cm="1">
        <f t="array" aca="1" ref="N33:N41" ca="1" xml:space="preserve"> _xlfn.TEXTSPLIT( _xlfn.FORMULATEXT(I33), , CHAR(10))</f>
        <v>= LET(</v>
      </c>
    </row>
    <row r="34" spans="2:14" x14ac:dyDescent="0.3">
      <c r="C34" s="42">
        <v>6</v>
      </c>
      <c r="D34" s="42">
        <v>7</v>
      </c>
      <c r="E34" s="42">
        <v>8</v>
      </c>
      <c r="F34" s="42">
        <v>9</v>
      </c>
      <c r="G34" s="42">
        <v>10</v>
      </c>
      <c r="I34" s="43">
        <v>20</v>
      </c>
      <c r="J34" s="43">
        <v>19</v>
      </c>
      <c r="K34" s="43">
        <v>18</v>
      </c>
      <c r="L34" s="43">
        <v>17</v>
      </c>
      <c r="M34" s="43">
        <v>16</v>
      </c>
      <c r="N34" s="16" t="str">
        <f ca="1"/>
        <v xml:space="preserve">  _inp, C33#,</v>
      </c>
    </row>
    <row r="35" spans="2:14" x14ac:dyDescent="0.3">
      <c r="C35" s="42">
        <v>11</v>
      </c>
      <c r="D35" s="42">
        <v>12</v>
      </c>
      <c r="E35" s="42">
        <v>13</v>
      </c>
      <c r="F35" s="42">
        <v>14</v>
      </c>
      <c r="G35" s="42">
        <v>15</v>
      </c>
      <c r="I35" s="43">
        <v>15</v>
      </c>
      <c r="J35" s="43">
        <v>14</v>
      </c>
      <c r="K35" s="43">
        <v>13</v>
      </c>
      <c r="L35" s="43">
        <v>12</v>
      </c>
      <c r="M35" s="43">
        <v>11</v>
      </c>
      <c r="N35" s="16" t="str">
        <f ca="1"/>
        <v xml:space="preserve">  _rr, ROWS(_inp),</v>
      </c>
    </row>
    <row r="36" spans="2:14" x14ac:dyDescent="0.3">
      <c r="C36" s="42">
        <v>16</v>
      </c>
      <c r="D36" s="42">
        <v>17</v>
      </c>
      <c r="E36" s="42">
        <v>18</v>
      </c>
      <c r="F36" s="42">
        <v>19</v>
      </c>
      <c r="G36" s="42">
        <v>20</v>
      </c>
      <c r="I36" s="43">
        <v>10</v>
      </c>
      <c r="J36" s="43">
        <v>9</v>
      </c>
      <c r="K36" s="43">
        <v>8</v>
      </c>
      <c r="L36" s="43">
        <v>7</v>
      </c>
      <c r="M36" s="43">
        <v>6</v>
      </c>
      <c r="N36" s="16" t="str">
        <f ca="1"/>
        <v xml:space="preserve">  _cc, COLUMNS(_inp),</v>
      </c>
    </row>
    <row r="37" spans="2:14" x14ac:dyDescent="0.3">
      <c r="C37" s="42">
        <v>21</v>
      </c>
      <c r="D37" s="42">
        <v>22</v>
      </c>
      <c r="E37" s="42">
        <v>23</v>
      </c>
      <c r="F37" s="42">
        <v>24</v>
      </c>
      <c r="G37" s="42">
        <v>25</v>
      </c>
      <c r="I37" s="43">
        <v>5</v>
      </c>
      <c r="J37" s="43">
        <v>4</v>
      </c>
      <c r="K37" s="43">
        <v>3</v>
      </c>
      <c r="L37" s="43">
        <v>2</v>
      </c>
      <c r="M37" s="43">
        <v>1</v>
      </c>
      <c r="N37" s="16" t="str">
        <f ca="1"/>
        <v xml:space="preserve">  _rIdx, SEQUENCE(_rr, 1, _rr, -1),</v>
      </c>
    </row>
    <row r="38" spans="2:14" x14ac:dyDescent="0.3">
      <c r="N38" s="16" t="str">
        <f ca="1"/>
        <v xml:space="preserve">  _cIdx, SEQUENCE(1, _cc, _cc, -1),</v>
      </c>
    </row>
    <row r="39" spans="2:14" x14ac:dyDescent="0.3">
      <c r="N39" s="16" t="str">
        <f ca="1"/>
        <v xml:space="preserve">  _rtn, INDEX(_inp, _rIdx, _cIdx),</v>
      </c>
    </row>
    <row r="40" spans="2:14" x14ac:dyDescent="0.3">
      <c r="N40" s="16" t="str">
        <f ca="1"/>
        <v xml:space="preserve">  _rtn</v>
      </c>
    </row>
    <row r="41" spans="2:14" x14ac:dyDescent="0.3">
      <c r="N41" s="16" t="str">
        <f ca="1"/>
        <v>)</v>
      </c>
    </row>
    <row r="43" spans="2:14" x14ac:dyDescent="0.3">
      <c r="B43" s="15" t="str" cm="1">
        <f t="array" ref="B43" xml:space="preserve"> "(" &amp; _xlfn.UNICHAR( 65 + SUMPRODUCT(--(_xlfn.REGEXTEST(B$1:B42, "^\([A-Z]\)$")))) &amp; ")"</f>
        <v>(B)</v>
      </c>
      <c r="C43" s="10" t="s">
        <v>508</v>
      </c>
    </row>
    <row r="45" spans="2:14" x14ac:dyDescent="0.3">
      <c r="C45" s="81" t="s">
        <v>505</v>
      </c>
      <c r="G45" s="52" t="s">
        <v>509</v>
      </c>
      <c r="H45" s="55">
        <v>0</v>
      </c>
      <c r="I45" s="81" t="s">
        <v>504</v>
      </c>
    </row>
    <row r="46" spans="2:14" x14ac:dyDescent="0.3">
      <c r="C46" s="56" cm="1">
        <f t="array" ref="C46:F50" xml:space="preserve"> $I$11:$L$15</f>
        <v>1</v>
      </c>
      <c r="D46" s="56" t="str">
        <v>One</v>
      </c>
      <c r="E46" s="56" t="str">
        <v>AAA</v>
      </c>
      <c r="F46" s="56" t="str">
        <v>ZZZ</v>
      </c>
      <c r="I46" s="40" t="str" cm="1">
        <f t="array" ref="I46:L50" xml:space="preserve"> _xlfn.LET(
  _xlpm._inp,_xlfn.ANCHORARRAY( C46),
  _xlpm._rr, ROWS(_xlpm._inp),
  _xlpm._cc, COLUMNS(_xlpm._inp),
  _xlpm._byR, H45,
  _xlpm._rIdx, IF(_xlpm._byR,
    _xlfn.SEQUENCE(_xlpm._rr, 1, _xlpm._rr, -1),
    _xlfn.SEQUENCE(_xlpm._rr, 1, 1, 1)
  ),
  _xlpm._cIdx, IF(_xlpm._byR,
    _xlfn.SEQUENCE(1, _xlpm._cc, 1, 1),
    _xlfn.SEQUENCE(1, _xlpm._cc, _xlpm._cc, -1)
  ),
  _xlpm._rtn, INDEX(_xlpm._inp, _xlpm._rIdx, _xlpm._cIdx),
  _xlpm._rtn
)</f>
        <v>ZZZ</v>
      </c>
      <c r="J46" s="40" t="str">
        <v>AAA</v>
      </c>
      <c r="K46" s="40" t="str">
        <v>One</v>
      </c>
      <c r="L46" s="40">
        <v>1</v>
      </c>
      <c r="M46" s="16" t="str" cm="1">
        <f t="array" aca="1" ref="M46:M61" ca="1" xml:space="preserve"> _xlfn.TEXTSPLIT( _xlfn.FORMULATEXT(I46), , CHAR(10))</f>
        <v>= LET(</v>
      </c>
    </row>
    <row r="47" spans="2:14" x14ac:dyDescent="0.3">
      <c r="C47" s="56">
        <v>2</v>
      </c>
      <c r="D47" s="56" t="str">
        <v>Two</v>
      </c>
      <c r="E47" s="56" t="str">
        <v>BBB</v>
      </c>
      <c r="F47" s="56" t="str">
        <v>YYY</v>
      </c>
      <c r="I47" s="40" t="str">
        <v>YYY</v>
      </c>
      <c r="J47" s="40" t="str">
        <v>BBB</v>
      </c>
      <c r="K47" s="40" t="str">
        <v>Two</v>
      </c>
      <c r="L47" s="40">
        <v>2</v>
      </c>
      <c r="M47" s="16" t="str">
        <f ca="1"/>
        <v xml:space="preserve">  _inp, C46#,</v>
      </c>
    </row>
    <row r="48" spans="2:14" x14ac:dyDescent="0.3">
      <c r="C48" s="56">
        <v>3</v>
      </c>
      <c r="D48" s="56" t="str">
        <v>Three</v>
      </c>
      <c r="E48" s="56" t="str">
        <v>CCC</v>
      </c>
      <c r="F48" s="56" t="str">
        <v>XXX</v>
      </c>
      <c r="I48" s="40" t="str">
        <v>XXX</v>
      </c>
      <c r="J48" s="40" t="str">
        <v>CCC</v>
      </c>
      <c r="K48" s="40" t="str">
        <v>Three</v>
      </c>
      <c r="L48" s="40">
        <v>3</v>
      </c>
      <c r="M48" s="16" t="str">
        <f ca="1"/>
        <v xml:space="preserve">  _rr, ROWS(_inp),</v>
      </c>
    </row>
    <row r="49" spans="2:13" x14ac:dyDescent="0.3">
      <c r="C49" s="56">
        <v>4</v>
      </c>
      <c r="D49" s="56" t="str">
        <v>Four</v>
      </c>
      <c r="E49" s="56" t="str">
        <v>DDD</v>
      </c>
      <c r="F49" s="56" t="str">
        <v>WWW</v>
      </c>
      <c r="I49" s="40" t="str">
        <v>WWW</v>
      </c>
      <c r="J49" s="40" t="str">
        <v>DDD</v>
      </c>
      <c r="K49" s="40" t="str">
        <v>Four</v>
      </c>
      <c r="L49" s="40">
        <v>4</v>
      </c>
      <c r="M49" s="16" t="str">
        <f ca="1"/>
        <v xml:space="preserve">  _cc, COLUMNS(_inp),</v>
      </c>
    </row>
    <row r="50" spans="2:13" x14ac:dyDescent="0.3">
      <c r="C50" s="56">
        <v>5</v>
      </c>
      <c r="D50" s="56" t="str">
        <v>Five</v>
      </c>
      <c r="E50" s="56" t="str">
        <v>EEE</v>
      </c>
      <c r="F50" s="56" t="str">
        <v>VVV</v>
      </c>
      <c r="I50" s="40" t="str">
        <v>VVV</v>
      </c>
      <c r="J50" s="40" t="str">
        <v>EEE</v>
      </c>
      <c r="K50" s="40" t="str">
        <v>Five</v>
      </c>
      <c r="L50" s="40">
        <v>5</v>
      </c>
      <c r="M50" s="16" t="str">
        <f ca="1"/>
        <v xml:space="preserve">  _byR, H45,</v>
      </c>
    </row>
    <row r="51" spans="2:13" x14ac:dyDescent="0.3">
      <c r="M51" s="16" t="str">
        <f ca="1"/>
        <v xml:space="preserve">  _rIdx, IF(_byR,</v>
      </c>
    </row>
    <row r="52" spans="2:13" x14ac:dyDescent="0.3">
      <c r="M52" s="16" t="str">
        <f ca="1"/>
        <v xml:space="preserve">    SEQUENCE(_rr, 1, _rr, -1),</v>
      </c>
    </row>
    <row r="53" spans="2:13" x14ac:dyDescent="0.3">
      <c r="M53" s="16" t="str">
        <f ca="1"/>
        <v xml:space="preserve">    SEQUENCE(_rr, 1, 1, 1)</v>
      </c>
    </row>
    <row r="54" spans="2:13" x14ac:dyDescent="0.3">
      <c r="M54" s="16" t="str">
        <f ca="1"/>
        <v xml:space="preserve">  ),</v>
      </c>
    </row>
    <row r="55" spans="2:13" x14ac:dyDescent="0.3">
      <c r="M55" s="16" t="str">
        <f ca="1"/>
        <v xml:space="preserve">  _cIdx, IF(_byR,</v>
      </c>
    </row>
    <row r="56" spans="2:13" x14ac:dyDescent="0.3">
      <c r="M56" s="16" t="str">
        <f ca="1"/>
        <v xml:space="preserve">    SEQUENCE(1, _cc, 1, 1),</v>
      </c>
    </row>
    <row r="57" spans="2:13" x14ac:dyDescent="0.3">
      <c r="M57" s="16" t="str">
        <f ca="1"/>
        <v xml:space="preserve">    SEQUENCE(1, _cc, _cc, -1)</v>
      </c>
    </row>
    <row r="58" spans="2:13" x14ac:dyDescent="0.3">
      <c r="M58" s="16" t="str">
        <f ca="1"/>
        <v xml:space="preserve">  ),</v>
      </c>
    </row>
    <row r="59" spans="2:13" x14ac:dyDescent="0.3">
      <c r="M59" s="16" t="str">
        <f ca="1"/>
        <v xml:space="preserve">  _rtn, INDEX(_inp, _rIdx, _cIdx),</v>
      </c>
    </row>
    <row r="60" spans="2:13" x14ac:dyDescent="0.3">
      <c r="M60" s="16" t="str">
        <f ca="1"/>
        <v xml:space="preserve">  _rtn</v>
      </c>
    </row>
    <row r="61" spans="2:13" x14ac:dyDescent="0.3">
      <c r="M61" s="16" t="str">
        <f ca="1"/>
        <v>)</v>
      </c>
    </row>
    <row r="63" spans="2:13" x14ac:dyDescent="0.3">
      <c r="B63" s="15" t="str" cm="1">
        <f t="array" ref="B63" xml:space="preserve"> "(" &amp; _xlfn.UNICHAR( 65 + SUMPRODUCT(--(_xlfn.REGEXTEST(B$1:B62, "^\([A-Z]\)$")))) &amp; ")"</f>
        <v>(C)</v>
      </c>
      <c r="C63" s="10" t="s">
        <v>510</v>
      </c>
    </row>
    <row r="65" spans="3:13" x14ac:dyDescent="0.3">
      <c r="C65" s="81" t="s">
        <v>505</v>
      </c>
      <c r="G65" s="52" t="s">
        <v>509</v>
      </c>
      <c r="H65" s="22">
        <v>-1</v>
      </c>
      <c r="I65" s="81" t="s">
        <v>504</v>
      </c>
    </row>
    <row r="66" spans="3:13" x14ac:dyDescent="0.3">
      <c r="C66" s="56" cm="1">
        <f t="array" ref="C66:F70" xml:space="preserve"> $I$11:$L$15</f>
        <v>1</v>
      </c>
      <c r="D66" s="42" t="str">
        <v>One</v>
      </c>
      <c r="E66" s="42" t="str">
        <v>AAA</v>
      </c>
      <c r="F66" s="42" t="str">
        <v>ZZZ</v>
      </c>
      <c r="I66" s="43" t="str" cm="1">
        <f t="array" ref="I66:L70" xml:space="preserve"> _xlfn.LET(
  _xlpm._inp,_xlfn.ANCHORARRAY( C66),
  _xlpm._rr, ROWS(_xlpm._inp),
  _xlpm._cc, COLUMNS(_xlpm._inp),
  _xlpm._byR, H65,
  _xlpm._rIdx, IF(_xlpm._byR &lt;&gt; 0,
    _xlfn.SEQUENCE(_xlpm._rr, 1, _xlpm._rr, -1),
    _xlfn.SEQUENCE(_xlpm._rr, 1, 1, 1)
  ),
  _xlpm._cIdx, IF(_xlpm._byR &lt;= 0,
    _xlfn.SEQUENCE(1, _xlpm._cc, _xlpm._cc, -1),
    _xlfn.SEQUENCE(1, _xlpm._cc, 1, 1)
  ),
  _xlpm._rtn, INDEX(_xlpm._inp, _xlpm._rIdx, _xlpm._cIdx),
  _xlpm._rtn
)</f>
        <v>VVV</v>
      </c>
      <c r="J66" s="43" t="str">
        <v>EEE</v>
      </c>
      <c r="K66" s="43" t="str">
        <v>Five</v>
      </c>
      <c r="L66" s="43">
        <v>5</v>
      </c>
      <c r="M66" s="16" t="str" cm="1">
        <f t="array" aca="1" ref="M66:M81" ca="1" xml:space="preserve"> _xlfn.TEXTSPLIT( _xlfn.FORMULATEXT(I66), , CHAR(10))</f>
        <v>= LET(</v>
      </c>
    </row>
    <row r="67" spans="3:13" x14ac:dyDescent="0.3">
      <c r="C67" s="42">
        <v>2</v>
      </c>
      <c r="D67" s="42" t="str">
        <v>Two</v>
      </c>
      <c r="E67" s="42" t="str">
        <v>BBB</v>
      </c>
      <c r="F67" s="42" t="str">
        <v>YYY</v>
      </c>
      <c r="I67" s="43" t="str">
        <v>WWW</v>
      </c>
      <c r="J67" s="43" t="str">
        <v>DDD</v>
      </c>
      <c r="K67" s="43" t="str">
        <v>Four</v>
      </c>
      <c r="L67" s="43">
        <v>4</v>
      </c>
      <c r="M67" s="16" t="str">
        <f ca="1"/>
        <v xml:space="preserve">  _inp, C66#,</v>
      </c>
    </row>
    <row r="68" spans="3:13" x14ac:dyDescent="0.3">
      <c r="C68" s="42">
        <v>3</v>
      </c>
      <c r="D68" s="42" t="str">
        <v>Three</v>
      </c>
      <c r="E68" s="42" t="str">
        <v>CCC</v>
      </c>
      <c r="F68" s="42" t="str">
        <v>XXX</v>
      </c>
      <c r="I68" s="43" t="str">
        <v>XXX</v>
      </c>
      <c r="J68" s="43" t="str">
        <v>CCC</v>
      </c>
      <c r="K68" s="43" t="str">
        <v>Three</v>
      </c>
      <c r="L68" s="43">
        <v>3</v>
      </c>
      <c r="M68" s="16" t="str">
        <f ca="1"/>
        <v xml:space="preserve">  _rr, ROWS(_inp),</v>
      </c>
    </row>
    <row r="69" spans="3:13" x14ac:dyDescent="0.3">
      <c r="C69" s="42">
        <v>4</v>
      </c>
      <c r="D69" s="42" t="str">
        <v>Four</v>
      </c>
      <c r="E69" s="42" t="str">
        <v>DDD</v>
      </c>
      <c r="F69" s="42" t="str">
        <v>WWW</v>
      </c>
      <c r="I69" s="43" t="str">
        <v>YYY</v>
      </c>
      <c r="J69" s="43" t="str">
        <v>BBB</v>
      </c>
      <c r="K69" s="43" t="str">
        <v>Two</v>
      </c>
      <c r="L69" s="43">
        <v>2</v>
      </c>
      <c r="M69" s="16" t="str">
        <f ca="1"/>
        <v xml:space="preserve">  _cc, COLUMNS(_inp),</v>
      </c>
    </row>
    <row r="70" spans="3:13" x14ac:dyDescent="0.3">
      <c r="C70" s="42">
        <v>5</v>
      </c>
      <c r="D70" s="42" t="str">
        <v>Five</v>
      </c>
      <c r="E70" s="42" t="str">
        <v>EEE</v>
      </c>
      <c r="F70" s="42" t="str">
        <v>VVV</v>
      </c>
      <c r="I70" s="43" t="str">
        <v>ZZZ</v>
      </c>
      <c r="J70" s="43" t="str">
        <v>AAA</v>
      </c>
      <c r="K70" s="43" t="str">
        <v>One</v>
      </c>
      <c r="L70" s="43">
        <v>1</v>
      </c>
      <c r="M70" s="16" t="str">
        <f ca="1"/>
        <v xml:space="preserve">  _byR, H65,</v>
      </c>
    </row>
    <row r="71" spans="3:13" x14ac:dyDescent="0.3">
      <c r="M71" s="16" t="str">
        <f ca="1"/>
        <v xml:space="preserve">  _rIdx, IF(_byR &lt;&gt; 0,</v>
      </c>
    </row>
    <row r="72" spans="3:13" x14ac:dyDescent="0.3">
      <c r="M72" s="16" t="str">
        <f ca="1"/>
        <v xml:space="preserve">    SEQUENCE(_rr, 1, _rr, -1),</v>
      </c>
    </row>
    <row r="73" spans="3:13" x14ac:dyDescent="0.3">
      <c r="M73" s="16" t="str">
        <f ca="1"/>
        <v xml:space="preserve">    SEQUENCE(_rr, 1, 1, 1)</v>
      </c>
    </row>
    <row r="74" spans="3:13" x14ac:dyDescent="0.3">
      <c r="M74" s="16" t="str">
        <f ca="1"/>
        <v xml:space="preserve">  ),</v>
      </c>
    </row>
    <row r="75" spans="3:13" x14ac:dyDescent="0.3">
      <c r="M75" s="16" t="str">
        <f ca="1"/>
        <v xml:space="preserve">  _cIdx, IF(_byR &lt;= 0,</v>
      </c>
    </row>
    <row r="76" spans="3:13" x14ac:dyDescent="0.3">
      <c r="M76" s="16" t="str">
        <f ca="1"/>
        <v xml:space="preserve">    SEQUENCE(1, _cc, _cc, -1),</v>
      </c>
    </row>
    <row r="77" spans="3:13" x14ac:dyDescent="0.3">
      <c r="M77" s="16" t="str">
        <f ca="1"/>
        <v xml:space="preserve">    SEQUENCE(1, _cc, 1, 1)</v>
      </c>
    </row>
    <row r="78" spans="3:13" x14ac:dyDescent="0.3">
      <c r="M78" s="16" t="str">
        <f ca="1"/>
        <v xml:space="preserve">  ),</v>
      </c>
    </row>
    <row r="79" spans="3:13" x14ac:dyDescent="0.3">
      <c r="M79" s="16" t="str">
        <f ca="1"/>
        <v xml:space="preserve">  _rtn, INDEX(_inp, _rIdx, _cIdx),</v>
      </c>
    </row>
    <row r="80" spans="3:13" x14ac:dyDescent="0.3">
      <c r="M80" s="16" t="str">
        <f ca="1"/>
        <v xml:space="preserve">  _rtn</v>
      </c>
    </row>
    <row r="81" spans="2:20" x14ac:dyDescent="0.3">
      <c r="M81" s="16" t="str">
        <f ca="1"/>
        <v>)</v>
      </c>
    </row>
    <row r="83" spans="2:20" x14ac:dyDescent="0.3">
      <c r="B83" s="13" t="s">
        <v>175</v>
      </c>
      <c r="C83" s="12"/>
      <c r="D83" s="12"/>
      <c r="E83" s="12"/>
      <c r="F83" s="12"/>
      <c r="G83" s="12"/>
      <c r="H83" s="12"/>
      <c r="I83" s="12"/>
      <c r="J83" s="12"/>
      <c r="K83" s="12"/>
      <c r="L83" s="12"/>
      <c r="M83" s="12"/>
      <c r="N83" s="12"/>
      <c r="O83" s="12"/>
      <c r="P83" s="12"/>
      <c r="Q83" s="12"/>
      <c r="R83" s="12"/>
      <c r="S83" s="12"/>
      <c r="T83" s="12"/>
    </row>
    <row r="85" spans="2:20" x14ac:dyDescent="0.3">
      <c r="B85" s="15" t="str" cm="1">
        <f t="array" ref="B85" xml:space="preserve"> "(" &amp; _xlfn.UNICHAR( 65 + SUMPRODUCT(--(_xlfn.REGEXTEST(B$1:B84, "^\([A-Z]\)$")))) &amp; ")"</f>
        <v>(D)</v>
      </c>
      <c r="C85" s="10" t="s">
        <v>176</v>
      </c>
    </row>
    <row r="87" spans="2:20" x14ac:dyDescent="0.3">
      <c r="C87" s="52" t="s">
        <v>509</v>
      </c>
      <c r="D87" s="22">
        <v>1</v>
      </c>
    </row>
    <row r="88" spans="2:20" x14ac:dyDescent="0.3">
      <c r="C88" s="52" t="s">
        <v>168</v>
      </c>
      <c r="D88" s="43" t="str">
        <f xml:space="preserve"> _xlfn.LET(
  _xlpm.array, $I$11:$L$15,
  _xlpm._rr, ROWS(_xlpm.array),
  _xlpm._cc, COLUMNS(_xlpm.array),
  _xlpm.by_row, D87,
  _xlpm._byR, IF( ISBLANK(_xlpm.by_row), -1, INT(_xlpm.by_row)),
  _xlpm._inpChk, IF(
    AND(_xlpm._rr &lt;= 1, _xlpm._cc &lt;= 1),
    2, IF(
    OR(
      ISERROR(_xlpm._byR),
      _xlpm._byR &lt; -1, _xlpm._byR &gt; 1
    ), 3,
    1
  )),
  CHOOSE(_xlpm._inpChk, "OK", _xlfn.LAMBDA(0), #VALUE!)
)</f>
        <v>OK</v>
      </c>
      <c r="E88" s="16" t="str" cm="1">
        <f t="array" aca="1" ref="E88:E104" ca="1" xml:space="preserve"> _xlfn.TEXTSPLIT( _xlfn.FORMULATEXT(D88), , CHAR(10))</f>
        <v>= LET(</v>
      </c>
    </row>
    <row r="89" spans="2:20" x14ac:dyDescent="0.3">
      <c r="E89" s="16" t="str">
        <f ca="1"/>
        <v xml:space="preserve">  array, $I$11:$L$15,</v>
      </c>
    </row>
    <row r="90" spans="2:20" x14ac:dyDescent="0.3">
      <c r="E90" s="16" t="str">
        <f ca="1"/>
        <v xml:space="preserve">  _rr, ROWS(array),</v>
      </c>
    </row>
    <row r="91" spans="2:20" x14ac:dyDescent="0.3">
      <c r="E91" s="16" t="str">
        <f ca="1"/>
        <v xml:space="preserve">  _cc, COLUMNS(array),</v>
      </c>
    </row>
    <row r="92" spans="2:20" x14ac:dyDescent="0.3">
      <c r="E92" s="16" t="str">
        <f ca="1"/>
        <v xml:space="preserve">  by_row, D87,</v>
      </c>
    </row>
    <row r="93" spans="2:20" x14ac:dyDescent="0.3">
      <c r="E93" s="16" t="str">
        <f ca="1"/>
        <v xml:space="preserve">  _byR, IF( ISBLANK(by_row), -1, INT(by_row)),</v>
      </c>
    </row>
    <row r="94" spans="2:20" x14ac:dyDescent="0.3">
      <c r="E94" s="16" t="str">
        <f ca="1"/>
        <v xml:space="preserve">  _inpChk, IF(</v>
      </c>
    </row>
    <row r="95" spans="2:20" x14ac:dyDescent="0.3">
      <c r="E95" s="16" t="str">
        <f ca="1"/>
        <v xml:space="preserve">    AND(_rr &lt;= 1, _cc &lt;= 1),</v>
      </c>
    </row>
    <row r="96" spans="2:20" x14ac:dyDescent="0.3">
      <c r="E96" s="16" t="str">
        <f ca="1"/>
        <v xml:space="preserve">    2, IF(</v>
      </c>
    </row>
    <row r="97" spans="2:13" x14ac:dyDescent="0.3">
      <c r="E97" s="16" t="str">
        <f ca="1"/>
        <v xml:space="preserve">    OR(</v>
      </c>
    </row>
    <row r="98" spans="2:13" x14ac:dyDescent="0.3">
      <c r="E98" s="16" t="str">
        <f ca="1"/>
        <v xml:space="preserve">      ISERROR(_byR),</v>
      </c>
    </row>
    <row r="99" spans="2:13" x14ac:dyDescent="0.3">
      <c r="E99" s="16" t="str">
        <f ca="1"/>
        <v xml:space="preserve">      _byR &lt; -1, _byR &gt; 1</v>
      </c>
    </row>
    <row r="100" spans="2:13" x14ac:dyDescent="0.3">
      <c r="E100" s="16" t="str">
        <f ca="1"/>
        <v xml:space="preserve">    ), 3,</v>
      </c>
    </row>
    <row r="101" spans="2:13" x14ac:dyDescent="0.3">
      <c r="E101" s="16" t="str">
        <f ca="1"/>
        <v xml:space="preserve">    1</v>
      </c>
    </row>
    <row r="102" spans="2:13" x14ac:dyDescent="0.3">
      <c r="E102" s="16" t="str">
        <f ca="1"/>
        <v xml:space="preserve">  )),</v>
      </c>
    </row>
    <row r="103" spans="2:13" x14ac:dyDescent="0.3">
      <c r="E103" s="16" t="str">
        <f ca="1"/>
        <v xml:space="preserve">  CHOOSE(_inpChk, "OK", LAMBDA(0), #VALUE!)</v>
      </c>
    </row>
    <row r="104" spans="2:13" x14ac:dyDescent="0.3">
      <c r="E104" s="16" t="str">
        <f ca="1"/>
        <v>)</v>
      </c>
    </row>
    <row r="106" spans="2:13" x14ac:dyDescent="0.3">
      <c r="B106" s="15" t="str" cm="1">
        <f t="array" ref="B106" xml:space="preserve"> "(" &amp; _xlfn.UNICHAR( 65 + SUMPRODUCT(--(_xlfn.REGEXTEST(B$1:B105, "^\([A-Z]\)$")))) &amp; ")"</f>
        <v>(E)</v>
      </c>
      <c r="C106" s="10" t="s">
        <v>511</v>
      </c>
    </row>
    <row r="108" spans="2:13" x14ac:dyDescent="0.3">
      <c r="C108" s="81" t="s">
        <v>505</v>
      </c>
      <c r="G108" s="52" t="s">
        <v>509</v>
      </c>
      <c r="H108" s="22">
        <v>1</v>
      </c>
      <c r="I108" s="81" t="s">
        <v>504</v>
      </c>
    </row>
    <row r="109" spans="2:13" x14ac:dyDescent="0.3">
      <c r="C109" s="42" cm="1">
        <f t="array" ref="C109:F113" xml:space="preserve"> $I$11:$L$15</f>
        <v>1</v>
      </c>
      <c r="D109" s="42" t="str">
        <v>One</v>
      </c>
      <c r="E109" s="42" t="str">
        <v>AAA</v>
      </c>
      <c r="F109" s="42" t="str">
        <v>ZZZ</v>
      </c>
      <c r="I109" s="43" cm="1">
        <f t="array" ref="I109:L113" xml:space="preserve"> _xlfn.LAMBDA(_xlpm.array,_xlop.by_row,
  _xlfn.LET(
    _xlpm._rr, ROWS(_xlpm.array),
    _xlpm._cc, COLUMNS(_xlpm.array),
    _xlpm._byR, IF( _xlfn.ISOMITTED(_xlpm.by_row), -1, INT(_xlpm.by_row)),
    _xlpm._inpChk, IF(
      AND(_xlpm._rr &lt;= 1, _xlpm._cc &lt;= 1),
      2, IF(
      OR(
        ISERROR(_xlpm._byR),
        _xlpm._byR &lt; -1, _xlpm._byR &gt; 1
      ), 3,
      1
    )),
    _xlpm._rIdx, IF(_xlpm._byR &lt;&gt; 0,
      _xlfn.SEQUENCE(_xlpm._rr, 1, _xlpm._rr, -1),
      _xlfn.SEQUENCE(_xlpm._rr, 1, 1, 1)
    ),
    _xlpm._cIdx, IF(_xlpm._byR &lt;= 0,
      _xlfn.SEQUENCE(1, _xlpm._cc, _xlpm._cc, -1),
      _xlfn.SEQUENCE(1, _xlpm._cc, 1, 1)
    ),
    _xlpm._rtn, INDEX(_xlpm.array, _xlpm._rIdx, _xlpm._cIdx),
    CHOOSE(_xlpm._inpChk, _xlpm._rtn, _xlfn.LAMBDA(0), #VALUE!)
  )
)(_xlfn.ANCHORARRAY(C109), H108)</f>
        <v>5</v>
      </c>
      <c r="J109" s="43" t="str">
        <v>Five</v>
      </c>
      <c r="K109" s="43" t="str">
        <v>EEE</v>
      </c>
      <c r="L109" s="43" t="str">
        <v>VVV</v>
      </c>
      <c r="M109" s="16" t="str" cm="1">
        <f t="array" aca="1" ref="M109:M134" ca="1" xml:space="preserve"> _xlfn.TEXTSPLIT( _xlfn.FORMULATEXT(I109), , CHAR(10))</f>
        <v>= LAMBDA(array,[by_row],</v>
      </c>
    </row>
    <row r="110" spans="2:13" x14ac:dyDescent="0.3">
      <c r="C110" s="42">
        <v>2</v>
      </c>
      <c r="D110" s="42" t="str">
        <v>Two</v>
      </c>
      <c r="E110" s="42" t="str">
        <v>BBB</v>
      </c>
      <c r="F110" s="42" t="str">
        <v>YYY</v>
      </c>
      <c r="I110" s="43">
        <v>4</v>
      </c>
      <c r="J110" s="43" t="str">
        <v>Four</v>
      </c>
      <c r="K110" s="43" t="str">
        <v>DDD</v>
      </c>
      <c r="L110" s="43" t="str">
        <v>WWW</v>
      </c>
      <c r="M110" s="16" t="str">
        <f ca="1"/>
        <v xml:space="preserve">  LET(</v>
      </c>
    </row>
    <row r="111" spans="2:13" x14ac:dyDescent="0.3">
      <c r="C111" s="42">
        <v>3</v>
      </c>
      <c r="D111" s="42" t="str">
        <v>Three</v>
      </c>
      <c r="E111" s="42" t="str">
        <v>CCC</v>
      </c>
      <c r="F111" s="42" t="str">
        <v>XXX</v>
      </c>
      <c r="I111" s="43">
        <v>3</v>
      </c>
      <c r="J111" s="43" t="str">
        <v>Three</v>
      </c>
      <c r="K111" s="43" t="str">
        <v>CCC</v>
      </c>
      <c r="L111" s="43" t="str">
        <v>XXX</v>
      </c>
      <c r="M111" s="16" t="str">
        <f ca="1"/>
        <v xml:space="preserve">    _rr, ROWS(array),</v>
      </c>
    </row>
    <row r="112" spans="2:13" x14ac:dyDescent="0.3">
      <c r="C112" s="42">
        <v>4</v>
      </c>
      <c r="D112" s="42" t="str">
        <v>Four</v>
      </c>
      <c r="E112" s="42" t="str">
        <v>DDD</v>
      </c>
      <c r="F112" s="42" t="str">
        <v>WWW</v>
      </c>
      <c r="I112" s="43">
        <v>2</v>
      </c>
      <c r="J112" s="43" t="str">
        <v>Two</v>
      </c>
      <c r="K112" s="43" t="str">
        <v>BBB</v>
      </c>
      <c r="L112" s="43" t="str">
        <v>YYY</v>
      </c>
      <c r="M112" s="16" t="str">
        <f ca="1"/>
        <v xml:space="preserve">    _cc, COLUMNS(array),</v>
      </c>
    </row>
    <row r="113" spans="3:13" x14ac:dyDescent="0.3">
      <c r="C113" s="42">
        <v>5</v>
      </c>
      <c r="D113" s="42" t="str">
        <v>Five</v>
      </c>
      <c r="E113" s="42" t="str">
        <v>EEE</v>
      </c>
      <c r="F113" s="42" t="str">
        <v>VVV</v>
      </c>
      <c r="I113" s="43">
        <v>1</v>
      </c>
      <c r="J113" s="43" t="str">
        <v>One</v>
      </c>
      <c r="K113" s="43" t="str">
        <v>AAA</v>
      </c>
      <c r="L113" s="43" t="str">
        <v>ZZZ</v>
      </c>
      <c r="M113" s="16" t="str">
        <f ca="1"/>
        <v xml:space="preserve">    _byR, IF( ISOMITTED(by_row), -1, INT(by_row)),</v>
      </c>
    </row>
    <row r="114" spans="3:13" x14ac:dyDescent="0.3">
      <c r="M114" s="16" t="str">
        <f ca="1"/>
        <v xml:space="preserve">    _inpChk, IF(</v>
      </c>
    </row>
    <row r="115" spans="3:13" x14ac:dyDescent="0.3">
      <c r="M115" s="16" t="str">
        <f ca="1"/>
        <v xml:space="preserve">      AND(_rr &lt;= 1, _cc &lt;= 1),</v>
      </c>
    </row>
    <row r="116" spans="3:13" x14ac:dyDescent="0.3">
      <c r="M116" s="16" t="str">
        <f ca="1"/>
        <v xml:space="preserve">      2, IF(</v>
      </c>
    </row>
    <row r="117" spans="3:13" x14ac:dyDescent="0.3">
      <c r="M117" s="16" t="str">
        <f ca="1"/>
        <v xml:space="preserve">      OR(</v>
      </c>
    </row>
    <row r="118" spans="3:13" x14ac:dyDescent="0.3">
      <c r="M118" s="16" t="str">
        <f ca="1"/>
        <v xml:space="preserve">        ISERROR(_byR),</v>
      </c>
    </row>
    <row r="119" spans="3:13" x14ac:dyDescent="0.3">
      <c r="M119" s="16" t="str">
        <f ca="1"/>
        <v xml:space="preserve">        _byR &lt; -1, _byR &gt; 1</v>
      </c>
    </row>
    <row r="120" spans="3:13" x14ac:dyDescent="0.3">
      <c r="M120" s="16" t="str">
        <f ca="1"/>
        <v xml:space="preserve">      ), 3,</v>
      </c>
    </row>
    <row r="121" spans="3:13" x14ac:dyDescent="0.3">
      <c r="M121" s="16" t="str">
        <f ca="1"/>
        <v xml:space="preserve">      1</v>
      </c>
    </row>
    <row r="122" spans="3:13" x14ac:dyDescent="0.3">
      <c r="M122" s="16" t="str">
        <f ca="1"/>
        <v xml:space="preserve">    )),</v>
      </c>
    </row>
    <row r="123" spans="3:13" x14ac:dyDescent="0.3">
      <c r="M123" s="16" t="str">
        <f ca="1"/>
        <v xml:space="preserve">    _rIdx, IF(_byR &lt;&gt; 0,</v>
      </c>
    </row>
    <row r="124" spans="3:13" x14ac:dyDescent="0.3">
      <c r="M124" s="16" t="str">
        <f ca="1"/>
        <v xml:space="preserve">      SEQUENCE(_rr, 1, _rr, -1),</v>
      </c>
    </row>
    <row r="125" spans="3:13" x14ac:dyDescent="0.3">
      <c r="M125" s="16" t="str">
        <f ca="1"/>
        <v xml:space="preserve">      SEQUENCE(_rr, 1, 1, 1)</v>
      </c>
    </row>
    <row r="126" spans="3:13" x14ac:dyDescent="0.3">
      <c r="M126" s="16" t="str">
        <f ca="1"/>
        <v xml:space="preserve">    ),</v>
      </c>
    </row>
    <row r="127" spans="3:13" x14ac:dyDescent="0.3">
      <c r="M127" s="16" t="str">
        <f ca="1"/>
        <v xml:space="preserve">    _cIdx, IF(_byR &lt;= 0,</v>
      </c>
    </row>
    <row r="128" spans="3:13" x14ac:dyDescent="0.3">
      <c r="M128" s="16" t="str">
        <f ca="1"/>
        <v xml:space="preserve">      SEQUENCE(1, _cc, _cc, -1),</v>
      </c>
    </row>
    <row r="129" spans="2:13" x14ac:dyDescent="0.3">
      <c r="M129" s="16" t="str">
        <f ca="1"/>
        <v xml:space="preserve">      SEQUENCE(1, _cc, 1, 1)</v>
      </c>
    </row>
    <row r="130" spans="2:13" x14ac:dyDescent="0.3">
      <c r="M130" s="16" t="str">
        <f ca="1"/>
        <v xml:space="preserve">    ),</v>
      </c>
    </row>
    <row r="131" spans="2:13" x14ac:dyDescent="0.3">
      <c r="M131" s="16" t="str">
        <f ca="1"/>
        <v xml:space="preserve">    _rtn, INDEX(array, _rIdx, _cIdx),</v>
      </c>
    </row>
    <row r="132" spans="2:13" x14ac:dyDescent="0.3">
      <c r="M132" s="16" t="str">
        <f ca="1"/>
        <v xml:space="preserve">    CHOOSE(_inpChk, _rtn, LAMBDA(0), #VALUE!)</v>
      </c>
    </row>
    <row r="133" spans="2:13" x14ac:dyDescent="0.3">
      <c r="M133" s="16" t="str">
        <f ca="1"/>
        <v xml:space="preserve">  )</v>
      </c>
    </row>
    <row r="134" spans="2:13" x14ac:dyDescent="0.3">
      <c r="M134" s="16" t="str">
        <f ca="1"/>
        <v>)(C109#, H108)</v>
      </c>
    </row>
    <row r="136" spans="2:13" s="4" customFormat="1" ht="16.2" thickBot="1" x14ac:dyDescent="0.35">
      <c r="B136" s="5">
        <f xml:space="preserve"> MAX(B$1:B135) + 1</f>
        <v>2</v>
      </c>
      <c r="C136" s="4" t="s">
        <v>9</v>
      </c>
    </row>
    <row r="138" spans="2:13" x14ac:dyDescent="0.3">
      <c r="B138" s="10" t="s">
        <v>10</v>
      </c>
    </row>
    <row r="139" spans="2:13" x14ac:dyDescent="0.3">
      <c r="C139" t="s">
        <v>539</v>
      </c>
    </row>
    <row r="141" spans="2:13" x14ac:dyDescent="0.3">
      <c r="B141" s="10" t="s">
        <v>11</v>
      </c>
    </row>
    <row r="142" spans="2:13" x14ac:dyDescent="0.3">
      <c r="C142" s="79" t="s">
        <v>70</v>
      </c>
      <c r="E142" s="19" t="s">
        <v>16</v>
      </c>
      <c r="F142" t="s">
        <v>540</v>
      </c>
    </row>
    <row r="143" spans="2:13" x14ac:dyDescent="0.3">
      <c r="C143" s="79" t="s">
        <v>71</v>
      </c>
      <c r="E143" s="20" t="s">
        <v>17</v>
      </c>
      <c r="F143" t="s">
        <v>532</v>
      </c>
    </row>
    <row r="144" spans="2:13" x14ac:dyDescent="0.3">
      <c r="F144" t="s">
        <v>382</v>
      </c>
    </row>
    <row r="145" spans="2:7" x14ac:dyDescent="0.3">
      <c r="F145" s="82" t="s">
        <v>533</v>
      </c>
      <c r="G145" s="69" t="s">
        <v>535</v>
      </c>
    </row>
    <row r="146" spans="2:7" x14ac:dyDescent="0.3">
      <c r="F146" s="73" t="s">
        <v>375</v>
      </c>
      <c r="G146" s="69" t="s">
        <v>536</v>
      </c>
    </row>
    <row r="147" spans="2:7" x14ac:dyDescent="0.3">
      <c r="F147" s="82" t="s">
        <v>534</v>
      </c>
      <c r="G147" s="69" t="s">
        <v>537</v>
      </c>
    </row>
    <row r="149" spans="2:7" x14ac:dyDescent="0.3">
      <c r="B149" s="10" t="s">
        <v>12</v>
      </c>
    </row>
    <row r="150" spans="2:7" x14ac:dyDescent="0.3">
      <c r="C150" s="80" t="e">
        <v>#VALUE!</v>
      </c>
      <c r="E150" t="s">
        <v>74</v>
      </c>
    </row>
    <row r="151" spans="2:7" x14ac:dyDescent="0.3">
      <c r="C151" s="80" t="e" vm="1">
        <v>#VALUE!</v>
      </c>
      <c r="E151" t="s">
        <v>75</v>
      </c>
    </row>
    <row r="152" spans="2:7" x14ac:dyDescent="0.3">
      <c r="C152" s="80" t="e">
        <v>#VALUE!</v>
      </c>
      <c r="E152" t="s">
        <v>76</v>
      </c>
    </row>
    <row r="153" spans="2:7" x14ac:dyDescent="0.3">
      <c r="E153" t="s">
        <v>531</v>
      </c>
    </row>
    <row r="155" spans="2:7" x14ac:dyDescent="0.3">
      <c r="B155" s="10" t="s">
        <v>14</v>
      </c>
    </row>
    <row r="156" spans="2:7" x14ac:dyDescent="0.3">
      <c r="C156" s="62" t="s">
        <v>80</v>
      </c>
    </row>
    <row r="157" spans="2:7" x14ac:dyDescent="0.3">
      <c r="C157" s="63" t="s">
        <v>81</v>
      </c>
    </row>
    <row r="158" spans="2:7" x14ac:dyDescent="0.3">
      <c r="C158" s="32" t="s">
        <v>82</v>
      </c>
    </row>
    <row r="159" spans="2:7" x14ac:dyDescent="0.3">
      <c r="C159" s="32" t="s">
        <v>83</v>
      </c>
    </row>
    <row r="160" spans="2:7" x14ac:dyDescent="0.3">
      <c r="C160" s="63" t="s">
        <v>84</v>
      </c>
    </row>
    <row r="161" spans="3:3" x14ac:dyDescent="0.3">
      <c r="C161" s="32" t="s">
        <v>85</v>
      </c>
    </row>
    <row r="162" spans="3:3" x14ac:dyDescent="0.3">
      <c r="C162" s="64" t="s">
        <v>538</v>
      </c>
    </row>
    <row r="163" spans="3:3" x14ac:dyDescent="0.3">
      <c r="C163" s="33" t="s">
        <v>512</v>
      </c>
    </row>
    <row r="164" spans="3:3" x14ac:dyDescent="0.3">
      <c r="C164" s="33" t="s">
        <v>513</v>
      </c>
    </row>
    <row r="165" spans="3:3" x14ac:dyDescent="0.3">
      <c r="C165" s="64" t="s">
        <v>90</v>
      </c>
    </row>
    <row r="166" spans="3:3" x14ac:dyDescent="0.3">
      <c r="C166" s="33" t="s">
        <v>514</v>
      </c>
    </row>
    <row r="167" spans="3:3" x14ac:dyDescent="0.3">
      <c r="C167" s="64" t="s">
        <v>92</v>
      </c>
    </row>
    <row r="168" spans="3:3" x14ac:dyDescent="0.3">
      <c r="C168" s="33" t="s">
        <v>93</v>
      </c>
    </row>
    <row r="169" spans="3:3" x14ac:dyDescent="0.3">
      <c r="C169" s="36" t="s">
        <v>236</v>
      </c>
    </row>
    <row r="170" spans="3:3" x14ac:dyDescent="0.3">
      <c r="C170" s="36" t="s">
        <v>237</v>
      </c>
    </row>
    <row r="171" spans="3:3" x14ac:dyDescent="0.3">
      <c r="C171" s="36" t="s">
        <v>97</v>
      </c>
    </row>
    <row r="172" spans="3:3" x14ac:dyDescent="0.3">
      <c r="C172" s="37" t="s">
        <v>515</v>
      </c>
    </row>
    <row r="173" spans="3:3" x14ac:dyDescent="0.3">
      <c r="C173" s="37" t="s">
        <v>516</v>
      </c>
    </row>
    <row r="174" spans="3:3" x14ac:dyDescent="0.3">
      <c r="C174" s="36" t="s">
        <v>240</v>
      </c>
    </row>
    <row r="175" spans="3:3" x14ac:dyDescent="0.3">
      <c r="C175" s="36" t="s">
        <v>241</v>
      </c>
    </row>
    <row r="176" spans="3:3" x14ac:dyDescent="0.3">
      <c r="C176" s="33" t="s">
        <v>118</v>
      </c>
    </row>
    <row r="177" spans="3:3" x14ac:dyDescent="0.3">
      <c r="C177" s="64" t="s">
        <v>541</v>
      </c>
    </row>
    <row r="178" spans="3:3" x14ac:dyDescent="0.3">
      <c r="C178" s="33" t="s">
        <v>517</v>
      </c>
    </row>
    <row r="179" spans="3:3" x14ac:dyDescent="0.3">
      <c r="C179" s="36" t="s">
        <v>518</v>
      </c>
    </row>
    <row r="180" spans="3:3" x14ac:dyDescent="0.3">
      <c r="C180" s="36" t="s">
        <v>519</v>
      </c>
    </row>
    <row r="181" spans="3:3" x14ac:dyDescent="0.3">
      <c r="C181" s="33" t="s">
        <v>101</v>
      </c>
    </row>
    <row r="182" spans="3:3" x14ac:dyDescent="0.3">
      <c r="C182" s="33" t="s">
        <v>520</v>
      </c>
    </row>
    <row r="183" spans="3:3" x14ac:dyDescent="0.3">
      <c r="C183" s="36" t="s">
        <v>521</v>
      </c>
    </row>
    <row r="184" spans="3:3" x14ac:dyDescent="0.3">
      <c r="C184" s="36" t="s">
        <v>522</v>
      </c>
    </row>
    <row r="185" spans="3:3" x14ac:dyDescent="0.3">
      <c r="C185" s="33" t="s">
        <v>101</v>
      </c>
    </row>
    <row r="186" spans="3:3" x14ac:dyDescent="0.3">
      <c r="C186" s="64" t="s">
        <v>542</v>
      </c>
    </row>
    <row r="187" spans="3:3" x14ac:dyDescent="0.3">
      <c r="C187" s="33" t="s">
        <v>523</v>
      </c>
    </row>
    <row r="188" spans="3:3" x14ac:dyDescent="0.3">
      <c r="C188" s="64" t="s">
        <v>126</v>
      </c>
    </row>
    <row r="189" spans="3:3" x14ac:dyDescent="0.3">
      <c r="C189" s="64" t="s">
        <v>127</v>
      </c>
    </row>
    <row r="190" spans="3:3" x14ac:dyDescent="0.3">
      <c r="C190" s="33" t="s">
        <v>128</v>
      </c>
    </row>
    <row r="191" spans="3:3" x14ac:dyDescent="0.3">
      <c r="C191" s="32" t="s">
        <v>117</v>
      </c>
    </row>
    <row r="192" spans="3:3" x14ac:dyDescent="0.3">
      <c r="C192" s="17" t="s">
        <v>117</v>
      </c>
    </row>
    <row r="194" spans="2:3" x14ac:dyDescent="0.3">
      <c r="C194" s="10" t="s">
        <v>15</v>
      </c>
    </row>
    <row r="195" spans="2:3" x14ac:dyDescent="0.3">
      <c r="C195" s="62" t="s">
        <v>543</v>
      </c>
    </row>
    <row r="197" spans="2:3" ht="14.4" thickBot="1" x14ac:dyDescent="0.35"/>
    <row r="198" spans="2:3" s="3" customFormat="1" x14ac:dyDescent="0.3">
      <c r="B198" s="3" t="s">
        <v>0</v>
      </c>
    </row>
  </sheetData>
  <dataValidations disablePrompts="1" count="1">
    <dataValidation type="list" allowBlank="1" showInputMessage="1" showErrorMessage="1" sqref="H45" xr:uid="{A2252F7B-13E0-4A7B-AA4A-F3808FACD22A}">
      <formula1>_YesNo</formula1>
    </dataValidation>
  </dataValidation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B99B0-D41F-4316-8088-54034C268446}">
  <sheetPr codeName="Sheet4"/>
  <dimension ref="B1:T375"/>
  <sheetViews>
    <sheetView showGridLines="0" workbookViewId="0">
      <pane ySplit="1" topLeftCell="A2" activePane="bottomLeft" state="frozen"/>
      <selection pane="bottomLeft"/>
    </sheetView>
  </sheetViews>
  <sheetFormatPr defaultRowHeight="13.8" x14ac:dyDescent="0.3"/>
  <cols>
    <col min="1" max="2" width="4.33203125" customWidth="1"/>
  </cols>
  <sheetData>
    <row r="1" spans="2:16" s="1" customFormat="1" ht="30" customHeight="1" x14ac:dyDescent="0.3">
      <c r="C1" s="2" t="s">
        <v>20</v>
      </c>
    </row>
    <row r="3" spans="2:16" x14ac:dyDescent="0.3">
      <c r="B3" s="11" t="s">
        <v>4</v>
      </c>
    </row>
    <row r="4" spans="2:16" x14ac:dyDescent="0.3">
      <c r="C4" t="s">
        <v>24</v>
      </c>
    </row>
    <row r="5" spans="2:16" x14ac:dyDescent="0.3">
      <c r="C5" t="s">
        <v>25</v>
      </c>
    </row>
    <row r="6" spans="2:16" x14ac:dyDescent="0.3">
      <c r="C6" t="s">
        <v>26</v>
      </c>
    </row>
    <row r="7" spans="2:16" x14ac:dyDescent="0.3">
      <c r="C7" t="s">
        <v>27</v>
      </c>
    </row>
    <row r="10" spans="2:16" x14ac:dyDescent="0.3">
      <c r="B10" s="11" t="s">
        <v>5</v>
      </c>
    </row>
    <row r="12" spans="2:16" ht="14.4" thickBot="1" x14ac:dyDescent="0.35">
      <c r="C12" s="26" t="s">
        <v>28</v>
      </c>
      <c r="N12" s="28" t="s">
        <v>29</v>
      </c>
      <c r="O12" s="28"/>
      <c r="P12" s="28"/>
    </row>
    <row r="13" spans="2:16" x14ac:dyDescent="0.3">
      <c r="C13" s="25">
        <v>100</v>
      </c>
      <c r="D13" s="22">
        <v>200</v>
      </c>
      <c r="E13" s="22">
        <v>300</v>
      </c>
      <c r="F13" s="22">
        <v>400</v>
      </c>
      <c r="G13" s="22">
        <v>500</v>
      </c>
      <c r="H13" s="22">
        <v>600</v>
      </c>
      <c r="I13" s="22">
        <v>700</v>
      </c>
      <c r="J13" s="22">
        <v>800</v>
      </c>
      <c r="K13" s="22">
        <v>900</v>
      </c>
      <c r="L13" s="22">
        <v>1000</v>
      </c>
      <c r="N13" s="22">
        <v>1</v>
      </c>
      <c r="O13" s="24" t="s">
        <v>30</v>
      </c>
      <c r="P13" s="24" t="s">
        <v>31</v>
      </c>
    </row>
    <row r="14" spans="2:16" x14ac:dyDescent="0.3">
      <c r="C14" s="22">
        <v>200</v>
      </c>
      <c r="N14" s="22">
        <v>2</v>
      </c>
      <c r="O14" s="24" t="s">
        <v>32</v>
      </c>
      <c r="P14" s="24" t="s">
        <v>33</v>
      </c>
    </row>
    <row r="15" spans="2:16" x14ac:dyDescent="0.3">
      <c r="C15" s="22">
        <v>300</v>
      </c>
      <c r="N15" s="22">
        <v>3</v>
      </c>
      <c r="O15" s="24" t="s">
        <v>34</v>
      </c>
      <c r="P15" s="24" t="s">
        <v>35</v>
      </c>
    </row>
    <row r="16" spans="2:16" x14ac:dyDescent="0.3">
      <c r="C16" s="22">
        <v>400</v>
      </c>
      <c r="N16" s="22">
        <v>4</v>
      </c>
      <c r="O16" s="24" t="s">
        <v>36</v>
      </c>
      <c r="P16" s="24" t="s">
        <v>37</v>
      </c>
    </row>
    <row r="17" spans="3:18" x14ac:dyDescent="0.3">
      <c r="C17" s="22">
        <v>500</v>
      </c>
      <c r="N17" s="22">
        <v>5</v>
      </c>
      <c r="O17" s="24" t="s">
        <v>38</v>
      </c>
      <c r="P17" s="24" t="s">
        <v>39</v>
      </c>
    </row>
    <row r="18" spans="3:18" x14ac:dyDescent="0.3">
      <c r="C18" s="22">
        <v>600</v>
      </c>
      <c r="N18" s="22">
        <v>6</v>
      </c>
      <c r="O18" s="24" t="s">
        <v>40</v>
      </c>
      <c r="P18" s="24" t="s">
        <v>41</v>
      </c>
    </row>
    <row r="19" spans="3:18" x14ac:dyDescent="0.3">
      <c r="C19" s="22">
        <v>700</v>
      </c>
      <c r="N19" s="22">
        <v>7</v>
      </c>
      <c r="O19" s="24" t="s">
        <v>42</v>
      </c>
      <c r="P19" s="24" t="s">
        <v>43</v>
      </c>
    </row>
    <row r="20" spans="3:18" x14ac:dyDescent="0.3">
      <c r="C20" s="22">
        <v>800</v>
      </c>
      <c r="N20" s="22">
        <v>8</v>
      </c>
      <c r="O20" s="24" t="s">
        <v>44</v>
      </c>
      <c r="P20" s="24" t="s">
        <v>45</v>
      </c>
    </row>
    <row r="21" spans="3:18" x14ac:dyDescent="0.3">
      <c r="C21" s="22">
        <v>900</v>
      </c>
      <c r="N21" s="22">
        <v>9</v>
      </c>
      <c r="O21" s="24" t="s">
        <v>46</v>
      </c>
      <c r="P21" s="24" t="s">
        <v>47</v>
      </c>
    </row>
    <row r="22" spans="3:18" x14ac:dyDescent="0.3">
      <c r="C22" s="22">
        <v>1000</v>
      </c>
      <c r="N22" s="22">
        <v>10</v>
      </c>
      <c r="O22" s="24" t="s">
        <v>48</v>
      </c>
      <c r="P22" s="24" t="s">
        <v>49</v>
      </c>
    </row>
    <row r="24" spans="3:18" ht="14.4" thickBot="1" x14ac:dyDescent="0.35">
      <c r="C24" s="29" t="s">
        <v>50</v>
      </c>
      <c r="D24" s="27"/>
      <c r="E24" s="27"/>
      <c r="F24" s="27"/>
      <c r="G24" s="27"/>
      <c r="I24" s="29" t="s">
        <v>51</v>
      </c>
      <c r="J24" s="26"/>
      <c r="K24" s="26"/>
      <c r="L24" s="26"/>
      <c r="M24" s="26"/>
      <c r="N24" s="26"/>
      <c r="O24" s="26"/>
      <c r="P24" s="26"/>
      <c r="Q24" s="26"/>
      <c r="R24" s="26"/>
    </row>
    <row r="25" spans="3:18" x14ac:dyDescent="0.3">
      <c r="C25" s="22">
        <v>1</v>
      </c>
      <c r="D25" s="22">
        <v>2</v>
      </c>
      <c r="E25" s="22">
        <v>3</v>
      </c>
      <c r="F25" s="22">
        <v>4</v>
      </c>
      <c r="G25" s="22">
        <v>5</v>
      </c>
      <c r="I25" s="22">
        <v>1</v>
      </c>
      <c r="J25" s="22">
        <v>2</v>
      </c>
      <c r="K25" s="22">
        <v>3</v>
      </c>
      <c r="L25" s="22">
        <v>4</v>
      </c>
      <c r="M25" s="22">
        <v>5</v>
      </c>
      <c r="N25" s="22">
        <v>6</v>
      </c>
      <c r="O25" s="22">
        <v>7</v>
      </c>
      <c r="P25" s="22">
        <v>8</v>
      </c>
      <c r="Q25" s="22">
        <v>9</v>
      </c>
      <c r="R25" s="22">
        <v>10</v>
      </c>
    </row>
    <row r="26" spans="3:18" x14ac:dyDescent="0.3">
      <c r="C26" s="22">
        <v>6</v>
      </c>
      <c r="D26" s="22">
        <v>7</v>
      </c>
      <c r="E26" s="22">
        <v>8</v>
      </c>
      <c r="F26" s="22">
        <v>9</v>
      </c>
      <c r="G26" s="22">
        <v>10</v>
      </c>
      <c r="I26" s="24" t="s">
        <v>30</v>
      </c>
      <c r="J26" s="24" t="s">
        <v>32</v>
      </c>
      <c r="K26" s="24" t="s">
        <v>34</v>
      </c>
      <c r="L26" s="24" t="s">
        <v>36</v>
      </c>
      <c r="M26" s="24" t="s">
        <v>38</v>
      </c>
      <c r="N26" s="24" t="s">
        <v>40</v>
      </c>
      <c r="O26" s="24" t="s">
        <v>42</v>
      </c>
      <c r="P26" s="24" t="s">
        <v>44</v>
      </c>
      <c r="Q26" s="24" t="s">
        <v>46</v>
      </c>
      <c r="R26" s="24" t="s">
        <v>48</v>
      </c>
    </row>
    <row r="27" spans="3:18" x14ac:dyDescent="0.3">
      <c r="C27" s="22">
        <v>11</v>
      </c>
      <c r="D27" s="22">
        <v>12</v>
      </c>
      <c r="E27" s="22">
        <v>13</v>
      </c>
      <c r="F27" s="22">
        <v>14</v>
      </c>
      <c r="G27" s="22">
        <v>15</v>
      </c>
      <c r="I27" s="24" t="s">
        <v>31</v>
      </c>
      <c r="J27" s="24" t="s">
        <v>33</v>
      </c>
      <c r="K27" s="24" t="s">
        <v>35</v>
      </c>
      <c r="L27" s="24" t="s">
        <v>37</v>
      </c>
      <c r="M27" s="24" t="s">
        <v>39</v>
      </c>
      <c r="N27" s="24" t="s">
        <v>41</v>
      </c>
      <c r="O27" s="24" t="s">
        <v>43</v>
      </c>
      <c r="P27" s="24" t="s">
        <v>45</v>
      </c>
      <c r="Q27" s="24" t="s">
        <v>47</v>
      </c>
      <c r="R27" s="24" t="s">
        <v>49</v>
      </c>
    </row>
    <row r="28" spans="3:18" x14ac:dyDescent="0.3">
      <c r="C28" s="22">
        <v>16</v>
      </c>
      <c r="D28" s="22">
        <v>17</v>
      </c>
      <c r="E28" s="22">
        <v>18</v>
      </c>
      <c r="F28" s="22">
        <v>19</v>
      </c>
      <c r="G28" s="22">
        <v>20</v>
      </c>
    </row>
    <row r="29" spans="3:18" x14ac:dyDescent="0.3">
      <c r="C29" s="22">
        <v>21</v>
      </c>
      <c r="D29" s="22">
        <v>22</v>
      </c>
      <c r="E29" s="22">
        <v>23</v>
      </c>
      <c r="F29" s="22">
        <v>24</v>
      </c>
      <c r="G29" s="22">
        <v>25</v>
      </c>
    </row>
    <row r="30" spans="3:18" x14ac:dyDescent="0.3">
      <c r="C30" s="22">
        <v>26</v>
      </c>
      <c r="D30" s="22">
        <v>27</v>
      </c>
      <c r="E30" s="22">
        <v>28</v>
      </c>
      <c r="F30" s="22">
        <v>29</v>
      </c>
      <c r="G30" s="22">
        <v>30</v>
      </c>
    </row>
    <row r="31" spans="3:18" x14ac:dyDescent="0.3">
      <c r="C31" s="22">
        <v>31</v>
      </c>
      <c r="D31" s="22">
        <v>32</v>
      </c>
      <c r="E31" s="22">
        <v>33</v>
      </c>
      <c r="F31" s="22">
        <v>34</v>
      </c>
      <c r="G31" s="22">
        <v>35</v>
      </c>
    </row>
    <row r="32" spans="3:18" x14ac:dyDescent="0.3">
      <c r="C32" s="22">
        <v>36</v>
      </c>
      <c r="D32" s="22">
        <v>37</v>
      </c>
      <c r="E32" s="22">
        <v>38</v>
      </c>
      <c r="F32" s="22">
        <v>39</v>
      </c>
      <c r="G32" s="22">
        <v>40</v>
      </c>
    </row>
    <row r="33" spans="2:20" x14ac:dyDescent="0.3">
      <c r="C33" s="22">
        <v>41</v>
      </c>
      <c r="D33" s="22">
        <v>42</v>
      </c>
      <c r="E33" s="22">
        <v>43</v>
      </c>
      <c r="F33" s="22">
        <v>44</v>
      </c>
      <c r="G33" s="22">
        <v>45</v>
      </c>
    </row>
    <row r="34" spans="2:20" x14ac:dyDescent="0.3">
      <c r="C34" s="22">
        <v>46</v>
      </c>
      <c r="D34" s="22">
        <v>47</v>
      </c>
      <c r="E34" s="22">
        <v>48</v>
      </c>
      <c r="F34" s="22">
        <v>49</v>
      </c>
      <c r="G34" s="22">
        <v>50</v>
      </c>
    </row>
    <row r="38" spans="2:20" s="4" customFormat="1" ht="16.2" thickBot="1" x14ac:dyDescent="0.35">
      <c r="B38" s="5">
        <f xml:space="preserve"> MAX(B$1:B37) + 1</f>
        <v>1</v>
      </c>
      <c r="C38" s="4" t="s">
        <v>7</v>
      </c>
    </row>
    <row r="40" spans="2:20" x14ac:dyDescent="0.3">
      <c r="B40" s="13" t="s">
        <v>6</v>
      </c>
      <c r="C40" s="12"/>
      <c r="D40" s="12"/>
      <c r="E40" s="12"/>
      <c r="F40" s="12"/>
      <c r="G40" s="12"/>
      <c r="H40" s="12"/>
      <c r="I40" s="12"/>
      <c r="J40" s="12"/>
      <c r="K40" s="12"/>
      <c r="L40" s="12"/>
      <c r="M40" s="12"/>
      <c r="N40" s="12"/>
      <c r="O40" s="12"/>
      <c r="P40" s="12"/>
      <c r="Q40" s="12"/>
      <c r="R40" s="12"/>
      <c r="S40" s="12"/>
      <c r="T40" s="12"/>
    </row>
    <row r="42" spans="2:20" x14ac:dyDescent="0.3">
      <c r="C42" s="14" t="s">
        <v>8</v>
      </c>
    </row>
    <row r="43" spans="2:20" x14ac:dyDescent="0.3">
      <c r="C43" t="s">
        <v>52</v>
      </c>
    </row>
    <row r="44" spans="2:20" x14ac:dyDescent="0.3">
      <c r="C44" s="30" t="s">
        <v>53</v>
      </c>
    </row>
    <row r="45" spans="2:20" x14ac:dyDescent="0.3">
      <c r="C45" s="30" t="s">
        <v>54</v>
      </c>
    </row>
    <row r="46" spans="2:20" x14ac:dyDescent="0.3">
      <c r="C46" t="s">
        <v>55</v>
      </c>
    </row>
    <row r="47" spans="2:20" x14ac:dyDescent="0.3">
      <c r="C47" s="30" t="s">
        <v>56</v>
      </c>
    </row>
    <row r="48" spans="2:20" x14ac:dyDescent="0.3">
      <c r="C48" s="30" t="s">
        <v>57</v>
      </c>
    </row>
    <row r="49" spans="2:8" x14ac:dyDescent="0.3">
      <c r="C49" s="30" t="s">
        <v>58</v>
      </c>
    </row>
    <row r="50" spans="2:8" x14ac:dyDescent="0.3">
      <c r="C50" t="s">
        <v>59</v>
      </c>
    </row>
    <row r="51" spans="2:8" x14ac:dyDescent="0.3">
      <c r="C51" s="30" t="s">
        <v>60</v>
      </c>
    </row>
    <row r="52" spans="2:8" x14ac:dyDescent="0.3">
      <c r="C52" s="31" t="s">
        <v>61</v>
      </c>
    </row>
    <row r="53" spans="2:8" x14ac:dyDescent="0.3">
      <c r="C53" s="30" t="s">
        <v>62</v>
      </c>
    </row>
    <row r="56" spans="2:8" x14ac:dyDescent="0.3">
      <c r="B56" s="15" t="str" cm="1">
        <f t="array" ref="B56" xml:space="preserve"> "(" &amp; _xlfn.UNICHAR( 65 + SUMPRODUCT(--(_xlfn.REGEXTEST(B$1:B55, "^\([A-Z]\)$")))) &amp; ")"</f>
        <v>(A)</v>
      </c>
      <c r="C56" s="10" t="s">
        <v>63</v>
      </c>
    </row>
    <row r="57" spans="2:8" x14ac:dyDescent="0.3">
      <c r="C57" s="10" t="s">
        <v>64</v>
      </c>
    </row>
    <row r="58" spans="2:8" x14ac:dyDescent="0.3">
      <c r="G58" s="39" t="s">
        <v>129</v>
      </c>
    </row>
    <row r="59" spans="2:8" ht="14.4" thickBot="1" x14ac:dyDescent="0.35">
      <c r="C59" s="26" t="s">
        <v>65</v>
      </c>
      <c r="D59" s="26" t="s">
        <v>66</v>
      </c>
      <c r="E59" s="26" t="s">
        <v>67</v>
      </c>
      <c r="G59" s="26" t="s">
        <v>130</v>
      </c>
    </row>
    <row r="60" spans="2:8" x14ac:dyDescent="0.3">
      <c r="C60" s="42" cm="1">
        <f t="array" ref="C60:C69" xml:space="preserve"> $C$13:$C$22</f>
        <v>100</v>
      </c>
      <c r="D60" s="43" cm="1">
        <f t="array" ref="D60:D69" xml:space="preserve"> _xlfn.SEQUENCE( ROWS(_xlfn.ANCHORARRAY(C60)))</f>
        <v>1</v>
      </c>
      <c r="E60" s="21" cm="1">
        <f t="array" ref="E60:E63">{2;4;6;8}</f>
        <v>2</v>
      </c>
      <c r="G60" s="43" t="e" cm="1">
        <f t="array" ref="G60" xml:space="preserve"> _xlfn._xlws.FILTER(_xlfn.ANCHORARRAY(C60),_xlfn.ANCHORARRAY( D60) =_xlfn.ANCHORARRAY( E60))</f>
        <v>#N/A</v>
      </c>
      <c r="H60" s="16" t="str">
        <f ca="1" xml:space="preserve"> _xlfn.FORMULATEXT(G60)</f>
        <v>= FILTER(C60#, D60# = E60#)</v>
      </c>
    </row>
    <row r="61" spans="2:8" x14ac:dyDescent="0.3">
      <c r="C61" s="42">
        <v>200</v>
      </c>
      <c r="D61" s="43">
        <v>2</v>
      </c>
      <c r="E61" s="21">
        <v>4</v>
      </c>
      <c r="G61" s="43"/>
      <c r="H61" s="47" t="s">
        <v>131</v>
      </c>
    </row>
    <row r="62" spans="2:8" x14ac:dyDescent="0.3">
      <c r="C62" s="42">
        <v>300</v>
      </c>
      <c r="D62" s="43">
        <v>3</v>
      </c>
      <c r="E62" s="21">
        <v>6</v>
      </c>
      <c r="G62" s="43"/>
      <c r="H62" s="44" t="s">
        <v>132</v>
      </c>
    </row>
    <row r="63" spans="2:8" x14ac:dyDescent="0.3">
      <c r="C63" s="42">
        <v>400</v>
      </c>
      <c r="D63" s="43">
        <v>4</v>
      </c>
      <c r="E63" s="21">
        <v>8</v>
      </c>
      <c r="G63" s="43"/>
      <c r="H63" s="45" t="s">
        <v>133</v>
      </c>
    </row>
    <row r="64" spans="2:8" x14ac:dyDescent="0.3">
      <c r="C64" s="42">
        <v>500</v>
      </c>
      <c r="D64" s="43">
        <v>5</v>
      </c>
      <c r="E64" s="41"/>
      <c r="G64" s="43"/>
      <c r="H64" s="45" t="s">
        <v>134</v>
      </c>
    </row>
    <row r="65" spans="3:8" x14ac:dyDescent="0.3">
      <c r="C65" s="42">
        <v>600</v>
      </c>
      <c r="D65" s="43">
        <v>6</v>
      </c>
      <c r="E65" s="41"/>
      <c r="G65" s="43"/>
      <c r="H65" s="44" t="s">
        <v>135</v>
      </c>
    </row>
    <row r="66" spans="3:8" x14ac:dyDescent="0.3">
      <c r="C66" s="42">
        <v>700</v>
      </c>
      <c r="D66" s="43">
        <v>7</v>
      </c>
      <c r="E66" s="41"/>
      <c r="G66" s="43"/>
      <c r="H66" s="44" t="s">
        <v>136</v>
      </c>
    </row>
    <row r="67" spans="3:8" x14ac:dyDescent="0.3">
      <c r="C67" s="42">
        <v>800</v>
      </c>
      <c r="D67" s="43">
        <v>8</v>
      </c>
      <c r="E67" s="41"/>
      <c r="G67" s="43"/>
    </row>
    <row r="68" spans="3:8" x14ac:dyDescent="0.3">
      <c r="C68" s="42">
        <v>900</v>
      </c>
      <c r="D68" s="43">
        <v>9</v>
      </c>
      <c r="E68" s="41"/>
      <c r="G68" s="43"/>
    </row>
    <row r="69" spans="3:8" x14ac:dyDescent="0.3">
      <c r="C69" s="42">
        <v>1000</v>
      </c>
      <c r="D69" s="43">
        <v>10</v>
      </c>
      <c r="E69" s="41"/>
      <c r="G69" s="43"/>
    </row>
    <row r="71" spans="3:8" x14ac:dyDescent="0.3">
      <c r="G71" s="39" t="s">
        <v>137</v>
      </c>
    </row>
    <row r="72" spans="3:8" ht="14.4" thickBot="1" x14ac:dyDescent="0.35">
      <c r="C72" s="26" t="s">
        <v>65</v>
      </c>
      <c r="D72" s="26" t="s">
        <v>66</v>
      </c>
      <c r="E72" s="26" t="s">
        <v>67</v>
      </c>
      <c r="G72" s="26" t="s">
        <v>138</v>
      </c>
    </row>
    <row r="73" spans="3:8" x14ac:dyDescent="0.3">
      <c r="C73" s="42" cm="1">
        <f t="array" ref="C73:C82" xml:space="preserve"> $C$13:$C$22</f>
        <v>100</v>
      </c>
      <c r="D73" s="43" cm="1">
        <f t="array" ref="D73:D82" xml:space="preserve"> _xlfn.SEQUENCE( ROWS(_xlfn.ANCHORARRAY(C73)))</f>
        <v>1</v>
      </c>
      <c r="E73" s="21" cm="1">
        <f t="array" ref="E73:E76">{2;4;6;8}</f>
        <v>2</v>
      </c>
      <c r="G73" s="43" t="e" cm="1">
        <f t="array" ref="G73" xml:space="preserve"> _xlfn._xlws.FILTER(_xlfn.ANCHORARRAY(C73), ISNUMBER(_xlfn.XMATCH(_xlfn.ANCHORARRAY(E73),_xlfn.ANCHORARRAY( D73))))</f>
        <v>#VALUE!</v>
      </c>
      <c r="H73" s="16" t="str">
        <f ca="1" xml:space="preserve"> _xlfn.FORMULATEXT(G73)</f>
        <v>= FILTER(C73#, ISNUMBER(XMATCH(E73#, D73#)))</v>
      </c>
    </row>
    <row r="74" spans="3:8" x14ac:dyDescent="0.3">
      <c r="C74" s="42">
        <v>200</v>
      </c>
      <c r="D74" s="43">
        <v>2</v>
      </c>
      <c r="E74" s="21">
        <v>4</v>
      </c>
      <c r="G74" s="43"/>
      <c r="H74" s="47" t="s">
        <v>131</v>
      </c>
    </row>
    <row r="75" spans="3:8" x14ac:dyDescent="0.3">
      <c r="C75" s="42">
        <v>300</v>
      </c>
      <c r="D75" s="43">
        <v>3</v>
      </c>
      <c r="E75" s="21">
        <v>6</v>
      </c>
      <c r="G75" s="43"/>
      <c r="H75" s="44" t="s">
        <v>139</v>
      </c>
    </row>
    <row r="76" spans="3:8" x14ac:dyDescent="0.3">
      <c r="C76" s="42">
        <v>400</v>
      </c>
      <c r="D76" s="43">
        <v>4</v>
      </c>
      <c r="E76" s="21">
        <v>8</v>
      </c>
      <c r="G76" s="43"/>
      <c r="H76" s="44" t="s">
        <v>140</v>
      </c>
    </row>
    <row r="77" spans="3:8" x14ac:dyDescent="0.3">
      <c r="C77" s="42">
        <v>500</v>
      </c>
      <c r="D77" s="43">
        <v>5</v>
      </c>
      <c r="E77" s="41"/>
      <c r="G77" s="43"/>
      <c r="H77" s="44" t="s">
        <v>141</v>
      </c>
    </row>
    <row r="78" spans="3:8" x14ac:dyDescent="0.3">
      <c r="C78" s="42">
        <v>600</v>
      </c>
      <c r="D78" s="43">
        <v>6</v>
      </c>
      <c r="E78" s="41"/>
      <c r="G78" s="43"/>
      <c r="H78" s="44" t="s">
        <v>142</v>
      </c>
    </row>
    <row r="79" spans="3:8" x14ac:dyDescent="0.3">
      <c r="C79" s="42">
        <v>700</v>
      </c>
      <c r="D79" s="43">
        <v>7</v>
      </c>
      <c r="E79" s="41"/>
      <c r="G79" s="43"/>
    </row>
    <row r="80" spans="3:8" x14ac:dyDescent="0.3">
      <c r="C80" s="42">
        <v>800</v>
      </c>
      <c r="D80" s="43">
        <v>8</v>
      </c>
      <c r="E80" s="41"/>
      <c r="G80" s="43"/>
      <c r="H80" s="46" t="s">
        <v>143</v>
      </c>
    </row>
    <row r="81" spans="3:8" x14ac:dyDescent="0.3">
      <c r="C81" s="42">
        <v>900</v>
      </c>
      <c r="D81" s="43">
        <v>9</v>
      </c>
      <c r="E81" s="41"/>
      <c r="G81" s="43"/>
      <c r="H81" s="46" t="s">
        <v>144</v>
      </c>
    </row>
    <row r="82" spans="3:8" x14ac:dyDescent="0.3">
      <c r="C82" s="42">
        <v>1000</v>
      </c>
      <c r="D82" s="43">
        <v>10</v>
      </c>
      <c r="E82" s="41"/>
      <c r="G82" s="43"/>
    </row>
    <row r="84" spans="3:8" x14ac:dyDescent="0.3">
      <c r="G84" s="39" t="s">
        <v>145</v>
      </c>
    </row>
    <row r="85" spans="3:8" ht="14.4" thickBot="1" x14ac:dyDescent="0.35">
      <c r="C85" s="26" t="s">
        <v>65</v>
      </c>
      <c r="D85" s="26" t="s">
        <v>66</v>
      </c>
      <c r="E85" s="26" t="s">
        <v>67</v>
      </c>
      <c r="F85" s="26" t="s">
        <v>146</v>
      </c>
      <c r="G85" s="26" t="s">
        <v>147</v>
      </c>
    </row>
    <row r="86" spans="3:8" x14ac:dyDescent="0.3">
      <c r="C86" s="42" cm="1">
        <f t="array" ref="C86:C95" xml:space="preserve"> $C$13:$C$22</f>
        <v>100</v>
      </c>
      <c r="D86" s="43" cm="1">
        <f t="array" ref="D86:D95" xml:space="preserve"> _xlfn.SEQUENCE( ROWS(_xlfn.ANCHORARRAY(C86)))</f>
        <v>1</v>
      </c>
      <c r="E86" s="21" cm="1">
        <f t="array" ref="E86:E89">{2;4;6;8}</f>
        <v>2</v>
      </c>
      <c r="F86" s="43" t="b" cm="1">
        <f t="array" ref="F86:F95" xml:space="preserve"> ISNUMBER(_xlfn.XMATCH(_xlfn.ANCHORARRAY(D86),_xlfn.ANCHORARRAY( E86)))</f>
        <v>0</v>
      </c>
      <c r="G86" s="43" cm="1">
        <f t="array" ref="G86:G89" xml:space="preserve"> _xlfn._xlws.FILTER(_xlfn.ANCHORARRAY(C86), ISNUMBER(_xlfn.XMATCH(_xlfn.ANCHORARRAY(D86),_xlfn.ANCHORARRAY( E86))))</f>
        <v>200</v>
      </c>
      <c r="H86" s="16" t="str">
        <f ca="1" xml:space="preserve"> _xlfn.FORMULATEXT(G86)</f>
        <v>= FILTER(C86#, ISNUMBER(XMATCH(D86#, E86#)))</v>
      </c>
    </row>
    <row r="87" spans="3:8" x14ac:dyDescent="0.3">
      <c r="C87" s="42">
        <v>200</v>
      </c>
      <c r="D87" s="43">
        <v>2</v>
      </c>
      <c r="E87" s="21">
        <v>4</v>
      </c>
      <c r="F87" s="43" t="b">
        <v>1</v>
      </c>
      <c r="G87" s="43">
        <v>400</v>
      </c>
    </row>
    <row r="88" spans="3:8" x14ac:dyDescent="0.3">
      <c r="C88" s="42">
        <v>300</v>
      </c>
      <c r="D88" s="43">
        <v>3</v>
      </c>
      <c r="E88" s="21">
        <v>6</v>
      </c>
      <c r="F88" s="43" t="b">
        <v>0</v>
      </c>
      <c r="G88" s="43">
        <v>600</v>
      </c>
      <c r="H88" s="47" t="s">
        <v>131</v>
      </c>
    </row>
    <row r="89" spans="3:8" x14ac:dyDescent="0.3">
      <c r="C89" s="42">
        <v>400</v>
      </c>
      <c r="D89" s="43">
        <v>4</v>
      </c>
      <c r="E89" s="21">
        <v>8</v>
      </c>
      <c r="F89" s="43" t="b">
        <v>1</v>
      </c>
      <c r="G89" s="43">
        <v>800</v>
      </c>
      <c r="H89" s="44" t="s">
        <v>148</v>
      </c>
    </row>
    <row r="90" spans="3:8" x14ac:dyDescent="0.3">
      <c r="C90" s="42">
        <v>500</v>
      </c>
      <c r="D90" s="43">
        <v>5</v>
      </c>
      <c r="E90" s="41"/>
      <c r="F90" s="43" t="b">
        <v>0</v>
      </c>
      <c r="G90" s="43"/>
      <c r="H90" s="44" t="s">
        <v>149</v>
      </c>
    </row>
    <row r="91" spans="3:8" x14ac:dyDescent="0.3">
      <c r="C91" s="42">
        <v>600</v>
      </c>
      <c r="D91" s="43">
        <v>6</v>
      </c>
      <c r="E91" s="41"/>
      <c r="F91" s="43" t="b">
        <v>1</v>
      </c>
      <c r="G91" s="43"/>
      <c r="H91" s="44" t="s">
        <v>150</v>
      </c>
    </row>
    <row r="92" spans="3:8" x14ac:dyDescent="0.3">
      <c r="C92" s="42">
        <v>700</v>
      </c>
      <c r="D92" s="43">
        <v>7</v>
      </c>
      <c r="E92" s="41"/>
      <c r="F92" s="43" t="b">
        <v>0</v>
      </c>
      <c r="G92" s="43"/>
      <c r="H92" s="44" t="s">
        <v>151</v>
      </c>
    </row>
    <row r="93" spans="3:8" x14ac:dyDescent="0.3">
      <c r="C93" s="42">
        <v>800</v>
      </c>
      <c r="D93" s="43">
        <v>8</v>
      </c>
      <c r="E93" s="41"/>
      <c r="F93" s="43" t="b">
        <v>1</v>
      </c>
      <c r="G93" s="43"/>
      <c r="H93" s="44" t="s">
        <v>152</v>
      </c>
    </row>
    <row r="94" spans="3:8" x14ac:dyDescent="0.3">
      <c r="C94" s="42">
        <v>900</v>
      </c>
      <c r="D94" s="43">
        <v>9</v>
      </c>
      <c r="E94" s="41"/>
      <c r="F94" s="43" t="b">
        <v>0</v>
      </c>
      <c r="G94" s="43"/>
    </row>
    <row r="95" spans="3:8" x14ac:dyDescent="0.3">
      <c r="C95" s="42">
        <v>1000</v>
      </c>
      <c r="D95" s="43">
        <v>10</v>
      </c>
      <c r="E95" s="41"/>
      <c r="F95" s="43" t="b">
        <v>0</v>
      </c>
      <c r="G95" s="43"/>
    </row>
    <row r="97" spans="2:8" x14ac:dyDescent="0.3">
      <c r="G97" s="39" t="s">
        <v>153</v>
      </c>
    </row>
    <row r="98" spans="2:8" ht="14.4" thickBot="1" x14ac:dyDescent="0.35">
      <c r="C98" s="26" t="s">
        <v>65</v>
      </c>
      <c r="D98" s="26" t="s">
        <v>66</v>
      </c>
      <c r="E98" s="26" t="s">
        <v>67</v>
      </c>
      <c r="F98" s="26" t="s">
        <v>146</v>
      </c>
      <c r="G98" s="26" t="s">
        <v>154</v>
      </c>
    </row>
    <row r="99" spans="2:8" x14ac:dyDescent="0.3">
      <c r="C99" s="42" cm="1">
        <f t="array" ref="C99:C108" xml:space="preserve"> $C$13:$C$22</f>
        <v>100</v>
      </c>
      <c r="D99" s="43" cm="1">
        <f t="array" ref="D99:D108" xml:space="preserve"> _xlfn.SEQUENCE( ROWS(_xlfn.ANCHORARRAY(C99)))</f>
        <v>1</v>
      </c>
      <c r="E99" s="21" cm="1">
        <f t="array" ref="E99:E102">{2;4;6;8}</f>
        <v>2</v>
      </c>
      <c r="F99" s="43" t="b" cm="1">
        <f t="array" ref="F99:F108" xml:space="preserve"> ISNA(_xlfn.XMATCH(_xlfn.ANCHORARRAY(D99),_xlfn.ANCHORARRAY( E99)))</f>
        <v>1</v>
      </c>
      <c r="G99" s="43" cm="1">
        <f t="array" ref="G99:G104" xml:space="preserve"> _xlfn._xlws.FILTER(_xlfn.ANCHORARRAY(C99), ISNA(_xlfn.XMATCH(_xlfn.ANCHORARRAY(D99),_xlfn.ANCHORARRAY( E99))))</f>
        <v>100</v>
      </c>
      <c r="H99" s="16" t="str">
        <f ca="1" xml:space="preserve"> _xlfn.FORMULATEXT(G99)</f>
        <v>= FILTER(C99#, ISNA(XMATCH(D99#, E99#)))</v>
      </c>
    </row>
    <row r="100" spans="2:8" x14ac:dyDescent="0.3">
      <c r="C100" s="42">
        <v>200</v>
      </c>
      <c r="D100" s="43">
        <v>2</v>
      </c>
      <c r="E100" s="21">
        <v>4</v>
      </c>
      <c r="F100" s="43" t="b">
        <v>0</v>
      </c>
      <c r="G100" s="43">
        <v>300</v>
      </c>
    </row>
    <row r="101" spans="2:8" x14ac:dyDescent="0.3">
      <c r="C101" s="42">
        <v>300</v>
      </c>
      <c r="D101" s="43">
        <v>3</v>
      </c>
      <c r="E101" s="21">
        <v>6</v>
      </c>
      <c r="F101" s="43" t="b">
        <v>1</v>
      </c>
      <c r="G101" s="43">
        <v>500</v>
      </c>
      <c r="H101" s="47" t="s">
        <v>131</v>
      </c>
    </row>
    <row r="102" spans="2:8" x14ac:dyDescent="0.3">
      <c r="C102" s="42">
        <v>400</v>
      </c>
      <c r="D102" s="43">
        <v>4</v>
      </c>
      <c r="E102" s="21">
        <v>8</v>
      </c>
      <c r="F102" s="43" t="b">
        <v>0</v>
      </c>
      <c r="G102" s="43">
        <v>700</v>
      </c>
      <c r="H102" s="44" t="s">
        <v>155</v>
      </c>
    </row>
    <row r="103" spans="2:8" x14ac:dyDescent="0.3">
      <c r="C103" s="42">
        <v>500</v>
      </c>
      <c r="D103" s="43">
        <v>5</v>
      </c>
      <c r="E103" s="41"/>
      <c r="F103" s="43" t="b">
        <v>1</v>
      </c>
      <c r="G103" s="43">
        <v>900</v>
      </c>
      <c r="H103" s="44" t="s">
        <v>156</v>
      </c>
    </row>
    <row r="104" spans="2:8" x14ac:dyDescent="0.3">
      <c r="C104" s="42">
        <v>600</v>
      </c>
      <c r="D104" s="43">
        <v>6</v>
      </c>
      <c r="E104" s="41"/>
      <c r="F104" s="43" t="b">
        <v>0</v>
      </c>
      <c r="G104" s="43">
        <v>1000</v>
      </c>
    </row>
    <row r="105" spans="2:8" x14ac:dyDescent="0.3">
      <c r="C105" s="42">
        <v>700</v>
      </c>
      <c r="D105" s="43">
        <v>7</v>
      </c>
      <c r="E105" s="41"/>
      <c r="F105" s="43" t="b">
        <v>1</v>
      </c>
      <c r="G105" s="43"/>
    </row>
    <row r="106" spans="2:8" x14ac:dyDescent="0.3">
      <c r="C106" s="42">
        <v>800</v>
      </c>
      <c r="D106" s="43">
        <v>8</v>
      </c>
      <c r="E106" s="41"/>
      <c r="F106" s="43" t="b">
        <v>0</v>
      </c>
      <c r="G106" s="43"/>
    </row>
    <row r="107" spans="2:8" x14ac:dyDescent="0.3">
      <c r="C107" s="42">
        <v>900</v>
      </c>
      <c r="D107" s="43">
        <v>9</v>
      </c>
      <c r="E107" s="41"/>
      <c r="F107" s="43" t="b">
        <v>1</v>
      </c>
      <c r="G107" s="43"/>
    </row>
    <row r="108" spans="2:8" x14ac:dyDescent="0.3">
      <c r="C108" s="42">
        <v>1000</v>
      </c>
      <c r="D108" s="43">
        <v>10</v>
      </c>
      <c r="E108" s="41"/>
      <c r="F108" s="43" t="b">
        <v>1</v>
      </c>
      <c r="G108" s="43"/>
    </row>
    <row r="112" spans="2:8" x14ac:dyDescent="0.3">
      <c r="B112" s="15" t="str" cm="1">
        <f t="array" ref="B112" xml:space="preserve"> "(" &amp; _xlfn.UNICHAR( 65 + SUMPRODUCT(--(_xlfn.REGEXTEST(B$1:B111, "^\([A-Z]\)$")))) &amp; ")"</f>
        <v>(B)</v>
      </c>
      <c r="C112" s="10" t="s">
        <v>157</v>
      </c>
    </row>
    <row r="113" spans="3:20" x14ac:dyDescent="0.3">
      <c r="C113" s="10" t="s">
        <v>64</v>
      </c>
    </row>
    <row r="114" spans="3:20" x14ac:dyDescent="0.3">
      <c r="M114" s="39" t="s">
        <v>158</v>
      </c>
    </row>
    <row r="115" spans="3:20" ht="14.4" thickBot="1" x14ac:dyDescent="0.35">
      <c r="C115" s="26" t="s">
        <v>65</v>
      </c>
      <c r="D115" s="26" t="s">
        <v>66</v>
      </c>
      <c r="F115" s="26" t="s">
        <v>159</v>
      </c>
      <c r="M115" s="26" t="s">
        <v>159</v>
      </c>
      <c r="N115" s="26" t="s">
        <v>160</v>
      </c>
      <c r="O115" s="26" t="s">
        <v>66</v>
      </c>
      <c r="Q115" s="26" t="s">
        <v>161</v>
      </c>
      <c r="R115" s="26" t="s">
        <v>160</v>
      </c>
      <c r="S115" s="26" t="s">
        <v>65</v>
      </c>
    </row>
    <row r="116" spans="3:20" x14ac:dyDescent="0.3">
      <c r="C116" s="42" cm="1">
        <f t="array" ref="C116:C125" xml:space="preserve"> $C$13:$C$22</f>
        <v>100</v>
      </c>
      <c r="D116" s="43" cm="1">
        <f t="array" ref="D116:D125" xml:space="preserve"> _xlfn.SEQUENCE( ROWS(_xlfn.ANCHORARRAY(C116)))</f>
        <v>1</v>
      </c>
      <c r="F116" s="43" cm="1">
        <f t="array" aca="1" ref="F116:F125" ca="1" xml:space="preserve"> _xlfn.LET(
  _xlpm._arr,_xlfn.ANCHORARRAY( C116),
  _xlpm._idx,_xlfn.ANCHORARRAY( D116),
  _xlpm._rnd, _xlfn.DROP(
    _xlfn.REDUCE(0, _xlpm._idx, _xlfn.LAMBDA(_xlpm._acc,_xlpm._val, _xlfn.LET(
      _xlpm._fltr, _xlfn._xlws.FILTER(_xlpm._idx, ISNA(_xlfn.XMATCH(_xlpm._idx, _xlpm._acc))),
      _xlpm._rr, ROWS(_xlpm._fltr),
      _xlfn.VSTACK(_xlpm._acc, INDEX(_xlpm._fltr, RANDBETWEEN(1, _xlpm._rr)))
    ))),
  1),
  _xlpm._rnd
)</f>
        <v>1</v>
      </c>
      <c r="G116" s="16" t="str" cm="1">
        <f t="array" aca="1" ref="G116:G127" ca="1" xml:space="preserve"> _xlfn.TEXTSPLIT( _xlfn.FORMULATEXT(F116), , CHAR(10))</f>
        <v>= LET(</v>
      </c>
      <c r="M116" s="43" cm="1">
        <f t="array" aca="1" ref="M116:M125" ca="1">_xlfn.ANCHORARRAY( F116)</f>
        <v>1</v>
      </c>
      <c r="N116" s="43" cm="1">
        <f t="array" aca="1" ref="N116:N125" ca="1" xml:space="preserve"> _xlfn._xlws.SORT(_xlfn.ANCHORARRAY(M116))</f>
        <v>1</v>
      </c>
      <c r="O116" s="42" cm="1">
        <f t="array" ref="O116:O125">_xlfn.ANCHORARRAY( D116)</f>
        <v>1</v>
      </c>
      <c r="P116" s="48" cm="1">
        <f t="array" aca="1" ref="P116:P125" ca="1" xml:space="preserve"> IF(_xlfn.ANCHORARRAY(N116) =_xlfn.ANCHORARRAY( O116), 0, 1)</f>
        <v>0</v>
      </c>
      <c r="Q116" s="43" cm="1">
        <f t="array" aca="1" ref="Q116:Q125" ca="1" xml:space="preserve"> INDEX(_xlfn.ANCHORARRAY(C116),_xlfn.ANCHORARRAY( M116))</f>
        <v>100</v>
      </c>
      <c r="R116" s="43" cm="1">
        <f t="array" aca="1" ref="R116:R125" ca="1" xml:space="preserve"> _xlfn._xlws.SORT(_xlfn.ANCHORARRAY(Q116))</f>
        <v>100</v>
      </c>
      <c r="S116" s="42" cm="1">
        <f t="array" ref="S116:S125">_xlfn.ANCHORARRAY( C116)</f>
        <v>100</v>
      </c>
      <c r="T116" s="48" cm="1">
        <f t="array" aca="1" ref="T116:T125" ca="1" xml:space="preserve"> IF(_xlfn.ANCHORARRAY(R116) =_xlfn.ANCHORARRAY( S116), 0, 1)</f>
        <v>0</v>
      </c>
    </row>
    <row r="117" spans="3:20" x14ac:dyDescent="0.3">
      <c r="C117" s="42">
        <v>200</v>
      </c>
      <c r="D117" s="43">
        <v>2</v>
      </c>
      <c r="F117" s="43">
        <f ca="1"/>
        <v>8</v>
      </c>
      <c r="G117" s="16" t="str">
        <f ca="1"/>
        <v xml:space="preserve">  _arr, C116#,</v>
      </c>
      <c r="M117" s="43">
        <f ca="1"/>
        <v>8</v>
      </c>
      <c r="N117" s="43">
        <f ca="1"/>
        <v>2</v>
      </c>
      <c r="O117" s="42">
        <v>2</v>
      </c>
      <c r="P117" s="48">
        <f ca="1"/>
        <v>0</v>
      </c>
      <c r="Q117" s="43">
        <f ca="1"/>
        <v>800</v>
      </c>
      <c r="R117" s="43">
        <f ca="1"/>
        <v>200</v>
      </c>
      <c r="S117" s="42">
        <v>200</v>
      </c>
      <c r="T117" s="48">
        <f ca="1"/>
        <v>0</v>
      </c>
    </row>
    <row r="118" spans="3:20" x14ac:dyDescent="0.3">
      <c r="C118" s="42">
        <v>300</v>
      </c>
      <c r="D118" s="43">
        <v>3</v>
      </c>
      <c r="F118" s="43">
        <f ca="1"/>
        <v>4</v>
      </c>
      <c r="G118" s="16" t="str">
        <f ca="1"/>
        <v xml:space="preserve">  _idx, D116#,</v>
      </c>
      <c r="M118" s="43">
        <f ca="1"/>
        <v>4</v>
      </c>
      <c r="N118" s="43">
        <f ca="1"/>
        <v>3</v>
      </c>
      <c r="O118" s="42">
        <v>3</v>
      </c>
      <c r="P118" s="48">
        <f ca="1"/>
        <v>0</v>
      </c>
      <c r="Q118" s="43">
        <f ca="1"/>
        <v>400</v>
      </c>
      <c r="R118" s="43">
        <f ca="1"/>
        <v>300</v>
      </c>
      <c r="S118" s="42">
        <v>300</v>
      </c>
      <c r="T118" s="48">
        <f ca="1"/>
        <v>0</v>
      </c>
    </row>
    <row r="119" spans="3:20" x14ac:dyDescent="0.3">
      <c r="C119" s="42">
        <v>400</v>
      </c>
      <c r="D119" s="43">
        <v>4</v>
      </c>
      <c r="F119" s="43">
        <f ca="1"/>
        <v>10</v>
      </c>
      <c r="G119" s="16" t="str">
        <f ca="1"/>
        <v xml:space="preserve">  _rnd, DROP(</v>
      </c>
      <c r="M119" s="43">
        <f ca="1"/>
        <v>10</v>
      </c>
      <c r="N119" s="43">
        <f ca="1"/>
        <v>4</v>
      </c>
      <c r="O119" s="42">
        <v>4</v>
      </c>
      <c r="P119" s="48">
        <f ca="1"/>
        <v>0</v>
      </c>
      <c r="Q119" s="43">
        <f ca="1"/>
        <v>1000</v>
      </c>
      <c r="R119" s="43">
        <f ca="1"/>
        <v>400</v>
      </c>
      <c r="S119" s="42">
        <v>400</v>
      </c>
      <c r="T119" s="48">
        <f ca="1"/>
        <v>0</v>
      </c>
    </row>
    <row r="120" spans="3:20" x14ac:dyDescent="0.3">
      <c r="C120" s="42">
        <v>500</v>
      </c>
      <c r="D120" s="43">
        <v>5</v>
      </c>
      <c r="F120" s="43">
        <f ca="1"/>
        <v>5</v>
      </c>
      <c r="G120" s="16" t="str">
        <f ca="1"/>
        <v xml:space="preserve">    REDUCE(0, _idx, LAMBDA(_acc,_val, LET(</v>
      </c>
      <c r="M120" s="43">
        <f ca="1"/>
        <v>5</v>
      </c>
      <c r="N120" s="43">
        <f ca="1"/>
        <v>5</v>
      </c>
      <c r="O120" s="42">
        <v>5</v>
      </c>
      <c r="P120" s="48">
        <f ca="1"/>
        <v>0</v>
      </c>
      <c r="Q120" s="43">
        <f ca="1"/>
        <v>500</v>
      </c>
      <c r="R120" s="43">
        <f ca="1"/>
        <v>500</v>
      </c>
      <c r="S120" s="42">
        <v>500</v>
      </c>
      <c r="T120" s="48">
        <f ca="1"/>
        <v>0</v>
      </c>
    </row>
    <row r="121" spans="3:20" x14ac:dyDescent="0.3">
      <c r="C121" s="42">
        <v>600</v>
      </c>
      <c r="D121" s="43">
        <v>6</v>
      </c>
      <c r="F121" s="43">
        <f ca="1"/>
        <v>9</v>
      </c>
      <c r="G121" s="16" t="str">
        <f ca="1"/>
        <v xml:space="preserve">      _fltr, FILTER(_idx, ISNA(XMATCH(_idx, _acc))),</v>
      </c>
      <c r="M121" s="43">
        <f ca="1"/>
        <v>9</v>
      </c>
      <c r="N121" s="43">
        <f ca="1"/>
        <v>6</v>
      </c>
      <c r="O121" s="42">
        <v>6</v>
      </c>
      <c r="P121" s="48">
        <f ca="1"/>
        <v>0</v>
      </c>
      <c r="Q121" s="43">
        <f ca="1"/>
        <v>900</v>
      </c>
      <c r="R121" s="43">
        <f ca="1"/>
        <v>600</v>
      </c>
      <c r="S121" s="42">
        <v>600</v>
      </c>
      <c r="T121" s="48">
        <f ca="1"/>
        <v>0</v>
      </c>
    </row>
    <row r="122" spans="3:20" x14ac:dyDescent="0.3">
      <c r="C122" s="42">
        <v>700</v>
      </c>
      <c r="D122" s="43">
        <v>7</v>
      </c>
      <c r="F122" s="43">
        <f ca="1"/>
        <v>6</v>
      </c>
      <c r="G122" s="16" t="str">
        <f ca="1"/>
        <v xml:space="preserve">      _rr, ROWS(_fltr),</v>
      </c>
      <c r="M122" s="43">
        <f ca="1"/>
        <v>6</v>
      </c>
      <c r="N122" s="43">
        <f ca="1"/>
        <v>7</v>
      </c>
      <c r="O122" s="42">
        <v>7</v>
      </c>
      <c r="P122" s="48">
        <f ca="1"/>
        <v>0</v>
      </c>
      <c r="Q122" s="43">
        <f ca="1"/>
        <v>600</v>
      </c>
      <c r="R122" s="43">
        <f ca="1"/>
        <v>700</v>
      </c>
      <c r="S122" s="42">
        <v>700</v>
      </c>
      <c r="T122" s="48">
        <f ca="1"/>
        <v>0</v>
      </c>
    </row>
    <row r="123" spans="3:20" x14ac:dyDescent="0.3">
      <c r="C123" s="42">
        <v>800</v>
      </c>
      <c r="D123" s="43">
        <v>8</v>
      </c>
      <c r="F123" s="43">
        <f ca="1"/>
        <v>2</v>
      </c>
      <c r="G123" s="16" t="str">
        <f ca="1"/>
        <v xml:space="preserve">      VSTACK(_acc, INDEX(_fltr, RANDBETWEEN(1, _rr)))</v>
      </c>
      <c r="M123" s="43">
        <f ca="1"/>
        <v>2</v>
      </c>
      <c r="N123" s="43">
        <f ca="1"/>
        <v>8</v>
      </c>
      <c r="O123" s="42">
        <v>8</v>
      </c>
      <c r="P123" s="48">
        <f ca="1"/>
        <v>0</v>
      </c>
      <c r="Q123" s="43">
        <f ca="1"/>
        <v>200</v>
      </c>
      <c r="R123" s="43">
        <f ca="1"/>
        <v>800</v>
      </c>
      <c r="S123" s="42">
        <v>800</v>
      </c>
      <c r="T123" s="48">
        <f ca="1"/>
        <v>0</v>
      </c>
    </row>
    <row r="124" spans="3:20" x14ac:dyDescent="0.3">
      <c r="C124" s="42">
        <v>900</v>
      </c>
      <c r="D124" s="43">
        <v>9</v>
      </c>
      <c r="F124" s="43">
        <f ca="1"/>
        <v>3</v>
      </c>
      <c r="G124" s="16" t="str">
        <f ca="1"/>
        <v xml:space="preserve">    ))),</v>
      </c>
      <c r="M124" s="43">
        <f ca="1"/>
        <v>3</v>
      </c>
      <c r="N124" s="43">
        <f ca="1"/>
        <v>9</v>
      </c>
      <c r="O124" s="42">
        <v>9</v>
      </c>
      <c r="P124" s="48">
        <f ca="1"/>
        <v>0</v>
      </c>
      <c r="Q124" s="43">
        <f ca="1"/>
        <v>300</v>
      </c>
      <c r="R124" s="43">
        <f ca="1"/>
        <v>900</v>
      </c>
      <c r="S124" s="42">
        <v>900</v>
      </c>
      <c r="T124" s="48">
        <f ca="1"/>
        <v>0</v>
      </c>
    </row>
    <row r="125" spans="3:20" x14ac:dyDescent="0.3">
      <c r="C125" s="42">
        <v>1000</v>
      </c>
      <c r="D125" s="43">
        <v>10</v>
      </c>
      <c r="F125" s="43">
        <f ca="1"/>
        <v>7</v>
      </c>
      <c r="G125" s="16" t="str">
        <f ca="1"/>
        <v xml:space="preserve">  1),</v>
      </c>
      <c r="M125" s="43">
        <f ca="1"/>
        <v>7</v>
      </c>
      <c r="N125" s="43">
        <f ca="1"/>
        <v>10</v>
      </c>
      <c r="O125" s="42">
        <v>10</v>
      </c>
      <c r="P125" s="48">
        <f ca="1"/>
        <v>0</v>
      </c>
      <c r="Q125" s="43">
        <f ca="1"/>
        <v>700</v>
      </c>
      <c r="R125" s="43">
        <f ca="1"/>
        <v>1000</v>
      </c>
      <c r="S125" s="42">
        <v>1000</v>
      </c>
      <c r="T125" s="48">
        <f ca="1"/>
        <v>0</v>
      </c>
    </row>
    <row r="126" spans="3:20" x14ac:dyDescent="0.3">
      <c r="G126" s="16" t="str">
        <f ca="1"/>
        <v xml:space="preserve">  _rnd</v>
      </c>
    </row>
    <row r="127" spans="3:20" x14ac:dyDescent="0.3">
      <c r="G127" s="16" t="str">
        <f ca="1"/>
        <v>)</v>
      </c>
    </row>
    <row r="129" spans="2:9" x14ac:dyDescent="0.3">
      <c r="B129" s="15" t="str" cm="1">
        <f t="array" ref="B129" xml:space="preserve"> "(" &amp; _xlfn.UNICHAR( 65 + SUMPRODUCT(--(_xlfn.REGEXTEST(B$1:B128, "^\([A-Z]\)$")))) &amp; ")"</f>
        <v>(C)</v>
      </c>
      <c r="C129" s="10" t="s">
        <v>162</v>
      </c>
    </row>
    <row r="131" spans="2:9" x14ac:dyDescent="0.3">
      <c r="C131" s="39" t="s">
        <v>163</v>
      </c>
    </row>
    <row r="132" spans="2:9" x14ac:dyDescent="0.3">
      <c r="C132" s="50" t="s">
        <v>164</v>
      </c>
      <c r="D132" s="51"/>
      <c r="F132" s="52" t="s">
        <v>167</v>
      </c>
      <c r="G132" s="23" t="s">
        <v>166</v>
      </c>
    </row>
    <row r="133" spans="2:9" x14ac:dyDescent="0.3">
      <c r="C133" s="50" t="s">
        <v>165</v>
      </c>
      <c r="D133" s="51"/>
    </row>
    <row r="134" spans="2:9" x14ac:dyDescent="0.3">
      <c r="C134" s="50" t="s">
        <v>166</v>
      </c>
      <c r="D134" s="51"/>
      <c r="F134" s="52" t="s">
        <v>168</v>
      </c>
      <c r="G134" s="40" t="str" cm="1">
        <f t="array" ref="G134:H137" xml:space="preserve"> _xlfn.LET(
  _xlpm._arr, CHOOSE( _xlfn.XMATCH(G132, C132:C134), $C$13:$C$22, $C$13:$L$13, $C$25:$G$34),
  _xlpm._rr, ROWS(_xlpm._arr),
  _xlpm._cc, COLUMNS(_xlpm._arr),
  _xlpm._cl, _xlpm._rr * _xlpm._cc,
  _xlpm._dir, _xlfn.IFS(
    AND(_xlpm._cc = 1, _xlpm._rr &gt; 1), 1,
    AND(_xlpm._rr = 1, _xlpm._cc &gt; 1), 2,
    TRUE, 3
  ),
  _xlpm._rtn, _xlfn.VSTACK(
    _xlfn.HSTACK("Orientation", CHOOSE(_xlpm._dir, "Vrt.", "Hrz.", "2D")),
    _xlfn.HSTACK("Rows", _xlpm._rr),
    _xlfn.HSTACK("Cols", _xlpm._cc),
    _xlfn.HSTACK("Cells", _xlpm._cl)
  ),
  _xlpm._rtn
)</f>
        <v>Orientation</v>
      </c>
      <c r="H134" s="43" t="str">
        <v>2D</v>
      </c>
      <c r="I134" s="16" t="str" cm="1">
        <f t="array" aca="1" ref="I134:I151" ca="1" xml:space="preserve"> _xlfn.TEXTSPLIT( _xlfn.FORMULATEXT(G134), , CHAR(10))</f>
        <v>= LET(</v>
      </c>
    </row>
    <row r="135" spans="2:9" x14ac:dyDescent="0.3">
      <c r="G135" s="40" t="str">
        <v>Rows</v>
      </c>
      <c r="H135" s="43">
        <v>10</v>
      </c>
      <c r="I135" s="16" t="str">
        <f ca="1"/>
        <v xml:space="preserve">  _arr, CHOOSE( XMATCH(G132, C132:C134), $C$13:$C$22, $C$13:$L$13, $C$25:$G$34),</v>
      </c>
    </row>
    <row r="136" spans="2:9" x14ac:dyDescent="0.3">
      <c r="G136" s="40" t="str">
        <v>Cols</v>
      </c>
      <c r="H136" s="43">
        <v>5</v>
      </c>
      <c r="I136" s="16" t="str">
        <f ca="1"/>
        <v xml:space="preserve">  _rr, ROWS(_arr),</v>
      </c>
    </row>
    <row r="137" spans="2:9" x14ac:dyDescent="0.3">
      <c r="G137" s="40" t="str">
        <v>Cells</v>
      </c>
      <c r="H137" s="43">
        <v>50</v>
      </c>
      <c r="I137" s="16" t="str">
        <f ca="1"/>
        <v xml:space="preserve">  _cc, COLUMNS(_arr),</v>
      </c>
    </row>
    <row r="138" spans="2:9" x14ac:dyDescent="0.3">
      <c r="I138" s="16" t="str">
        <f ca="1"/>
        <v xml:space="preserve">  _cl, _rr * _cc,</v>
      </c>
    </row>
    <row r="139" spans="2:9" x14ac:dyDescent="0.3">
      <c r="I139" s="16" t="str">
        <f ca="1"/>
        <v xml:space="preserve">  _dir, IFS(</v>
      </c>
    </row>
    <row r="140" spans="2:9" x14ac:dyDescent="0.3">
      <c r="I140" s="16" t="str">
        <f ca="1"/>
        <v xml:space="preserve">    AND(_cc = 1, _rr &gt; 1), 1,</v>
      </c>
    </row>
    <row r="141" spans="2:9" x14ac:dyDescent="0.3">
      <c r="I141" s="16" t="str">
        <f ca="1"/>
        <v xml:space="preserve">    AND(_rr = 1, _cc &gt; 1), 2,</v>
      </c>
    </row>
    <row r="142" spans="2:9" x14ac:dyDescent="0.3">
      <c r="I142" s="16" t="str">
        <f ca="1"/>
        <v xml:space="preserve">    TRUE, 3</v>
      </c>
    </row>
    <row r="143" spans="2:9" x14ac:dyDescent="0.3">
      <c r="I143" s="16" t="str">
        <f ca="1"/>
        <v xml:space="preserve">  ),</v>
      </c>
    </row>
    <row r="144" spans="2:9" x14ac:dyDescent="0.3">
      <c r="I144" s="16" t="str">
        <f ca="1"/>
        <v xml:space="preserve">  _rtn, VSTACK(</v>
      </c>
    </row>
    <row r="145" spans="2:16" x14ac:dyDescent="0.3">
      <c r="I145" s="16" t="str">
        <f ca="1"/>
        <v xml:space="preserve">    HSTACK("Orientation", CHOOSE(_dir, "Vrt.", "Hrz.", "2D")),</v>
      </c>
    </row>
    <row r="146" spans="2:16" x14ac:dyDescent="0.3">
      <c r="I146" s="16" t="str">
        <f ca="1"/>
        <v xml:space="preserve">    HSTACK("Rows", _rr),</v>
      </c>
    </row>
    <row r="147" spans="2:16" x14ac:dyDescent="0.3">
      <c r="I147" s="16" t="str">
        <f ca="1"/>
        <v xml:space="preserve">    HSTACK("Cols", _cc),</v>
      </c>
    </row>
    <row r="148" spans="2:16" x14ac:dyDescent="0.3">
      <c r="I148" s="16" t="str">
        <f ca="1"/>
        <v xml:space="preserve">    HSTACK("Cells", _cl)</v>
      </c>
    </row>
    <row r="149" spans="2:16" x14ac:dyDescent="0.3">
      <c r="I149" s="16" t="str">
        <f ca="1"/>
        <v xml:space="preserve">  ),</v>
      </c>
    </row>
    <row r="150" spans="2:16" x14ac:dyDescent="0.3">
      <c r="I150" s="16" t="str">
        <f ca="1"/>
        <v xml:space="preserve">  _rtn</v>
      </c>
    </row>
    <row r="151" spans="2:16" x14ac:dyDescent="0.3">
      <c r="I151" s="16" t="str">
        <f ca="1"/>
        <v>)</v>
      </c>
    </row>
    <row r="153" spans="2:16" x14ac:dyDescent="0.3">
      <c r="B153" s="15" t="str" cm="1">
        <f t="array" ref="B153" xml:space="preserve"> "(" &amp; _xlfn.UNICHAR( 65 + SUMPRODUCT(--(_xlfn.REGEXTEST(B$1:B152, "^\([A-Z]\)$")))) &amp; ")"</f>
        <v>(D)</v>
      </c>
      <c r="C153" s="10" t="s">
        <v>169</v>
      </c>
    </row>
    <row r="155" spans="2:16" x14ac:dyDescent="0.3">
      <c r="C155" s="39" t="s">
        <v>163</v>
      </c>
      <c r="F155" s="52" t="s">
        <v>170</v>
      </c>
      <c r="G155" s="53">
        <v>1</v>
      </c>
    </row>
    <row r="156" spans="2:16" x14ac:dyDescent="0.3">
      <c r="C156" s="50" t="s">
        <v>164</v>
      </c>
      <c r="D156" s="51"/>
      <c r="F156" s="54" t="s">
        <v>159</v>
      </c>
      <c r="G156" s="43" cm="1">
        <f t="array" aca="1" ref="G156:K165" ca="1" xml:space="preserve"> _xlfn.LET(
  _xlpm._inp, CHOOSE( _xlfn.XMATCH(D160, C156:C158), $C$13:$C$22, $C$13:$L$13, $C$25:$G$34),
  _xlpm._rows, ROWS(_xlpm._inp),
  _xlpm._cols, COLUMNS(_xlpm._inp),
  _xlpm._arr, _xlfn.TOCOL(_xlpm._inp),
  _xlpm._idx, _xlfn.SEQUENCE( ROWS(_xlpm._arr)),
  _xlpm._rnd, IF(G155 = 0, _xlpm._idx, _xlfn.DROP(
    _xlfn.REDUCE(0, _xlpm._idx, _xlfn.LAMBDA(_xlpm._acc,_xlpm._val,
      _xlfn.LET(
        _xlpm._fltr, _xlfn._xlws.FILTER(_xlpm._idx, ISNA(_xlfn.XMATCH(_xlpm._idx, _xlpm._acc))),
        _xlpm._rr, ROWS(_xlpm._fltr),
        _xlfn.VSTACK(_xlpm._acc, INDEX(_xlpm._fltr, RANDBETWEEN(1, _xlpm._rr)))
      )
    )),
  1)),
  _xlpm._rtn, _xlfn.MAKEARRAY(_xlpm._rows, _xlpm._cols, _xlfn.LAMBDA(_xlpm._r,_xlpm._c, INDEX(_xlpm._arr, INDEX(_xlpm._rnd, (_xlpm._r - 1) * _xlpm._cols + _xlpm._c)))),
  _xlpm._rtn
)</f>
        <v>3</v>
      </c>
      <c r="H156" s="43">
        <f ca="1"/>
        <v>8</v>
      </c>
      <c r="I156" s="43">
        <f ca="1"/>
        <v>37</v>
      </c>
      <c r="J156" s="43">
        <f ca="1"/>
        <v>26</v>
      </c>
      <c r="K156" s="43">
        <f ca="1"/>
        <v>20</v>
      </c>
      <c r="L156" s="43"/>
      <c r="M156" s="43"/>
      <c r="N156" s="43"/>
      <c r="O156" s="43"/>
      <c r="P156" s="43"/>
    </row>
    <row r="157" spans="2:16" x14ac:dyDescent="0.3">
      <c r="C157" s="50" t="s">
        <v>165</v>
      </c>
      <c r="D157" s="51"/>
      <c r="G157" s="43">
        <f ca="1"/>
        <v>14</v>
      </c>
      <c r="H157" s="43">
        <f ca="1"/>
        <v>41</v>
      </c>
      <c r="I157" s="43">
        <f ca="1"/>
        <v>2</v>
      </c>
      <c r="J157" s="43">
        <f ca="1"/>
        <v>38</v>
      </c>
      <c r="K157" s="43">
        <f ca="1"/>
        <v>11</v>
      </c>
      <c r="L157" s="43"/>
      <c r="M157" s="43"/>
      <c r="N157" s="43"/>
      <c r="O157" s="43"/>
      <c r="P157" s="43"/>
    </row>
    <row r="158" spans="2:16" x14ac:dyDescent="0.3">
      <c r="C158" s="50" t="s">
        <v>166</v>
      </c>
      <c r="D158" s="51"/>
      <c r="G158" s="43">
        <f ca="1"/>
        <v>7</v>
      </c>
      <c r="H158" s="43">
        <f ca="1"/>
        <v>1</v>
      </c>
      <c r="I158" s="43">
        <f ca="1"/>
        <v>12</v>
      </c>
      <c r="J158" s="43">
        <f ca="1"/>
        <v>25</v>
      </c>
      <c r="K158" s="43">
        <f ca="1"/>
        <v>19</v>
      </c>
      <c r="L158" s="43"/>
      <c r="M158" s="43"/>
      <c r="N158" s="43"/>
      <c r="O158" s="43"/>
      <c r="P158" s="43"/>
    </row>
    <row r="159" spans="2:16" x14ac:dyDescent="0.3">
      <c r="G159" s="43">
        <f ca="1"/>
        <v>47</v>
      </c>
      <c r="H159" s="43">
        <f ca="1"/>
        <v>39</v>
      </c>
      <c r="I159" s="43">
        <f ca="1"/>
        <v>31</v>
      </c>
      <c r="J159" s="43">
        <f ca="1"/>
        <v>28</v>
      </c>
      <c r="K159" s="43">
        <f ca="1"/>
        <v>32</v>
      </c>
      <c r="L159" s="43"/>
      <c r="M159" s="43"/>
      <c r="N159" s="43"/>
      <c r="O159" s="43"/>
      <c r="P159" s="43"/>
    </row>
    <row r="160" spans="2:16" x14ac:dyDescent="0.3">
      <c r="C160" s="52" t="s">
        <v>167</v>
      </c>
      <c r="D160" s="23" t="s">
        <v>166</v>
      </c>
      <c r="G160" s="43">
        <f ca="1"/>
        <v>4</v>
      </c>
      <c r="H160" s="43">
        <f ca="1"/>
        <v>29</v>
      </c>
      <c r="I160" s="43">
        <f ca="1"/>
        <v>5</v>
      </c>
      <c r="J160" s="43">
        <f ca="1"/>
        <v>21</v>
      </c>
      <c r="K160" s="43">
        <f ca="1"/>
        <v>48</v>
      </c>
      <c r="L160" s="43"/>
      <c r="M160" s="43"/>
      <c r="N160" s="43"/>
      <c r="O160" s="43"/>
      <c r="P160" s="43"/>
    </row>
    <row r="161" spans="3:16" x14ac:dyDescent="0.3">
      <c r="G161" s="43">
        <f ca="1"/>
        <v>23</v>
      </c>
      <c r="H161" s="43">
        <f ca="1"/>
        <v>9</v>
      </c>
      <c r="I161" s="43">
        <f ca="1"/>
        <v>17</v>
      </c>
      <c r="J161" s="43">
        <f ca="1"/>
        <v>6</v>
      </c>
      <c r="K161" s="43">
        <f ca="1"/>
        <v>42</v>
      </c>
      <c r="L161" s="43"/>
      <c r="M161" s="43"/>
      <c r="N161" s="43"/>
      <c r="O161" s="43"/>
      <c r="P161" s="43"/>
    </row>
    <row r="162" spans="3:16" x14ac:dyDescent="0.3">
      <c r="C162" s="52" t="s">
        <v>171</v>
      </c>
      <c r="D162" s="40" t="str" cm="1">
        <f t="array" ref="D162:E165" xml:space="preserve"> _xlfn.LET(
  _xlpm._arr, CHOOSE( _xlfn.XMATCH(D160, C156:C158), $C$13:$C$22, $C$13:$L$13, $C$25:$G$34),
  _xlpm._rr, ROWS(_xlpm._arr),
  _xlpm._cc, COLUMNS(_xlpm._arr),
  _xlpm._cl, _xlpm._rr * _xlpm._cc,
  _xlpm._dir, _xlfn.IFS(
    AND(_xlpm._cc = 1, _xlpm._rr &gt; 1), 1,
    AND(_xlpm._rr = 1, _xlpm._cc &gt; 1), 2,
    TRUE, 3
  ),
  _xlpm._rtn, _xlfn.VSTACK(
    _xlfn.HSTACK("Orientation", CHOOSE(_xlpm._dir, "Vrt.", "Hrz.", "2D")),
    _xlfn.HSTACK("Rows", _xlpm._rr),
    _xlfn.HSTACK("Cols", _xlpm._cc),
    _xlfn.HSTACK("Cells", _xlpm._cl)
  ),
  _xlpm._rtn
)</f>
        <v>Orientation</v>
      </c>
      <c r="E162" s="43" t="str">
        <v>2D</v>
      </c>
      <c r="G162" s="43">
        <f ca="1"/>
        <v>30</v>
      </c>
      <c r="H162" s="43">
        <f ca="1"/>
        <v>50</v>
      </c>
      <c r="I162" s="43">
        <f ca="1"/>
        <v>10</v>
      </c>
      <c r="J162" s="43">
        <f ca="1"/>
        <v>35</v>
      </c>
      <c r="K162" s="43">
        <f ca="1"/>
        <v>16</v>
      </c>
      <c r="L162" s="43"/>
      <c r="M162" s="43"/>
      <c r="N162" s="43"/>
      <c r="O162" s="43"/>
      <c r="P162" s="43"/>
    </row>
    <row r="163" spans="3:16" x14ac:dyDescent="0.3">
      <c r="D163" s="40" t="str">
        <v>Rows</v>
      </c>
      <c r="E163" s="43">
        <v>10</v>
      </c>
      <c r="G163" s="43">
        <f ca="1"/>
        <v>24</v>
      </c>
      <c r="H163" s="43">
        <f ca="1"/>
        <v>46</v>
      </c>
      <c r="I163" s="43">
        <f ca="1"/>
        <v>40</v>
      </c>
      <c r="J163" s="43">
        <f ca="1"/>
        <v>49</v>
      </c>
      <c r="K163" s="43">
        <f ca="1"/>
        <v>36</v>
      </c>
      <c r="L163" s="43"/>
      <c r="M163" s="43"/>
      <c r="N163" s="43"/>
      <c r="O163" s="43"/>
      <c r="P163" s="43"/>
    </row>
    <row r="164" spans="3:16" x14ac:dyDescent="0.3">
      <c r="D164" s="40" t="str">
        <v>Cols</v>
      </c>
      <c r="E164" s="43">
        <v>5</v>
      </c>
      <c r="G164" s="43">
        <f ca="1"/>
        <v>13</v>
      </c>
      <c r="H164" s="43">
        <f ca="1"/>
        <v>15</v>
      </c>
      <c r="I164" s="43">
        <f ca="1"/>
        <v>33</v>
      </c>
      <c r="J164" s="43">
        <f ca="1"/>
        <v>18</v>
      </c>
      <c r="K164" s="43">
        <f ca="1"/>
        <v>45</v>
      </c>
      <c r="L164" s="43"/>
      <c r="M164" s="43"/>
      <c r="N164" s="43"/>
      <c r="O164" s="43"/>
      <c r="P164" s="43"/>
    </row>
    <row r="165" spans="3:16" x14ac:dyDescent="0.3">
      <c r="D165" s="40" t="str">
        <v>Cells</v>
      </c>
      <c r="E165" s="43">
        <v>50</v>
      </c>
      <c r="G165" s="43">
        <f ca="1"/>
        <v>34</v>
      </c>
      <c r="H165" s="43">
        <f ca="1"/>
        <v>22</v>
      </c>
      <c r="I165" s="43">
        <f ca="1"/>
        <v>44</v>
      </c>
      <c r="J165" s="43">
        <f ca="1"/>
        <v>43</v>
      </c>
      <c r="K165" s="43">
        <f ca="1"/>
        <v>27</v>
      </c>
      <c r="L165" s="43"/>
      <c r="M165" s="43"/>
      <c r="N165" s="43"/>
      <c r="O165" s="43"/>
      <c r="P165" s="43"/>
    </row>
    <row r="166" spans="3:16" x14ac:dyDescent="0.3">
      <c r="G166" s="16" t="str" cm="1">
        <f t="array" aca="1" ref="G166:G183" ca="1" xml:space="preserve"> _xlfn.TEXTSPLIT( _xlfn.FORMULATEXT(G156), , CHAR(10))</f>
        <v>= LET(</v>
      </c>
    </row>
    <row r="167" spans="3:16" x14ac:dyDescent="0.3">
      <c r="G167" s="16" t="str">
        <f ca="1"/>
        <v xml:space="preserve">  _inp, CHOOSE( XMATCH(D160, C156:C158), $C$13:$C$22, $C$13:$L$13, $C$25:$G$34),</v>
      </c>
    </row>
    <row r="168" spans="3:16" x14ac:dyDescent="0.3">
      <c r="G168" s="16" t="str">
        <f ca="1"/>
        <v xml:space="preserve">  _rows, ROWS(_inp),</v>
      </c>
    </row>
    <row r="169" spans="3:16" x14ac:dyDescent="0.3">
      <c r="G169" s="16" t="str">
        <f ca="1"/>
        <v xml:space="preserve">  _cols, COLUMNS(_inp),</v>
      </c>
    </row>
    <row r="170" spans="3:16" x14ac:dyDescent="0.3">
      <c r="G170" s="16" t="str">
        <f ca="1"/>
        <v xml:space="preserve">  _arr, TOCOL(_inp),</v>
      </c>
    </row>
    <row r="171" spans="3:16" x14ac:dyDescent="0.3">
      <c r="G171" s="16" t="str">
        <f ca="1"/>
        <v xml:space="preserve">  _idx, SEQUENCE( ROWS(_arr)),</v>
      </c>
    </row>
    <row r="172" spans="3:16" x14ac:dyDescent="0.3">
      <c r="G172" s="16" t="str">
        <f ca="1"/>
        <v xml:space="preserve">  _rnd, IF(G155 = 0, _idx, DROP(</v>
      </c>
    </row>
    <row r="173" spans="3:16" x14ac:dyDescent="0.3">
      <c r="G173" s="16" t="str">
        <f ca="1"/>
        <v xml:space="preserve">    REDUCE(0, _idx, LAMBDA(_acc,_val,</v>
      </c>
    </row>
    <row r="174" spans="3:16" x14ac:dyDescent="0.3">
      <c r="G174" s="16" t="str">
        <f ca="1"/>
        <v xml:space="preserve">      LET(</v>
      </c>
    </row>
    <row r="175" spans="3:16" x14ac:dyDescent="0.3">
      <c r="G175" s="16" t="str">
        <f ca="1"/>
        <v xml:space="preserve">        _fltr, FILTER(_idx, ISNA(XMATCH(_idx, _acc))),</v>
      </c>
    </row>
    <row r="176" spans="3:16" x14ac:dyDescent="0.3">
      <c r="G176" s="16" t="str">
        <f ca="1"/>
        <v xml:space="preserve">        _rr, ROWS(_fltr),</v>
      </c>
    </row>
    <row r="177" spans="2:13" x14ac:dyDescent="0.3">
      <c r="G177" s="16" t="str">
        <f ca="1"/>
        <v xml:space="preserve">        VSTACK(_acc, INDEX(_fltr, RANDBETWEEN(1, _rr)))</v>
      </c>
    </row>
    <row r="178" spans="2:13" x14ac:dyDescent="0.3">
      <c r="G178" s="16" t="str">
        <f ca="1"/>
        <v xml:space="preserve">      )</v>
      </c>
    </row>
    <row r="179" spans="2:13" x14ac:dyDescent="0.3">
      <c r="G179" s="16" t="str">
        <f ca="1"/>
        <v xml:space="preserve">    )),</v>
      </c>
    </row>
    <row r="180" spans="2:13" x14ac:dyDescent="0.3">
      <c r="G180" s="16" t="str">
        <f ca="1"/>
        <v xml:space="preserve">  1)),</v>
      </c>
    </row>
    <row r="181" spans="2:13" x14ac:dyDescent="0.3">
      <c r="G181" s="16" t="str">
        <f ca="1"/>
        <v xml:space="preserve">  _rtn, MAKEARRAY(_rows, _cols, LAMBDA(_r,_c, INDEX(_arr, INDEX(_rnd, (_r - 1) * _cols + _c)))),</v>
      </c>
    </row>
    <row r="182" spans="2:13" x14ac:dyDescent="0.3">
      <c r="G182" s="16" t="str">
        <f ca="1"/>
        <v xml:space="preserve">  _rtn</v>
      </c>
    </row>
    <row r="183" spans="2:13" x14ac:dyDescent="0.3">
      <c r="G183" s="16" t="str">
        <f ca="1"/>
        <v>)</v>
      </c>
    </row>
    <row r="185" spans="2:13" x14ac:dyDescent="0.3">
      <c r="B185" s="15" t="str" cm="1">
        <f t="array" ref="B185" xml:space="preserve"> "(" &amp; _xlfn.UNICHAR( 65 + SUMPRODUCT(--(_xlfn.REGEXTEST(B$1:B184, "^\([A-Z]\)$")))) &amp; ")"</f>
        <v>(E)</v>
      </c>
      <c r="C185" s="10" t="s">
        <v>172</v>
      </c>
    </row>
    <row r="187" spans="2:13" ht="14.4" thickBot="1" x14ac:dyDescent="0.35">
      <c r="C187" s="28" t="s">
        <v>65</v>
      </c>
      <c r="D187" s="28"/>
      <c r="E187" s="28"/>
      <c r="G187" s="52" t="s">
        <v>170</v>
      </c>
      <c r="H187" s="53">
        <v>1</v>
      </c>
      <c r="J187" s="28" t="s">
        <v>159</v>
      </c>
      <c r="K187" s="28"/>
      <c r="L187" s="28"/>
    </row>
    <row r="188" spans="2:13" x14ac:dyDescent="0.3">
      <c r="C188" s="57" cm="1">
        <f t="array" ref="C188:E197" xml:space="preserve"> $N$13:$P$22</f>
        <v>1</v>
      </c>
      <c r="D188" s="57" t="str">
        <v>One</v>
      </c>
      <c r="E188" s="57" t="str">
        <v>!!!</v>
      </c>
      <c r="G188" s="52" t="s">
        <v>173</v>
      </c>
      <c r="H188" s="55">
        <v>1</v>
      </c>
      <c r="J188" s="43" cm="1">
        <f t="array" aca="1" ref="J188:L197" ca="1" xml:space="preserve"> _xlfn.LET(
  _xlpm._inp,_xlfn.ANCHORARRAY( C188),
  _xlpm._byRw, IF( ISBLANK(H188), -1, INT(H188)),
  _xlpm._rows, ROWS(_xlpm._inp),
  _xlpm._cols, COLUMNS(_xlpm._inp),
  _xlpm._arr, IF(_xlpm._byRw &lt; 0, _xlfn.TOCOL(_xlpm._inp), _xlpm._inp),
  _xlpm._idx, IF( _xlpm._byRw &lt;&gt; 0,
    _xlfn.SEQUENCE( ROWS(_xlpm._arr)),
    _xlfn.SEQUENCE( COLUMNS(_xlpm._arr))
  ),
  _xlpm._rnd, IF(H187 = 0, _xlpm._idx, _xlfn.DROP(
    _xlfn.REDUCE(0, _xlpm._idx, _xlfn.LAMBDA(_xlpm._acc,_xlpm._val,
      _xlfn.LET(
        _xlpm._fltr, _xlfn._xlws.FILTER(_xlpm._idx, ISNA(_xlfn.XMATCH(_xlpm._idx, _xlpm._acc))),
        _xlpm._rr, ROWS(_xlpm._fltr),
        _xlfn.VSTACK(_xlpm._acc, INDEX(_xlpm._fltr, RANDBETWEEN(1, _xlpm._rr)))
      )
    )),
  1)),
  _xlpm._rtn, IF(_xlpm._byRw &lt; 0,
    _xlfn.MAKEARRAY(_xlpm._rows, _xlpm._cols, _xlfn.LAMBDA(_xlpm._r,_xlpm._c, INDEX(_xlpm._arr, INDEX(_xlpm._rnd, (_xlpm._r - 1) * _xlpm._cols + _xlpm._c)))),
    IF(_xlpm._byRw,
      _xlfn.MAKEARRAY(_xlpm._rows, _xlpm._cols, _xlfn.LAMBDA(_xlpm._r,_xlpm._c, INDEX(_xlpm._arr, INDEX(_xlpm._rnd, _xlpm._r), _xlpm._c))),
      _xlfn.MAKEARRAY(_xlpm._rows, _xlpm._cols, _xlfn.LAMBDA(_xlpm._r,_xlpm._c, INDEX(_xlpm._arr, _xlpm._r, INDEX(_xlpm._rnd, _xlpm._c))))
    )
  ),
  _xlpm._rtn
)</f>
        <v>2</v>
      </c>
      <c r="K188" s="43" t="str">
        <f ca="1"/>
        <v>Two</v>
      </c>
      <c r="L188" s="43" t="str">
        <f ca="1"/>
        <v>"""</v>
      </c>
      <c r="M188" s="16" t="str" cm="1">
        <f t="array" aca="1" ref="M188:M215" ca="1" xml:space="preserve"> _xlfn.TEXTSPLIT( _xlfn.FORMULATEXT(J188), , CHAR(10))</f>
        <v>= LET(</v>
      </c>
    </row>
    <row r="189" spans="2:13" x14ac:dyDescent="0.3">
      <c r="C189" s="56">
        <v>2</v>
      </c>
      <c r="D189" s="56" t="str">
        <v>Two</v>
      </c>
      <c r="E189" s="56" t="str">
        <v>"""</v>
      </c>
      <c r="J189" s="43">
        <f ca="1"/>
        <v>9</v>
      </c>
      <c r="K189" s="43" t="str">
        <f ca="1"/>
        <v>Nine</v>
      </c>
      <c r="L189" s="43" t="str">
        <f ca="1"/>
        <v>(((</v>
      </c>
      <c r="M189" s="16" t="str">
        <f ca="1"/>
        <v xml:space="preserve">  _inp, C188#,</v>
      </c>
    </row>
    <row r="190" spans="2:13" x14ac:dyDescent="0.3">
      <c r="C190" s="56">
        <v>3</v>
      </c>
      <c r="D190" s="56" t="str">
        <v>Three</v>
      </c>
      <c r="E190" s="56" t="str">
        <v>£££</v>
      </c>
      <c r="J190" s="43">
        <f ca="1"/>
        <v>10</v>
      </c>
      <c r="K190" s="43" t="str">
        <f ca="1"/>
        <v>Ten</v>
      </c>
      <c r="L190" s="43" t="str">
        <f ca="1"/>
        <v>)))</v>
      </c>
      <c r="M190" s="16" t="str">
        <f ca="1"/>
        <v xml:space="preserve">  _byRw, IF( ISBLANK(H188), -1, INT(H188)),</v>
      </c>
    </row>
    <row r="191" spans="2:13" x14ac:dyDescent="0.3">
      <c r="C191" s="56">
        <v>4</v>
      </c>
      <c r="D191" s="56" t="str">
        <v>Four</v>
      </c>
      <c r="E191" s="56" t="str">
        <v>$$$</v>
      </c>
      <c r="J191" s="43">
        <f ca="1"/>
        <v>6</v>
      </c>
      <c r="K191" s="43" t="str">
        <f ca="1"/>
        <v>Six</v>
      </c>
      <c r="L191" s="43" t="str">
        <f ca="1"/>
        <v>^^^</v>
      </c>
      <c r="M191" s="16" t="str">
        <f ca="1"/>
        <v xml:space="preserve">  _rows, ROWS(_inp),</v>
      </c>
    </row>
    <row r="192" spans="2:13" x14ac:dyDescent="0.3">
      <c r="C192" s="56">
        <v>5</v>
      </c>
      <c r="D192" s="56" t="str">
        <v>Five</v>
      </c>
      <c r="E192" s="56" t="str">
        <v>%%%</v>
      </c>
      <c r="J192" s="43">
        <f ca="1"/>
        <v>8</v>
      </c>
      <c r="K192" s="43" t="str">
        <f ca="1"/>
        <v>Eight</v>
      </c>
      <c r="L192" s="43" t="str">
        <f ca="1"/>
        <v>***</v>
      </c>
      <c r="M192" s="16" t="str">
        <f ca="1"/>
        <v xml:space="preserve">  _cols, COLUMNS(_inp),</v>
      </c>
    </row>
    <row r="193" spans="3:13" x14ac:dyDescent="0.3">
      <c r="C193" s="56">
        <v>6</v>
      </c>
      <c r="D193" s="56" t="str">
        <v>Six</v>
      </c>
      <c r="E193" s="56" t="str">
        <v>^^^</v>
      </c>
      <c r="J193" s="43">
        <f ca="1"/>
        <v>4</v>
      </c>
      <c r="K193" s="43" t="str">
        <f ca="1"/>
        <v>Four</v>
      </c>
      <c r="L193" s="43" t="str">
        <f ca="1"/>
        <v>$$$</v>
      </c>
      <c r="M193" s="16" t="str">
        <f ca="1"/>
        <v xml:space="preserve">  _arr, IF(_byRw &lt; 0, TOCOL(_inp), _inp),</v>
      </c>
    </row>
    <row r="194" spans="3:13" x14ac:dyDescent="0.3">
      <c r="C194" s="56">
        <v>7</v>
      </c>
      <c r="D194" s="56" t="str">
        <v>Seven</v>
      </c>
      <c r="E194" s="56" t="str">
        <v>&amp;&amp;&amp;</v>
      </c>
      <c r="J194" s="43">
        <f ca="1"/>
        <v>1</v>
      </c>
      <c r="K194" s="43" t="str">
        <f ca="1"/>
        <v>One</v>
      </c>
      <c r="L194" s="43" t="str">
        <f ca="1"/>
        <v>!!!</v>
      </c>
      <c r="M194" s="16" t="str">
        <f ca="1"/>
        <v xml:space="preserve">  _idx, IF( _byRw &lt;&gt; 0,</v>
      </c>
    </row>
    <row r="195" spans="3:13" x14ac:dyDescent="0.3">
      <c r="C195" s="56">
        <v>8</v>
      </c>
      <c r="D195" s="56" t="str">
        <v>Eight</v>
      </c>
      <c r="E195" s="56" t="str">
        <v>***</v>
      </c>
      <c r="J195" s="43">
        <f ca="1"/>
        <v>3</v>
      </c>
      <c r="K195" s="43" t="str">
        <f ca="1"/>
        <v>Three</v>
      </c>
      <c r="L195" s="43" t="str">
        <f ca="1"/>
        <v>£££</v>
      </c>
      <c r="M195" s="16" t="str">
        <f ca="1"/>
        <v xml:space="preserve">    SEQUENCE( ROWS(_arr)),</v>
      </c>
    </row>
    <row r="196" spans="3:13" x14ac:dyDescent="0.3">
      <c r="C196" s="56">
        <v>9</v>
      </c>
      <c r="D196" s="56" t="str">
        <v>Nine</v>
      </c>
      <c r="E196" s="56" t="str">
        <v>(((</v>
      </c>
      <c r="J196" s="43">
        <f ca="1"/>
        <v>7</v>
      </c>
      <c r="K196" s="43" t="str">
        <f ca="1"/>
        <v>Seven</v>
      </c>
      <c r="L196" s="43" t="str">
        <f ca="1"/>
        <v>&amp;&amp;&amp;</v>
      </c>
      <c r="M196" s="16" t="str">
        <f ca="1"/>
        <v xml:space="preserve">    SEQUENCE( COLUMNS(_arr))</v>
      </c>
    </row>
    <row r="197" spans="3:13" x14ac:dyDescent="0.3">
      <c r="C197" s="56">
        <v>10</v>
      </c>
      <c r="D197" s="56" t="str">
        <v>Ten</v>
      </c>
      <c r="E197" s="56" t="str">
        <v>)))</v>
      </c>
      <c r="J197" s="43">
        <f ca="1"/>
        <v>5</v>
      </c>
      <c r="K197" s="43" t="str">
        <f ca="1"/>
        <v>Five</v>
      </c>
      <c r="L197" s="43" t="str">
        <f ca="1"/>
        <v>%%%</v>
      </c>
      <c r="M197" s="16" t="str">
        <f ca="1"/>
        <v xml:space="preserve">  ),</v>
      </c>
    </row>
    <row r="198" spans="3:13" x14ac:dyDescent="0.3">
      <c r="M198" s="16" t="str">
        <f ca="1"/>
        <v xml:space="preserve">  _rnd, IF(H187 = 0, _idx, DROP(</v>
      </c>
    </row>
    <row r="199" spans="3:13" x14ac:dyDescent="0.3">
      <c r="M199" s="16" t="str">
        <f ca="1"/>
        <v xml:space="preserve">    REDUCE(0, _idx, LAMBDA(_acc,_val,</v>
      </c>
    </row>
    <row r="200" spans="3:13" x14ac:dyDescent="0.3">
      <c r="M200" s="16" t="str">
        <f ca="1"/>
        <v xml:space="preserve">      LET(</v>
      </c>
    </row>
    <row r="201" spans="3:13" x14ac:dyDescent="0.3">
      <c r="M201" s="16" t="str">
        <f ca="1"/>
        <v xml:space="preserve">        _fltr, FILTER(_idx, ISNA(XMATCH(_idx, _acc))),</v>
      </c>
    </row>
    <row r="202" spans="3:13" x14ac:dyDescent="0.3">
      <c r="M202" s="16" t="str">
        <f ca="1"/>
        <v xml:space="preserve">        _rr, ROWS(_fltr),</v>
      </c>
    </row>
    <row r="203" spans="3:13" x14ac:dyDescent="0.3">
      <c r="M203" s="16" t="str">
        <f ca="1"/>
        <v xml:space="preserve">        VSTACK(_acc, INDEX(_fltr, RANDBETWEEN(1, _rr)))</v>
      </c>
    </row>
    <row r="204" spans="3:13" x14ac:dyDescent="0.3">
      <c r="M204" s="16" t="str">
        <f ca="1"/>
        <v xml:space="preserve">      )</v>
      </c>
    </row>
    <row r="205" spans="3:13" x14ac:dyDescent="0.3">
      <c r="M205" s="16" t="str">
        <f ca="1"/>
        <v xml:space="preserve">    )),</v>
      </c>
    </row>
    <row r="206" spans="3:13" x14ac:dyDescent="0.3">
      <c r="M206" s="16" t="str">
        <f ca="1"/>
        <v xml:space="preserve">  1)),</v>
      </c>
    </row>
    <row r="207" spans="3:13" x14ac:dyDescent="0.3">
      <c r="M207" s="16" t="str">
        <f ca="1"/>
        <v xml:space="preserve">  _rtn, IF(_byRw &lt; 0,</v>
      </c>
    </row>
    <row r="208" spans="3:13" x14ac:dyDescent="0.3">
      <c r="M208" s="16" t="str">
        <f ca="1"/>
        <v xml:space="preserve">    MAKEARRAY(_rows, _cols, LAMBDA(_r,_c, INDEX(_arr, INDEX(_rnd, (_r - 1) * _cols + _c)))),</v>
      </c>
    </row>
    <row r="209" spans="2:13" x14ac:dyDescent="0.3">
      <c r="M209" s="16" t="str">
        <f ca="1"/>
        <v xml:space="preserve">    IF(_byRw,</v>
      </c>
    </row>
    <row r="210" spans="2:13" x14ac:dyDescent="0.3">
      <c r="M210" s="16" t="str">
        <f ca="1"/>
        <v xml:space="preserve">      MAKEARRAY(_rows, _cols, LAMBDA(_r,_c, INDEX(_arr, INDEX(_rnd, _r), _c))),</v>
      </c>
    </row>
    <row r="211" spans="2:13" x14ac:dyDescent="0.3">
      <c r="M211" s="16" t="str">
        <f ca="1"/>
        <v xml:space="preserve">      MAKEARRAY(_rows, _cols, LAMBDA(_r,_c, INDEX(_arr, _r, INDEX(_rnd, _c))))</v>
      </c>
    </row>
    <row r="212" spans="2:13" x14ac:dyDescent="0.3">
      <c r="M212" s="16" t="str">
        <f ca="1"/>
        <v xml:space="preserve">    )</v>
      </c>
    </row>
    <row r="213" spans="2:13" x14ac:dyDescent="0.3">
      <c r="M213" s="16" t="str">
        <f ca="1"/>
        <v xml:space="preserve">  ),</v>
      </c>
    </row>
    <row r="214" spans="2:13" x14ac:dyDescent="0.3">
      <c r="M214" s="16" t="str">
        <f ca="1"/>
        <v xml:space="preserve">  _rtn</v>
      </c>
    </row>
    <row r="215" spans="2:13" x14ac:dyDescent="0.3">
      <c r="M215" s="16" t="str">
        <f ca="1"/>
        <v>)</v>
      </c>
    </row>
    <row r="217" spans="2:13" x14ac:dyDescent="0.3">
      <c r="B217" s="15" t="str" cm="1">
        <f t="array" ref="B217" xml:space="preserve"> "(" &amp; _xlfn.UNICHAR( 65 + SUMPRODUCT(--(_xlfn.REGEXTEST(B$1:B216, "^\([A-Z]\)$")))) &amp; ")"</f>
        <v>(F)</v>
      </c>
      <c r="C217" s="10" t="s">
        <v>174</v>
      </c>
    </row>
    <row r="219" spans="2:13" x14ac:dyDescent="0.3">
      <c r="C219" s="54" t="s">
        <v>65</v>
      </c>
      <c r="D219" s="56" cm="1">
        <f t="array" ref="D219:M221" xml:space="preserve"> $I$25:$R$27</f>
        <v>1</v>
      </c>
      <c r="E219" s="56">
        <v>2</v>
      </c>
      <c r="F219" s="56">
        <v>3</v>
      </c>
      <c r="G219" s="56">
        <v>4</v>
      </c>
      <c r="H219" s="56">
        <v>5</v>
      </c>
      <c r="I219" s="56">
        <v>6</v>
      </c>
      <c r="J219" s="56">
        <v>7</v>
      </c>
      <c r="K219" s="56">
        <v>8</v>
      </c>
      <c r="L219" s="56">
        <v>9</v>
      </c>
      <c r="M219" s="56">
        <v>10</v>
      </c>
    </row>
    <row r="220" spans="2:13" x14ac:dyDescent="0.3">
      <c r="C220" s="54"/>
      <c r="D220" s="56" t="str">
        <v>One</v>
      </c>
      <c r="E220" s="56" t="str">
        <v>Two</v>
      </c>
      <c r="F220" s="56" t="str">
        <v>Three</v>
      </c>
      <c r="G220" s="56" t="str">
        <v>Four</v>
      </c>
      <c r="H220" s="56" t="str">
        <v>Five</v>
      </c>
      <c r="I220" s="56" t="str">
        <v>Six</v>
      </c>
      <c r="J220" s="56" t="str">
        <v>Seven</v>
      </c>
      <c r="K220" s="56" t="str">
        <v>Eight</v>
      </c>
      <c r="L220" s="56" t="str">
        <v>Nine</v>
      </c>
      <c r="M220" s="56" t="str">
        <v>Ten</v>
      </c>
    </row>
    <row r="221" spans="2:13" x14ac:dyDescent="0.3">
      <c r="C221" s="54"/>
      <c r="D221" s="56" t="str">
        <v>!!!</v>
      </c>
      <c r="E221" s="56" t="str">
        <v>"""</v>
      </c>
      <c r="F221" s="56" t="str">
        <v>£££</v>
      </c>
      <c r="G221" s="56" t="str">
        <v>$$$</v>
      </c>
      <c r="H221" s="56" t="str">
        <v>%%%</v>
      </c>
      <c r="I221" s="56" t="str">
        <v>^^^</v>
      </c>
      <c r="J221" s="56" t="str">
        <v>&amp;&amp;&amp;</v>
      </c>
      <c r="K221" s="56" t="str">
        <v>***</v>
      </c>
      <c r="L221" s="56" t="str">
        <v>(((</v>
      </c>
      <c r="M221" s="56" t="str">
        <v>)))</v>
      </c>
    </row>
    <row r="223" spans="2:13" x14ac:dyDescent="0.3">
      <c r="C223" s="52" t="s">
        <v>170</v>
      </c>
      <c r="D223" s="53">
        <v>1</v>
      </c>
    </row>
    <row r="224" spans="2:13" x14ac:dyDescent="0.3">
      <c r="C224" s="52" t="s">
        <v>173</v>
      </c>
      <c r="D224" s="55">
        <v>1</v>
      </c>
    </row>
    <row r="226" spans="2:20" x14ac:dyDescent="0.3">
      <c r="C226" s="54" t="s">
        <v>159</v>
      </c>
      <c r="D226" s="43" t="str" cm="1">
        <f t="array" aca="1" ref="D226:M228" ca="1" xml:space="preserve"> _xlfn.LET(
  _xlpm._inp,_xlfn.ANCHORARRAY( D219),
  _xlpm._byRw, IF( ISBLANK(D224), -1, INT(D224)),
  _xlpm._rows, ROWS(_xlpm._inp),
  _xlpm._cols, COLUMNS(_xlpm._inp),
  _xlpm._arr, IF(_xlpm._byRw &lt; 0, _xlfn.TOCOL(_xlpm._inp), _xlpm._inp),
  _xlpm._idx, IF( _xlpm._byRw &lt;&gt; 0,
    _xlfn.SEQUENCE( ROWS(_xlpm._arr)),
    _xlfn.SEQUENCE( COLUMNS(_xlpm._arr))
  ),
  _xlpm._rnd, IF(D223 = 0, _xlpm._idx, _xlfn.DROP(
    _xlfn.REDUCE(0, _xlpm._idx, _xlfn.LAMBDA(_xlpm._acc,_xlpm._val,
      _xlfn.LET(
        _xlpm._fltr, _xlfn._xlws.FILTER(_xlpm._idx, ISNA(_xlfn.XMATCH(_xlpm._idx, _xlpm._acc))),
        _xlpm._rr, ROWS(_xlpm._fltr),
        _xlfn.VSTACK(_xlpm._acc, INDEX(_xlpm._fltr, RANDBETWEEN(1, _xlpm._rr)))
      )
    )),
  1)),
  _xlpm._rtn, IF(_xlpm._byRw &lt; 0,
    _xlfn.MAKEARRAY(_xlpm._rows, _xlpm._cols, _xlfn.LAMBDA(_xlpm._r,_xlpm._c, INDEX(_xlpm._arr, INDEX(_xlpm._rnd, (_xlpm._r - 1) * _xlpm._cols + _xlpm._c)))),
    IF(_xlpm._byRw,
      _xlfn.MAKEARRAY(_xlpm._rows, _xlpm._cols, _xlfn.LAMBDA(_xlpm._r,_xlpm._c, INDEX(_xlpm._arr, INDEX(_xlpm._rnd, _xlpm._r), _xlpm._c))),
      _xlfn.MAKEARRAY(_xlpm._rows, _xlpm._cols, _xlfn.LAMBDA(_xlpm._r,_xlpm._c, INDEX(_xlpm._arr, _xlpm._r, INDEX(_xlpm._rnd, _xlpm._c))))
    )
  ),
  _xlpm._rtn
)</f>
        <v>One</v>
      </c>
      <c r="E226" s="43" t="str">
        <f ca="1"/>
        <v>Two</v>
      </c>
      <c r="F226" s="43" t="str">
        <f ca="1"/>
        <v>Three</v>
      </c>
      <c r="G226" s="43" t="str">
        <f ca="1"/>
        <v>Four</v>
      </c>
      <c r="H226" s="43" t="str">
        <f ca="1"/>
        <v>Five</v>
      </c>
      <c r="I226" s="43" t="str">
        <f ca="1"/>
        <v>Six</v>
      </c>
      <c r="J226" s="43" t="str">
        <f ca="1"/>
        <v>Seven</v>
      </c>
      <c r="K226" s="43" t="str">
        <f ca="1"/>
        <v>Eight</v>
      </c>
      <c r="L226" s="43" t="str">
        <f ca="1"/>
        <v>Nine</v>
      </c>
      <c r="M226" s="43" t="str">
        <f ca="1"/>
        <v>Ten</v>
      </c>
    </row>
    <row r="227" spans="2:20" x14ac:dyDescent="0.3">
      <c r="C227" s="54"/>
      <c r="D227" s="43">
        <f ca="1"/>
        <v>1</v>
      </c>
      <c r="E227" s="43">
        <f ca="1"/>
        <v>2</v>
      </c>
      <c r="F227" s="43">
        <f ca="1"/>
        <v>3</v>
      </c>
      <c r="G227" s="43">
        <f ca="1"/>
        <v>4</v>
      </c>
      <c r="H227" s="43">
        <f ca="1"/>
        <v>5</v>
      </c>
      <c r="I227" s="43">
        <f ca="1"/>
        <v>6</v>
      </c>
      <c r="J227" s="43">
        <f ca="1"/>
        <v>7</v>
      </c>
      <c r="K227" s="43">
        <f ca="1"/>
        <v>8</v>
      </c>
      <c r="L227" s="43">
        <f ca="1"/>
        <v>9</v>
      </c>
      <c r="M227" s="43">
        <f ca="1"/>
        <v>10</v>
      </c>
    </row>
    <row r="228" spans="2:20" x14ac:dyDescent="0.3">
      <c r="C228" s="54"/>
      <c r="D228" s="43" t="str">
        <f ca="1"/>
        <v>!!!</v>
      </c>
      <c r="E228" s="43" t="str">
        <f ca="1"/>
        <v>"""</v>
      </c>
      <c r="F228" s="43" t="str">
        <f ca="1"/>
        <v>£££</v>
      </c>
      <c r="G228" s="43" t="str">
        <f ca="1"/>
        <v>$$$</v>
      </c>
      <c r="H228" s="43" t="str">
        <f ca="1"/>
        <v>%%%</v>
      </c>
      <c r="I228" s="43" t="str">
        <f ca="1"/>
        <v>^^^</v>
      </c>
      <c r="J228" s="43" t="str">
        <f ca="1"/>
        <v>&amp;&amp;&amp;</v>
      </c>
      <c r="K228" s="43" t="str">
        <f ca="1"/>
        <v>***</v>
      </c>
      <c r="L228" s="43" t="str">
        <f ca="1"/>
        <v>(((</v>
      </c>
      <c r="M228" s="43" t="str">
        <f ca="1"/>
        <v>)))</v>
      </c>
    </row>
    <row r="231" spans="2:20" x14ac:dyDescent="0.3">
      <c r="B231" s="13" t="s">
        <v>175</v>
      </c>
      <c r="C231" s="12"/>
      <c r="D231" s="12"/>
      <c r="E231" s="12"/>
      <c r="F231" s="12"/>
      <c r="G231" s="12"/>
      <c r="H231" s="12"/>
      <c r="I231" s="12"/>
      <c r="J231" s="12"/>
      <c r="K231" s="12"/>
      <c r="L231" s="12"/>
      <c r="M231" s="12"/>
      <c r="N231" s="12"/>
      <c r="O231" s="12"/>
      <c r="P231" s="12"/>
      <c r="Q231" s="12"/>
      <c r="R231" s="12"/>
      <c r="S231" s="12"/>
      <c r="T231" s="12"/>
    </row>
    <row r="233" spans="2:20" x14ac:dyDescent="0.3">
      <c r="B233" s="15" t="str" cm="1">
        <f t="array" ref="B233" xml:space="preserve"> "(" &amp; _xlfn.UNICHAR( 65 + SUMPRODUCT(--(_xlfn.REGEXTEST(B$1:B232, "^\([A-Z]\)$")))) &amp; ")"</f>
        <v>(G)</v>
      </c>
      <c r="C233" s="10" t="s">
        <v>176</v>
      </c>
    </row>
    <row r="234" spans="2:20" ht="14.4" thickBot="1" x14ac:dyDescent="0.35">
      <c r="F234" s="26" t="s">
        <v>159</v>
      </c>
    </row>
    <row r="235" spans="2:20" x14ac:dyDescent="0.3">
      <c r="C235" s="52" t="s">
        <v>173</v>
      </c>
      <c r="D235" s="55">
        <v>1</v>
      </c>
      <c r="F235" s="43" t="str">
        <f xml:space="preserve"> _xlfn.LET(
  _xlpm.array, D236:D237,
  _xlpm.by_row, D235,
  _xlpm._byRw, IF( ISBLANK(_xlpm.by_row), -1, INT(_xlpm.by_row)),
  _xlpm._inpChk, IF(
    AND(
      ROWS(_xlpm.array) &lt;= 1, COLUMNS(_xlpm.array) &lt;= 1
    ), 2, IF(
    OR(
      NOT(ISNUMBER(_xlpm._byRw)),
      _xlpm._byRw &lt; -1, _xlpm._byRw &gt; 1
    ), 3, 1)
  ),
  CHOOSE(_xlpm._inpChk, "OK", _xlfn.LAMBDA(0), #VALUE!)
)</f>
        <v>OK</v>
      </c>
      <c r="G235" s="16" t="str" cm="1">
        <f t="array" aca="1" ref="G235:G249" ca="1" xml:space="preserve"> _xlfn.TEXTSPLIT( _xlfn.FORMULATEXT(F235), , CHAR(10))</f>
        <v>= LET(</v>
      </c>
    </row>
    <row r="236" spans="2:20" x14ac:dyDescent="0.3">
      <c r="G236" s="16" t="str">
        <f ca="1"/>
        <v xml:space="preserve">  array, D236:D237,</v>
      </c>
    </row>
    <row r="237" spans="2:20" x14ac:dyDescent="0.3">
      <c r="G237" s="16" t="str">
        <f ca="1"/>
        <v xml:space="preserve">  by_row, D235,</v>
      </c>
    </row>
    <row r="238" spans="2:20" x14ac:dyDescent="0.3">
      <c r="G238" s="16" t="str">
        <f ca="1"/>
        <v xml:space="preserve">  _byRw, IF( ISBLANK(by_row), -1, INT(by_row)),</v>
      </c>
    </row>
    <row r="239" spans="2:20" x14ac:dyDescent="0.3">
      <c r="G239" s="16" t="str">
        <f ca="1"/>
        <v xml:space="preserve">  _inpChk, IF(</v>
      </c>
    </row>
    <row r="240" spans="2:20" x14ac:dyDescent="0.3">
      <c r="G240" s="16" t="str">
        <f ca="1"/>
        <v xml:space="preserve">    AND(</v>
      </c>
    </row>
    <row r="241" spans="2:13" x14ac:dyDescent="0.3">
      <c r="G241" s="16" t="str">
        <f ca="1"/>
        <v xml:space="preserve">      ROWS(array) &lt;= 1, COLUMNS(array) &lt;= 1</v>
      </c>
    </row>
    <row r="242" spans="2:13" x14ac:dyDescent="0.3">
      <c r="G242" s="16" t="str">
        <f ca="1"/>
        <v xml:space="preserve">    ), 2, IF(</v>
      </c>
    </row>
    <row r="243" spans="2:13" x14ac:dyDescent="0.3">
      <c r="G243" s="16" t="str">
        <f ca="1"/>
        <v xml:space="preserve">    OR(</v>
      </c>
    </row>
    <row r="244" spans="2:13" x14ac:dyDescent="0.3">
      <c r="G244" s="16" t="str">
        <f ca="1"/>
        <v xml:space="preserve">      NOT(ISNUMBER(_byRw)),</v>
      </c>
    </row>
    <row r="245" spans="2:13" x14ac:dyDescent="0.3">
      <c r="G245" s="16" t="str">
        <f ca="1"/>
        <v xml:space="preserve">      _byRw &lt; -1, _byRw &gt; 1</v>
      </c>
    </row>
    <row r="246" spans="2:13" x14ac:dyDescent="0.3">
      <c r="G246" s="16" t="str">
        <f ca="1"/>
        <v xml:space="preserve">    ), 3, 1)</v>
      </c>
    </row>
    <row r="247" spans="2:13" x14ac:dyDescent="0.3">
      <c r="G247" s="16" t="str">
        <f ca="1"/>
        <v xml:space="preserve">  ),</v>
      </c>
    </row>
    <row r="248" spans="2:13" x14ac:dyDescent="0.3">
      <c r="G248" s="16" t="str">
        <f ca="1"/>
        <v xml:space="preserve">  CHOOSE(_inpChk, "OK", LAMBDA(0), #VALUE!)</v>
      </c>
    </row>
    <row r="249" spans="2:13" x14ac:dyDescent="0.3">
      <c r="G249" s="16" t="str">
        <f ca="1"/>
        <v>)</v>
      </c>
    </row>
    <row r="251" spans="2:13" x14ac:dyDescent="0.3">
      <c r="B251" s="15" t="str" cm="1">
        <f t="array" ref="B251" xml:space="preserve"> "(" &amp; _xlfn.UNICHAR( 65 + SUMPRODUCT(--(_xlfn.REGEXTEST(B$1:B250, "^\([A-Z]\)$")))) &amp; ")"</f>
        <v>(H)</v>
      </c>
      <c r="C251" s="10" t="s">
        <v>177</v>
      </c>
    </row>
    <row r="253" spans="2:13" ht="14.4" thickBot="1" x14ac:dyDescent="0.35">
      <c r="C253" s="28" t="s">
        <v>65</v>
      </c>
      <c r="D253" s="28"/>
      <c r="E253" s="28"/>
      <c r="J253" s="28" t="s">
        <v>159</v>
      </c>
      <c r="K253" s="28"/>
      <c r="L253" s="28"/>
    </row>
    <row r="254" spans="2:13" x14ac:dyDescent="0.3">
      <c r="C254" s="57" cm="1">
        <f t="array" ref="C254:E263" xml:space="preserve"> $N$13:$P$22</f>
        <v>1</v>
      </c>
      <c r="D254" s="57" t="str">
        <v>One</v>
      </c>
      <c r="E254" s="57" t="str">
        <v>!!!</v>
      </c>
      <c r="G254" s="52" t="s">
        <v>173</v>
      </c>
      <c r="H254" s="55">
        <v>1</v>
      </c>
      <c r="J254" s="43" cm="1">
        <f t="array" aca="1" ref="J254:L263" ca="1" xml:space="preserve"> _xlfn.LAMBDA(_xlpm.array,_xlop.by_row,
  _xlfn.LET(
    _xlpm._inp, _xlpm.array,
    _xlpm._rows, ROWS(_xlpm._inp),
    _xlpm._cols, COLUMNS(_xlpm._inp),
    _xlpm._byRw, IF( _xlfn.ISOMITTED(_xlpm.by_row), -1, INT(_xlpm.by_row)),
    _xlpm._inpChk, IF(
      AND(
        ROWS(_xlpm._inp) &lt;= 1, COLUMNS(_xlpm._inp) &lt;= 1
      ), 2, IF(
      OR(
        NOT(ISNUMBER(_xlpm._byRw)),
        _xlpm._byRw &lt; -1, _xlpm._byRw &gt; 1
      ), 3, 1)
    ),
    _xlpm._arr, IF(_xlpm._byRw &lt; 0, _xlfn.TOCOL(_xlpm._inp), _xlpm._inp),
    _xlpm._idx, IF( _xlpm._byRw = 0,
      _xlfn.SEQUENCE( COLUMNS(_xlpm._arr)),
      _xlfn.SEQUENCE( ROWS(_xlpm._arr))
    ),
    _xlpm._rnd, _xlfn.DROP(
      _xlfn.REDUCE(0, _xlpm._idx, _xlfn.LAMBDA(_xlpm._acc,_xlpm._val,
        _xlfn.LET(
          _xlpm._fltr, _xlfn._xlws.FILTER(_xlpm._idx, ISNA(_xlfn.XMATCH(_xlpm._idx, _xlpm._acc))),
          _xlpm._rr, ROWS(_xlpm._fltr),
          _xlfn.VSTACK(_xlpm._acc, INDEX(_xlpm._fltr, RANDBETWEEN(1, _xlpm._rr)))
        )
      )),
    1),
    _xlpm._rtn, IF(_xlpm._byRw &lt; 0,
      _xlfn.MAKEARRAY(_xlpm._rows, _xlpm._cols, _xlfn.LAMBDA(_xlpm._r,_xlpm._c, INDEX(_xlpm._arr, INDEX(_xlpm._rnd, (_xlpm._r - 1) * _xlpm._cols + _xlpm._c)))),
      IF(_xlpm._byRw,
        _xlfn.MAKEARRAY(_xlpm._rows, _xlpm._cols, _xlfn.LAMBDA(_xlpm._r,_xlpm._c, INDEX(_xlpm._arr, INDEX(_xlpm._rnd, _xlpm._r), _xlpm._c))),
        _xlfn.MAKEARRAY(_xlpm._rows, _xlpm._cols, _xlfn.LAMBDA(_xlpm._r,_xlpm._c, INDEX(_xlpm._arr, _xlpm._r, INDEX(_xlpm._rnd, _xlpm._c))))
      )
    ),
    CHOOSE(_xlpm._inpChk, _xlpm._rtn, _xlfn.LAMBDA(0), #VALUE!)
  )
)(_xlfn.ANCHORARRAY(C254), H254)</f>
        <v>6</v>
      </c>
      <c r="K254" s="43" t="str">
        <f ca="1"/>
        <v>Six</v>
      </c>
      <c r="L254" s="43" t="str">
        <f ca="1"/>
        <v>^^^</v>
      </c>
      <c r="M254" s="16" t="str" cm="1">
        <f t="array" aca="1" ref="M254:M292" ca="1" xml:space="preserve"> _xlfn.TEXTSPLIT( _xlfn.FORMULATEXT(J254), , CHAR(10))</f>
        <v>= LAMBDA(array,[by_row],</v>
      </c>
    </row>
    <row r="255" spans="2:13" x14ac:dyDescent="0.3">
      <c r="C255" s="56">
        <v>2</v>
      </c>
      <c r="D255" s="56" t="str">
        <v>Two</v>
      </c>
      <c r="E255" s="56" t="str">
        <v>"""</v>
      </c>
      <c r="J255" s="43">
        <f ca="1"/>
        <v>4</v>
      </c>
      <c r="K255" s="43" t="str">
        <f ca="1"/>
        <v>Four</v>
      </c>
      <c r="L255" s="43" t="str">
        <f ca="1"/>
        <v>$$$</v>
      </c>
      <c r="M255" s="16" t="str">
        <f ca="1"/>
        <v xml:space="preserve">  LET(</v>
      </c>
    </row>
    <row r="256" spans="2:13" x14ac:dyDescent="0.3">
      <c r="C256" s="56">
        <v>3</v>
      </c>
      <c r="D256" s="56" t="str">
        <v>Three</v>
      </c>
      <c r="E256" s="56" t="str">
        <v>£££</v>
      </c>
      <c r="J256" s="43">
        <f ca="1"/>
        <v>1</v>
      </c>
      <c r="K256" s="43" t="str">
        <f ca="1"/>
        <v>One</v>
      </c>
      <c r="L256" s="43" t="str">
        <f ca="1"/>
        <v>!!!</v>
      </c>
      <c r="M256" s="16" t="str">
        <f ca="1"/>
        <v xml:space="preserve">    _inp, array,</v>
      </c>
    </row>
    <row r="257" spans="3:13" x14ac:dyDescent="0.3">
      <c r="C257" s="56">
        <v>4</v>
      </c>
      <c r="D257" s="56" t="str">
        <v>Four</v>
      </c>
      <c r="E257" s="56" t="str">
        <v>$$$</v>
      </c>
      <c r="J257" s="43">
        <f ca="1"/>
        <v>8</v>
      </c>
      <c r="K257" s="43" t="str">
        <f ca="1"/>
        <v>Eight</v>
      </c>
      <c r="L257" s="43" t="str">
        <f ca="1"/>
        <v>***</v>
      </c>
      <c r="M257" s="16" t="str">
        <f ca="1"/>
        <v xml:space="preserve">    _rows, ROWS(_inp),</v>
      </c>
    </row>
    <row r="258" spans="3:13" x14ac:dyDescent="0.3">
      <c r="C258" s="56">
        <v>5</v>
      </c>
      <c r="D258" s="56" t="str">
        <v>Five</v>
      </c>
      <c r="E258" s="56" t="str">
        <v>%%%</v>
      </c>
      <c r="J258" s="43">
        <f ca="1"/>
        <v>2</v>
      </c>
      <c r="K258" s="43" t="str">
        <f ca="1"/>
        <v>Two</v>
      </c>
      <c r="L258" s="43" t="str">
        <f ca="1"/>
        <v>"""</v>
      </c>
      <c r="M258" s="16" t="str">
        <f ca="1"/>
        <v xml:space="preserve">    _cols, COLUMNS(_inp),</v>
      </c>
    </row>
    <row r="259" spans="3:13" x14ac:dyDescent="0.3">
      <c r="C259" s="56">
        <v>6</v>
      </c>
      <c r="D259" s="56" t="str">
        <v>Six</v>
      </c>
      <c r="E259" s="56" t="str">
        <v>^^^</v>
      </c>
      <c r="J259" s="43">
        <f ca="1"/>
        <v>10</v>
      </c>
      <c r="K259" s="43" t="str">
        <f ca="1"/>
        <v>Ten</v>
      </c>
      <c r="L259" s="43" t="str">
        <f ca="1"/>
        <v>)))</v>
      </c>
      <c r="M259" s="16" t="str">
        <f ca="1"/>
        <v xml:space="preserve">    _byRw, IF( ISOMITTED(by_row), -1, INT(by_row)),</v>
      </c>
    </row>
    <row r="260" spans="3:13" x14ac:dyDescent="0.3">
      <c r="C260" s="56">
        <v>7</v>
      </c>
      <c r="D260" s="56" t="str">
        <v>Seven</v>
      </c>
      <c r="E260" s="56" t="str">
        <v>&amp;&amp;&amp;</v>
      </c>
      <c r="J260" s="43">
        <f ca="1"/>
        <v>7</v>
      </c>
      <c r="K260" s="43" t="str">
        <f ca="1"/>
        <v>Seven</v>
      </c>
      <c r="L260" s="43" t="str">
        <f ca="1"/>
        <v>&amp;&amp;&amp;</v>
      </c>
      <c r="M260" s="16" t="str">
        <f ca="1"/>
        <v xml:space="preserve">    _inpChk, IF(</v>
      </c>
    </row>
    <row r="261" spans="3:13" x14ac:dyDescent="0.3">
      <c r="C261" s="56">
        <v>8</v>
      </c>
      <c r="D261" s="56" t="str">
        <v>Eight</v>
      </c>
      <c r="E261" s="56" t="str">
        <v>***</v>
      </c>
      <c r="J261" s="43">
        <f ca="1"/>
        <v>3</v>
      </c>
      <c r="K261" s="43" t="str">
        <f ca="1"/>
        <v>Three</v>
      </c>
      <c r="L261" s="43" t="str">
        <f ca="1"/>
        <v>£££</v>
      </c>
      <c r="M261" s="16" t="str">
        <f ca="1"/>
        <v xml:space="preserve">      AND(</v>
      </c>
    </row>
    <row r="262" spans="3:13" x14ac:dyDescent="0.3">
      <c r="C262" s="56">
        <v>9</v>
      </c>
      <c r="D262" s="56" t="str">
        <v>Nine</v>
      </c>
      <c r="E262" s="56" t="str">
        <v>(((</v>
      </c>
      <c r="J262" s="43">
        <f ca="1"/>
        <v>5</v>
      </c>
      <c r="K262" s="43" t="str">
        <f ca="1"/>
        <v>Five</v>
      </c>
      <c r="L262" s="43" t="str">
        <f ca="1"/>
        <v>%%%</v>
      </c>
      <c r="M262" s="16" t="str">
        <f ca="1"/>
        <v xml:space="preserve">        ROWS(_inp) &lt;= 1, COLUMNS(_inp) &lt;= 1</v>
      </c>
    </row>
    <row r="263" spans="3:13" x14ac:dyDescent="0.3">
      <c r="C263" s="56">
        <v>10</v>
      </c>
      <c r="D263" s="56" t="str">
        <v>Ten</v>
      </c>
      <c r="E263" s="56" t="str">
        <v>)))</v>
      </c>
      <c r="J263" s="43">
        <f ca="1"/>
        <v>9</v>
      </c>
      <c r="K263" s="43" t="str">
        <f ca="1"/>
        <v>Nine</v>
      </c>
      <c r="L263" s="43" t="str">
        <f ca="1"/>
        <v>(((</v>
      </c>
      <c r="M263" s="16" t="str">
        <f ca="1"/>
        <v xml:space="preserve">      ), 2, IF(</v>
      </c>
    </row>
    <row r="264" spans="3:13" x14ac:dyDescent="0.3">
      <c r="M264" s="16" t="str">
        <f ca="1"/>
        <v xml:space="preserve">      OR(</v>
      </c>
    </row>
    <row r="265" spans="3:13" x14ac:dyDescent="0.3">
      <c r="M265" s="16" t="str">
        <f ca="1"/>
        <v xml:space="preserve">        NOT(ISNUMBER(_byRw)),</v>
      </c>
    </row>
    <row r="266" spans="3:13" x14ac:dyDescent="0.3">
      <c r="M266" s="16" t="str">
        <f ca="1"/>
        <v xml:space="preserve">        _byRw &lt; -1, _byRw &gt; 1</v>
      </c>
    </row>
    <row r="267" spans="3:13" x14ac:dyDescent="0.3">
      <c r="M267" s="16" t="str">
        <f ca="1"/>
        <v xml:space="preserve">      ), 3, 1)</v>
      </c>
    </row>
    <row r="268" spans="3:13" x14ac:dyDescent="0.3">
      <c r="M268" s="16" t="str">
        <f ca="1"/>
        <v xml:space="preserve">    ),</v>
      </c>
    </row>
    <row r="269" spans="3:13" x14ac:dyDescent="0.3">
      <c r="M269" s="16" t="str">
        <f ca="1"/>
        <v xml:space="preserve">    _arr, IF(_byRw &lt; 0, TOCOL(_inp), _inp),</v>
      </c>
    </row>
    <row r="270" spans="3:13" x14ac:dyDescent="0.3">
      <c r="M270" s="16" t="str">
        <f ca="1"/>
        <v xml:space="preserve">    _idx, IF( _byRw = 0,</v>
      </c>
    </row>
    <row r="271" spans="3:13" x14ac:dyDescent="0.3">
      <c r="M271" s="16" t="str">
        <f ca="1"/>
        <v xml:space="preserve">      SEQUENCE( COLUMNS(_arr)),</v>
      </c>
    </row>
    <row r="272" spans="3:13" x14ac:dyDescent="0.3">
      <c r="M272" s="16" t="str">
        <f ca="1"/>
        <v xml:space="preserve">      SEQUENCE( ROWS(_arr))</v>
      </c>
    </row>
    <row r="273" spans="13:13" x14ac:dyDescent="0.3">
      <c r="M273" s="16" t="str">
        <f ca="1"/>
        <v xml:space="preserve">    ),</v>
      </c>
    </row>
    <row r="274" spans="13:13" x14ac:dyDescent="0.3">
      <c r="M274" s="16" t="str">
        <f ca="1"/>
        <v xml:space="preserve">    _rnd, DROP(</v>
      </c>
    </row>
    <row r="275" spans="13:13" x14ac:dyDescent="0.3">
      <c r="M275" s="16" t="str">
        <f ca="1"/>
        <v xml:space="preserve">      REDUCE(0, _idx, LAMBDA(_acc,_val,</v>
      </c>
    </row>
    <row r="276" spans="13:13" x14ac:dyDescent="0.3">
      <c r="M276" s="16" t="str">
        <f ca="1"/>
        <v xml:space="preserve">        LET(</v>
      </c>
    </row>
    <row r="277" spans="13:13" x14ac:dyDescent="0.3">
      <c r="M277" s="16" t="str">
        <f ca="1"/>
        <v xml:space="preserve">          _fltr, FILTER(_idx, ISNA(XMATCH(_idx, _acc))),</v>
      </c>
    </row>
    <row r="278" spans="13:13" x14ac:dyDescent="0.3">
      <c r="M278" s="16" t="str">
        <f ca="1"/>
        <v xml:space="preserve">          _rr, ROWS(_fltr),</v>
      </c>
    </row>
    <row r="279" spans="13:13" x14ac:dyDescent="0.3">
      <c r="M279" s="16" t="str">
        <f ca="1"/>
        <v xml:space="preserve">          VSTACK(_acc, INDEX(_fltr, RANDBETWEEN(1, _rr)))</v>
      </c>
    </row>
    <row r="280" spans="13:13" x14ac:dyDescent="0.3">
      <c r="M280" s="16" t="str">
        <f ca="1"/>
        <v xml:space="preserve">        )</v>
      </c>
    </row>
    <row r="281" spans="13:13" x14ac:dyDescent="0.3">
      <c r="M281" s="16" t="str">
        <f ca="1"/>
        <v xml:space="preserve">      )),</v>
      </c>
    </row>
    <row r="282" spans="13:13" x14ac:dyDescent="0.3">
      <c r="M282" s="16" t="str">
        <f ca="1"/>
        <v xml:space="preserve">    1),</v>
      </c>
    </row>
    <row r="283" spans="13:13" x14ac:dyDescent="0.3">
      <c r="M283" s="16" t="str">
        <f ca="1"/>
        <v xml:space="preserve">    _rtn, IF(_byRw &lt; 0,</v>
      </c>
    </row>
    <row r="284" spans="13:13" x14ac:dyDescent="0.3">
      <c r="M284" s="16" t="str">
        <f ca="1"/>
        <v xml:space="preserve">      MAKEARRAY(_rows, _cols, LAMBDA(_r,_c, INDEX(_arr, INDEX(_rnd, (_r - 1) * _cols + _c)))),</v>
      </c>
    </row>
    <row r="285" spans="13:13" x14ac:dyDescent="0.3">
      <c r="M285" s="16" t="str">
        <f ca="1"/>
        <v xml:space="preserve">      IF(_byRw,</v>
      </c>
    </row>
    <row r="286" spans="13:13" x14ac:dyDescent="0.3">
      <c r="M286" s="16" t="str">
        <f ca="1"/>
        <v xml:space="preserve">        MAKEARRAY(_rows, _cols, LAMBDA(_r,_c, INDEX(_arr, INDEX(_rnd, _r), _c))),</v>
      </c>
    </row>
    <row r="287" spans="13:13" x14ac:dyDescent="0.3">
      <c r="M287" s="16" t="str">
        <f ca="1"/>
        <v xml:space="preserve">        MAKEARRAY(_rows, _cols, LAMBDA(_r,_c, INDEX(_arr, _r, INDEX(_rnd, _c))))</v>
      </c>
    </row>
    <row r="288" spans="13:13" x14ac:dyDescent="0.3">
      <c r="M288" s="16" t="str">
        <f ca="1"/>
        <v xml:space="preserve">      )</v>
      </c>
    </row>
    <row r="289" spans="2:13" x14ac:dyDescent="0.3">
      <c r="M289" s="16" t="str">
        <f ca="1"/>
        <v xml:space="preserve">    ),</v>
      </c>
    </row>
    <row r="290" spans="2:13" x14ac:dyDescent="0.3">
      <c r="M290" s="16" t="str">
        <f ca="1"/>
        <v xml:space="preserve">    CHOOSE(_inpChk, _rtn, LAMBDA(0), #VALUE!)</v>
      </c>
    </row>
    <row r="291" spans="2:13" x14ac:dyDescent="0.3">
      <c r="M291" s="16" t="str">
        <f ca="1"/>
        <v xml:space="preserve">  )</v>
      </c>
    </row>
    <row r="292" spans="2:13" x14ac:dyDescent="0.3">
      <c r="M292" s="16" t="str">
        <f ca="1"/>
        <v>)(C254#, H254)</v>
      </c>
    </row>
    <row r="295" spans="2:13" s="4" customFormat="1" ht="16.2" thickBot="1" x14ac:dyDescent="0.35">
      <c r="B295" s="5">
        <f xml:space="preserve"> MAX(B$1:B294) + 1</f>
        <v>2</v>
      </c>
      <c r="C295" s="4" t="s">
        <v>9</v>
      </c>
    </row>
    <row r="297" spans="2:13" x14ac:dyDescent="0.3">
      <c r="B297" s="10" t="s">
        <v>10</v>
      </c>
    </row>
    <row r="298" spans="2:13" x14ac:dyDescent="0.3">
      <c r="C298" t="s">
        <v>68</v>
      </c>
    </row>
    <row r="299" spans="2:13" x14ac:dyDescent="0.3">
      <c r="C299" t="s">
        <v>69</v>
      </c>
    </row>
    <row r="301" spans="2:13" x14ac:dyDescent="0.3">
      <c r="B301" s="10" t="s">
        <v>11</v>
      </c>
    </row>
    <row r="302" spans="2:13" x14ac:dyDescent="0.3">
      <c r="C302" s="17" t="s">
        <v>70</v>
      </c>
      <c r="E302" s="19" t="s">
        <v>16</v>
      </c>
      <c r="F302" t="s">
        <v>72</v>
      </c>
    </row>
    <row r="303" spans="2:13" x14ac:dyDescent="0.3">
      <c r="C303" s="17" t="s">
        <v>71</v>
      </c>
      <c r="E303" s="20" t="s">
        <v>17</v>
      </c>
      <c r="F303" t="s">
        <v>73</v>
      </c>
    </row>
    <row r="305" spans="2:5" x14ac:dyDescent="0.3">
      <c r="B305" s="10" t="s">
        <v>12</v>
      </c>
    </row>
    <row r="306" spans="2:5" x14ac:dyDescent="0.3">
      <c r="C306" s="18" t="e">
        <v>#VALUE!</v>
      </c>
      <c r="E306" t="s">
        <v>74</v>
      </c>
    </row>
    <row r="307" spans="2:5" x14ac:dyDescent="0.3">
      <c r="C307" s="18" t="e" vm="1">
        <v>#VALUE!</v>
      </c>
      <c r="E307" t="s">
        <v>75</v>
      </c>
    </row>
    <row r="308" spans="2:5" x14ac:dyDescent="0.3">
      <c r="C308" s="18" t="e">
        <v>#VALUE!</v>
      </c>
      <c r="E308" t="s">
        <v>76</v>
      </c>
    </row>
    <row r="309" spans="2:5" x14ac:dyDescent="0.3">
      <c r="E309" s="30" t="s">
        <v>77</v>
      </c>
    </row>
    <row r="310" spans="2:5" x14ac:dyDescent="0.3">
      <c r="E310" s="30"/>
    </row>
    <row r="311" spans="2:5" x14ac:dyDescent="0.3">
      <c r="B311" s="10" t="s">
        <v>13</v>
      </c>
    </row>
    <row r="312" spans="2:5" x14ac:dyDescent="0.3">
      <c r="C312" t="s">
        <v>78</v>
      </c>
    </row>
    <row r="314" spans="2:5" x14ac:dyDescent="0.3">
      <c r="B314" s="10" t="s">
        <v>14</v>
      </c>
    </row>
    <row r="315" spans="2:5" x14ac:dyDescent="0.3">
      <c r="C315" s="17" t="s">
        <v>80</v>
      </c>
    </row>
    <row r="316" spans="2:5" x14ac:dyDescent="0.3">
      <c r="C316" s="34" t="s">
        <v>81</v>
      </c>
    </row>
    <row r="317" spans="2:5" x14ac:dyDescent="0.3">
      <c r="C317" s="32" t="s">
        <v>82</v>
      </c>
    </row>
    <row r="318" spans="2:5" x14ac:dyDescent="0.3">
      <c r="C318" s="32" t="s">
        <v>83</v>
      </c>
    </row>
    <row r="319" spans="2:5" x14ac:dyDescent="0.3">
      <c r="C319" s="34" t="s">
        <v>84</v>
      </c>
    </row>
    <row r="320" spans="2:5" x14ac:dyDescent="0.3">
      <c r="C320" s="32" t="s">
        <v>85</v>
      </c>
    </row>
    <row r="321" spans="3:3" x14ac:dyDescent="0.3">
      <c r="C321" s="35" t="s">
        <v>86</v>
      </c>
    </row>
    <row r="322" spans="3:3" x14ac:dyDescent="0.3">
      <c r="C322" s="33" t="s">
        <v>87</v>
      </c>
    </row>
    <row r="323" spans="3:3" x14ac:dyDescent="0.3">
      <c r="C323" s="33" t="s">
        <v>88</v>
      </c>
    </row>
    <row r="324" spans="3:3" x14ac:dyDescent="0.3">
      <c r="C324" s="33" t="s">
        <v>89</v>
      </c>
    </row>
    <row r="325" spans="3:3" x14ac:dyDescent="0.3">
      <c r="C325" s="35" t="s">
        <v>90</v>
      </c>
    </row>
    <row r="326" spans="3:3" x14ac:dyDescent="0.3">
      <c r="C326" s="33" t="s">
        <v>91</v>
      </c>
    </row>
    <row r="327" spans="3:3" x14ac:dyDescent="0.3">
      <c r="C327" s="35" t="s">
        <v>92</v>
      </c>
    </row>
    <row r="328" spans="3:3" x14ac:dyDescent="0.3">
      <c r="C328" s="33" t="s">
        <v>93</v>
      </c>
    </row>
    <row r="329" spans="3:3" x14ac:dyDescent="0.3">
      <c r="C329" s="36" t="s">
        <v>94</v>
      </c>
    </row>
    <row r="330" spans="3:3" x14ac:dyDescent="0.3">
      <c r="C330" s="37" t="s">
        <v>95</v>
      </c>
    </row>
    <row r="331" spans="3:3" x14ac:dyDescent="0.3">
      <c r="C331" s="36" t="s">
        <v>96</v>
      </c>
    </row>
    <row r="332" spans="3:3" x14ac:dyDescent="0.3">
      <c r="C332" s="36" t="s">
        <v>97</v>
      </c>
    </row>
    <row r="333" spans="3:3" x14ac:dyDescent="0.3">
      <c r="C333" s="37" t="s">
        <v>98</v>
      </c>
    </row>
    <row r="334" spans="3:3" x14ac:dyDescent="0.3">
      <c r="C334" s="37" t="s">
        <v>99</v>
      </c>
    </row>
    <row r="335" spans="3:3" x14ac:dyDescent="0.3">
      <c r="C335" s="36" t="s">
        <v>100</v>
      </c>
    </row>
    <row r="336" spans="3:3" x14ac:dyDescent="0.3">
      <c r="C336" s="33" t="s">
        <v>101</v>
      </c>
    </row>
    <row r="337" spans="3:3" x14ac:dyDescent="0.3">
      <c r="C337" s="35" t="s">
        <v>102</v>
      </c>
    </row>
    <row r="338" spans="3:3" x14ac:dyDescent="0.3">
      <c r="C338" s="33" t="s">
        <v>103</v>
      </c>
    </row>
    <row r="339" spans="3:3" x14ac:dyDescent="0.3">
      <c r="C339" s="35" t="s">
        <v>104</v>
      </c>
    </row>
    <row r="340" spans="3:3" x14ac:dyDescent="0.3">
      <c r="C340" s="35" t="s">
        <v>105</v>
      </c>
    </row>
    <row r="341" spans="3:3" x14ac:dyDescent="0.3">
      <c r="C341" s="35" t="s">
        <v>106</v>
      </c>
    </row>
    <row r="342" spans="3:3" x14ac:dyDescent="0.3">
      <c r="C342" s="35" t="s">
        <v>107</v>
      </c>
    </row>
    <row r="343" spans="3:3" x14ac:dyDescent="0.3">
      <c r="C343" s="33" t="s">
        <v>108</v>
      </c>
    </row>
    <row r="344" spans="3:3" x14ac:dyDescent="0.3">
      <c r="C344" s="36" t="s">
        <v>109</v>
      </c>
    </row>
    <row r="345" spans="3:3" x14ac:dyDescent="0.3">
      <c r="C345" s="36" t="s">
        <v>110</v>
      </c>
    </row>
    <row r="346" spans="3:3" x14ac:dyDescent="0.3">
      <c r="C346" s="33" t="s">
        <v>101</v>
      </c>
    </row>
    <row r="347" spans="3:3" x14ac:dyDescent="0.3">
      <c r="C347" s="35" t="s">
        <v>111</v>
      </c>
    </row>
    <row r="348" spans="3:3" x14ac:dyDescent="0.3">
      <c r="C348" s="33" t="s">
        <v>112</v>
      </c>
    </row>
    <row r="349" spans="3:3" x14ac:dyDescent="0.3">
      <c r="C349" s="36" t="s">
        <v>113</v>
      </c>
    </row>
    <row r="350" spans="3:3" x14ac:dyDescent="0.3">
      <c r="C350" s="37" t="s">
        <v>85</v>
      </c>
    </row>
    <row r="351" spans="3:3" x14ac:dyDescent="0.3">
      <c r="C351" s="38" t="s">
        <v>114</v>
      </c>
    </row>
    <row r="352" spans="3:3" x14ac:dyDescent="0.3">
      <c r="C352" s="38" t="s">
        <v>115</v>
      </c>
    </row>
    <row r="353" spans="3:3" x14ac:dyDescent="0.3">
      <c r="C353" s="38" t="s">
        <v>116</v>
      </c>
    </row>
    <row r="354" spans="3:3" x14ac:dyDescent="0.3">
      <c r="C354" s="37" t="s">
        <v>117</v>
      </c>
    </row>
    <row r="355" spans="3:3" x14ac:dyDescent="0.3">
      <c r="C355" s="36" t="s">
        <v>118</v>
      </c>
    </row>
    <row r="356" spans="3:3" x14ac:dyDescent="0.3">
      <c r="C356" s="33" t="s">
        <v>119</v>
      </c>
    </row>
    <row r="357" spans="3:3" x14ac:dyDescent="0.3">
      <c r="C357" s="35" t="s">
        <v>120</v>
      </c>
    </row>
    <row r="358" spans="3:3" x14ac:dyDescent="0.3">
      <c r="C358" s="33" t="s">
        <v>121</v>
      </c>
    </row>
    <row r="359" spans="3:3" x14ac:dyDescent="0.3">
      <c r="C359" s="36" t="s">
        <v>122</v>
      </c>
    </row>
    <row r="360" spans="3:3" x14ac:dyDescent="0.3">
      <c r="C360" s="36" t="s">
        <v>123</v>
      </c>
    </row>
    <row r="361" spans="3:3" x14ac:dyDescent="0.3">
      <c r="C361" s="37" t="s">
        <v>124</v>
      </c>
    </row>
    <row r="362" spans="3:3" x14ac:dyDescent="0.3">
      <c r="C362" s="37" t="s">
        <v>125</v>
      </c>
    </row>
    <row r="363" spans="3:3" x14ac:dyDescent="0.3">
      <c r="C363" s="36" t="s">
        <v>117</v>
      </c>
    </row>
    <row r="364" spans="3:3" x14ac:dyDescent="0.3">
      <c r="C364" s="33" t="s">
        <v>101</v>
      </c>
    </row>
    <row r="365" spans="3:3" x14ac:dyDescent="0.3">
      <c r="C365" s="35" t="s">
        <v>126</v>
      </c>
    </row>
    <row r="366" spans="3:3" x14ac:dyDescent="0.3">
      <c r="C366" s="35" t="s">
        <v>127</v>
      </c>
    </row>
    <row r="367" spans="3:3" x14ac:dyDescent="0.3">
      <c r="C367" s="33" t="s">
        <v>128</v>
      </c>
    </row>
    <row r="368" spans="3:3" x14ac:dyDescent="0.3">
      <c r="C368" s="32" t="s">
        <v>117</v>
      </c>
    </row>
    <row r="369" spans="2:3" x14ac:dyDescent="0.3">
      <c r="C369" s="17" t="s">
        <v>117</v>
      </c>
    </row>
    <row r="371" spans="2:3" x14ac:dyDescent="0.3">
      <c r="C371" s="10" t="s">
        <v>15</v>
      </c>
    </row>
    <row r="372" spans="2:3" x14ac:dyDescent="0.3">
      <c r="C372" s="17" t="s">
        <v>79</v>
      </c>
    </row>
    <row r="374" spans="2:3" ht="14.4" thickBot="1" x14ac:dyDescent="0.35"/>
    <row r="375" spans="2:3" s="3" customFormat="1" x14ac:dyDescent="0.3">
      <c r="B375" s="3" t="s">
        <v>0</v>
      </c>
    </row>
  </sheetData>
  <conditionalFormatting sqref="F86:F95 F99:F108">
    <cfRule type="cellIs" dxfId="3" priority="1" operator="notEqual">
      <formula>TRUE</formula>
    </cfRule>
    <cfRule type="cellIs" dxfId="2" priority="2" operator="equal">
      <formula>TRUE</formula>
    </cfRule>
  </conditionalFormatting>
  <dataValidations count="3">
    <dataValidation type="list" allowBlank="1" showInputMessage="1" showErrorMessage="1" sqref="G132 D160" xr:uid="{F087DCC5-8E71-477E-9391-5EC4D7C0A977}">
      <formula1>$C$132:$C$134</formula1>
    </dataValidation>
    <dataValidation type="list" allowBlank="1" showInputMessage="1" showErrorMessage="1" sqref="G155 H187 D223" xr:uid="{BA646294-7353-4C74-A8D8-08BDF07B345F}">
      <formula1>_OnOff</formula1>
    </dataValidation>
    <dataValidation type="list" allowBlank="1" showInputMessage="1" showErrorMessage="1" sqref="H188 D224 D235 H254" xr:uid="{3E171883-BAD6-48BA-AF9E-EF9D5FF87D36}">
      <formula1>_YesNo</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15AE1-E9B2-4527-8D9D-DE60F574B9D6}">
  <sheetPr codeName="Sheet5"/>
  <dimension ref="B1:T332"/>
  <sheetViews>
    <sheetView showGridLines="0" workbookViewId="0">
      <pane ySplit="1" topLeftCell="A2" activePane="bottomLeft" state="frozen"/>
      <selection pane="bottomLeft"/>
    </sheetView>
  </sheetViews>
  <sheetFormatPr defaultRowHeight="13.8" x14ac:dyDescent="0.3"/>
  <cols>
    <col min="1" max="2" width="4.33203125" customWidth="1"/>
    <col min="3" max="3" width="4.6640625" customWidth="1"/>
  </cols>
  <sheetData>
    <row r="1" spans="2:20" s="1" customFormat="1" ht="30" customHeight="1" x14ac:dyDescent="0.3">
      <c r="C1" s="2" t="s">
        <v>295</v>
      </c>
    </row>
    <row r="2" spans="2:20" s="4" customFormat="1" ht="16.2" thickBot="1" x14ac:dyDescent="0.35">
      <c r="B2" s="5">
        <f xml:space="preserve"> MAX(B$1:B1) + 1</f>
        <v>1</v>
      </c>
      <c r="C2" s="4" t="s">
        <v>304</v>
      </c>
    </row>
    <row r="4" spans="2:20" x14ac:dyDescent="0.3">
      <c r="B4" s="13" t="s">
        <v>296</v>
      </c>
      <c r="C4" s="12"/>
      <c r="D4" s="12"/>
      <c r="E4" s="12"/>
      <c r="F4" s="12"/>
      <c r="G4" s="12"/>
      <c r="H4" s="12"/>
      <c r="I4" s="12"/>
      <c r="J4" s="12"/>
      <c r="K4" s="12"/>
      <c r="L4" s="12"/>
      <c r="M4" s="12"/>
      <c r="N4" s="12"/>
      <c r="O4" s="12"/>
      <c r="P4" s="12"/>
      <c r="Q4" s="12"/>
      <c r="R4" s="12"/>
      <c r="S4" s="12"/>
      <c r="T4" s="12"/>
    </row>
    <row r="6" spans="2:20" x14ac:dyDescent="0.3">
      <c r="D6" s="68" t="s">
        <v>299</v>
      </c>
      <c r="E6" t="s">
        <v>302</v>
      </c>
    </row>
    <row r="7" spans="2:20" x14ac:dyDescent="0.3">
      <c r="D7" s="68" t="s">
        <v>300</v>
      </c>
      <c r="E7" t="s">
        <v>464</v>
      </c>
    </row>
    <row r="8" spans="2:20" x14ac:dyDescent="0.3">
      <c r="E8" t="s">
        <v>465</v>
      </c>
    </row>
    <row r="9" spans="2:20" x14ac:dyDescent="0.3">
      <c r="D9" s="68" t="s">
        <v>301</v>
      </c>
      <c r="E9" s="75" t="s">
        <v>501</v>
      </c>
    </row>
    <row r="12" spans="2:20" x14ac:dyDescent="0.3">
      <c r="C12" s="11" t="s">
        <v>451</v>
      </c>
    </row>
    <row r="13" spans="2:20" x14ac:dyDescent="0.3">
      <c r="D13" t="s">
        <v>422</v>
      </c>
      <c r="H13" t="s">
        <v>466</v>
      </c>
      <c r="N13" t="s">
        <v>477</v>
      </c>
    </row>
    <row r="14" spans="2:20" x14ac:dyDescent="0.3">
      <c r="D14" s="22">
        <v>1</v>
      </c>
      <c r="E14" s="22" t="s">
        <v>179</v>
      </c>
      <c r="F14" s="22" t="s">
        <v>189</v>
      </c>
      <c r="H14" s="43" cm="1">
        <f t="array" ref="H14:J18" xml:space="preserve"> RXL_Array.Insert($D$14:$F$17, 3)</f>
        <v>1</v>
      </c>
      <c r="I14" s="43" t="str">
        <v>AAA</v>
      </c>
      <c r="J14" s="43" t="str">
        <v>ZZZ</v>
      </c>
      <c r="N14" s="43" cm="1">
        <f t="array" ref="N14:P18" xml:space="preserve"> RXL_Array.Insert($D$14:$F$17, 3, 3)</f>
        <v>1</v>
      </c>
      <c r="O14" s="43" t="str">
        <v>AAA</v>
      </c>
      <c r="P14" s="43" t="str">
        <v>ZZZ</v>
      </c>
    </row>
    <row r="15" spans="2:20" x14ac:dyDescent="0.3">
      <c r="D15" s="22">
        <v>2</v>
      </c>
      <c r="E15" s="22" t="s">
        <v>180</v>
      </c>
      <c r="F15" s="22" t="s">
        <v>190</v>
      </c>
      <c r="H15" s="43">
        <v>2</v>
      </c>
      <c r="I15" s="43" t="str">
        <v>BBB</v>
      </c>
      <c r="J15" s="43" t="str">
        <v>YYY</v>
      </c>
      <c r="N15" s="43">
        <v>2</v>
      </c>
      <c r="O15" s="43" t="str">
        <v>BBB</v>
      </c>
      <c r="P15" s="43" t="str">
        <v>YYY</v>
      </c>
    </row>
    <row r="16" spans="2:20" x14ac:dyDescent="0.3">
      <c r="D16" s="22">
        <v>4</v>
      </c>
      <c r="E16" s="22" t="s">
        <v>182</v>
      </c>
      <c r="F16" s="22" t="s">
        <v>198</v>
      </c>
      <c r="H16" s="43" t="e">
        <v>#N/A</v>
      </c>
      <c r="I16" s="43" t="e">
        <v>#N/A</v>
      </c>
      <c r="J16" s="43" t="e">
        <v>#N/A</v>
      </c>
      <c r="N16" s="43">
        <v>3</v>
      </c>
      <c r="O16" s="43" t="e">
        <v>#N/A</v>
      </c>
      <c r="P16" s="43" t="e">
        <v>#N/A</v>
      </c>
    </row>
    <row r="17" spans="4:17" x14ac:dyDescent="0.3">
      <c r="D17" s="22">
        <v>5</v>
      </c>
      <c r="E17" s="22" t="s">
        <v>183</v>
      </c>
      <c r="F17" s="22" t="s">
        <v>197</v>
      </c>
      <c r="H17" s="43">
        <v>4</v>
      </c>
      <c r="I17" s="43" t="str">
        <v>DDD</v>
      </c>
      <c r="J17" s="43" t="str">
        <v>WWW</v>
      </c>
      <c r="N17" s="43">
        <v>4</v>
      </c>
      <c r="O17" s="43" t="str">
        <v>DDD</v>
      </c>
      <c r="P17" s="43" t="str">
        <v>WWW</v>
      </c>
    </row>
    <row r="18" spans="4:17" x14ac:dyDescent="0.3">
      <c r="H18" s="43">
        <v>5</v>
      </c>
      <c r="I18" s="43" t="str">
        <v>EEE</v>
      </c>
      <c r="J18" s="43" t="str">
        <v>VVV</v>
      </c>
      <c r="N18" s="43">
        <v>5</v>
      </c>
      <c r="O18" s="43" t="str">
        <v>EEE</v>
      </c>
      <c r="P18" s="43" t="str">
        <v>VVV</v>
      </c>
    </row>
    <row r="19" spans="4:17" x14ac:dyDescent="0.3">
      <c r="H19" s="16" t="str">
        <f ca="1" xml:space="preserve"> _xlfn.FORMULATEXT(H14)</f>
        <v>= RXL_Array.Insert($D$14:$F$17, 3)</v>
      </c>
      <c r="N19" s="16" t="str">
        <f ca="1" xml:space="preserve"> _xlfn.FORMULATEXT(N14)</f>
        <v>= RXL_Array.Insert($D$14:$F$17, 3, 3)</v>
      </c>
    </row>
    <row r="21" spans="4:17" x14ac:dyDescent="0.3">
      <c r="H21" t="s">
        <v>544</v>
      </c>
      <c r="N21" t="s">
        <v>545</v>
      </c>
    </row>
    <row r="22" spans="4:17" x14ac:dyDescent="0.3">
      <c r="H22" s="43" cm="1">
        <f t="array" ref="H22:K25" xml:space="preserve"> RXL_Array.Insert($D$14:$F$17, 2, , , TRUE)</f>
        <v>1</v>
      </c>
      <c r="I22" s="43" t="e">
        <v>#N/A</v>
      </c>
      <c r="J22" s="43" t="str">
        <v>AAA</v>
      </c>
      <c r="K22" s="43" t="str">
        <v>ZZZ</v>
      </c>
      <c r="N22" s="43" cm="1">
        <f t="array" ref="N22:Q25" xml:space="preserve"> RXL_Array.Insert($D$14:$F$17, 2, "(none)", , TRUE)</f>
        <v>1</v>
      </c>
      <c r="O22" s="43" t="str">
        <v>(none)</v>
      </c>
      <c r="P22" s="43" t="str">
        <v>AAA</v>
      </c>
      <c r="Q22" s="43" t="str">
        <v>ZZZ</v>
      </c>
    </row>
    <row r="23" spans="4:17" x14ac:dyDescent="0.3">
      <c r="H23" s="43">
        <v>2</v>
      </c>
      <c r="I23" s="43" t="e">
        <v>#N/A</v>
      </c>
      <c r="J23" s="43" t="str">
        <v>BBB</v>
      </c>
      <c r="K23" s="43" t="str">
        <v>YYY</v>
      </c>
      <c r="N23" s="43">
        <v>2</v>
      </c>
      <c r="O23" s="43" t="e">
        <v>#N/A</v>
      </c>
      <c r="P23" s="43" t="str">
        <v>BBB</v>
      </c>
      <c r="Q23" s="43" t="str">
        <v>YYY</v>
      </c>
    </row>
    <row r="24" spans="4:17" x14ac:dyDescent="0.3">
      <c r="H24" s="43">
        <v>4</v>
      </c>
      <c r="I24" s="43" t="e">
        <v>#N/A</v>
      </c>
      <c r="J24" s="43" t="str">
        <v>DDD</v>
      </c>
      <c r="K24" s="43" t="str">
        <v>WWW</v>
      </c>
      <c r="N24" s="43">
        <v>4</v>
      </c>
      <c r="O24" s="43" t="e">
        <v>#N/A</v>
      </c>
      <c r="P24" s="43" t="str">
        <v>DDD</v>
      </c>
      <c r="Q24" s="43" t="str">
        <v>WWW</v>
      </c>
    </row>
    <row r="25" spans="4:17" x14ac:dyDescent="0.3">
      <c r="H25" s="43">
        <v>5</v>
      </c>
      <c r="I25" s="43" t="e">
        <v>#N/A</v>
      </c>
      <c r="J25" s="43" t="str">
        <v>EEE</v>
      </c>
      <c r="K25" s="43" t="str">
        <v>VVV</v>
      </c>
      <c r="N25" s="43">
        <v>5</v>
      </c>
      <c r="O25" s="43" t="e">
        <v>#N/A</v>
      </c>
      <c r="P25" s="43" t="str">
        <v>EEE</v>
      </c>
      <c r="Q25" s="43" t="str">
        <v>VVV</v>
      </c>
    </row>
    <row r="26" spans="4:17" x14ac:dyDescent="0.3">
      <c r="H26" s="16" t="str">
        <f ca="1" xml:space="preserve"> _xlfn.FORMULATEXT(H22)</f>
        <v>= RXL_Array.Insert($D$14:$F$17, 2, , , TRUE)</v>
      </c>
      <c r="N26" s="16" t="str">
        <f ca="1" xml:space="preserve"> _xlfn.FORMULATEXT(N22)</f>
        <v>= RXL_Array.Insert($D$14:$F$17, 2, "(none)", , TRUE)</v>
      </c>
    </row>
    <row r="28" spans="4:17" x14ac:dyDescent="0.3">
      <c r="D28" t="s">
        <v>422</v>
      </c>
      <c r="H28" t="s">
        <v>478</v>
      </c>
      <c r="N28" t="s">
        <v>479</v>
      </c>
    </row>
    <row r="29" spans="4:17" x14ac:dyDescent="0.3">
      <c r="D29" s="22">
        <v>3</v>
      </c>
      <c r="E29" s="22" t="s">
        <v>181</v>
      </c>
      <c r="F29" s="22" t="s">
        <v>191</v>
      </c>
      <c r="H29" s="43" cm="1">
        <f t="array" ref="H29:J33" xml:space="preserve"> RXL_Array.Insert($D$14:$F$17, 3, D29:F29)</f>
        <v>1</v>
      </c>
      <c r="I29" s="43" t="str">
        <v>AAA</v>
      </c>
      <c r="J29" s="43" t="str">
        <v>ZZZ</v>
      </c>
      <c r="N29" s="43" cm="1">
        <f t="array" ref="N29:Q33" xml:space="preserve"> RXL_Array.Insert(_xlfn.ANCHORARRAY(H29), 2, D31:D35, , TRUE)</f>
        <v>1</v>
      </c>
      <c r="O29" s="43" t="str">
        <v>One</v>
      </c>
      <c r="P29" s="43" t="str">
        <v>AAA</v>
      </c>
      <c r="Q29" s="43" t="str">
        <v>ZZZ</v>
      </c>
    </row>
    <row r="30" spans="4:17" x14ac:dyDescent="0.3">
      <c r="H30" s="43">
        <v>2</v>
      </c>
      <c r="I30" s="43" t="str">
        <v>BBB</v>
      </c>
      <c r="J30" s="43" t="str">
        <v>YYY</v>
      </c>
      <c r="N30" s="43">
        <v>2</v>
      </c>
      <c r="O30" s="43" t="str">
        <v>Two</v>
      </c>
      <c r="P30" s="43" t="str">
        <v>BBB</v>
      </c>
      <c r="Q30" s="43" t="str">
        <v>YYY</v>
      </c>
    </row>
    <row r="31" spans="4:17" x14ac:dyDescent="0.3">
      <c r="D31" s="22" t="s">
        <v>30</v>
      </c>
      <c r="H31" s="43">
        <v>3</v>
      </c>
      <c r="I31" s="43" t="str">
        <v>CCC</v>
      </c>
      <c r="J31" s="43" t="str">
        <v>XXX</v>
      </c>
      <c r="N31" s="43">
        <v>3</v>
      </c>
      <c r="O31" s="43" t="str">
        <v>Three</v>
      </c>
      <c r="P31" s="43" t="str">
        <v>CCC</v>
      </c>
      <c r="Q31" s="43" t="str">
        <v>XXX</v>
      </c>
    </row>
    <row r="32" spans="4:17" x14ac:dyDescent="0.3">
      <c r="D32" s="22" t="s">
        <v>32</v>
      </c>
      <c r="H32" s="43">
        <v>4</v>
      </c>
      <c r="I32" s="43" t="str">
        <v>DDD</v>
      </c>
      <c r="J32" s="43" t="str">
        <v>WWW</v>
      </c>
      <c r="N32" s="43">
        <v>4</v>
      </c>
      <c r="O32" s="43" t="str">
        <v>Four</v>
      </c>
      <c r="P32" s="43" t="str">
        <v>DDD</v>
      </c>
      <c r="Q32" s="43" t="str">
        <v>WWW</v>
      </c>
    </row>
    <row r="33" spans="3:17" x14ac:dyDescent="0.3">
      <c r="D33" s="22" t="s">
        <v>34</v>
      </c>
      <c r="H33" s="43">
        <v>5</v>
      </c>
      <c r="I33" s="43" t="str">
        <v>EEE</v>
      </c>
      <c r="J33" s="43" t="str">
        <v>VVV</v>
      </c>
      <c r="N33" s="43">
        <v>5</v>
      </c>
      <c r="O33" s="43" t="str">
        <v>Five</v>
      </c>
      <c r="P33" s="43" t="str">
        <v>EEE</v>
      </c>
      <c r="Q33" s="43" t="str">
        <v>VVV</v>
      </c>
    </row>
    <row r="34" spans="3:17" x14ac:dyDescent="0.3">
      <c r="D34" s="22" t="s">
        <v>36</v>
      </c>
      <c r="H34" s="16" t="str">
        <f ca="1" xml:space="preserve"> _xlfn.FORMULATEXT(H29)</f>
        <v>= RXL_Array.Insert($D$14:$F$17, 3, D29:F29)</v>
      </c>
      <c r="N34" s="16" t="str">
        <f ca="1" xml:space="preserve"> _xlfn.FORMULATEXT(N29)</f>
        <v>= RXL_Array.Insert(H29#, 2, D31:D35, , TRUE)</v>
      </c>
    </row>
    <row r="35" spans="3:17" x14ac:dyDescent="0.3">
      <c r="D35" s="22" t="s">
        <v>38</v>
      </c>
    </row>
    <row r="38" spans="3:17" x14ac:dyDescent="0.3">
      <c r="C38" s="11" t="s">
        <v>480</v>
      </c>
    </row>
    <row r="39" spans="3:17" x14ac:dyDescent="0.3">
      <c r="D39" t="s">
        <v>422</v>
      </c>
      <c r="H39" t="s">
        <v>485</v>
      </c>
    </row>
    <row r="40" spans="3:17" x14ac:dyDescent="0.3">
      <c r="D40" s="22">
        <v>1</v>
      </c>
      <c r="E40" s="24" t="s">
        <v>30</v>
      </c>
      <c r="F40" s="24" t="s">
        <v>179</v>
      </c>
      <c r="H40" s="43" t="str" cm="1">
        <f t="array" ref="H40:J49" xml:space="preserve"> RXL_Array.Insert($D$40:$F$44, {1,2,3,4,5}, $D$46:$F$46)</f>
        <v>[X]</v>
      </c>
      <c r="I40" s="43" t="str">
        <v>[Y]</v>
      </c>
      <c r="J40" s="43" t="str">
        <v>[Z]</v>
      </c>
    </row>
    <row r="41" spans="3:17" x14ac:dyDescent="0.3">
      <c r="D41" s="22">
        <v>2</v>
      </c>
      <c r="E41" s="24" t="s">
        <v>32</v>
      </c>
      <c r="F41" s="24" t="s">
        <v>180</v>
      </c>
      <c r="H41" s="43">
        <v>1</v>
      </c>
      <c r="I41" s="43" t="str">
        <v>One</v>
      </c>
      <c r="J41" s="43" t="str">
        <v>AAA</v>
      </c>
    </row>
    <row r="42" spans="3:17" x14ac:dyDescent="0.3">
      <c r="D42" s="22">
        <v>3</v>
      </c>
      <c r="E42" s="24" t="s">
        <v>34</v>
      </c>
      <c r="F42" s="24" t="s">
        <v>181</v>
      </c>
      <c r="H42" s="43" t="str">
        <v>[X]</v>
      </c>
      <c r="I42" s="43" t="str">
        <v>[Y]</v>
      </c>
      <c r="J42" s="43" t="str">
        <v>[Z]</v>
      </c>
    </row>
    <row r="43" spans="3:17" x14ac:dyDescent="0.3">
      <c r="D43" s="22">
        <v>4</v>
      </c>
      <c r="E43" s="24" t="s">
        <v>36</v>
      </c>
      <c r="F43" s="24" t="s">
        <v>182</v>
      </c>
      <c r="H43" s="43">
        <v>2</v>
      </c>
      <c r="I43" s="43" t="str">
        <v>Two</v>
      </c>
      <c r="J43" s="43" t="str">
        <v>BBB</v>
      </c>
    </row>
    <row r="44" spans="3:17" x14ac:dyDescent="0.3">
      <c r="D44" s="22">
        <v>5</v>
      </c>
      <c r="E44" s="24" t="s">
        <v>38</v>
      </c>
      <c r="F44" s="24" t="s">
        <v>183</v>
      </c>
      <c r="H44" s="43" t="str">
        <v>[X]</v>
      </c>
      <c r="I44" s="43" t="str">
        <v>[Y]</v>
      </c>
      <c r="J44" s="43" t="str">
        <v>[Z]</v>
      </c>
    </row>
    <row r="45" spans="3:17" x14ac:dyDescent="0.3">
      <c r="H45" s="43">
        <v>3</v>
      </c>
      <c r="I45" s="43" t="str">
        <v>Three</v>
      </c>
      <c r="J45" s="43" t="str">
        <v>CCC</v>
      </c>
    </row>
    <row r="46" spans="3:17" x14ac:dyDescent="0.3">
      <c r="D46" s="24" t="s">
        <v>278</v>
      </c>
      <c r="E46" s="24" t="s">
        <v>483</v>
      </c>
      <c r="F46" s="24" t="s">
        <v>484</v>
      </c>
      <c r="H46" s="43" t="str">
        <v>[X]</v>
      </c>
      <c r="I46" s="43" t="str">
        <v>[Y]</v>
      </c>
      <c r="J46" s="43" t="str">
        <v>[Z]</v>
      </c>
    </row>
    <row r="47" spans="3:17" x14ac:dyDescent="0.3">
      <c r="H47" s="43">
        <v>4</v>
      </c>
      <c r="I47" s="43" t="str">
        <v>Four</v>
      </c>
      <c r="J47" s="43" t="str">
        <v>DDD</v>
      </c>
    </row>
    <row r="48" spans="3:17" x14ac:dyDescent="0.3">
      <c r="H48" s="43" t="str">
        <v>[X]</v>
      </c>
      <c r="I48" s="43" t="str">
        <v>[Y]</v>
      </c>
      <c r="J48" s="43" t="str">
        <v>[Z]</v>
      </c>
    </row>
    <row r="49" spans="8:16" x14ac:dyDescent="0.3">
      <c r="H49" s="43">
        <v>5</v>
      </c>
      <c r="I49" s="43" t="str">
        <v>Five</v>
      </c>
      <c r="J49" s="43" t="str">
        <v>EEE</v>
      </c>
    </row>
    <row r="50" spans="8:16" x14ac:dyDescent="0.3">
      <c r="H50" s="16" t="str">
        <f ca="1" xml:space="preserve"> _xlfn.FORMULATEXT(H40)</f>
        <v>= RXL_Array.Insert($D$40:$F$44, {1,2,3,4,5}, $D$46:$F$46)</v>
      </c>
    </row>
    <row r="52" spans="8:16" x14ac:dyDescent="0.3">
      <c r="H52" t="s">
        <v>494</v>
      </c>
      <c r="N52" t="s">
        <v>486</v>
      </c>
    </row>
    <row r="53" spans="8:16" x14ac:dyDescent="0.3">
      <c r="H53" s="43" cm="1">
        <f t="array" ref="H53:J62" xml:space="preserve"> RXL_Array.Insert($D$40:$F$44, {1,2,3,4,5}, $D$46:$F$46, TRUE)</f>
        <v>1</v>
      </c>
      <c r="I53" s="43" t="str">
        <v>One</v>
      </c>
      <c r="J53" s="43" t="str">
        <v>AAA</v>
      </c>
      <c r="N53" s="43" t="str" cm="1">
        <f t="array" ref="N53:P62" xml:space="preserve"> RXL_Array.Insert($D$40:$F$44, {1,2,3,4,5}, $D$46:$F$46, FALSE)</f>
        <v>[X]</v>
      </c>
      <c r="O53" s="43" t="str">
        <v>[Y]</v>
      </c>
      <c r="P53" s="43" t="str">
        <v>[Z]</v>
      </c>
    </row>
    <row r="54" spans="8:16" x14ac:dyDescent="0.3">
      <c r="H54" s="43" t="str">
        <v>[X]</v>
      </c>
      <c r="I54" s="43" t="str">
        <v>[Y]</v>
      </c>
      <c r="J54" s="43" t="str">
        <v>[Z]</v>
      </c>
      <c r="N54" s="43">
        <v>1</v>
      </c>
      <c r="O54" s="43" t="str">
        <v>One</v>
      </c>
      <c r="P54" s="43" t="str">
        <v>AAA</v>
      </c>
    </row>
    <row r="55" spans="8:16" x14ac:dyDescent="0.3">
      <c r="H55" s="43">
        <v>2</v>
      </c>
      <c r="I55" s="43" t="str">
        <v>Two</v>
      </c>
      <c r="J55" s="43" t="str">
        <v>BBB</v>
      </c>
      <c r="N55" s="43" t="str">
        <v>[X]</v>
      </c>
      <c r="O55" s="43" t="str">
        <v>[Y]</v>
      </c>
      <c r="P55" s="43" t="str">
        <v>[Z]</v>
      </c>
    </row>
    <row r="56" spans="8:16" x14ac:dyDescent="0.3">
      <c r="H56" s="43" t="str">
        <v>[X]</v>
      </c>
      <c r="I56" s="43" t="str">
        <v>[Y]</v>
      </c>
      <c r="J56" s="43" t="str">
        <v>[Z]</v>
      </c>
      <c r="N56" s="43">
        <v>2</v>
      </c>
      <c r="O56" s="43" t="str">
        <v>Two</v>
      </c>
      <c r="P56" s="43" t="str">
        <v>BBB</v>
      </c>
    </row>
    <row r="57" spans="8:16" x14ac:dyDescent="0.3">
      <c r="H57" s="43">
        <v>3</v>
      </c>
      <c r="I57" s="43" t="str">
        <v>Three</v>
      </c>
      <c r="J57" s="43" t="str">
        <v>CCC</v>
      </c>
      <c r="N57" s="43" t="str">
        <v>[X]</v>
      </c>
      <c r="O57" s="43" t="str">
        <v>[Y]</v>
      </c>
      <c r="P57" s="43" t="str">
        <v>[Z]</v>
      </c>
    </row>
    <row r="58" spans="8:16" x14ac:dyDescent="0.3">
      <c r="H58" s="43" t="str">
        <v>[X]</v>
      </c>
      <c r="I58" s="43" t="str">
        <v>[Y]</v>
      </c>
      <c r="J58" s="43" t="str">
        <v>[Z]</v>
      </c>
      <c r="N58" s="43">
        <v>3</v>
      </c>
      <c r="O58" s="43" t="str">
        <v>Three</v>
      </c>
      <c r="P58" s="43" t="str">
        <v>CCC</v>
      </c>
    </row>
    <row r="59" spans="8:16" x14ac:dyDescent="0.3">
      <c r="H59" s="43">
        <v>4</v>
      </c>
      <c r="I59" s="43" t="str">
        <v>Four</v>
      </c>
      <c r="J59" s="43" t="str">
        <v>DDD</v>
      </c>
      <c r="N59" s="43" t="str">
        <v>[X]</v>
      </c>
      <c r="O59" s="43" t="str">
        <v>[Y]</v>
      </c>
      <c r="P59" s="43" t="str">
        <v>[Z]</v>
      </c>
    </row>
    <row r="60" spans="8:16" x14ac:dyDescent="0.3">
      <c r="H60" s="43" t="str">
        <v>[X]</v>
      </c>
      <c r="I60" s="43" t="str">
        <v>[Y]</v>
      </c>
      <c r="J60" s="43" t="str">
        <v>[Z]</v>
      </c>
      <c r="N60" s="43">
        <v>4</v>
      </c>
      <c r="O60" s="43" t="str">
        <v>Four</v>
      </c>
      <c r="P60" s="43" t="str">
        <v>DDD</v>
      </c>
    </row>
    <row r="61" spans="8:16" x14ac:dyDescent="0.3">
      <c r="H61" s="43">
        <v>5</v>
      </c>
      <c r="I61" s="43" t="str">
        <v>Five</v>
      </c>
      <c r="J61" s="43" t="str">
        <v>EEE</v>
      </c>
      <c r="N61" s="43" t="str">
        <v>[X]</v>
      </c>
      <c r="O61" s="43" t="str">
        <v>[Y]</v>
      </c>
      <c r="P61" s="43" t="str">
        <v>[Z]</v>
      </c>
    </row>
    <row r="62" spans="8:16" x14ac:dyDescent="0.3">
      <c r="H62" s="43" t="str">
        <v>[X]</v>
      </c>
      <c r="I62" s="43" t="str">
        <v>[Y]</v>
      </c>
      <c r="J62" s="43" t="str">
        <v>[Z]</v>
      </c>
      <c r="N62" s="43">
        <v>5</v>
      </c>
      <c r="O62" s="43" t="str">
        <v>Five</v>
      </c>
      <c r="P62" s="43" t="str">
        <v>EEE</v>
      </c>
    </row>
    <row r="63" spans="8:16" x14ac:dyDescent="0.3">
      <c r="H63" s="16" t="str">
        <f ca="1" xml:space="preserve"> _xlfn.FORMULATEXT(H53)</f>
        <v>= RXL_Array.Insert($D$40:$F$44, {1,2,3,4,5}, $D$46:$F$46, TRUE)</v>
      </c>
    </row>
    <row r="64" spans="8:16" x14ac:dyDescent="0.3">
      <c r="N64" s="16" t="str">
        <f ca="1" xml:space="preserve"> _xlfn.FORMULATEXT(N53)</f>
        <v>= RXL_Array.Insert($D$40:$F$44, {1,2,3,4,5}, $D$46:$F$46, FALSE)</v>
      </c>
    </row>
    <row r="66" spans="3:14" x14ac:dyDescent="0.3">
      <c r="C66" s="11" t="s">
        <v>481</v>
      </c>
    </row>
    <row r="67" spans="3:14" x14ac:dyDescent="0.3">
      <c r="D67" t="s">
        <v>422</v>
      </c>
      <c r="H67" t="s">
        <v>487</v>
      </c>
    </row>
    <row r="68" spans="3:14" x14ac:dyDescent="0.3">
      <c r="D68" s="22">
        <v>1</v>
      </c>
      <c r="E68" s="24" t="s">
        <v>30</v>
      </c>
      <c r="F68" s="24" t="s">
        <v>179</v>
      </c>
      <c r="H68" s="43" cm="1">
        <f t="array" ref="H68:N72" xml:space="preserve"> RXL_Array.Insert($D$68:$F$72, {1,-1}, $D$74:$E$78, TRUE, TRUE)</f>
        <v>1</v>
      </c>
      <c r="I68" s="43">
        <v>1111</v>
      </c>
      <c r="J68" s="43" t="str">
        <v>ZZZ</v>
      </c>
      <c r="K68" s="43" t="str">
        <v>One</v>
      </c>
      <c r="L68" s="43" t="str">
        <v>AAA</v>
      </c>
      <c r="M68" s="43">
        <v>1111</v>
      </c>
      <c r="N68" s="43" t="str">
        <v>ZZZ</v>
      </c>
    </row>
    <row r="69" spans="3:14" x14ac:dyDescent="0.3">
      <c r="D69" s="22">
        <v>2</v>
      </c>
      <c r="E69" s="24" t="s">
        <v>32</v>
      </c>
      <c r="F69" s="24" t="s">
        <v>180</v>
      </c>
      <c r="H69" s="43">
        <v>2</v>
      </c>
      <c r="I69" s="43">
        <v>2222</v>
      </c>
      <c r="J69" s="43" t="str">
        <v>YYY</v>
      </c>
      <c r="K69" s="43" t="str">
        <v>Two</v>
      </c>
      <c r="L69" s="43" t="str">
        <v>BBB</v>
      </c>
      <c r="M69" s="43">
        <v>2222</v>
      </c>
      <c r="N69" s="43" t="str">
        <v>YYY</v>
      </c>
    </row>
    <row r="70" spans="3:14" x14ac:dyDescent="0.3">
      <c r="D70" s="22">
        <v>3</v>
      </c>
      <c r="E70" s="24" t="s">
        <v>34</v>
      </c>
      <c r="F70" s="24" t="s">
        <v>181</v>
      </c>
      <c r="H70" s="43">
        <v>3</v>
      </c>
      <c r="I70" s="43">
        <v>3333</v>
      </c>
      <c r="J70" s="43" t="str">
        <v>XXX</v>
      </c>
      <c r="K70" s="43" t="str">
        <v>Three</v>
      </c>
      <c r="L70" s="43" t="str">
        <v>CCC</v>
      </c>
      <c r="M70" s="43">
        <v>3333</v>
      </c>
      <c r="N70" s="43" t="str">
        <v>XXX</v>
      </c>
    </row>
    <row r="71" spans="3:14" x14ac:dyDescent="0.3">
      <c r="D71" s="22">
        <v>4</v>
      </c>
      <c r="E71" s="24" t="s">
        <v>36</v>
      </c>
      <c r="F71" s="24" t="s">
        <v>182</v>
      </c>
      <c r="H71" s="43">
        <v>4</v>
      </c>
      <c r="I71" s="43">
        <v>4444</v>
      </c>
      <c r="J71" s="43" t="str">
        <v>WWW</v>
      </c>
      <c r="K71" s="43" t="str">
        <v>Four</v>
      </c>
      <c r="L71" s="43" t="str">
        <v>DDD</v>
      </c>
      <c r="M71" s="43">
        <v>4444</v>
      </c>
      <c r="N71" s="43" t="str">
        <v>WWW</v>
      </c>
    </row>
    <row r="72" spans="3:14" x14ac:dyDescent="0.3">
      <c r="D72" s="22">
        <v>5</v>
      </c>
      <c r="E72" s="24" t="s">
        <v>38</v>
      </c>
      <c r="F72" s="24" t="s">
        <v>183</v>
      </c>
      <c r="H72" s="43">
        <v>5</v>
      </c>
      <c r="I72" s="43">
        <v>5555</v>
      </c>
      <c r="J72" s="43" t="str">
        <v>VVV</v>
      </c>
      <c r="K72" s="43" t="str">
        <v>Five</v>
      </c>
      <c r="L72" s="43" t="str">
        <v>EEE</v>
      </c>
      <c r="M72" s="43">
        <v>5555</v>
      </c>
      <c r="N72" s="43" t="str">
        <v>VVV</v>
      </c>
    </row>
    <row r="73" spans="3:14" x14ac:dyDescent="0.3">
      <c r="H73" s="16" t="str">
        <f ca="1" xml:space="preserve"> _xlfn.FORMULATEXT(H68)</f>
        <v>= RXL_Array.Insert($D$68:$F$72, {1,-1}, $D$74:$E$78, TRUE, TRUE)</v>
      </c>
    </row>
    <row r="74" spans="3:14" x14ac:dyDescent="0.3">
      <c r="D74" s="22">
        <v>1111</v>
      </c>
      <c r="E74" s="24" t="s">
        <v>189</v>
      </c>
    </row>
    <row r="75" spans="3:14" x14ac:dyDescent="0.3">
      <c r="D75" s="22">
        <v>2222</v>
      </c>
      <c r="E75" s="24" t="s">
        <v>190</v>
      </c>
      <c r="H75" t="s">
        <v>493</v>
      </c>
    </row>
    <row r="76" spans="3:14" x14ac:dyDescent="0.3">
      <c r="D76" s="22">
        <v>3333</v>
      </c>
      <c r="E76" s="24" t="s">
        <v>191</v>
      </c>
      <c r="H76" s="43" cm="1">
        <f t="array" ref="H76:L80" xml:space="preserve"> RXL_Array.Insert($D$68:$F$72, {1,-1}, $D$74:$E$78, TRUE, TRUE, TRUE)</f>
        <v>1</v>
      </c>
      <c r="I76" s="43">
        <v>1111</v>
      </c>
      <c r="J76" s="43" t="str">
        <v>One</v>
      </c>
      <c r="K76" s="43" t="str">
        <v>AAA</v>
      </c>
      <c r="L76" s="43" t="str">
        <v>ZZZ</v>
      </c>
      <c r="M76" s="43"/>
      <c r="N76" s="43"/>
    </row>
    <row r="77" spans="3:14" x14ac:dyDescent="0.3">
      <c r="D77" s="22">
        <v>4444</v>
      </c>
      <c r="E77" s="24" t="s">
        <v>198</v>
      </c>
      <c r="H77" s="43">
        <v>2</v>
      </c>
      <c r="I77" s="43">
        <v>2222</v>
      </c>
      <c r="J77" s="43" t="str">
        <v>Two</v>
      </c>
      <c r="K77" s="43" t="str">
        <v>BBB</v>
      </c>
      <c r="L77" s="43" t="str">
        <v>YYY</v>
      </c>
      <c r="M77" s="43"/>
      <c r="N77" s="43"/>
    </row>
    <row r="78" spans="3:14" x14ac:dyDescent="0.3">
      <c r="D78" s="22">
        <v>5555</v>
      </c>
      <c r="E78" s="24" t="s">
        <v>197</v>
      </c>
      <c r="H78" s="43">
        <v>3</v>
      </c>
      <c r="I78" s="43">
        <v>3333</v>
      </c>
      <c r="J78" s="43" t="str">
        <v>Three</v>
      </c>
      <c r="K78" s="43" t="str">
        <v>CCC</v>
      </c>
      <c r="L78" s="43" t="str">
        <v>XXX</v>
      </c>
      <c r="M78" s="43"/>
      <c r="N78" s="43"/>
    </row>
    <row r="79" spans="3:14" x14ac:dyDescent="0.3">
      <c r="H79" s="43">
        <v>4</v>
      </c>
      <c r="I79" s="43">
        <v>4444</v>
      </c>
      <c r="J79" s="43" t="str">
        <v>Four</v>
      </c>
      <c r="K79" s="43" t="str">
        <v>DDD</v>
      </c>
      <c r="L79" s="43" t="str">
        <v>WWW</v>
      </c>
      <c r="M79" s="43"/>
      <c r="N79" s="43"/>
    </row>
    <row r="80" spans="3:14" x14ac:dyDescent="0.3">
      <c r="H80" s="43">
        <v>5</v>
      </c>
      <c r="I80" s="43">
        <v>5555</v>
      </c>
      <c r="J80" s="43" t="str">
        <v>Five</v>
      </c>
      <c r="K80" s="43" t="str">
        <v>EEE</v>
      </c>
      <c r="L80" s="43" t="str">
        <v>VVV</v>
      </c>
      <c r="M80" s="43"/>
      <c r="N80" s="43"/>
    </row>
    <row r="81" spans="3:14" x14ac:dyDescent="0.3">
      <c r="H81" s="16" t="str">
        <f ca="1" xml:space="preserve"> _xlfn.FORMULATEXT(H76)</f>
        <v>= RXL_Array.Insert($D$68:$F$72, {1,-1}, $D$74:$E$78, TRUE, TRUE, TRUE)</v>
      </c>
    </row>
    <row r="83" spans="3:14" x14ac:dyDescent="0.3">
      <c r="H83" t="s">
        <v>492</v>
      </c>
    </row>
    <row r="84" spans="3:14" x14ac:dyDescent="0.3">
      <c r="H84" s="43" cm="1">
        <f t="array" ref="H84:N88" xml:space="preserve"> RXL_Array.Insert($D$68:$F$72, {1,-1}, $D$74:$E$78, TRUE, TRUE, FALSE)</f>
        <v>1</v>
      </c>
      <c r="I84" s="43">
        <v>1111</v>
      </c>
      <c r="J84" s="43" t="str">
        <v>ZZZ</v>
      </c>
      <c r="K84" s="43" t="str">
        <v>One</v>
      </c>
      <c r="L84" s="43" t="str">
        <v>AAA</v>
      </c>
      <c r="M84" s="43">
        <v>1111</v>
      </c>
      <c r="N84" s="43" t="str">
        <v>ZZZ</v>
      </c>
    </row>
    <row r="85" spans="3:14" x14ac:dyDescent="0.3">
      <c r="H85" s="43">
        <v>2</v>
      </c>
      <c r="I85" s="43">
        <v>2222</v>
      </c>
      <c r="J85" s="43" t="str">
        <v>YYY</v>
      </c>
      <c r="K85" s="43" t="str">
        <v>Two</v>
      </c>
      <c r="L85" s="43" t="str">
        <v>BBB</v>
      </c>
      <c r="M85" s="43">
        <v>2222</v>
      </c>
      <c r="N85" s="43" t="str">
        <v>YYY</v>
      </c>
    </row>
    <row r="86" spans="3:14" x14ac:dyDescent="0.3">
      <c r="H86" s="43">
        <v>3</v>
      </c>
      <c r="I86" s="43">
        <v>3333</v>
      </c>
      <c r="J86" s="43" t="str">
        <v>XXX</v>
      </c>
      <c r="K86" s="43" t="str">
        <v>Three</v>
      </c>
      <c r="L86" s="43" t="str">
        <v>CCC</v>
      </c>
      <c r="M86" s="43">
        <v>3333</v>
      </c>
      <c r="N86" s="43" t="str">
        <v>XXX</v>
      </c>
    </row>
    <row r="87" spans="3:14" x14ac:dyDescent="0.3">
      <c r="H87" s="43">
        <v>4</v>
      </c>
      <c r="I87" s="43">
        <v>4444</v>
      </c>
      <c r="J87" s="43" t="str">
        <v>WWW</v>
      </c>
      <c r="K87" s="43" t="str">
        <v>Four</v>
      </c>
      <c r="L87" s="43" t="str">
        <v>DDD</v>
      </c>
      <c r="M87" s="43">
        <v>4444</v>
      </c>
      <c r="N87" s="43" t="str">
        <v>WWW</v>
      </c>
    </row>
    <row r="88" spans="3:14" x14ac:dyDescent="0.3">
      <c r="H88" s="43">
        <v>5</v>
      </c>
      <c r="I88" s="43">
        <v>5555</v>
      </c>
      <c r="J88" s="43" t="str">
        <v>VVV</v>
      </c>
      <c r="K88" s="43" t="str">
        <v>Five</v>
      </c>
      <c r="L88" s="43" t="str">
        <v>EEE</v>
      </c>
      <c r="M88" s="43">
        <v>5555</v>
      </c>
      <c r="N88" s="43" t="str">
        <v>VVV</v>
      </c>
    </row>
    <row r="89" spans="3:14" x14ac:dyDescent="0.3">
      <c r="H89" s="16" t="str">
        <f ca="1" xml:space="preserve"> _xlfn.FORMULATEXT(H84)</f>
        <v>= RXL_Array.Insert($D$68:$F$72, {1,-1}, $D$74:$E$78, TRUE, TRUE, FALSE)</v>
      </c>
    </row>
    <row r="91" spans="3:14" x14ac:dyDescent="0.3">
      <c r="C91" s="11" t="s">
        <v>482</v>
      </c>
    </row>
    <row r="92" spans="3:14" x14ac:dyDescent="0.3">
      <c r="D92" t="s">
        <v>422</v>
      </c>
      <c r="H92" t="s">
        <v>496</v>
      </c>
    </row>
    <row r="93" spans="3:14" x14ac:dyDescent="0.3">
      <c r="D93" s="21">
        <v>1</v>
      </c>
      <c r="E93" s="21" t="s">
        <v>30</v>
      </c>
      <c r="F93" s="21" t="s">
        <v>179</v>
      </c>
      <c r="H93" s="43" cm="1">
        <f t="array" ref="H93:J102" xml:space="preserve"> RXL_Array.Insert($D$93:$F$97, {1,2,3,4,5}, $D$99:$D$103, TRUE, , TRUE)</f>
        <v>1</v>
      </c>
      <c r="I93" s="43" t="str">
        <v>One</v>
      </c>
      <c r="J93" s="43" t="str">
        <v>AAA</v>
      </c>
    </row>
    <row r="94" spans="3:14" x14ac:dyDescent="0.3">
      <c r="D94" s="21">
        <v>3</v>
      </c>
      <c r="E94" s="21" t="s">
        <v>34</v>
      </c>
      <c r="F94" s="21" t="s">
        <v>181</v>
      </c>
      <c r="H94" s="43">
        <v>2</v>
      </c>
      <c r="I94" s="43" t="e">
        <v>#N/A</v>
      </c>
      <c r="J94" s="43" t="e">
        <v>#N/A</v>
      </c>
    </row>
    <row r="95" spans="3:14" x14ac:dyDescent="0.3">
      <c r="D95" s="21">
        <v>5</v>
      </c>
      <c r="E95" s="21" t="s">
        <v>38</v>
      </c>
      <c r="F95" s="21" t="s">
        <v>183</v>
      </c>
      <c r="H95" s="43">
        <v>3</v>
      </c>
      <c r="I95" s="43" t="str">
        <v>Three</v>
      </c>
      <c r="J95" s="43" t="str">
        <v>CCC</v>
      </c>
    </row>
    <row r="96" spans="3:14" x14ac:dyDescent="0.3">
      <c r="D96" s="21">
        <v>7</v>
      </c>
      <c r="E96" s="21" t="s">
        <v>42</v>
      </c>
      <c r="F96" s="21" t="s">
        <v>185</v>
      </c>
      <c r="H96" s="43">
        <v>4</v>
      </c>
      <c r="I96" s="43" t="e">
        <v>#N/A</v>
      </c>
      <c r="J96" s="43" t="e">
        <v>#N/A</v>
      </c>
    </row>
    <row r="97" spans="4:10" x14ac:dyDescent="0.3">
      <c r="D97" s="21">
        <v>9</v>
      </c>
      <c r="E97" s="21" t="s">
        <v>46</v>
      </c>
      <c r="F97" s="21" t="s">
        <v>187</v>
      </c>
      <c r="H97" s="43">
        <v>5</v>
      </c>
      <c r="I97" s="43" t="str">
        <v>Five</v>
      </c>
      <c r="J97" s="43" t="str">
        <v>EEE</v>
      </c>
    </row>
    <row r="98" spans="4:10" x14ac:dyDescent="0.3">
      <c r="H98" s="43">
        <v>6</v>
      </c>
      <c r="I98" s="43" t="e">
        <v>#N/A</v>
      </c>
      <c r="J98" s="43" t="e">
        <v>#N/A</v>
      </c>
    </row>
    <row r="99" spans="4:10" x14ac:dyDescent="0.3">
      <c r="D99" s="21">
        <v>2</v>
      </c>
      <c r="H99" s="43">
        <v>7</v>
      </c>
      <c r="I99" s="43" t="str">
        <v>Seven</v>
      </c>
      <c r="J99" s="43" t="str">
        <v>GGG</v>
      </c>
    </row>
    <row r="100" spans="4:10" x14ac:dyDescent="0.3">
      <c r="D100" s="21">
        <v>4</v>
      </c>
      <c r="H100" s="43">
        <v>8</v>
      </c>
      <c r="I100" s="43" t="e">
        <v>#N/A</v>
      </c>
      <c r="J100" s="43" t="e">
        <v>#N/A</v>
      </c>
    </row>
    <row r="101" spans="4:10" x14ac:dyDescent="0.3">
      <c r="D101" s="21">
        <v>6</v>
      </c>
      <c r="H101" s="43">
        <v>9</v>
      </c>
      <c r="I101" s="43" t="str">
        <v>Nine</v>
      </c>
      <c r="J101" s="43" t="str">
        <v>III</v>
      </c>
    </row>
    <row r="102" spans="4:10" x14ac:dyDescent="0.3">
      <c r="D102" s="21">
        <v>8</v>
      </c>
      <c r="H102" s="43">
        <v>10</v>
      </c>
      <c r="I102" s="43" t="e">
        <v>#N/A</v>
      </c>
      <c r="J102" s="43" t="e">
        <v>#N/A</v>
      </c>
    </row>
    <row r="103" spans="4:10" x14ac:dyDescent="0.3">
      <c r="D103" s="21">
        <v>10</v>
      </c>
      <c r="H103" s="16" t="str">
        <f ca="1" xml:space="preserve"> _xlfn.FORMULATEXT(H93)</f>
        <v>= RXL_Array.Insert($D$93:$F$97, {1,2,3,4,5}, $D$99:$D$103, TRUE, , TRUE)</v>
      </c>
    </row>
    <row r="105" spans="4:10" x14ac:dyDescent="0.3">
      <c r="H105" t="s">
        <v>497</v>
      </c>
    </row>
    <row r="106" spans="4:10" x14ac:dyDescent="0.3">
      <c r="H106" s="43" cm="1">
        <f t="array" ref="H106:J115" xml:space="preserve"> RXL_Array.Insert($D$93:$F$97, {1,2,3,4,5}, $D$99:$D$103, TRUE, , TRUE, TRUE)</f>
        <v>1</v>
      </c>
      <c r="I106" s="43" t="str">
        <v>One</v>
      </c>
      <c r="J106" s="43" t="str">
        <v>AAA</v>
      </c>
    </row>
    <row r="107" spans="4:10" x14ac:dyDescent="0.3">
      <c r="H107" s="43">
        <v>2</v>
      </c>
      <c r="I107" s="43">
        <v>0</v>
      </c>
      <c r="J107" s="43">
        <v>0</v>
      </c>
    </row>
    <row r="108" spans="4:10" x14ac:dyDescent="0.3">
      <c r="H108" s="43">
        <v>3</v>
      </c>
      <c r="I108" s="43" t="str">
        <v>Three</v>
      </c>
      <c r="J108" s="43" t="str">
        <v>CCC</v>
      </c>
    </row>
    <row r="109" spans="4:10" x14ac:dyDescent="0.3">
      <c r="H109" s="43">
        <v>4</v>
      </c>
      <c r="I109" s="43">
        <v>0</v>
      </c>
      <c r="J109" s="43">
        <v>0</v>
      </c>
    </row>
    <row r="110" spans="4:10" x14ac:dyDescent="0.3">
      <c r="H110" s="43">
        <v>5</v>
      </c>
      <c r="I110" s="43" t="str">
        <v>Five</v>
      </c>
      <c r="J110" s="43" t="str">
        <v>EEE</v>
      </c>
    </row>
    <row r="111" spans="4:10" x14ac:dyDescent="0.3">
      <c r="H111" s="43">
        <v>6</v>
      </c>
      <c r="I111" s="43">
        <v>0</v>
      </c>
      <c r="J111" s="43">
        <v>0</v>
      </c>
    </row>
    <row r="112" spans="4:10" x14ac:dyDescent="0.3">
      <c r="H112" s="43">
        <v>7</v>
      </c>
      <c r="I112" s="43" t="str">
        <v>Seven</v>
      </c>
      <c r="J112" s="43" t="str">
        <v>GGG</v>
      </c>
    </row>
    <row r="113" spans="8:10" x14ac:dyDescent="0.3">
      <c r="H113" s="43">
        <v>8</v>
      </c>
      <c r="I113" s="43">
        <v>0</v>
      </c>
      <c r="J113" s="43">
        <v>0</v>
      </c>
    </row>
    <row r="114" spans="8:10" x14ac:dyDescent="0.3">
      <c r="H114" s="43">
        <v>9</v>
      </c>
      <c r="I114" s="43" t="str">
        <v>Nine</v>
      </c>
      <c r="J114" s="43" t="str">
        <v>III</v>
      </c>
    </row>
    <row r="115" spans="8:10" x14ac:dyDescent="0.3">
      <c r="H115" s="43">
        <v>10</v>
      </c>
      <c r="I115" s="43">
        <v>0</v>
      </c>
      <c r="J115" s="43">
        <v>0</v>
      </c>
    </row>
    <row r="116" spans="8:10" x14ac:dyDescent="0.3">
      <c r="H116" s="16" t="str">
        <f ca="1" xml:space="preserve"> _xlfn.FORMULATEXT(H106)</f>
        <v>= RXL_Array.Insert($D$93:$F$97, {1,2,3,4,5}, $D$99:$D$103, TRUE, , TRUE, TRUE)</v>
      </c>
    </row>
    <row r="118" spans="8:10" x14ac:dyDescent="0.3">
      <c r="H118" t="s">
        <v>500</v>
      </c>
    </row>
    <row r="119" spans="8:10" x14ac:dyDescent="0.3">
      <c r="H119" s="43" cm="1">
        <f t="array" ref="H119:J128" xml:space="preserve"> RXL_Array.Insert($D$93:$F$97, {1,2,3,4,5}, $D$99:$D$103, TRUE, , TRUE, "")</f>
        <v>1</v>
      </c>
      <c r="I119" s="43" t="str">
        <v>One</v>
      </c>
      <c r="J119" s="43" t="str">
        <v>AAA</v>
      </c>
    </row>
    <row r="120" spans="8:10" x14ac:dyDescent="0.3">
      <c r="H120" s="43">
        <v>2</v>
      </c>
      <c r="I120" s="43" t="str">
        <v/>
      </c>
      <c r="J120" s="43" t="str">
        <v/>
      </c>
    </row>
    <row r="121" spans="8:10" x14ac:dyDescent="0.3">
      <c r="H121" s="43">
        <v>3</v>
      </c>
      <c r="I121" s="43" t="str">
        <v>Three</v>
      </c>
      <c r="J121" s="43" t="str">
        <v>CCC</v>
      </c>
    </row>
    <row r="122" spans="8:10" x14ac:dyDescent="0.3">
      <c r="H122" s="43">
        <v>4</v>
      </c>
      <c r="I122" s="43" t="str">
        <v/>
      </c>
      <c r="J122" s="43" t="str">
        <v/>
      </c>
    </row>
    <row r="123" spans="8:10" x14ac:dyDescent="0.3">
      <c r="H123" s="43">
        <v>5</v>
      </c>
      <c r="I123" s="43" t="str">
        <v>Five</v>
      </c>
      <c r="J123" s="43" t="str">
        <v>EEE</v>
      </c>
    </row>
    <row r="124" spans="8:10" x14ac:dyDescent="0.3">
      <c r="H124" s="43">
        <v>6</v>
      </c>
      <c r="I124" s="43" t="str">
        <v/>
      </c>
      <c r="J124" s="43" t="str">
        <v/>
      </c>
    </row>
    <row r="125" spans="8:10" x14ac:dyDescent="0.3">
      <c r="H125" s="43">
        <v>7</v>
      </c>
      <c r="I125" s="43" t="str">
        <v>Seven</v>
      </c>
      <c r="J125" s="43" t="str">
        <v>GGG</v>
      </c>
    </row>
    <row r="126" spans="8:10" x14ac:dyDescent="0.3">
      <c r="H126" s="43">
        <v>8</v>
      </c>
      <c r="I126" s="43" t="str">
        <v/>
      </c>
      <c r="J126" s="43" t="str">
        <v/>
      </c>
    </row>
    <row r="127" spans="8:10" x14ac:dyDescent="0.3">
      <c r="H127" s="43">
        <v>9</v>
      </c>
      <c r="I127" s="43" t="str">
        <v>Nine</v>
      </c>
      <c r="J127" s="43" t="str">
        <v>III</v>
      </c>
    </row>
    <row r="128" spans="8:10" x14ac:dyDescent="0.3">
      <c r="H128" s="43">
        <v>10</v>
      </c>
      <c r="I128" s="43" t="str">
        <v/>
      </c>
      <c r="J128" s="43" t="str">
        <v/>
      </c>
    </row>
    <row r="129" spans="4:10" x14ac:dyDescent="0.3">
      <c r="H129" s="16" t="str">
        <f ca="1" xml:space="preserve"> _xlfn.FORMULATEXT(H119)</f>
        <v>= RXL_Array.Insert($D$93:$F$97, {1,2,3,4,5}, $D$99:$D$103, TRUE, , TRUE, "")</v>
      </c>
    </row>
    <row r="131" spans="4:10" x14ac:dyDescent="0.3">
      <c r="D131" t="s">
        <v>495</v>
      </c>
      <c r="H131" t="s">
        <v>498</v>
      </c>
    </row>
    <row r="132" spans="4:10" x14ac:dyDescent="0.3">
      <c r="D132" s="23" t="s">
        <v>499</v>
      </c>
      <c r="H132" s="43" cm="1">
        <f t="array" ref="H132:J141" xml:space="preserve"> RXL_Array.Insert($D$93:$F$97, {1,2,3,4,5}, $D$99:$D$103, TRUE, , TRUE, D132)</f>
        <v>1</v>
      </c>
      <c r="I132" s="43" t="str">
        <v>One</v>
      </c>
      <c r="J132" s="43" t="str">
        <v>AAA</v>
      </c>
    </row>
    <row r="133" spans="4:10" x14ac:dyDescent="0.3">
      <c r="H133" s="43">
        <v>2</v>
      </c>
      <c r="I133" s="43" t="str">
        <v>(none)</v>
      </c>
      <c r="J133" s="43" t="str">
        <v>(none)</v>
      </c>
    </row>
    <row r="134" spans="4:10" x14ac:dyDescent="0.3">
      <c r="H134" s="43">
        <v>3</v>
      </c>
      <c r="I134" s="43" t="str">
        <v>Three</v>
      </c>
      <c r="J134" s="43" t="str">
        <v>CCC</v>
      </c>
    </row>
    <row r="135" spans="4:10" x14ac:dyDescent="0.3">
      <c r="H135" s="43">
        <v>4</v>
      </c>
      <c r="I135" s="43" t="str">
        <v>(none)</v>
      </c>
      <c r="J135" s="43" t="str">
        <v>(none)</v>
      </c>
    </row>
    <row r="136" spans="4:10" x14ac:dyDescent="0.3">
      <c r="H136" s="43">
        <v>5</v>
      </c>
      <c r="I136" s="43" t="str">
        <v>Five</v>
      </c>
      <c r="J136" s="43" t="str">
        <v>EEE</v>
      </c>
    </row>
    <row r="137" spans="4:10" x14ac:dyDescent="0.3">
      <c r="H137" s="43">
        <v>6</v>
      </c>
      <c r="I137" s="43" t="str">
        <v>(none)</v>
      </c>
      <c r="J137" s="43" t="str">
        <v>(none)</v>
      </c>
    </row>
    <row r="138" spans="4:10" x14ac:dyDescent="0.3">
      <c r="H138" s="43">
        <v>7</v>
      </c>
      <c r="I138" s="43" t="str">
        <v>Seven</v>
      </c>
      <c r="J138" s="43" t="str">
        <v>GGG</v>
      </c>
    </row>
    <row r="139" spans="4:10" x14ac:dyDescent="0.3">
      <c r="H139" s="43">
        <v>8</v>
      </c>
      <c r="I139" s="43" t="str">
        <v>(none)</v>
      </c>
      <c r="J139" s="43" t="str">
        <v>(none)</v>
      </c>
    </row>
    <row r="140" spans="4:10" x14ac:dyDescent="0.3">
      <c r="H140" s="43">
        <v>9</v>
      </c>
      <c r="I140" s="43" t="str">
        <v>Nine</v>
      </c>
      <c r="J140" s="43" t="str">
        <v>III</v>
      </c>
    </row>
    <row r="141" spans="4:10" x14ac:dyDescent="0.3">
      <c r="H141" s="43">
        <v>10</v>
      </c>
      <c r="I141" s="43" t="str">
        <v>(none)</v>
      </c>
      <c r="J141" s="43" t="str">
        <v>(none)</v>
      </c>
    </row>
    <row r="142" spans="4:10" x14ac:dyDescent="0.3">
      <c r="H142" s="16" t="str">
        <f ca="1" xml:space="preserve"> _xlfn.FORMULATEXT(H132)</f>
        <v>= RXL_Array.Insert($D$93:$F$97, {1,2,3,4,5}, $D$99:$D$103, TRUE, , TRUE, D132)</v>
      </c>
    </row>
    <row r="145" spans="2:20" x14ac:dyDescent="0.3">
      <c r="B145" s="13" t="s">
        <v>297</v>
      </c>
      <c r="C145" s="12"/>
      <c r="D145" s="12"/>
      <c r="E145" s="12"/>
      <c r="F145" s="12"/>
      <c r="G145" s="12"/>
      <c r="H145" s="12"/>
      <c r="I145" s="12"/>
      <c r="J145" s="12"/>
      <c r="K145" s="12"/>
      <c r="L145" s="12"/>
      <c r="M145" s="12"/>
      <c r="N145" s="12"/>
      <c r="O145" s="12"/>
      <c r="P145" s="12"/>
      <c r="Q145" s="12"/>
      <c r="R145" s="12"/>
      <c r="S145" s="12"/>
      <c r="T145" s="12"/>
    </row>
    <row r="147" spans="2:20" x14ac:dyDescent="0.3">
      <c r="D147" s="68" t="s">
        <v>299</v>
      </c>
      <c r="E147" t="s">
        <v>303</v>
      </c>
    </row>
    <row r="148" spans="2:20" x14ac:dyDescent="0.3">
      <c r="D148" s="68" t="s">
        <v>300</v>
      </c>
      <c r="E148" t="s">
        <v>462</v>
      </c>
    </row>
    <row r="149" spans="2:20" x14ac:dyDescent="0.3">
      <c r="E149" t="s">
        <v>463</v>
      </c>
    </row>
    <row r="150" spans="2:20" x14ac:dyDescent="0.3">
      <c r="D150" s="68" t="s">
        <v>301</v>
      </c>
      <c r="E150" s="75" t="s">
        <v>501</v>
      </c>
    </row>
    <row r="153" spans="2:20" x14ac:dyDescent="0.3">
      <c r="C153" s="11" t="s">
        <v>458</v>
      </c>
    </row>
    <row r="154" spans="2:20" x14ac:dyDescent="0.3">
      <c r="D154" s="77" t="s">
        <v>444</v>
      </c>
      <c r="E154" s="77" t="s">
        <v>445</v>
      </c>
      <c r="F154" t="s">
        <v>422</v>
      </c>
      <c r="J154" t="s">
        <v>448</v>
      </c>
    </row>
    <row r="155" spans="2:20" x14ac:dyDescent="0.3">
      <c r="D155" s="67">
        <v>1</v>
      </c>
      <c r="E155" s="67">
        <v>-10</v>
      </c>
      <c r="F155" s="22">
        <v>1</v>
      </c>
      <c r="G155" s="24" t="s">
        <v>30</v>
      </c>
      <c r="H155" s="24" t="s">
        <v>179</v>
      </c>
      <c r="J155" s="43" cm="1">
        <f t="array" ref="J155:L160" xml:space="preserve"> RXL_Array.Remove($F$155:$H$164, {2,4,6,8})</f>
        <v>1</v>
      </c>
      <c r="K155" s="43" t="str">
        <v>One</v>
      </c>
      <c r="L155" s="43" t="str">
        <v>AAA</v>
      </c>
    </row>
    <row r="156" spans="2:20" x14ac:dyDescent="0.3">
      <c r="D156" s="67">
        <v>2</v>
      </c>
      <c r="E156" s="67">
        <v>-9</v>
      </c>
      <c r="F156" s="22">
        <v>2</v>
      </c>
      <c r="G156" s="24" t="s">
        <v>32</v>
      </c>
      <c r="H156" s="24" t="s">
        <v>180</v>
      </c>
      <c r="J156" s="43">
        <v>3</v>
      </c>
      <c r="K156" s="43" t="str">
        <v>Three</v>
      </c>
      <c r="L156" s="43" t="str">
        <v>CCC</v>
      </c>
    </row>
    <row r="157" spans="2:20" x14ac:dyDescent="0.3">
      <c r="D157" s="67">
        <v>3</v>
      </c>
      <c r="E157" s="67">
        <v>-8</v>
      </c>
      <c r="F157" s="22">
        <v>3</v>
      </c>
      <c r="G157" s="24" t="s">
        <v>34</v>
      </c>
      <c r="H157" s="24" t="s">
        <v>181</v>
      </c>
      <c r="J157" s="43">
        <v>5</v>
      </c>
      <c r="K157" s="43" t="str">
        <v>Five</v>
      </c>
      <c r="L157" s="43" t="str">
        <v>EEE</v>
      </c>
    </row>
    <row r="158" spans="2:20" x14ac:dyDescent="0.3">
      <c r="D158" s="67">
        <v>4</v>
      </c>
      <c r="E158" s="67">
        <v>-7</v>
      </c>
      <c r="F158" s="22">
        <v>4</v>
      </c>
      <c r="G158" s="24" t="s">
        <v>36</v>
      </c>
      <c r="H158" s="24" t="s">
        <v>182</v>
      </c>
      <c r="J158" s="43">
        <v>7</v>
      </c>
      <c r="K158" s="43" t="str">
        <v>Seven</v>
      </c>
      <c r="L158" s="43" t="str">
        <v>GGG</v>
      </c>
    </row>
    <row r="159" spans="2:20" x14ac:dyDescent="0.3">
      <c r="D159" s="67">
        <v>5</v>
      </c>
      <c r="E159" s="67">
        <v>-6</v>
      </c>
      <c r="F159" s="22">
        <v>5</v>
      </c>
      <c r="G159" s="24" t="s">
        <v>38</v>
      </c>
      <c r="H159" s="24" t="s">
        <v>183</v>
      </c>
      <c r="J159" s="43">
        <v>9</v>
      </c>
      <c r="K159" s="43" t="str">
        <v>Nine</v>
      </c>
      <c r="L159" s="43" t="str">
        <v>III</v>
      </c>
    </row>
    <row r="160" spans="2:20" x14ac:dyDescent="0.3">
      <c r="D160" s="67">
        <v>6</v>
      </c>
      <c r="E160" s="67">
        <v>-5</v>
      </c>
      <c r="F160" s="22">
        <v>6</v>
      </c>
      <c r="G160" s="24" t="s">
        <v>40</v>
      </c>
      <c r="H160" s="24" t="s">
        <v>184</v>
      </c>
      <c r="J160" s="43">
        <v>10</v>
      </c>
      <c r="K160" s="43" t="str">
        <v>Ten</v>
      </c>
      <c r="L160" s="43" t="str">
        <v>JJJ</v>
      </c>
    </row>
    <row r="161" spans="4:12" x14ac:dyDescent="0.3">
      <c r="D161" s="67">
        <v>7</v>
      </c>
      <c r="E161" s="67">
        <v>-4</v>
      </c>
      <c r="F161" s="22">
        <v>7</v>
      </c>
      <c r="G161" s="24" t="s">
        <v>42</v>
      </c>
      <c r="H161" s="24" t="s">
        <v>185</v>
      </c>
      <c r="J161" s="16" t="str">
        <f ca="1" xml:space="preserve"> _xlfn.FORMULATEXT(J155)</f>
        <v>= RXL_Array.Remove($F$155:$H$164, {2,4,6,8})</v>
      </c>
    </row>
    <row r="162" spans="4:12" x14ac:dyDescent="0.3">
      <c r="D162" s="67">
        <v>8</v>
      </c>
      <c r="E162" s="67">
        <v>-3</v>
      </c>
      <c r="F162" s="22">
        <v>8</v>
      </c>
      <c r="G162" s="24" t="s">
        <v>44</v>
      </c>
      <c r="H162" s="24" t="s">
        <v>186</v>
      </c>
    </row>
    <row r="163" spans="4:12" x14ac:dyDescent="0.3">
      <c r="D163" s="67">
        <v>9</v>
      </c>
      <c r="E163" s="67">
        <v>-2</v>
      </c>
      <c r="F163" s="22">
        <v>9</v>
      </c>
      <c r="G163" s="24" t="s">
        <v>46</v>
      </c>
      <c r="H163" s="24" t="s">
        <v>187</v>
      </c>
      <c r="J163" t="s">
        <v>449</v>
      </c>
    </row>
    <row r="164" spans="4:12" x14ac:dyDescent="0.3">
      <c r="D164" s="67">
        <v>10</v>
      </c>
      <c r="E164" s="67">
        <v>-1</v>
      </c>
      <c r="F164" s="22">
        <v>10</v>
      </c>
      <c r="G164" s="24" t="s">
        <v>48</v>
      </c>
      <c r="H164" s="24" t="s">
        <v>188</v>
      </c>
      <c r="J164" s="43" cm="1">
        <f t="array" ref="J164:L169" xml:space="preserve"> RXL_Array.Remove($F$155:$H$164, {-2,-4,-6,-8})</f>
        <v>1</v>
      </c>
      <c r="K164" s="43" t="str">
        <v>One</v>
      </c>
      <c r="L164" s="43" t="str">
        <v>AAA</v>
      </c>
    </row>
    <row r="165" spans="4:12" x14ac:dyDescent="0.3">
      <c r="J165" s="43">
        <v>2</v>
      </c>
      <c r="K165" s="43" t="str">
        <v>Two</v>
      </c>
      <c r="L165" s="43" t="str">
        <v>BBB</v>
      </c>
    </row>
    <row r="166" spans="4:12" x14ac:dyDescent="0.3">
      <c r="J166" s="43">
        <v>4</v>
      </c>
      <c r="K166" s="43" t="str">
        <v>Four</v>
      </c>
      <c r="L166" s="43" t="str">
        <v>DDD</v>
      </c>
    </row>
    <row r="167" spans="4:12" x14ac:dyDescent="0.3">
      <c r="J167" s="43">
        <v>6</v>
      </c>
      <c r="K167" s="43" t="str">
        <v>Six</v>
      </c>
      <c r="L167" s="43" t="str">
        <v>FFF</v>
      </c>
    </row>
    <row r="168" spans="4:12" x14ac:dyDescent="0.3">
      <c r="J168" s="43">
        <v>8</v>
      </c>
      <c r="K168" s="43" t="str">
        <v>Eight</v>
      </c>
      <c r="L168" s="43" t="str">
        <v>HHH</v>
      </c>
    </row>
    <row r="169" spans="4:12" x14ac:dyDescent="0.3">
      <c r="J169" s="43">
        <v>10</v>
      </c>
      <c r="K169" s="43" t="str">
        <v>Ten</v>
      </c>
      <c r="L169" s="43" t="str">
        <v>JJJ</v>
      </c>
    </row>
    <row r="170" spans="4:12" x14ac:dyDescent="0.3">
      <c r="J170" s="16" t="str">
        <f ca="1" xml:space="preserve"> _xlfn.FORMULATEXT(J164)</f>
        <v>= RXL_Array.Remove($F$155:$H$164, {-2,-4,-6,-8})</v>
      </c>
    </row>
    <row r="172" spans="4:12" x14ac:dyDescent="0.3">
      <c r="J172" t="s">
        <v>450</v>
      </c>
    </row>
    <row r="173" spans="4:12" x14ac:dyDescent="0.3">
      <c r="J173" s="43" cm="1">
        <f t="array" ref="J173:L178" xml:space="preserve"> RXL_Array.Remove($F$155:$H$164, {2,4,-4,-2})</f>
        <v>1</v>
      </c>
      <c r="K173" s="43" t="str">
        <v>One</v>
      </c>
      <c r="L173" s="43" t="str">
        <v>AAA</v>
      </c>
    </row>
    <row r="174" spans="4:12" x14ac:dyDescent="0.3">
      <c r="J174" s="43">
        <v>3</v>
      </c>
      <c r="K174" s="43" t="str">
        <v>Three</v>
      </c>
      <c r="L174" s="43" t="str">
        <v>CCC</v>
      </c>
    </row>
    <row r="175" spans="4:12" x14ac:dyDescent="0.3">
      <c r="J175" s="43">
        <v>5</v>
      </c>
      <c r="K175" s="43" t="str">
        <v>Five</v>
      </c>
      <c r="L175" s="43" t="str">
        <v>EEE</v>
      </c>
    </row>
    <row r="176" spans="4:12" x14ac:dyDescent="0.3">
      <c r="J176" s="43">
        <v>6</v>
      </c>
      <c r="K176" s="43" t="str">
        <v>Six</v>
      </c>
      <c r="L176" s="43" t="str">
        <v>FFF</v>
      </c>
    </row>
    <row r="177" spans="3:13" x14ac:dyDescent="0.3">
      <c r="J177" s="43">
        <v>8</v>
      </c>
      <c r="K177" s="43" t="str">
        <v>Eight</v>
      </c>
      <c r="L177" s="43" t="str">
        <v>HHH</v>
      </c>
    </row>
    <row r="178" spans="3:13" x14ac:dyDescent="0.3">
      <c r="J178" s="43">
        <v>10</v>
      </c>
      <c r="K178" s="43" t="str">
        <v>Ten</v>
      </c>
      <c r="L178" s="43" t="str">
        <v>JJJ</v>
      </c>
    </row>
    <row r="179" spans="3:13" x14ac:dyDescent="0.3">
      <c r="J179" s="16" t="str">
        <f ca="1" xml:space="preserve"> _xlfn.FORMULATEXT(J173)</f>
        <v>= RXL_Array.Remove($F$155:$H$164, {2,4,-4,-2})</v>
      </c>
    </row>
    <row r="181" spans="3:13" x14ac:dyDescent="0.3">
      <c r="C181" s="78" t="s">
        <v>459</v>
      </c>
    </row>
    <row r="183" spans="3:13" x14ac:dyDescent="0.3">
      <c r="D183" t="s">
        <v>444</v>
      </c>
      <c r="E183" s="67">
        <v>1</v>
      </c>
      <c r="F183" s="67">
        <v>2</v>
      </c>
      <c r="G183" s="67">
        <v>3</v>
      </c>
      <c r="H183" s="67">
        <v>4</v>
      </c>
      <c r="I183" s="67">
        <v>5</v>
      </c>
    </row>
    <row r="184" spans="3:13" x14ac:dyDescent="0.3">
      <c r="D184" t="s">
        <v>445</v>
      </c>
      <c r="E184" s="67">
        <v>-5</v>
      </c>
      <c r="F184" s="67">
        <v>-4</v>
      </c>
      <c r="G184" s="67">
        <v>-3</v>
      </c>
      <c r="H184" s="67">
        <v>-2</v>
      </c>
      <c r="I184" s="67">
        <v>-1</v>
      </c>
      <c r="K184" t="s">
        <v>452</v>
      </c>
    </row>
    <row r="185" spans="3:13" x14ac:dyDescent="0.3">
      <c r="D185" t="s">
        <v>422</v>
      </c>
      <c r="E185" s="24">
        <v>1</v>
      </c>
      <c r="F185" s="24">
        <v>2</v>
      </c>
      <c r="G185" s="24">
        <v>3</v>
      </c>
      <c r="H185" s="24">
        <v>4</v>
      </c>
      <c r="I185" s="24">
        <v>5</v>
      </c>
      <c r="K185" s="43" cm="1">
        <f t="array" ref="K185:M188" xml:space="preserve"> RXL_Array.Remove($E$185:$I$188, , {2,4})</f>
        <v>1</v>
      </c>
      <c r="L185" s="43">
        <v>3</v>
      </c>
      <c r="M185" s="43">
        <v>5</v>
      </c>
    </row>
    <row r="186" spans="3:13" x14ac:dyDescent="0.3">
      <c r="E186" s="24" t="s">
        <v>30</v>
      </c>
      <c r="F186" s="24" t="s">
        <v>32</v>
      </c>
      <c r="G186" s="24" t="s">
        <v>34</v>
      </c>
      <c r="H186" s="24" t="s">
        <v>36</v>
      </c>
      <c r="I186" s="24" t="s">
        <v>38</v>
      </c>
      <c r="K186" s="43" t="str">
        <v>One</v>
      </c>
      <c r="L186" s="43" t="str">
        <v>Three</v>
      </c>
      <c r="M186" s="43" t="str">
        <v>Five</v>
      </c>
    </row>
    <row r="187" spans="3:13" x14ac:dyDescent="0.3">
      <c r="E187" s="24" t="s">
        <v>179</v>
      </c>
      <c r="F187" s="24" t="s">
        <v>180</v>
      </c>
      <c r="G187" s="24" t="s">
        <v>181</v>
      </c>
      <c r="H187" s="24" t="s">
        <v>182</v>
      </c>
      <c r="I187" s="24" t="s">
        <v>183</v>
      </c>
      <c r="K187" s="43" t="str">
        <v>AAA</v>
      </c>
      <c r="L187" s="43" t="str">
        <v>CCC</v>
      </c>
      <c r="M187" s="43" t="str">
        <v>EEE</v>
      </c>
    </row>
    <row r="188" spans="3:13" x14ac:dyDescent="0.3">
      <c r="E188" s="24" t="s">
        <v>189</v>
      </c>
      <c r="F188" s="24" t="s">
        <v>190</v>
      </c>
      <c r="G188" s="24" t="s">
        <v>191</v>
      </c>
      <c r="H188" s="24" t="s">
        <v>198</v>
      </c>
      <c r="I188" s="24" t="s">
        <v>197</v>
      </c>
      <c r="K188" s="43" t="str">
        <v>ZZZ</v>
      </c>
      <c r="L188" s="43" t="str">
        <v>XXX</v>
      </c>
      <c r="M188" s="43" t="str">
        <v>VVV</v>
      </c>
    </row>
    <row r="189" spans="3:13" x14ac:dyDescent="0.3">
      <c r="K189" s="16" t="str">
        <f ca="1" xml:space="preserve"> _xlfn.FORMULATEXT(K185)</f>
        <v>= RXL_Array.Remove($E$185:$I$188, , {2,4})</v>
      </c>
    </row>
    <row r="191" spans="3:13" x14ac:dyDescent="0.3">
      <c r="K191" t="s">
        <v>453</v>
      </c>
    </row>
    <row r="192" spans="3:13" x14ac:dyDescent="0.3">
      <c r="K192" s="43" cm="1">
        <f t="array" ref="K192:M195" xml:space="preserve"> RXL_Array.Remove($E$185:$I$188, , {-2,-4})</f>
        <v>1</v>
      </c>
      <c r="L192" s="43">
        <v>3</v>
      </c>
      <c r="M192" s="43">
        <v>5</v>
      </c>
    </row>
    <row r="193" spans="3:13" x14ac:dyDescent="0.3">
      <c r="K193" s="43" t="str">
        <v>One</v>
      </c>
      <c r="L193" s="43" t="str">
        <v>Three</v>
      </c>
      <c r="M193" s="43" t="str">
        <v>Five</v>
      </c>
    </row>
    <row r="194" spans="3:13" x14ac:dyDescent="0.3">
      <c r="K194" s="43" t="str">
        <v>AAA</v>
      </c>
      <c r="L194" s="43" t="str">
        <v>CCC</v>
      </c>
      <c r="M194" s="43" t="str">
        <v>EEE</v>
      </c>
    </row>
    <row r="195" spans="3:13" x14ac:dyDescent="0.3">
      <c r="K195" s="43" t="str">
        <v>ZZZ</v>
      </c>
      <c r="L195" s="43" t="str">
        <v>XXX</v>
      </c>
      <c r="M195" s="43" t="str">
        <v>VVV</v>
      </c>
    </row>
    <row r="196" spans="3:13" x14ac:dyDescent="0.3">
      <c r="K196" s="16" t="str">
        <f ca="1" xml:space="preserve"> _xlfn.FORMULATEXT(K192)</f>
        <v>= RXL_Array.Remove($E$185:$I$188, , {-2,-4})</v>
      </c>
    </row>
    <row r="198" spans="3:13" x14ac:dyDescent="0.3">
      <c r="K198" t="s">
        <v>454</v>
      </c>
    </row>
    <row r="199" spans="3:13" x14ac:dyDescent="0.3">
      <c r="K199" s="43" cm="1">
        <f t="array" ref="K199:M202" xml:space="preserve"> RXL_Array.Remove($E$185:$I$188, , {1,-1})</f>
        <v>2</v>
      </c>
      <c r="L199" s="43">
        <v>3</v>
      </c>
      <c r="M199" s="43">
        <v>4</v>
      </c>
    </row>
    <row r="200" spans="3:13" x14ac:dyDescent="0.3">
      <c r="K200" s="43" t="str">
        <v>Two</v>
      </c>
      <c r="L200" s="43" t="str">
        <v>Three</v>
      </c>
      <c r="M200" s="43" t="str">
        <v>Four</v>
      </c>
    </row>
    <row r="201" spans="3:13" x14ac:dyDescent="0.3">
      <c r="K201" s="43" t="str">
        <v>BBB</v>
      </c>
      <c r="L201" s="43" t="str">
        <v>CCC</v>
      </c>
      <c r="M201" s="43" t="str">
        <v>DDD</v>
      </c>
    </row>
    <row r="202" spans="3:13" x14ac:dyDescent="0.3">
      <c r="K202" s="43" t="str">
        <v>YYY</v>
      </c>
      <c r="L202" s="43" t="str">
        <v>XXX</v>
      </c>
      <c r="M202" s="43" t="str">
        <v>WWW</v>
      </c>
    </row>
    <row r="203" spans="3:13" x14ac:dyDescent="0.3">
      <c r="K203" s="16" t="str">
        <f ca="1" xml:space="preserve"> _xlfn.FORMULATEXT(K199)</f>
        <v>= RXL_Array.Remove($E$185:$I$188, , {1,-1})</v>
      </c>
    </row>
    <row r="205" spans="3:13" x14ac:dyDescent="0.3">
      <c r="C205" s="78" t="s">
        <v>460</v>
      </c>
    </row>
    <row r="207" spans="3:13" x14ac:dyDescent="0.3">
      <c r="D207" t="s">
        <v>444</v>
      </c>
      <c r="F207" s="67">
        <v>1</v>
      </c>
      <c r="G207" s="67">
        <v>2</v>
      </c>
      <c r="H207" s="67">
        <v>3</v>
      </c>
      <c r="I207" s="67">
        <v>4</v>
      </c>
      <c r="J207" s="67">
        <v>5</v>
      </c>
    </row>
    <row r="208" spans="3:13" x14ac:dyDescent="0.3">
      <c r="E208" t="s">
        <v>445</v>
      </c>
      <c r="F208" s="67">
        <v>-5</v>
      </c>
      <c r="G208" s="67">
        <v>-4</v>
      </c>
      <c r="H208" s="67">
        <v>-3</v>
      </c>
      <c r="I208" s="67">
        <v>-2</v>
      </c>
      <c r="J208" s="67">
        <v>-1</v>
      </c>
      <c r="L208" t="s">
        <v>455</v>
      </c>
    </row>
    <row r="209" spans="3:15" x14ac:dyDescent="0.3">
      <c r="D209" s="67">
        <v>1</v>
      </c>
      <c r="E209" s="67">
        <v>-5</v>
      </c>
      <c r="F209" s="22">
        <v>1</v>
      </c>
      <c r="G209" s="22">
        <v>2</v>
      </c>
      <c r="H209" s="22">
        <v>3</v>
      </c>
      <c r="I209" s="22">
        <v>4</v>
      </c>
      <c r="J209" s="22">
        <v>5</v>
      </c>
      <c r="L209" s="40" t="str" cm="1">
        <f t="array" ref="L209:N210" xml:space="preserve"> RXL_Array.Remove($F$209:$J$213, {1,-1,-3}, {2,4})</f>
        <v>One</v>
      </c>
      <c r="M209" s="40" t="str">
        <v>Three</v>
      </c>
      <c r="N209" s="40" t="str">
        <v>Five</v>
      </c>
    </row>
    <row r="210" spans="3:15" x14ac:dyDescent="0.3">
      <c r="D210" s="67">
        <v>2</v>
      </c>
      <c r="E210" s="67">
        <v>-4</v>
      </c>
      <c r="F210" s="22" t="s">
        <v>30</v>
      </c>
      <c r="G210" s="22" t="s">
        <v>32</v>
      </c>
      <c r="H210" s="22" t="s">
        <v>34</v>
      </c>
      <c r="I210" s="22" t="s">
        <v>36</v>
      </c>
      <c r="J210" s="22" t="s">
        <v>38</v>
      </c>
      <c r="L210" s="40" t="str">
        <v>AAA</v>
      </c>
      <c r="M210" s="40" t="str">
        <v>CCC</v>
      </c>
      <c r="N210" s="40" t="str">
        <v>EEE</v>
      </c>
    </row>
    <row r="211" spans="3:15" x14ac:dyDescent="0.3">
      <c r="D211" s="67">
        <v>3</v>
      </c>
      <c r="E211" s="67">
        <v>-3</v>
      </c>
      <c r="F211" s="22" t="s">
        <v>48</v>
      </c>
      <c r="G211" s="22" t="s">
        <v>46</v>
      </c>
      <c r="H211" s="22" t="s">
        <v>44</v>
      </c>
      <c r="I211" s="22" t="s">
        <v>42</v>
      </c>
      <c r="J211" s="22" t="s">
        <v>40</v>
      </c>
      <c r="L211" s="16" t="str">
        <f ca="1" xml:space="preserve"> _xlfn.FORMULATEXT(L209)</f>
        <v>= RXL_Array.Remove($F$209:$J$213, {1,-1,-3}, {2,4})</v>
      </c>
    </row>
    <row r="212" spans="3:15" x14ac:dyDescent="0.3">
      <c r="D212" s="67">
        <v>4</v>
      </c>
      <c r="E212" s="67">
        <v>-2</v>
      </c>
      <c r="F212" s="22" t="s">
        <v>179</v>
      </c>
      <c r="G212" s="22" t="s">
        <v>180</v>
      </c>
      <c r="H212" s="22" t="s">
        <v>181</v>
      </c>
      <c r="I212" s="22" t="s">
        <v>182</v>
      </c>
      <c r="J212" s="22" t="s">
        <v>183</v>
      </c>
    </row>
    <row r="213" spans="3:15" x14ac:dyDescent="0.3">
      <c r="D213" s="67">
        <v>5</v>
      </c>
      <c r="E213" s="67">
        <v>-1</v>
      </c>
      <c r="F213" s="22" t="s">
        <v>189</v>
      </c>
      <c r="G213" s="22" t="s">
        <v>190</v>
      </c>
      <c r="H213" s="22" t="s">
        <v>191</v>
      </c>
      <c r="I213" s="22" t="s">
        <v>198</v>
      </c>
      <c r="J213" s="22" t="s">
        <v>197</v>
      </c>
    </row>
    <row r="216" spans="3:15" x14ac:dyDescent="0.3">
      <c r="C216" s="11" t="s">
        <v>461</v>
      </c>
    </row>
    <row r="218" spans="3:15" x14ac:dyDescent="0.3">
      <c r="D218" t="s">
        <v>444</v>
      </c>
      <c r="E218" s="67">
        <v>1</v>
      </c>
      <c r="F218" s="67">
        <v>2</v>
      </c>
      <c r="G218" s="67">
        <v>3</v>
      </c>
      <c r="H218" s="67">
        <v>4</v>
      </c>
      <c r="I218" s="67">
        <v>5</v>
      </c>
    </row>
    <row r="219" spans="3:15" x14ac:dyDescent="0.3">
      <c r="D219" t="s">
        <v>445</v>
      </c>
      <c r="E219" s="67">
        <v>-5</v>
      </c>
      <c r="F219" s="67">
        <v>-4</v>
      </c>
      <c r="G219" s="67">
        <v>-3</v>
      </c>
      <c r="H219" s="67">
        <v>-2</v>
      </c>
      <c r="I219" s="67">
        <v>-1</v>
      </c>
      <c r="K219" t="s">
        <v>456</v>
      </c>
    </row>
    <row r="220" spans="3:15" x14ac:dyDescent="0.3">
      <c r="D220" t="s">
        <v>422</v>
      </c>
      <c r="E220" s="24">
        <v>1</v>
      </c>
      <c r="F220" s="24">
        <v>2</v>
      </c>
      <c r="G220" s="24">
        <v>3</v>
      </c>
      <c r="H220" s="24">
        <v>4</v>
      </c>
      <c r="I220" s="24">
        <v>5</v>
      </c>
      <c r="K220" s="40" t="e" cm="1">
        <f t="array" ref="K220" xml:space="preserve"> RXL_Array.Remove($E$220:$I$223, {1,2,3,4,5})</f>
        <v>#N/A</v>
      </c>
      <c r="L220" s="40"/>
      <c r="M220" s="40"/>
      <c r="N220" s="40"/>
      <c r="O220" s="40"/>
    </row>
    <row r="221" spans="3:15" x14ac:dyDescent="0.3">
      <c r="E221" s="24" t="s">
        <v>30</v>
      </c>
      <c r="F221" s="24" t="s">
        <v>32</v>
      </c>
      <c r="G221" s="24" t="s">
        <v>34</v>
      </c>
      <c r="H221" s="24" t="s">
        <v>36</v>
      </c>
      <c r="I221" s="24" t="s">
        <v>38</v>
      </c>
      <c r="K221" s="16" t="str">
        <f ca="1" xml:space="preserve"> _xlfn.FORMULATEXT(K220)</f>
        <v>= RXL_Array.Remove($E$220:$I$223, {1,2,3,4,5})</v>
      </c>
    </row>
    <row r="222" spans="3:15" x14ac:dyDescent="0.3">
      <c r="E222" s="24" t="s">
        <v>179</v>
      </c>
      <c r="F222" s="24" t="s">
        <v>180</v>
      </c>
      <c r="G222" s="24" t="s">
        <v>181</v>
      </c>
      <c r="H222" s="24" t="s">
        <v>182</v>
      </c>
      <c r="I222" s="24" t="s">
        <v>183</v>
      </c>
    </row>
    <row r="223" spans="3:15" x14ac:dyDescent="0.3">
      <c r="E223" s="24" t="s">
        <v>189</v>
      </c>
      <c r="F223" s="24" t="s">
        <v>190</v>
      </c>
      <c r="G223" s="24" t="s">
        <v>191</v>
      </c>
      <c r="H223" s="24" t="s">
        <v>198</v>
      </c>
      <c r="I223" s="24" t="s">
        <v>197</v>
      </c>
      <c r="K223" t="s">
        <v>457</v>
      </c>
    </row>
    <row r="224" spans="3:15" x14ac:dyDescent="0.3">
      <c r="K224" s="40" t="str" cm="1">
        <f t="array" ref="K224" xml:space="preserve"> RXL_Array.Remove($E$220:$I$223, {1,2,3,4,5}, , "(no results)")</f>
        <v>(no results)</v>
      </c>
      <c r="L224" s="40"/>
      <c r="M224" s="40"/>
      <c r="N224" s="40"/>
      <c r="O224" s="40"/>
    </row>
    <row r="225" spans="2:20" x14ac:dyDescent="0.3">
      <c r="K225" s="16" t="str">
        <f ca="1" xml:space="preserve"> _xlfn.FORMULATEXT(K224)</f>
        <v>= RXL_Array.Remove($E$220:$I$223, {1,2,3,4,5}, , "(no results)")</v>
      </c>
    </row>
    <row r="228" spans="2:20" x14ac:dyDescent="0.3">
      <c r="B228" s="13" t="s">
        <v>502</v>
      </c>
      <c r="C228" s="12"/>
      <c r="D228" s="12"/>
      <c r="E228" s="12"/>
      <c r="F228" s="12"/>
      <c r="G228" s="12"/>
      <c r="H228" s="12"/>
      <c r="I228" s="12"/>
      <c r="J228" s="12"/>
      <c r="K228" s="12"/>
      <c r="L228" s="12"/>
      <c r="M228" s="12"/>
      <c r="N228" s="12"/>
      <c r="O228" s="12"/>
      <c r="P228" s="12"/>
      <c r="Q228" s="12"/>
      <c r="R228" s="12"/>
      <c r="S228" s="12"/>
      <c r="T228" s="12"/>
    </row>
    <row r="230" spans="2:20" x14ac:dyDescent="0.3">
      <c r="D230" s="68" t="s">
        <v>299</v>
      </c>
      <c r="E230" t="s">
        <v>503</v>
      </c>
    </row>
    <row r="231" spans="2:20" x14ac:dyDescent="0.3">
      <c r="D231" s="68" t="s">
        <v>300</v>
      </c>
      <c r="E231" t="s">
        <v>555</v>
      </c>
    </row>
    <row r="232" spans="2:20" x14ac:dyDescent="0.3">
      <c r="D232" s="68"/>
      <c r="E232" t="s">
        <v>554</v>
      </c>
    </row>
    <row r="233" spans="2:20" x14ac:dyDescent="0.3">
      <c r="D233" s="68" t="s">
        <v>301</v>
      </c>
      <c r="E233" s="75" t="s">
        <v>501</v>
      </c>
    </row>
    <row r="236" spans="2:20" x14ac:dyDescent="0.3">
      <c r="C236" s="11" t="s">
        <v>546</v>
      </c>
    </row>
    <row r="238" spans="2:20" x14ac:dyDescent="0.3">
      <c r="D238" s="77" t="s">
        <v>547</v>
      </c>
      <c r="F238" s="77" t="s">
        <v>159</v>
      </c>
      <c r="H238" t="s">
        <v>548</v>
      </c>
    </row>
    <row r="239" spans="2:20" x14ac:dyDescent="0.3">
      <c r="D239" s="24" t="s">
        <v>30</v>
      </c>
      <c r="F239" s="43" t="str" cm="1">
        <f t="array" ref="F239:F243" xml:space="preserve"> RXL_Array.Reverse(D239:D243)</f>
        <v>Five</v>
      </c>
      <c r="H239" s="24" t="s">
        <v>30</v>
      </c>
      <c r="I239" s="24" t="s">
        <v>32</v>
      </c>
      <c r="J239" s="24" t="s">
        <v>34</v>
      </c>
      <c r="K239" s="24" t="s">
        <v>36</v>
      </c>
      <c r="L239" s="24" t="s">
        <v>38</v>
      </c>
    </row>
    <row r="240" spans="2:20" x14ac:dyDescent="0.3">
      <c r="D240" s="24" t="s">
        <v>32</v>
      </c>
      <c r="F240" s="43" t="str">
        <v>Four</v>
      </c>
      <c r="H240" t="s">
        <v>159</v>
      </c>
    </row>
    <row r="241" spans="3:17" x14ac:dyDescent="0.3">
      <c r="D241" s="24" t="s">
        <v>34</v>
      </c>
      <c r="F241" s="43" t="str">
        <v>Three</v>
      </c>
      <c r="H241" s="43" t="str" cm="1">
        <f t="array" ref="H241:L241" xml:space="preserve"> RXL_Array.Reverse(H239:L239)</f>
        <v>Five</v>
      </c>
      <c r="I241" s="43" t="str">
        <v>Four</v>
      </c>
      <c r="J241" s="43" t="str">
        <v>Three</v>
      </c>
      <c r="K241" s="43" t="str">
        <v>Two</v>
      </c>
      <c r="L241" s="43" t="str">
        <v>One</v>
      </c>
    </row>
    <row r="242" spans="3:17" x14ac:dyDescent="0.3">
      <c r="D242" s="24" t="s">
        <v>36</v>
      </c>
      <c r="F242" s="43" t="str">
        <v>Two</v>
      </c>
      <c r="H242" s="16" t="str">
        <f ca="1" xml:space="preserve"> _xlfn.FORMULATEXT(H241)</f>
        <v>= RXL_Array.Reverse(H239:L239)</v>
      </c>
    </row>
    <row r="243" spans="3:17" x14ac:dyDescent="0.3">
      <c r="D243" s="24" t="s">
        <v>38</v>
      </c>
      <c r="F243" s="43" t="str">
        <v>One</v>
      </c>
    </row>
    <row r="244" spans="3:17" x14ac:dyDescent="0.3">
      <c r="F244" s="16" t="str">
        <f ca="1" xml:space="preserve"> _xlfn.FORMULATEXT(F239)</f>
        <v>= RXL_Array.Reverse(D239:D243)</v>
      </c>
    </row>
    <row r="247" spans="3:17" x14ac:dyDescent="0.3">
      <c r="C247" s="11" t="s">
        <v>549</v>
      </c>
    </row>
    <row r="248" spans="3:17" x14ac:dyDescent="0.3">
      <c r="D248" t="s">
        <v>65</v>
      </c>
      <c r="I248" t="s">
        <v>553</v>
      </c>
      <c r="N248" t="s">
        <v>552</v>
      </c>
    </row>
    <row r="249" spans="3:17" x14ac:dyDescent="0.3">
      <c r="D249" s="22">
        <v>1</v>
      </c>
      <c r="E249" s="22" t="s">
        <v>30</v>
      </c>
      <c r="F249" s="22" t="s">
        <v>179</v>
      </c>
      <c r="G249" s="22" t="s">
        <v>189</v>
      </c>
      <c r="I249" s="43" t="str" cm="1">
        <f t="array" ref="I249:L253" xml:space="preserve"> RXL_Array.Reverse($D$249:$G$253)</f>
        <v>VVV</v>
      </c>
      <c r="J249" s="43" t="str">
        <v>EEE</v>
      </c>
      <c r="K249" s="43" t="str">
        <v>Five</v>
      </c>
      <c r="L249" s="43">
        <v>5</v>
      </c>
      <c r="N249" s="43" t="str" cm="1">
        <f t="array" ref="N249:Q253" xml:space="preserve"> RXL_Array.Reverse($D$249:$G$253, -1)</f>
        <v>VVV</v>
      </c>
      <c r="O249" s="43" t="str">
        <v>EEE</v>
      </c>
      <c r="P249" s="43" t="str">
        <v>Five</v>
      </c>
      <c r="Q249" s="43">
        <v>5</v>
      </c>
    </row>
    <row r="250" spans="3:17" x14ac:dyDescent="0.3">
      <c r="D250" s="22">
        <v>2</v>
      </c>
      <c r="E250" s="22" t="s">
        <v>32</v>
      </c>
      <c r="F250" s="22" t="s">
        <v>180</v>
      </c>
      <c r="G250" s="22" t="s">
        <v>190</v>
      </c>
      <c r="I250" s="43" t="str">
        <v>WWW</v>
      </c>
      <c r="J250" s="43" t="str">
        <v>DDD</v>
      </c>
      <c r="K250" s="43" t="str">
        <v>Four</v>
      </c>
      <c r="L250" s="43">
        <v>4</v>
      </c>
      <c r="N250" s="43" t="str">
        <v>WWW</v>
      </c>
      <c r="O250" s="43" t="str">
        <v>DDD</v>
      </c>
      <c r="P250" s="43" t="str">
        <v>Four</v>
      </c>
      <c r="Q250" s="43">
        <v>4</v>
      </c>
    </row>
    <row r="251" spans="3:17" x14ac:dyDescent="0.3">
      <c r="D251" s="22">
        <v>3</v>
      </c>
      <c r="E251" s="22" t="s">
        <v>34</v>
      </c>
      <c r="F251" s="22" t="s">
        <v>181</v>
      </c>
      <c r="G251" s="22" t="s">
        <v>191</v>
      </c>
      <c r="I251" s="43" t="str">
        <v>XXX</v>
      </c>
      <c r="J251" s="43" t="str">
        <v>CCC</v>
      </c>
      <c r="K251" s="43" t="str">
        <v>Three</v>
      </c>
      <c r="L251" s="43">
        <v>3</v>
      </c>
      <c r="N251" s="43" t="str">
        <v>XXX</v>
      </c>
      <c r="O251" s="43" t="str">
        <v>CCC</v>
      </c>
      <c r="P251" s="43" t="str">
        <v>Three</v>
      </c>
      <c r="Q251" s="43">
        <v>3</v>
      </c>
    </row>
    <row r="252" spans="3:17" x14ac:dyDescent="0.3">
      <c r="D252" s="22">
        <v>4</v>
      </c>
      <c r="E252" s="22" t="s">
        <v>36</v>
      </c>
      <c r="F252" s="22" t="s">
        <v>182</v>
      </c>
      <c r="G252" s="22" t="s">
        <v>198</v>
      </c>
      <c r="I252" s="43" t="str">
        <v>YYY</v>
      </c>
      <c r="J252" s="43" t="str">
        <v>BBB</v>
      </c>
      <c r="K252" s="43" t="str">
        <v>Two</v>
      </c>
      <c r="L252" s="43">
        <v>2</v>
      </c>
      <c r="N252" s="43" t="str">
        <v>YYY</v>
      </c>
      <c r="O252" s="43" t="str">
        <v>BBB</v>
      </c>
      <c r="P252" s="43" t="str">
        <v>Two</v>
      </c>
      <c r="Q252" s="43">
        <v>2</v>
      </c>
    </row>
    <row r="253" spans="3:17" x14ac:dyDescent="0.3">
      <c r="D253" s="22">
        <v>5</v>
      </c>
      <c r="E253" s="22" t="s">
        <v>38</v>
      </c>
      <c r="F253" s="22" t="s">
        <v>183</v>
      </c>
      <c r="G253" s="22" t="s">
        <v>197</v>
      </c>
      <c r="I253" s="43" t="str">
        <v>ZZZ</v>
      </c>
      <c r="J253" s="43" t="str">
        <v>AAA</v>
      </c>
      <c r="K253" s="43" t="str">
        <v>One</v>
      </c>
      <c r="L253" s="43">
        <v>1</v>
      </c>
      <c r="N253" s="43" t="str">
        <v>ZZZ</v>
      </c>
      <c r="O253" s="43" t="str">
        <v>AAA</v>
      </c>
      <c r="P253" s="43" t="str">
        <v>One</v>
      </c>
      <c r="Q253" s="43">
        <v>1</v>
      </c>
    </row>
    <row r="254" spans="3:17" x14ac:dyDescent="0.3">
      <c r="I254" s="16" t="str">
        <f ca="1" xml:space="preserve"> _xlfn.FORMULATEXT(I249)</f>
        <v>= RXL_Array.Reverse($D$249:$G$253)</v>
      </c>
      <c r="N254" s="16" t="str">
        <f ca="1" xml:space="preserve"> _xlfn.FORMULATEXT(N249)</f>
        <v>= RXL_Array.Reverse($D$249:$G$253, -1)</v>
      </c>
    </row>
    <row r="256" spans="3:17" x14ac:dyDescent="0.3">
      <c r="I256" t="s">
        <v>550</v>
      </c>
      <c r="N256" t="s">
        <v>550</v>
      </c>
    </row>
    <row r="257" spans="9:17" x14ac:dyDescent="0.3">
      <c r="I257" s="43" cm="1">
        <f t="array" ref="I257:L261" xml:space="preserve"> RXL_Array.Reverse($D$249:$G$253, TRUE)</f>
        <v>5</v>
      </c>
      <c r="J257" s="43" t="str">
        <v>Five</v>
      </c>
      <c r="K257" s="43" t="str">
        <v>EEE</v>
      </c>
      <c r="L257" s="43" t="str">
        <v>VVV</v>
      </c>
      <c r="N257" s="43" cm="1">
        <f t="array" ref="N257:Q261" xml:space="preserve"> RXL_Array.Reverse($D$249:$G$253, 1)</f>
        <v>5</v>
      </c>
      <c r="O257" s="43" t="str">
        <v>Five</v>
      </c>
      <c r="P257" s="43" t="str">
        <v>EEE</v>
      </c>
      <c r="Q257" s="43" t="str">
        <v>VVV</v>
      </c>
    </row>
    <row r="258" spans="9:17" x14ac:dyDescent="0.3">
      <c r="I258" s="43">
        <v>4</v>
      </c>
      <c r="J258" s="43" t="str">
        <v>Four</v>
      </c>
      <c r="K258" s="43" t="str">
        <v>DDD</v>
      </c>
      <c r="L258" s="43" t="str">
        <v>WWW</v>
      </c>
      <c r="N258" s="43">
        <v>4</v>
      </c>
      <c r="O258" s="43" t="str">
        <v>Four</v>
      </c>
      <c r="P258" s="43" t="str">
        <v>DDD</v>
      </c>
      <c r="Q258" s="43" t="str">
        <v>WWW</v>
      </c>
    </row>
    <row r="259" spans="9:17" x14ac:dyDescent="0.3">
      <c r="I259" s="43">
        <v>3</v>
      </c>
      <c r="J259" s="43" t="str">
        <v>Three</v>
      </c>
      <c r="K259" s="43" t="str">
        <v>CCC</v>
      </c>
      <c r="L259" s="43" t="str">
        <v>XXX</v>
      </c>
      <c r="N259" s="43">
        <v>3</v>
      </c>
      <c r="O259" s="43" t="str">
        <v>Three</v>
      </c>
      <c r="P259" s="43" t="str">
        <v>CCC</v>
      </c>
      <c r="Q259" s="43" t="str">
        <v>XXX</v>
      </c>
    </row>
    <row r="260" spans="9:17" x14ac:dyDescent="0.3">
      <c r="I260" s="43">
        <v>2</v>
      </c>
      <c r="J260" s="43" t="str">
        <v>Two</v>
      </c>
      <c r="K260" s="43" t="str">
        <v>BBB</v>
      </c>
      <c r="L260" s="43" t="str">
        <v>YYY</v>
      </c>
      <c r="N260" s="43">
        <v>2</v>
      </c>
      <c r="O260" s="43" t="str">
        <v>Two</v>
      </c>
      <c r="P260" s="43" t="str">
        <v>BBB</v>
      </c>
      <c r="Q260" s="43" t="str">
        <v>YYY</v>
      </c>
    </row>
    <row r="261" spans="9:17" x14ac:dyDescent="0.3">
      <c r="I261" s="43">
        <v>1</v>
      </c>
      <c r="J261" s="43" t="str">
        <v>One</v>
      </c>
      <c r="K261" s="43" t="str">
        <v>AAA</v>
      </c>
      <c r="L261" s="43" t="str">
        <v>ZZZ</v>
      </c>
      <c r="N261" s="43">
        <v>1</v>
      </c>
      <c r="O261" s="43" t="str">
        <v>One</v>
      </c>
      <c r="P261" s="43" t="str">
        <v>AAA</v>
      </c>
      <c r="Q261" s="43" t="str">
        <v>ZZZ</v>
      </c>
    </row>
    <row r="262" spans="9:17" x14ac:dyDescent="0.3">
      <c r="I262" s="16" t="str">
        <f ca="1" xml:space="preserve"> _xlfn.FORMULATEXT(I257)</f>
        <v>= RXL_Array.Reverse($D$249:$G$253, TRUE)</v>
      </c>
      <c r="N262" s="16" t="str">
        <f ca="1" xml:space="preserve"> _xlfn.FORMULATEXT(N257)</f>
        <v>= RXL_Array.Reverse($D$249:$G$253, 1)</v>
      </c>
    </row>
    <row r="264" spans="9:17" x14ac:dyDescent="0.3">
      <c r="I264" t="s">
        <v>551</v>
      </c>
      <c r="N264" t="s">
        <v>551</v>
      </c>
    </row>
    <row r="265" spans="9:17" x14ac:dyDescent="0.3">
      <c r="I265" s="43" t="str" cm="1">
        <f t="array" ref="I265:L269" xml:space="preserve"> RXL_Array.Reverse($D$249:$G$253, FALSE)</f>
        <v>ZZZ</v>
      </c>
      <c r="J265" s="43" t="str">
        <v>AAA</v>
      </c>
      <c r="K265" s="43" t="str">
        <v>One</v>
      </c>
      <c r="L265" s="43">
        <v>1</v>
      </c>
      <c r="N265" s="43" t="str" cm="1">
        <f t="array" ref="N265:Q269" xml:space="preserve"> RXL_Array.Reverse($D$249:$G$253, 0)</f>
        <v>ZZZ</v>
      </c>
      <c r="O265" s="43" t="str">
        <v>AAA</v>
      </c>
      <c r="P265" s="43" t="str">
        <v>One</v>
      </c>
      <c r="Q265" s="43">
        <v>1</v>
      </c>
    </row>
    <row r="266" spans="9:17" x14ac:dyDescent="0.3">
      <c r="I266" s="43" t="str">
        <v>YYY</v>
      </c>
      <c r="J266" s="43" t="str">
        <v>BBB</v>
      </c>
      <c r="K266" s="43" t="str">
        <v>Two</v>
      </c>
      <c r="L266" s="43">
        <v>2</v>
      </c>
      <c r="N266" s="43" t="str">
        <v>YYY</v>
      </c>
      <c r="O266" s="43" t="str">
        <v>BBB</v>
      </c>
      <c r="P266" s="43" t="str">
        <v>Two</v>
      </c>
      <c r="Q266" s="43">
        <v>2</v>
      </c>
    </row>
    <row r="267" spans="9:17" x14ac:dyDescent="0.3">
      <c r="I267" s="43" t="str">
        <v>XXX</v>
      </c>
      <c r="J267" s="43" t="str">
        <v>CCC</v>
      </c>
      <c r="K267" s="43" t="str">
        <v>Three</v>
      </c>
      <c r="L267" s="43">
        <v>3</v>
      </c>
      <c r="N267" s="43" t="str">
        <v>XXX</v>
      </c>
      <c r="O267" s="43" t="str">
        <v>CCC</v>
      </c>
      <c r="P267" s="43" t="str">
        <v>Three</v>
      </c>
      <c r="Q267" s="43">
        <v>3</v>
      </c>
    </row>
    <row r="268" spans="9:17" x14ac:dyDescent="0.3">
      <c r="I268" s="43" t="str">
        <v>WWW</v>
      </c>
      <c r="J268" s="43" t="str">
        <v>DDD</v>
      </c>
      <c r="K268" s="43" t="str">
        <v>Four</v>
      </c>
      <c r="L268" s="43">
        <v>4</v>
      </c>
      <c r="N268" s="43" t="str">
        <v>WWW</v>
      </c>
      <c r="O268" s="43" t="str">
        <v>DDD</v>
      </c>
      <c r="P268" s="43" t="str">
        <v>Four</v>
      </c>
      <c r="Q268" s="43">
        <v>4</v>
      </c>
    </row>
    <row r="269" spans="9:17" x14ac:dyDescent="0.3">
      <c r="I269" s="43" t="str">
        <v>VVV</v>
      </c>
      <c r="J269" s="43" t="str">
        <v>EEE</v>
      </c>
      <c r="K269" s="43" t="str">
        <v>Five</v>
      </c>
      <c r="L269" s="43">
        <v>5</v>
      </c>
      <c r="N269" s="43" t="str">
        <v>VVV</v>
      </c>
      <c r="O269" s="43" t="str">
        <v>EEE</v>
      </c>
      <c r="P269" s="43" t="str">
        <v>Five</v>
      </c>
      <c r="Q269" s="43">
        <v>5</v>
      </c>
    </row>
    <row r="270" spans="9:17" x14ac:dyDescent="0.3">
      <c r="I270" s="16" t="str">
        <f ca="1" xml:space="preserve"> _xlfn.FORMULATEXT(I265)</f>
        <v>= RXL_Array.Reverse($D$249:$G$253, FALSE)</v>
      </c>
      <c r="N270" s="16" t="str">
        <f ca="1" xml:space="preserve"> _xlfn.FORMULATEXT(N265)</f>
        <v>= RXL_Array.Reverse($D$249:$G$253, 0)</v>
      </c>
    </row>
    <row r="273" spans="2:20" x14ac:dyDescent="0.3">
      <c r="B273" s="13" t="s">
        <v>298</v>
      </c>
      <c r="C273" s="12"/>
      <c r="D273" s="12"/>
      <c r="E273" s="12"/>
      <c r="F273" s="12"/>
      <c r="G273" s="12"/>
      <c r="H273" s="12"/>
      <c r="I273" s="12"/>
      <c r="J273" s="12"/>
      <c r="K273" s="12"/>
      <c r="L273" s="12"/>
      <c r="M273" s="12"/>
      <c r="N273" s="12"/>
      <c r="O273" s="12"/>
      <c r="P273" s="12"/>
      <c r="Q273" s="12"/>
      <c r="R273" s="12"/>
      <c r="S273" s="12"/>
      <c r="T273" s="12"/>
    </row>
    <row r="275" spans="2:20" x14ac:dyDescent="0.3">
      <c r="D275" s="68" t="s">
        <v>299</v>
      </c>
      <c r="E275" t="s">
        <v>443</v>
      </c>
    </row>
    <row r="276" spans="2:20" x14ac:dyDescent="0.3">
      <c r="D276" s="68" t="s">
        <v>300</v>
      </c>
      <c r="E276" t="s">
        <v>417</v>
      </c>
    </row>
    <row r="277" spans="2:20" x14ac:dyDescent="0.3">
      <c r="E277" t="s">
        <v>418</v>
      </c>
    </row>
    <row r="278" spans="2:20" x14ac:dyDescent="0.3">
      <c r="D278" s="68" t="s">
        <v>301</v>
      </c>
      <c r="E278" s="75" t="s">
        <v>403</v>
      </c>
    </row>
    <row r="281" spans="2:20" x14ac:dyDescent="0.3">
      <c r="C281" s="11" t="s">
        <v>420</v>
      </c>
    </row>
    <row r="282" spans="2:20" x14ac:dyDescent="0.3">
      <c r="D282" t="s">
        <v>422</v>
      </c>
      <c r="F282" t="s">
        <v>159</v>
      </c>
    </row>
    <row r="283" spans="2:20" x14ac:dyDescent="0.3">
      <c r="D283" s="22">
        <v>1</v>
      </c>
      <c r="F283" s="43" cm="1">
        <f t="array" aca="1" ref="F283:F292" ca="1" xml:space="preserve"> RXL_Array.RandomSort(D283:D292)</f>
        <v>9</v>
      </c>
      <c r="G283" s="76" t="str">
        <f ca="1" xml:space="preserve"> _xlfn.FORMULATEXT(F283)</f>
        <v>= RXL_Array.RandomSort(D283:D292)</v>
      </c>
    </row>
    <row r="284" spans="2:20" x14ac:dyDescent="0.3">
      <c r="D284" s="22">
        <v>2</v>
      </c>
      <c r="F284" s="43">
        <f ca="1"/>
        <v>3</v>
      </c>
    </row>
    <row r="285" spans="2:20" x14ac:dyDescent="0.3">
      <c r="D285" s="22">
        <v>3</v>
      </c>
      <c r="F285" s="43">
        <f ca="1"/>
        <v>6</v>
      </c>
    </row>
    <row r="286" spans="2:20" x14ac:dyDescent="0.3">
      <c r="D286" s="22">
        <v>4</v>
      </c>
      <c r="F286" s="43">
        <f ca="1"/>
        <v>4</v>
      </c>
    </row>
    <row r="287" spans="2:20" x14ac:dyDescent="0.3">
      <c r="D287" s="22">
        <v>5</v>
      </c>
      <c r="F287" s="43">
        <f ca="1"/>
        <v>10</v>
      </c>
    </row>
    <row r="288" spans="2:20" x14ac:dyDescent="0.3">
      <c r="D288" s="22">
        <v>6</v>
      </c>
      <c r="F288" s="43">
        <f ca="1"/>
        <v>5</v>
      </c>
    </row>
    <row r="289" spans="3:14" x14ac:dyDescent="0.3">
      <c r="D289" s="22">
        <v>7</v>
      </c>
      <c r="F289" s="43">
        <f ca="1"/>
        <v>8</v>
      </c>
    </row>
    <row r="290" spans="3:14" x14ac:dyDescent="0.3">
      <c r="D290" s="22">
        <v>8</v>
      </c>
      <c r="F290" s="43">
        <f ca="1"/>
        <v>7</v>
      </c>
    </row>
    <row r="291" spans="3:14" x14ac:dyDescent="0.3">
      <c r="D291" s="22">
        <v>9</v>
      </c>
      <c r="F291" s="43">
        <f ca="1"/>
        <v>2</v>
      </c>
    </row>
    <row r="292" spans="3:14" x14ac:dyDescent="0.3">
      <c r="D292" s="22">
        <v>10</v>
      </c>
      <c r="F292" s="43">
        <f ca="1"/>
        <v>1</v>
      </c>
    </row>
    <row r="295" spans="3:14" x14ac:dyDescent="0.3">
      <c r="C295" s="11" t="s">
        <v>419</v>
      </c>
    </row>
    <row r="296" spans="3:14" x14ac:dyDescent="0.3">
      <c r="D296" t="s">
        <v>422</v>
      </c>
      <c r="J296" t="s">
        <v>159</v>
      </c>
    </row>
    <row r="297" spans="3:14" x14ac:dyDescent="0.3">
      <c r="D297" s="22">
        <v>1</v>
      </c>
      <c r="E297" s="22">
        <v>2</v>
      </c>
      <c r="F297" s="22">
        <v>3</v>
      </c>
      <c r="G297" s="22">
        <v>4</v>
      </c>
      <c r="H297" s="22">
        <v>5</v>
      </c>
      <c r="J297" s="43" cm="1">
        <f t="array" aca="1" ref="J297:N301" ca="1" xml:space="preserve"> RXL_Array.RandomSort(D297:H301)</f>
        <v>18</v>
      </c>
      <c r="K297" s="43">
        <f ca="1"/>
        <v>8</v>
      </c>
      <c r="L297" s="43">
        <f ca="1"/>
        <v>2</v>
      </c>
      <c r="M297" s="43">
        <f ca="1"/>
        <v>3</v>
      </c>
      <c r="N297" s="43">
        <f ca="1"/>
        <v>22</v>
      </c>
    </row>
    <row r="298" spans="3:14" x14ac:dyDescent="0.3">
      <c r="D298" s="22">
        <v>6</v>
      </c>
      <c r="E298" s="22">
        <v>7</v>
      </c>
      <c r="F298" s="22">
        <v>8</v>
      </c>
      <c r="G298" s="22">
        <v>9</v>
      </c>
      <c r="H298" s="22">
        <v>10</v>
      </c>
      <c r="J298" s="43">
        <f ca="1"/>
        <v>23</v>
      </c>
      <c r="K298" s="43">
        <f ca="1"/>
        <v>17</v>
      </c>
      <c r="L298" s="43">
        <f ca="1"/>
        <v>9</v>
      </c>
      <c r="M298" s="43">
        <f ca="1"/>
        <v>1</v>
      </c>
      <c r="N298" s="43">
        <f ca="1"/>
        <v>14</v>
      </c>
    </row>
    <row r="299" spans="3:14" x14ac:dyDescent="0.3">
      <c r="D299" s="22">
        <v>11</v>
      </c>
      <c r="E299" s="22">
        <v>12</v>
      </c>
      <c r="F299" s="22">
        <v>13</v>
      </c>
      <c r="G299" s="22">
        <v>14</v>
      </c>
      <c r="H299" s="22">
        <v>15</v>
      </c>
      <c r="J299" s="43">
        <f ca="1"/>
        <v>7</v>
      </c>
      <c r="K299" s="43">
        <f ca="1"/>
        <v>12</v>
      </c>
      <c r="L299" s="43">
        <f ca="1"/>
        <v>20</v>
      </c>
      <c r="M299" s="43">
        <f ca="1"/>
        <v>21</v>
      </c>
      <c r="N299" s="43">
        <f ca="1"/>
        <v>11</v>
      </c>
    </row>
    <row r="300" spans="3:14" x14ac:dyDescent="0.3">
      <c r="D300" s="22">
        <v>16</v>
      </c>
      <c r="E300" s="22">
        <v>17</v>
      </c>
      <c r="F300" s="22">
        <v>18</v>
      </c>
      <c r="G300" s="22">
        <v>19</v>
      </c>
      <c r="H300" s="22">
        <v>20</v>
      </c>
      <c r="J300" s="43">
        <f ca="1"/>
        <v>4</v>
      </c>
      <c r="K300" s="43">
        <f ca="1"/>
        <v>5</v>
      </c>
      <c r="L300" s="43">
        <f ca="1"/>
        <v>15</v>
      </c>
      <c r="M300" s="43">
        <f ca="1"/>
        <v>16</v>
      </c>
      <c r="N300" s="43">
        <f ca="1"/>
        <v>13</v>
      </c>
    </row>
    <row r="301" spans="3:14" x14ac:dyDescent="0.3">
      <c r="D301" s="22">
        <v>21</v>
      </c>
      <c r="E301" s="22">
        <v>22</v>
      </c>
      <c r="F301" s="22">
        <v>23</v>
      </c>
      <c r="G301" s="22">
        <v>24</v>
      </c>
      <c r="H301" s="22">
        <v>25</v>
      </c>
      <c r="J301" s="43">
        <f ca="1"/>
        <v>6</v>
      </c>
      <c r="K301" s="43">
        <f ca="1"/>
        <v>24</v>
      </c>
      <c r="L301" s="43">
        <f ca="1"/>
        <v>10</v>
      </c>
      <c r="M301" s="43">
        <f ca="1"/>
        <v>19</v>
      </c>
      <c r="N301" s="43">
        <f ca="1"/>
        <v>25</v>
      </c>
    </row>
    <row r="302" spans="3:14" x14ac:dyDescent="0.3">
      <c r="J302" s="16" t="str">
        <f ca="1" xml:space="preserve"> _xlfn.FORMULATEXT(J297)</f>
        <v>= RXL_Array.RandomSort(D297:H301)</v>
      </c>
    </row>
    <row r="304" spans="3:14" x14ac:dyDescent="0.3">
      <c r="C304" s="11" t="s">
        <v>421</v>
      </c>
    </row>
    <row r="305" spans="4:14" x14ac:dyDescent="0.3">
      <c r="D305" t="s">
        <v>422</v>
      </c>
      <c r="J305" t="s">
        <v>446</v>
      </c>
    </row>
    <row r="306" spans="4:14" x14ac:dyDescent="0.3">
      <c r="D306" s="22">
        <v>1</v>
      </c>
      <c r="E306" s="22" t="s">
        <v>30</v>
      </c>
      <c r="F306" s="22" t="s">
        <v>179</v>
      </c>
      <c r="G306" s="22" t="s">
        <v>423</v>
      </c>
      <c r="H306" s="22" t="s">
        <v>424</v>
      </c>
      <c r="J306" s="43" cm="1">
        <f t="array" aca="1" ref="J306:N315" ca="1" xml:space="preserve"> RXL_Array.RandomSort(D306:H315, TRUE)</f>
        <v>5</v>
      </c>
      <c r="K306" s="43" t="str">
        <f ca="1"/>
        <v>Five</v>
      </c>
      <c r="L306" s="43" t="str">
        <f ca="1"/>
        <v>EEE</v>
      </c>
      <c r="M306" s="43" t="str">
        <f ca="1"/>
        <v>Echo</v>
      </c>
      <c r="N306" s="43" t="str">
        <f ca="1"/>
        <v>XYZ-005</v>
      </c>
    </row>
    <row r="307" spans="4:14" x14ac:dyDescent="0.3">
      <c r="D307" s="22">
        <v>2</v>
      </c>
      <c r="E307" s="22" t="s">
        <v>32</v>
      </c>
      <c r="F307" s="22" t="s">
        <v>180</v>
      </c>
      <c r="G307" s="22" t="s">
        <v>425</v>
      </c>
      <c r="H307" s="22" t="s">
        <v>426</v>
      </c>
      <c r="J307" s="43">
        <f ca="1"/>
        <v>4</v>
      </c>
      <c r="K307" s="43" t="str">
        <f ca="1"/>
        <v>Four</v>
      </c>
      <c r="L307" s="43" t="str">
        <f ca="1"/>
        <v>DDD</v>
      </c>
      <c r="M307" s="43" t="str">
        <f ca="1"/>
        <v>Delta</v>
      </c>
      <c r="N307" s="43" t="str">
        <f ca="1"/>
        <v>XYZ-004</v>
      </c>
    </row>
    <row r="308" spans="4:14" x14ac:dyDescent="0.3">
      <c r="D308" s="22">
        <v>3</v>
      </c>
      <c r="E308" s="22" t="s">
        <v>34</v>
      </c>
      <c r="F308" s="22" t="s">
        <v>181</v>
      </c>
      <c r="G308" s="22" t="s">
        <v>427</v>
      </c>
      <c r="H308" s="22" t="s">
        <v>428</v>
      </c>
      <c r="J308" s="43">
        <f ca="1"/>
        <v>1</v>
      </c>
      <c r="K308" s="43" t="str">
        <f ca="1"/>
        <v>One</v>
      </c>
      <c r="L308" s="43" t="str">
        <f ca="1"/>
        <v>AAA</v>
      </c>
      <c r="M308" s="43" t="str">
        <f ca="1"/>
        <v>Alpha</v>
      </c>
      <c r="N308" s="43" t="str">
        <f ca="1"/>
        <v>XYZ-001</v>
      </c>
    </row>
    <row r="309" spans="4:14" x14ac:dyDescent="0.3">
      <c r="D309" s="22">
        <v>4</v>
      </c>
      <c r="E309" s="22" t="s">
        <v>36</v>
      </c>
      <c r="F309" s="22" t="s">
        <v>182</v>
      </c>
      <c r="G309" s="22" t="s">
        <v>429</v>
      </c>
      <c r="H309" s="22" t="s">
        <v>430</v>
      </c>
      <c r="J309" s="43">
        <f ca="1"/>
        <v>6</v>
      </c>
      <c r="K309" s="43" t="str">
        <f ca="1"/>
        <v>Six</v>
      </c>
      <c r="L309" s="43" t="str">
        <f ca="1"/>
        <v>FFF</v>
      </c>
      <c r="M309" s="43" t="str">
        <f ca="1"/>
        <v>Foxtrot</v>
      </c>
      <c r="N309" s="43" t="str">
        <f ca="1"/>
        <v>XYZ-006</v>
      </c>
    </row>
    <row r="310" spans="4:14" x14ac:dyDescent="0.3">
      <c r="D310" s="22">
        <v>5</v>
      </c>
      <c r="E310" s="22" t="s">
        <v>38</v>
      </c>
      <c r="F310" s="22" t="s">
        <v>183</v>
      </c>
      <c r="G310" s="22" t="s">
        <v>431</v>
      </c>
      <c r="H310" s="22" t="s">
        <v>432</v>
      </c>
      <c r="J310" s="43">
        <f ca="1"/>
        <v>2</v>
      </c>
      <c r="K310" s="43" t="str">
        <f ca="1"/>
        <v>Two</v>
      </c>
      <c r="L310" s="43" t="str">
        <f ca="1"/>
        <v>BBB</v>
      </c>
      <c r="M310" s="43" t="str">
        <f ca="1"/>
        <v>Bravo</v>
      </c>
      <c r="N310" s="43" t="str">
        <f ca="1"/>
        <v>XYZ-002</v>
      </c>
    </row>
    <row r="311" spans="4:14" x14ac:dyDescent="0.3">
      <c r="D311" s="22">
        <v>6</v>
      </c>
      <c r="E311" s="22" t="s">
        <v>40</v>
      </c>
      <c r="F311" s="22" t="s">
        <v>184</v>
      </c>
      <c r="G311" s="22" t="s">
        <v>433</v>
      </c>
      <c r="H311" s="22" t="s">
        <v>434</v>
      </c>
      <c r="J311" s="43">
        <f ca="1"/>
        <v>3</v>
      </c>
      <c r="K311" s="43" t="str">
        <f ca="1"/>
        <v>Three</v>
      </c>
      <c r="L311" s="43" t="str">
        <f ca="1"/>
        <v>CCC</v>
      </c>
      <c r="M311" s="43" t="str">
        <f ca="1"/>
        <v>Charlie</v>
      </c>
      <c r="N311" s="43" t="str">
        <f ca="1"/>
        <v>XYZ-003</v>
      </c>
    </row>
    <row r="312" spans="4:14" x14ac:dyDescent="0.3">
      <c r="D312" s="22">
        <v>7</v>
      </c>
      <c r="E312" s="22" t="s">
        <v>42</v>
      </c>
      <c r="F312" s="22" t="s">
        <v>185</v>
      </c>
      <c r="G312" s="22" t="s">
        <v>435</v>
      </c>
      <c r="H312" s="22" t="s">
        <v>436</v>
      </c>
      <c r="J312" s="43">
        <f ca="1"/>
        <v>9</v>
      </c>
      <c r="K312" s="43" t="str">
        <f ca="1"/>
        <v>Nine</v>
      </c>
      <c r="L312" s="43" t="str">
        <f ca="1"/>
        <v>III</v>
      </c>
      <c r="M312" s="43" t="str">
        <f ca="1"/>
        <v>India</v>
      </c>
      <c r="N312" s="43" t="str">
        <f ca="1"/>
        <v>XYZ-009</v>
      </c>
    </row>
    <row r="313" spans="4:14" x14ac:dyDescent="0.3">
      <c r="D313" s="22">
        <v>8</v>
      </c>
      <c r="E313" s="22" t="s">
        <v>44</v>
      </c>
      <c r="F313" s="22" t="s">
        <v>186</v>
      </c>
      <c r="G313" s="22" t="s">
        <v>437</v>
      </c>
      <c r="H313" s="22" t="s">
        <v>438</v>
      </c>
      <c r="J313" s="43">
        <f ca="1"/>
        <v>10</v>
      </c>
      <c r="K313" s="43" t="str">
        <f ca="1"/>
        <v>Ten</v>
      </c>
      <c r="L313" s="43" t="str">
        <f ca="1"/>
        <v>JJJ</v>
      </c>
      <c r="M313" s="43" t="str">
        <f ca="1"/>
        <v>Juliett</v>
      </c>
      <c r="N313" s="43" t="str">
        <f ca="1"/>
        <v>XYZ-010</v>
      </c>
    </row>
    <row r="314" spans="4:14" x14ac:dyDescent="0.3">
      <c r="D314" s="22">
        <v>9</v>
      </c>
      <c r="E314" s="22" t="s">
        <v>46</v>
      </c>
      <c r="F314" s="22" t="s">
        <v>187</v>
      </c>
      <c r="G314" s="22" t="s">
        <v>439</v>
      </c>
      <c r="H314" s="22" t="s">
        <v>440</v>
      </c>
      <c r="J314" s="43">
        <f ca="1"/>
        <v>7</v>
      </c>
      <c r="K314" s="43" t="str">
        <f ca="1"/>
        <v>Seven</v>
      </c>
      <c r="L314" s="43" t="str">
        <f ca="1"/>
        <v>GGG</v>
      </c>
      <c r="M314" s="43" t="str">
        <f ca="1"/>
        <v>Golf</v>
      </c>
      <c r="N314" s="43" t="str">
        <f ca="1"/>
        <v>XYZ-007</v>
      </c>
    </row>
    <row r="315" spans="4:14" x14ac:dyDescent="0.3">
      <c r="D315" s="22">
        <v>10</v>
      </c>
      <c r="E315" s="22" t="s">
        <v>48</v>
      </c>
      <c r="F315" s="22" t="s">
        <v>188</v>
      </c>
      <c r="G315" s="22" t="s">
        <v>441</v>
      </c>
      <c r="H315" s="22" t="s">
        <v>442</v>
      </c>
      <c r="J315" s="43">
        <f ca="1"/>
        <v>8</v>
      </c>
      <c r="K315" s="43" t="str">
        <f ca="1"/>
        <v>Eight</v>
      </c>
      <c r="L315" s="43" t="str">
        <f ca="1"/>
        <v>HHH</v>
      </c>
      <c r="M315" s="43" t="str">
        <f ca="1"/>
        <v>Hotel</v>
      </c>
      <c r="N315" s="43" t="str">
        <f ca="1"/>
        <v>XYZ-008</v>
      </c>
    </row>
    <row r="316" spans="4:14" x14ac:dyDescent="0.3">
      <c r="J316" s="16" t="str">
        <f ca="1" xml:space="preserve"> _xlfn.FORMULATEXT(J306)</f>
        <v>= RXL_Array.RandomSort(D306:H315, TRUE)</v>
      </c>
    </row>
    <row r="318" spans="4:14" x14ac:dyDescent="0.3">
      <c r="J318" t="s">
        <v>447</v>
      </c>
    </row>
    <row r="319" spans="4:14" x14ac:dyDescent="0.3">
      <c r="J319" s="43" t="str" cm="1">
        <f t="array" aca="1" ref="J319:N328" ca="1" xml:space="preserve"> RXL_Array.RandomSort(D306:H315, FALSE)</f>
        <v>XYZ-001</v>
      </c>
      <c r="K319" s="43">
        <f ca="1"/>
        <v>1</v>
      </c>
      <c r="L319" s="43" t="str">
        <f ca="1"/>
        <v>Alpha</v>
      </c>
      <c r="M319" s="43" t="str">
        <f ca="1"/>
        <v>AAA</v>
      </c>
      <c r="N319" s="43" t="str">
        <f ca="1"/>
        <v>One</v>
      </c>
    </row>
    <row r="320" spans="4:14" x14ac:dyDescent="0.3">
      <c r="J320" s="43" t="str">
        <f ca="1"/>
        <v>XYZ-002</v>
      </c>
      <c r="K320" s="43">
        <f ca="1"/>
        <v>2</v>
      </c>
      <c r="L320" s="43" t="str">
        <f ca="1"/>
        <v>Bravo</v>
      </c>
      <c r="M320" s="43" t="str">
        <f ca="1"/>
        <v>BBB</v>
      </c>
      <c r="N320" s="43" t="str">
        <f ca="1"/>
        <v>Two</v>
      </c>
    </row>
    <row r="321" spans="2:14" x14ac:dyDescent="0.3">
      <c r="J321" s="43" t="str">
        <f ca="1"/>
        <v>XYZ-003</v>
      </c>
      <c r="K321" s="43">
        <f ca="1"/>
        <v>3</v>
      </c>
      <c r="L321" s="43" t="str">
        <f ca="1"/>
        <v>Charlie</v>
      </c>
      <c r="M321" s="43" t="str">
        <f ca="1"/>
        <v>CCC</v>
      </c>
      <c r="N321" s="43" t="str">
        <f ca="1"/>
        <v>Three</v>
      </c>
    </row>
    <row r="322" spans="2:14" x14ac:dyDescent="0.3">
      <c r="J322" s="43" t="str">
        <f ca="1"/>
        <v>XYZ-004</v>
      </c>
      <c r="K322" s="43">
        <f ca="1"/>
        <v>4</v>
      </c>
      <c r="L322" s="43" t="str">
        <f ca="1"/>
        <v>Delta</v>
      </c>
      <c r="M322" s="43" t="str">
        <f ca="1"/>
        <v>DDD</v>
      </c>
      <c r="N322" s="43" t="str">
        <f ca="1"/>
        <v>Four</v>
      </c>
    </row>
    <row r="323" spans="2:14" x14ac:dyDescent="0.3">
      <c r="J323" s="43" t="str">
        <f ca="1"/>
        <v>XYZ-005</v>
      </c>
      <c r="K323" s="43">
        <f ca="1"/>
        <v>5</v>
      </c>
      <c r="L323" s="43" t="str">
        <f ca="1"/>
        <v>Echo</v>
      </c>
      <c r="M323" s="43" t="str">
        <f ca="1"/>
        <v>EEE</v>
      </c>
      <c r="N323" s="43" t="str">
        <f ca="1"/>
        <v>Five</v>
      </c>
    </row>
    <row r="324" spans="2:14" x14ac:dyDescent="0.3">
      <c r="J324" s="43" t="str">
        <f ca="1"/>
        <v>XYZ-006</v>
      </c>
      <c r="K324" s="43">
        <f ca="1"/>
        <v>6</v>
      </c>
      <c r="L324" s="43" t="str">
        <f ca="1"/>
        <v>Foxtrot</v>
      </c>
      <c r="M324" s="43" t="str">
        <f ca="1"/>
        <v>FFF</v>
      </c>
      <c r="N324" s="43" t="str">
        <f ca="1"/>
        <v>Six</v>
      </c>
    </row>
    <row r="325" spans="2:14" x14ac:dyDescent="0.3">
      <c r="J325" s="43" t="str">
        <f ca="1"/>
        <v>XYZ-007</v>
      </c>
      <c r="K325" s="43">
        <f ca="1"/>
        <v>7</v>
      </c>
      <c r="L325" s="43" t="str">
        <f ca="1"/>
        <v>Golf</v>
      </c>
      <c r="M325" s="43" t="str">
        <f ca="1"/>
        <v>GGG</v>
      </c>
      <c r="N325" s="43" t="str">
        <f ca="1"/>
        <v>Seven</v>
      </c>
    </row>
    <row r="326" spans="2:14" x14ac:dyDescent="0.3">
      <c r="J326" s="43" t="str">
        <f ca="1"/>
        <v>XYZ-008</v>
      </c>
      <c r="K326" s="43">
        <f ca="1"/>
        <v>8</v>
      </c>
      <c r="L326" s="43" t="str">
        <f ca="1"/>
        <v>Hotel</v>
      </c>
      <c r="M326" s="43" t="str">
        <f ca="1"/>
        <v>HHH</v>
      </c>
      <c r="N326" s="43" t="str">
        <f ca="1"/>
        <v>Eight</v>
      </c>
    </row>
    <row r="327" spans="2:14" x14ac:dyDescent="0.3">
      <c r="J327" s="43" t="str">
        <f ca="1"/>
        <v>XYZ-009</v>
      </c>
      <c r="K327" s="43">
        <f ca="1"/>
        <v>9</v>
      </c>
      <c r="L327" s="43" t="str">
        <f ca="1"/>
        <v>India</v>
      </c>
      <c r="M327" s="43" t="str">
        <f ca="1"/>
        <v>III</v>
      </c>
      <c r="N327" s="43" t="str">
        <f ca="1"/>
        <v>Nine</v>
      </c>
    </row>
    <row r="328" spans="2:14" x14ac:dyDescent="0.3">
      <c r="J328" s="43" t="str">
        <f ca="1"/>
        <v>XYZ-010</v>
      </c>
      <c r="K328" s="43">
        <f ca="1"/>
        <v>10</v>
      </c>
      <c r="L328" s="43" t="str">
        <f ca="1"/>
        <v>Juliett</v>
      </c>
      <c r="M328" s="43" t="str">
        <f ca="1"/>
        <v>JJJ</v>
      </c>
      <c r="N328" s="43" t="str">
        <f ca="1"/>
        <v>Ten</v>
      </c>
    </row>
    <row r="329" spans="2:14" x14ac:dyDescent="0.3">
      <c r="J329" s="16" t="str">
        <f ca="1" xml:space="preserve"> _xlfn.FORMULATEXT(J319)</f>
        <v>= RXL_Array.RandomSort(D306:H315, FALSE)</v>
      </c>
    </row>
    <row r="331" spans="2:14" ht="14.4" thickBot="1" x14ac:dyDescent="0.35"/>
    <row r="332" spans="2:14" s="3" customFormat="1" x14ac:dyDescent="0.3">
      <c r="B332" s="3" t="s">
        <v>0</v>
      </c>
    </row>
  </sheetData>
  <conditionalFormatting sqref="H14:J18 N14:P18 H22:K25 N22:Q25">
    <cfRule type="expression" dxfId="1" priority="2">
      <formula>ISNA(H14)</formula>
    </cfRule>
  </conditionalFormatting>
  <conditionalFormatting sqref="H93:J102 H106:J115 H119:J128 H132:J141">
    <cfRule type="expression" dxfId="0" priority="1">
      <formula>ISNA(H93)</formula>
    </cfRule>
  </conditionalFormatting>
  <hyperlinks>
    <hyperlink ref="E278" r:id="rId1" xr:uid="{79BB6E8D-CD3D-42AC-A3B0-D54299B81827}"/>
    <hyperlink ref="E9" r:id="rId2" xr:uid="{4ECE6659-1C15-4F80-92EB-E9CC23EF7CF6}"/>
    <hyperlink ref="E150" r:id="rId3" xr:uid="{45A75EC2-3C82-4F37-9561-8863D1793517}"/>
    <hyperlink ref="E233" r:id="rId4" xr:uid="{DE1779DA-9F2E-4E82-B0AB-937BBDDB52BC}"/>
  </hyperlinks>
  <pageMargins left="0.7" right="0.7" top="0.75" bottom="0.75" header="0.3" footer="0.3"/>
  <ignoredErrors>
    <ignoredError sqref="H16:J16 O16:P16 I22:I25 O23:O25 I94:J102 K220" evalError="1"/>
  </ignoredErrors>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B1688-E060-4F44-B9BD-7D4DAF8BC117}">
  <sheetPr codeName="Sheet7"/>
  <dimension ref="B1:C128"/>
  <sheetViews>
    <sheetView showGridLines="0" workbookViewId="0">
      <pane ySplit="1" topLeftCell="A2" activePane="bottomLeft" state="frozen"/>
      <selection pane="bottomLeft"/>
    </sheetView>
  </sheetViews>
  <sheetFormatPr defaultRowHeight="13.8" x14ac:dyDescent="0.3"/>
  <cols>
    <col min="1" max="2" width="4.33203125" customWidth="1"/>
  </cols>
  <sheetData>
    <row r="1" spans="2:3" s="1" customFormat="1" ht="30" customHeight="1" x14ac:dyDescent="0.3">
      <c r="C1" s="2" t="s">
        <v>295</v>
      </c>
    </row>
    <row r="2" spans="2:3" s="4" customFormat="1" ht="16.2" thickBot="1" x14ac:dyDescent="0.35">
      <c r="B2" s="5">
        <f xml:space="preserve"> MAX(B$1:B1) + 1</f>
        <v>1</v>
      </c>
      <c r="C2" s="4" t="s">
        <v>571</v>
      </c>
    </row>
    <row r="4" spans="2:3" x14ac:dyDescent="0.3">
      <c r="C4" t="s">
        <v>584</v>
      </c>
    </row>
    <row r="6" spans="2:3" x14ac:dyDescent="0.3">
      <c r="B6" s="52" t="s">
        <v>573</v>
      </c>
      <c r="C6" t="s">
        <v>574</v>
      </c>
    </row>
    <row r="7" spans="2:3" x14ac:dyDescent="0.3">
      <c r="B7" s="52" t="s">
        <v>575</v>
      </c>
      <c r="C7" t="s">
        <v>576</v>
      </c>
    </row>
    <row r="17" spans="2:3" x14ac:dyDescent="0.3">
      <c r="B17" s="52" t="s">
        <v>577</v>
      </c>
      <c r="C17" t="s">
        <v>585</v>
      </c>
    </row>
    <row r="38" spans="2:3" x14ac:dyDescent="0.3">
      <c r="B38" s="52" t="s">
        <v>578</v>
      </c>
      <c r="C38" t="s">
        <v>579</v>
      </c>
    </row>
    <row r="39" spans="2:3" x14ac:dyDescent="0.3">
      <c r="B39" s="52" t="s">
        <v>580</v>
      </c>
      <c r="C39" t="s">
        <v>581</v>
      </c>
    </row>
    <row r="63" spans="2:3" x14ac:dyDescent="0.3">
      <c r="B63" s="52" t="s">
        <v>582</v>
      </c>
      <c r="C63" t="s">
        <v>583</v>
      </c>
    </row>
    <row r="73" spans="2:3" s="4" customFormat="1" ht="16.2" thickBot="1" x14ac:dyDescent="0.35">
      <c r="B73" s="5">
        <f xml:space="preserve"> MAX(B$1:B72) + 1</f>
        <v>2</v>
      </c>
      <c r="C73" s="4" t="s">
        <v>572</v>
      </c>
    </row>
    <row r="75" spans="2:3" x14ac:dyDescent="0.3">
      <c r="C75" s="84" t="s">
        <v>586</v>
      </c>
    </row>
    <row r="76" spans="2:3" x14ac:dyDescent="0.3">
      <c r="C76" s="84"/>
    </row>
    <row r="77" spans="2:3" x14ac:dyDescent="0.3">
      <c r="C77" s="84" t="s">
        <v>587</v>
      </c>
    </row>
    <row r="78" spans="2:3" x14ac:dyDescent="0.3">
      <c r="C78" s="84" t="s">
        <v>588</v>
      </c>
    </row>
    <row r="79" spans="2:3" x14ac:dyDescent="0.3">
      <c r="C79" s="84" t="s">
        <v>589</v>
      </c>
    </row>
    <row r="80" spans="2:3" x14ac:dyDescent="0.3">
      <c r="C80" s="85" t="s">
        <v>590</v>
      </c>
    </row>
    <row r="81" spans="3:3" x14ac:dyDescent="0.3">
      <c r="C81" s="84" t="s">
        <v>627</v>
      </c>
    </row>
    <row r="82" spans="3:3" x14ac:dyDescent="0.3">
      <c r="C82" s="84" t="s">
        <v>628</v>
      </c>
    </row>
    <row r="83" spans="3:3" x14ac:dyDescent="0.3">
      <c r="C83" s="84"/>
    </row>
    <row r="84" spans="3:3" x14ac:dyDescent="0.3">
      <c r="C84" s="85" t="s">
        <v>592</v>
      </c>
    </row>
    <row r="85" spans="3:3" x14ac:dyDescent="0.3">
      <c r="C85" s="84" t="s">
        <v>593</v>
      </c>
    </row>
    <row r="86" spans="3:3" x14ac:dyDescent="0.3">
      <c r="C86" s="84" t="s">
        <v>594</v>
      </c>
    </row>
    <row r="87" spans="3:3" x14ac:dyDescent="0.3">
      <c r="C87" s="84" t="s">
        <v>591</v>
      </c>
    </row>
    <row r="88" spans="3:3" x14ac:dyDescent="0.3">
      <c r="C88" s="86" t="s">
        <v>595</v>
      </c>
    </row>
    <row r="89" spans="3:3" x14ac:dyDescent="0.3">
      <c r="C89" s="85" t="s">
        <v>596</v>
      </c>
    </row>
    <row r="90" spans="3:3" x14ac:dyDescent="0.3">
      <c r="C90" s="84" t="s">
        <v>597</v>
      </c>
    </row>
    <row r="91" spans="3:3" x14ac:dyDescent="0.3">
      <c r="C91" s="84" t="s">
        <v>598</v>
      </c>
    </row>
    <row r="92" spans="3:3" x14ac:dyDescent="0.3">
      <c r="C92" s="84" t="s">
        <v>599</v>
      </c>
    </row>
    <row r="93" spans="3:3" x14ac:dyDescent="0.3">
      <c r="C93" s="84" t="s">
        <v>600</v>
      </c>
    </row>
    <row r="94" spans="3:3" x14ac:dyDescent="0.3">
      <c r="C94" s="86" t="s">
        <v>601</v>
      </c>
    </row>
    <row r="95" spans="3:3" x14ac:dyDescent="0.3">
      <c r="C95" s="86" t="s">
        <v>602</v>
      </c>
    </row>
    <row r="96" spans="3:3" x14ac:dyDescent="0.3">
      <c r="C96" s="84" t="s">
        <v>591</v>
      </c>
    </row>
    <row r="97" spans="3:3" x14ac:dyDescent="0.3">
      <c r="C97" s="84" t="s">
        <v>603</v>
      </c>
    </row>
    <row r="98" spans="3:3" x14ac:dyDescent="0.3">
      <c r="C98" s="84" t="s">
        <v>591</v>
      </c>
    </row>
    <row r="99" spans="3:3" x14ac:dyDescent="0.3">
      <c r="C99" s="84" t="s">
        <v>604</v>
      </c>
    </row>
    <row r="100" spans="3:3" x14ac:dyDescent="0.3">
      <c r="C100" s="84" t="s">
        <v>605</v>
      </c>
    </row>
    <row r="101" spans="3:3" x14ac:dyDescent="0.3">
      <c r="C101" s="86" t="s">
        <v>606</v>
      </c>
    </row>
    <row r="102" spans="3:3" x14ac:dyDescent="0.3">
      <c r="C102" s="84" t="s">
        <v>607</v>
      </c>
    </row>
    <row r="103" spans="3:3" x14ac:dyDescent="0.3">
      <c r="C103" s="84" t="s">
        <v>608</v>
      </c>
    </row>
    <row r="104" spans="3:3" x14ac:dyDescent="0.3">
      <c r="C104" s="84" t="s">
        <v>609</v>
      </c>
    </row>
    <row r="105" spans="3:3" x14ac:dyDescent="0.3">
      <c r="C105" s="84" t="s">
        <v>610</v>
      </c>
    </row>
    <row r="106" spans="3:3" x14ac:dyDescent="0.3">
      <c r="C106" s="84" t="s">
        <v>611</v>
      </c>
    </row>
    <row r="107" spans="3:3" x14ac:dyDescent="0.3">
      <c r="C107" s="84" t="s">
        <v>612</v>
      </c>
    </row>
    <row r="108" spans="3:3" x14ac:dyDescent="0.3">
      <c r="C108" s="84" t="s">
        <v>613</v>
      </c>
    </row>
    <row r="109" spans="3:3" x14ac:dyDescent="0.3">
      <c r="C109" s="84" t="s">
        <v>614</v>
      </c>
    </row>
    <row r="110" spans="3:3" x14ac:dyDescent="0.3">
      <c r="C110" s="84" t="s">
        <v>615</v>
      </c>
    </row>
    <row r="111" spans="3:3" x14ac:dyDescent="0.3">
      <c r="C111" s="86" t="s">
        <v>616</v>
      </c>
    </row>
    <row r="112" spans="3:3" x14ac:dyDescent="0.3">
      <c r="C112" s="84" t="s">
        <v>617</v>
      </c>
    </row>
    <row r="113" spans="2:3" x14ac:dyDescent="0.3">
      <c r="C113" s="86" t="s">
        <v>618</v>
      </c>
    </row>
    <row r="114" spans="2:3" x14ac:dyDescent="0.3">
      <c r="C114" s="86" t="s">
        <v>619</v>
      </c>
    </row>
    <row r="115" spans="2:3" x14ac:dyDescent="0.3">
      <c r="C115" s="84" t="s">
        <v>620</v>
      </c>
    </row>
    <row r="116" spans="2:3" x14ac:dyDescent="0.3">
      <c r="C116" s="86" t="s">
        <v>621</v>
      </c>
    </row>
    <row r="117" spans="2:3" x14ac:dyDescent="0.3">
      <c r="C117" s="84" t="s">
        <v>591</v>
      </c>
    </row>
    <row r="118" spans="2:3" x14ac:dyDescent="0.3">
      <c r="C118" s="84" t="s">
        <v>622</v>
      </c>
    </row>
    <row r="119" spans="2:3" x14ac:dyDescent="0.3">
      <c r="C119" s="84" t="s">
        <v>591</v>
      </c>
    </row>
    <row r="120" spans="2:3" x14ac:dyDescent="0.3">
      <c r="C120" s="86" t="s">
        <v>623</v>
      </c>
    </row>
    <row r="121" spans="2:3" x14ac:dyDescent="0.3">
      <c r="C121" s="84" t="s">
        <v>591</v>
      </c>
    </row>
    <row r="122" spans="2:3" x14ac:dyDescent="0.3">
      <c r="C122" s="84" t="s">
        <v>624</v>
      </c>
    </row>
    <row r="123" spans="2:3" x14ac:dyDescent="0.3">
      <c r="C123" s="84" t="s">
        <v>625</v>
      </c>
    </row>
    <row r="124" spans="2:3" x14ac:dyDescent="0.3">
      <c r="C124" s="84" t="s">
        <v>591</v>
      </c>
    </row>
    <row r="125" spans="2:3" x14ac:dyDescent="0.3">
      <c r="C125" s="86" t="s">
        <v>626</v>
      </c>
    </row>
    <row r="127" spans="2:3" ht="14.4" thickBot="1" x14ac:dyDescent="0.35"/>
    <row r="128" spans="2:3" s="3" customFormat="1" x14ac:dyDescent="0.3">
      <c r="B128" s="3" t="s">
        <v>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34A6F-EB96-4FAD-A310-6F9724BEB395}">
  <sheetPr codeName="Sheet6"/>
  <dimension ref="B1:D10"/>
  <sheetViews>
    <sheetView showGridLines="0" workbookViewId="0">
      <pane ySplit="1" topLeftCell="A2" activePane="bottomLeft" state="frozen"/>
      <selection pane="bottomLeft"/>
    </sheetView>
  </sheetViews>
  <sheetFormatPr defaultRowHeight="13.8" x14ac:dyDescent="0.3"/>
  <cols>
    <col min="1" max="2" width="4.33203125" customWidth="1"/>
  </cols>
  <sheetData>
    <row r="1" spans="2:4" s="1" customFormat="1" ht="30" customHeight="1" x14ac:dyDescent="0.3">
      <c r="C1" s="2" t="s">
        <v>1</v>
      </c>
    </row>
    <row r="3" spans="2:4" x14ac:dyDescent="0.3">
      <c r="B3" s="7">
        <v>1</v>
      </c>
      <c r="C3" s="8">
        <v>1</v>
      </c>
    </row>
    <row r="4" spans="2:4" x14ac:dyDescent="0.3">
      <c r="B4" s="7">
        <v>0</v>
      </c>
      <c r="C4" s="8">
        <v>0</v>
      </c>
      <c r="D4" s="6" t="s">
        <v>2</v>
      </c>
    </row>
    <row r="6" spans="2:4" x14ac:dyDescent="0.3">
      <c r="B6" s="7">
        <v>1</v>
      </c>
      <c r="C6" s="9">
        <v>1</v>
      </c>
    </row>
    <row r="7" spans="2:4" x14ac:dyDescent="0.3">
      <c r="B7" s="7">
        <v>0</v>
      </c>
      <c r="C7" s="9">
        <v>0</v>
      </c>
      <c r="D7" s="6" t="s">
        <v>3</v>
      </c>
    </row>
    <row r="9" spans="2:4" ht="14.4" thickBot="1" x14ac:dyDescent="0.35"/>
    <row r="10" spans="2:4" s="3" customFormat="1" x14ac:dyDescent="0.3">
      <c r="B10" s="3" t="s">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SAFgATABfAEEAcgByAGEAeQAiACwAIgB0AGUAeAB0ACIAOgAiAC8AKgBcAG4AIAAgACAAIABNAE8ARABVAEwARQA6ACAAIAAgACAAIABSAFgATABfAEEAcgByAGEAeQBcAG4AIAAgACAAIABBAFUAVABIAE8AUgA6ACAAIAAgACAAIABSACAAUwBpAGwAawAsACAAUgBYAEwAIABEAGUAdgBlAGwAbwBwAG0AZQBuAHQAXABuACAAIAAgACAAVwBFAEIAUwBJAFQARQA6ACAAIAAgACAAaAB0AHQAcABzADoALwAvAGUAeABjAGUAbAAtAGIAaQB0AHMALgBuAGUAdABcAG4AIAAgACAAIABHAEkAUwBUACAAVQBSAEwAOgAgACAAIABoAHQAdABwAHMAOgAvAC8AZwBpAHMAdAAuAGcAaQB0AGgAdQBiAC4AYwBvAG0ALwByAC0AcwBpAGwAawAvAGMAYQAyAGUAYwBlAGYANQAzADIAMwA1ADkANwA4AGYAOABiADEAOABjADUAZQBjAGMAOABmAGYANABmAGIAMwBcAG4AIAAgACAAIABWAEUAUgBTAEkATwBOADoAIAAgACAAIAAxAC4AMAAyACAAKABKAHUAbAB5AC0AMgAwADIANQApAFwAbgAqAC8AXABuAC8AKgBcAG4AIAAgACAAIABOAGEAbQBlADoAIAAgACAAIAAgACAAIAAgAEEAYgBvAHUAdAAoACkAXABuACAAIAAgACAAVgBlAHIAcwBpAG8AbgA6ACAAIAAgACAAIAAxAC4AMQAxACAAKAAwADQALQBKAHUAbAAtADIAMAAyADUAKQAgAC0ALQAgAFIAIABTAGkAbABrACwAIABSAFgATAAgAEQAZQB2AGUAbABvAHAAbQBlAG4AdABcAG4AIAAgACAAIABEAGUAcwBjAHIAaQBwAHQAaQBvAG4AOgAgACoALwAvACoAKgBQAHIAbwB2AGkAZABlAHMAIABpAG4AZgBvAHIAbQBhAHQAaQBvAG4AIABhAGIAbwB1AHQAIAB0AGgAZQAgAGYAdQBuAGMAdABpAG8AbgBzACAAaQBuACAAdABoAGkAcwAgAG0AbwBkAHUAbABlACoALwAvACoAXABuACAAIAAgACAAUABhAHIAYQBtAGUAdABlAHIAcwA6AFwAbgAgACAAIAAgACAAIAAgACAAKwAgAHMAZQBsAGUAYwB0AF8AZgB1AG4AYwB0AGkAbwBuACAAIAAgAD0AIAAoAG8AcAB0AGkAbwBuAGEAbAApACAAdABoAGUAIABuAGEAbQBlACAAbwByACAAaQBuAGQAZQB4ACAAbgB1AG0AYgBlAHIAIABvAGYAIAB0AGgAZQAgAGYAdQBuAGMAdABpAG8AbgAgAHQAaABhAHQAIAB1AHMAZQByACAAdwBhAG4AdABzACAAaQBuAGYAbwByAG0AYQB0AGkAbwBuACAAYQBiAG8AdQB0AFwAbgAgACAAIAAgAEUAcgByAG8AcgAgAGMAbwBkAGUAcwA6AFwAbgAgACAAIAAgACAAIAAgACAAIwBbAEUAcgByAG8AcgA6ACAAbgBhAG0AZQAgAG4AbwB0ACAAcgBlAGMAbwBnAG4AaQBzAGUAZABdACAAIAAgAD0AIAB0AGgAZQAgAHAAcgBvAHYAaQBkAGUAZAAgAG4AYQBtAGUAIABzAHQAcgBpAG4AZwAgAGQAbwBlAHMAIABuAG8AdAAgAG0AYQB0AGMAaAAgAHQAaABvAHMAZQAgAGkAbgAgAHQAaABlACAAbQBvAGQAdQBsAGUAXABuACAAIAAgACAAIAAgACAAIAAjAFsARQByAHIAbwByADoAIABpAG4AZABlAHgAIABuAG8AdAAgAHIAZQBjAG8AZwBuAGkAcwBlAGQAXQAgACAAPQAgAHQAaABlACAAcAByAG8AdgBpAGQAZQBkACAAaQBuAGQAZQB4ACAAbgB1AG0AYgBlAHIAIABkAG8AZQBzACAAbgBvAHQAIABtAGEAdABjAGgAIAB0AGgAbwBzAGUAIABpAG4AIAB0AGgAZQAgAG0AbwBkAHUAbABlAFwAbgAgACAAIAAgAE4AbwB0AGUAcwA6AFwAbgAgACAAIAAgACAAIAAgACAALQAgAGkAZgAgAHQAaABlACAAcwBlAGwAZQBjAHQAXwBmAHUAbgBjAHQAaQBvAG4AIABpAG4AcAB1AHQAIABpAHMAIABvAG0AaQB0AHQAZQBkACAAbwByACAAYQBuACAAaQBuAGQAZQB4ACAAbwBmACAAMAAgAGkAcwAgAHAAcgBvAHYAaQBkAGUAZAAgAHQAaABlAG4AIABhACAAdABhAGIAbABlACAAbwBmACAAaQBuAGYAbwByAG0AYQB0AGkAbwBuACAAYQBiAG8AdQB0ACAAdABoAGUAIABtAG8AZAB1AGwAZQAgAGkAcwAgAHIAZQB0AHUAcgBuAGUAZABcAG4AIAAgACAAIAAgACAAIAAgAC0AIAB0AGgAZQAgAHUAcwBlAHIAIABjAGEAbgAgAGUAaQB0AGgAZQByACAAcAByAG8AdgBpAGQAZQAgAHQAaABlACAAaQBuAGQAZQB4ACAAbwBmACAAdABoAGUAIABjAGgAbwBzAGUAbgAgAGYAdQBuAGMAdABpAG8AbgAgAGEAcwAgAGEAbgAgAGkAbgB0AGUAZwBlAHIAIAAoADEAKwApACwAIABvAHIAIAB0AGgAZQAgAG4AYQBtAGUAIABvAGYAIAB0AGgAZQAgAGMAaABvAHMAZQBuACAAZgB1AG4AYwB0AGkAbwBuACAAYQBzACAAYQAgAHMAdAByAGkAbgBnAFwAbgAqAC8AXABuAEEAYgBvAHUAdAAgAD0AIABMAEEATQBCAEQAQQAoAFsAcwBlAGwAZQBjAHQAXwBmAHUAbgBjAHQAaQBvAG4AXQAsAFwAbgAgACAAIAAgAEwARQBUACgAXABuACAAIAAgACAAIAAgACAAIABfAG4AdQBtACwAIABJAEYAKAAgAEkAUwBPAE0ASQBUAFQARQBEACgAcwBlAGwAZQBjAHQAXwBmAHUAbgBjAHQAaQBvAG4AKQAsACAAMAAsAFwAbgAgACAAIAAgACAAIAAgACAAIAAgACAAIABJAEYAKAAgAEkAUwBOAFUATQBCAEUAUgAoAHMAZQBsAGUAYwB0AF8AZgB1AG4AYwB0AGkAbwBuACkALAAgAEkATgBUACgAcwBlAGwAZQBjAHQAXwBmAHUAbgBjAHQAaQBvAG4AKQAsACAAXAAiACMAXAAiACkAXABuACAAIAAgACAAIAAgACAAIAApACwAXABuACAAIAAgACAAIAAgACAAIABfAGEAcgByAEQAZQBmACwAIABJAEYAKABfAG4AdQBtACAAPQAgADAALAAgAFQARQBYAFQAUwBQAEwASQBUACgAXABuACAAIAAgACAAIAAgACAAIAAgACAAIAAgAFwAIgBBAGIAbwB1AHQAOgCsAFIAWABMACAAQQByAHIAYQB5ACAAVQB0AGkAbABpAHQAaQBlAHMAfABcACIAIAAmAFwAbgAgACAAIAAgACAAIAAgACAAIAAgACAAIABcACIArABTAHUAZwBnAGUAcwB0AGUAZAAgAG0AbwBkAHUAbABlACAAbgBhAG0AZQAgAD0AIABSAFgATABfAEEAcgByAGEAeQB8AFwAIgAgACYAXABuACAAIAAgACAAIAAgACAAIAAgACAAIAAgAFwAIgBWAGUAcgBzAGkAbwBuADoArAB2ADEALgAwADIAIAAgACgASgB1AGwALQAyADAAMgA1ACkAfABcACIAIAAmAFwAbgAgACAAIAAgACAAIAAgACAAIAAgACAAIABcACIAQQB1AHQAaABvAHIAOgCsAFIAIABTAGkAbABrACwAIABSAFgATAAgAEQAZQB2AGUAbABvAHAAbQBlAG4AdAB8AFwAIgAgACYAXABuACAAIAAgACAAIAAgACAAIAAgACAAIAAgAFwAIgBVAFIATAA6AKwAaAB0AHQAcABzADoALwAvAGcAaQBzAHQALgBnAGkAdABoAHUAYgAuAGMAbwBtAC8AcgAtAHMAaQBsAGsALwBjAGEAMgBlAGMAZQBmADUAMwAyADMANQA5ADcAOABmADgAYgAxADgAYwA1AGUAYwBjADgAZgBmADQAZgBiADMAfABcACIAJgBcAG4AIAAgACAAIAAgACAAIAAgACAAIAAgACAAXAAiAKwAfABcACIAIAAmAFwAbgAgACAAIAAgACAAIAAgACAAIAAgACAAIABcACIARgB1AG4AYwB0AGkAbwBuAKwARABlAHMAYwByAGkAcAB0AGkAbwBuAHwAXAAiACAAJgBcAG4AIAAgACAAIAAgACAAIAAgACAAIAAgACAAXAAiADAAIAAtACAAQQBiAG8AdQB0AKwAUAByAG8AdgBpAGQAZQBzACAAaQBuAGYAbwByAG0AYQB0AGkAbwBuACAAYQBiAG8AdQB0ACAAdABoAGUAIABmAHUAbgBjAHQAaQBvAG4AcwAgAGkAbgAgAHQAaABpAHMAIABtAG8AZAB1AGwAZQB8AFwAIgAgACYAXABuACAAIAAgACAAIAAgACAAIAAgACAAIAAgAFwAIgAxACAALQAgAEkAbgBzAGUAcgB0AKwASQBuAHMAZQByAHQAcwAgAG4AZQB3ACAAcgBvAHcAcwAgAG8AcgAgAGMAbwBsAHUAbQBuAHMAIABpAG4AdABvACAAYQBuACAAaQBuAHAAdQB0ACAAYQByAHIAYQB5ACAAYQB0ACAAcwBwAGUAYwBpAGYAaQBlAGQAIABwAG8AcwBpAHQAaQBvAG4AcwB8AFwAIgAgACYAXABuACAAIAAgACAAIAAgACAAIAAgACAAIAAgAFwAIgAyACAALQAgAFIAZQBtAG8AdgBlAKwAUgBlAG0AbwB2AGUAcwAgAGMAaABvAHMAZQBuACAAcgBvAHcAcwAgAGEAbgBkAC8AbwByACAAYwBvAGwAdQBtAG4AcwAgAGYAcgBvAG0AIABhAG4AIABpAG4AcAB1AHQAIABhAHIAcgBhAHkAfABcACIAIAAmAFwAbgAgACAAIAAgACAAIAAgACAAIAAgACAAIABcACIAMwAgAC0AIABSAGUAdgBlAHIAcwBlAKwAUgBlAHYAZQByAHMAZQBzACAAdABoAGUAIABvAHIAZABlAHIAIABvAGYAIABpAHQAZQBtAHMAIABpAG4AIABhAG4AIABpAG4AcAB1AHQAIABhAHIAcgBhAHkAfABcACIAIAAmAFwAbgAgACAAIAAgACAAIAAgACAAIAAgACAAIABcACIANAAgAC0AIABSAGEAbgBkAG8AbQBTAG8AcgB0AKwAUwBvAHIAdABzACAAdABoAGUAIAB2AGEAbAB1AGUAcwAgAGkAbgAgAGEAbgAgAGkAbgBwAHUAdAAgAGEAcgByAGEAeQAgAGkAbgB0AG8AIABhACAAcgBhAG4AZABvAG0AIABvAHIAZABlAHIAXAAiACwAXABuACAAIAAgACAAIAAgACAAIAAgACAAIAAgAFwAIgCsAFwAIgAsACAAXAAiAHwAXAAiACkALABcAG4AIAAgACAAIAAgACAAIAAgACAAIAAgACAAXAAiAFwAIgBcAG4AIAAgACAAIAAgACAAIAAgACkALABcAG4AIAAgACAAIAAgACAAIAAgAF8AYQByAHIATgBhAG0AZQBzACwAIABUAEUAWABUAFMAUABMAEkAVAAoAFwAbgAgACAAIAAgACAAIAAgACAAIAAgACAAIABcACIASQBuAHMAZQByAHQApgBcACIAIAAmAFwAbgAgACAAIAAgACAAIAAgACAAIAAgACAAIABcACIAUgBlAG0AbwB2AGUApgBcACIAIAAmAFwAbgAgACAAIAAgACAAIAAgACAAIAAgACAAIABcACIAUgBlAHYAZQByAHMAZQCmAFwAIgAgACYAXABuACAAIAAgACAAIAAgACAAIAAgACAAIAAgAFwAIgBSAGEAbgBkAG8AbQBTAG8AcgB0AFwAIgAsAFwAbgAgACAAIAAgACAAIAAgACAAIAAgACAAIABcACIApgBcACIAXABuACAAIAAgACAAIAAgACAAIAApACwAXABuACAAIAAgACAAIAAgACAAIABfAGEAcgByAEgAZQBsAHAALAAgAFQARQBYAFQAUwBQAEwASQBUACgAXABuACAAIAAgACAAIAAgACAAIAAgACAAIAAgAFwAIgBOAEEATQBFADoArABJAG4AcwBlAHIAdAB8AFwAIgAgACYAXABuACAAIAAgACAAIAAgACAAIAAgACAAIAAgAFwAIgBEAEUAUwBDAFIASQBQAFQASQBPAE4AOgCsAEkAbgBzAGUAcgB0AHMAIABuAGUAdwAgAHIAbwB3AHMAIABvAHIAIABjAG8AbAB1AG0AbgBzACAAaQBuAHQAbwAgAGEAbgAgAGkAbgBwAHUAdAAgAGEAcgByAGEAeQAgAGEAdAAgAHMAcABlAGMAaQBmAGkAZQBkACAAcABvAHMAaQB0AGkAbwBuAHMAfABcACIAIAAmAFwAbgAgACAAIAAgACAAIAAgACAAIAAgACAAIABcACIAVgBFAFIAUwBJAE8ATgA6AKwAdgAxAC4AMAA0ACAAKAAzADEALQBKAHUAbAAtADIAMAAyADUAKQB8AFwAIgAgACYAXABuACAAIAAgACAAIAAgACAAIAAgACAAIAAgAFwAIgBQAEEAUgBBAE0ARQBUAEUAUgBTADoArAB8AFwAIgAgACYAXABuACAAIAAgACAAIAAgACAAIAAgACAAIAAgAFwAIgBhAHIAcgBhAHkArAAoAHIAZQBxAHUAaQByAGUAZAApACAAbwByAGkAZwBpAG4AYQBsACAAYQByAHIAYQB5ACAAdABvACAAdwBoAGkAYwBoACAAbgBlAHcAIAByAG8AdwBzACAAbwByACAAYwBvAGwAdQBtAG4AcwAgAGEAcgBlACAAYQBkAGQAZQBkAHwAXAAiACAAJgBcAG4AIAAgACAAIAAgACAAIAAgACAAIAAgACAAXAAiAGkAbgBzAGUAcgB0AF8AaQBuAGQAZQB4AKwAKAByAGUAcQB1AGkAcgBlAGQAKQAgAHQAaABlACAAcgBlAGwAYQB0AGkAdgBlACAAcgBvAHcALwBjAG8AbAB1AG0AbgAgAG4AdQBtAGIAZQByACgAcwApACAAbwBmACAAdwBoAGUAcgBlACAAdABvACAAaQBuAHMAZQByAHQAIABuAGUAdwAgAHIAbwB3AHMALwBjAG8AbAB1AG0AbgBzAHwAXAAiACAAJgBcAG4AIAAgACAAIAAgACAAIAAgACAAIAAgACAAXAAiAGkAbgBzAGUAcgB0AF8AaQBuAHAAdQB0AHMArAAoAG8AcAB0AGkAbwBuAGEAbAApACAAdABoAGUAIAB2AGEAbAB1AGUAKABzACkAIAB0AG8AIABiAGUAIABpAG4AcwBlAHIAdABlAGQAIABpAG4AdABvACAAdABoAGUAIABhAHIAcgBhAHkAIAAoAHMAaQBuAGcAbABlACAAdgBhAGwAdQBlACAAbwByACAAYQByAHIAYQB5ACkAfABcACIAIAAmAFwAbgAgACAAIAAgACAAIAAgACAAIAAgACAAIABcACIAaQBuAHMAZQByAHQAXwBhAGYAdABlAHIArAAoAG8AcAB0AGkAbwBuAGEAbAApACAAYwBoAG8AbwBzAGUAIAB0AG8AIABpAG4AcwBlAHIAdAAgAG4AZQB3ACAAcgBvAHcAcwAvAGMAbwBsAHUAbQBuAHMAIABiAGUAZgBvAHIAZQAgAG8AcgAgAGEAZgB0AGUAcgAgAHQAaABlACAAaQBuAGQAZQB4ACAAbgB1AG0AYgBlAHIAIAAoAFQAcgB1AGUALwBGAGEAbABzAGUAKQB8AFwAIgAgACYAXABuACAAIAAgACAAIAAgACAAIAAgACAAIAAgAFwAIgBpAG4AcwBlAHIAdABfAGMAbwBsAHUAbQBuAHMArAAoAG8AcAB0AGkAbwBuAGEAbAApACAAYwBoAG8AbwBzAGUAIAB0AG8AIABpAG4AcwBlAHIAdAAgAG4AZQB3ACAAYwBvAGwAdQBtAG4AcwAgACgAVAByAHUAZQApACAAbwByACAAYwBvAGwAdQBtAG4AcwAgACgARgBhAGwAcwBlACkAfABcACIAIAAmAFwAbgAgACAAIAAgACAAIAAgACAAIAAgACAAIABcACIAYQBzAF8AaQBuAGQAaQB2AGkAZAB1AGEAbACsACgAbwBwAHQAaQBvAG4AYQBsACkAIABjAGgAbwBvAHMAZQAgAHQAbwAgAGkAbgBzAGUAcgB0ACAAaQBuAGQAaQB2AGkAZAB1AGEAbAAgAHYAYQBsAHUAZQBzAC8AcgBvAHcAcwAvAGMAbwBsAHUAbQBuAHMAIABmAHIAbwBtACAAdABoAGUAIABpAG4AcwBlAHIAdABfAGkAbgBwAHUAdABzACAAKABUAHIAdQBlAC8ARgBhAGwAcwBlACkAfABcACIAIAAmAFwAbgAgACAAIAAgACAAIAAgACAAIAAgACAAIABcACIAcgBlAHAAbABhAGMAZQBfAG4AYQCsACgAbwBwAHQAaQBvAG4AYQBsACkAIABjAGgAbwBvAHMAZQAgAHcAaABlAHQAaABlAHIAIAB0AG8AIAByAGUAcABsAGEAYwBlACAAIwBOAC8AQQAgAHYAYQBsAHUAZQBzACAAaQBuACAAdABoAGUAIABmAHUAbgBjAHQAaQBvAG4AIABvAHUAdABwAHUAdAAgAHcAaQB0AGgAIABhACAAZABpAGYAZgBlAHIAZQBuAHQAIAB2AGEAbAB1AGUAXAAiACAAJgBcAG4AIAAgACAAIAAgACAAIAAgACAAIAAgACAAXAAiAKYAXAAiACAAJgBcAG4AIAAgACAAIAAgACAAIAAgACAAIAAgACAAXAAiAE4AQQBNAEUAOgCsAFIAZQBtAG8AdgBlAHwAXAAiACAAJgBcAG4AIAAgACAAIAAgACAAIAAgACAAIAAgACAAXAAiAEQARQBTAEMAUgBJAFAAVABJAE8ATgA6AKwAUgBlAG0AbwB2AGUAcwAgAGMAaABvAHMAZQBuACAAcgBvAHcAcwAgAGEAbgBkAC8AbwByACAAYwBvAGwAdQBtAG4AcwAgAGYAcgBvAG0AIABhAG4AIABpAG4AcAB1AHQAIABhAHIAcgBhAHkAfABcACIAIAAmAFwAbgAgACAAIAAgACAAIAAgACAAIAAgACAAIABcACIAVgBFAFIAUwBJAE8ATgA6AKwAdgAxAC4AMAAzACAAKAAzADEALQBKAHUAbAAtADIAMAAyADUAKQB8AFwAIgAgACYAXABuACAAIAAgACAAIAAgACAAIAAgACAAIAAgAFwAIgBQAEEAUgBBAE0ARQBUAEUAUgBTADoArAB8AFwAIgAgACYAXABuACAAIAAgACAAIAAgACAAIAAgACAAIAAgAFwAIgBhAHIAcgBhAHkArAAoAHIAZQBxAHUAaQByAGUAZAApACAAbwByAGkAZwBpAG4AYQBsACAAYQByAHIAYQB5ACAAZgByAG8AbQAgAHcAaABpAGMAaAAgAHIAbwB3AHMAIABhAG4AZAAvAG8AcgAgAGMAbwBsAHUAbQBuAHMAIABhAHIAZQAgAHIAZQBtAG8AdgBlAGQAfABcACIAIAAmAFwAbgAgACAAIAAgACAAIAAgACAAIAAgACAAIABcACIAcgBlAG0AbwB2AGUAXwByAG8AdwBzAKwAKABvAHAAdABpAG8AbgBhAGwAKQAgAHQAaABlACAAcgBlAGwAYQB0AGkAdgBlACAAcgBvAHcAIABuAHUAbQBiAGUAcgAoAHMAKQAgAG8AZgAgAHQAaABlACAAcgBvAHcAcwAgAHQAbwAgAHIAZQBtAG8AdgBlAHwAXAAiACAAJgBcAG4AIAAgACAAIAAgACAAIAAgACAAIAAgACAAXAAiAHIAZQBtAG8AdgBlAF8AYwBvAGwAcwCsACgAbwBwAHQAaQBvAG4AYQBsACkAIAB0AGgAZQAgAHIAZQBsAGEAdABpAHYAZQAgAGMAbwBsAHUAbQBuACAAbgB1AG0AYgBlAHIAKABzACkAIABvAGYAIAB0AGgAZQAgAGMAbwBsAHUAbQBuAHMAIAB0AG8AIAByAGUAbQBvAHYAZQB8AFwAIgAgACYAXABuACAAIAAgACAAIAAgACAAIAAgACAAIAAgAFwAIgBpAGYAXwBlAG0AcAB0AHkArAAoAG8AcAB0AGkAbwBuAGEAbAApACAAYQAgAHYAYQBsAHUAZQAgAHcAaABpAGMAaAAgAGkAcwAgAG8AdQB0AHAAdQB0ACAAaQBuACAAcABsAGEAYwBlACAAbwBmACAAYQBuACAAZQBtAHAAdAB5ACAAYQByAHIAYQB5AFwAIgAgACYAXABuACAAIAAgACAAIAAgACAAIAAgACAAIAAgAFwAIgCmAFwAIgAgACYAXABuACAAIAAgACAAIAAgACAAIAAgACAAIAAgAFwAIgBOAEEATQBFADoArABSAGUAdgBlAHIAcwBlAHwAXAAiACAAJgBcAG4AIAAgACAAIAAgACAAIAAgACAAIAAgACAAXAAiAEQARQBTAEMAUgBJAFAAVABJAE8ATgA6AKwAUgBlAHYAZQByAHMAZQBzACAAdABoAGUAIABvAHIAZABlAHIAIABvAGYAIABpAHQAZQBtAHMAIABpAG4AIABhAG4AIABpAG4AcAB1AHQAIABhAHIAcgBhAHkAfABcACIAIAAmAFwAbgAgACAAIAAgACAAIAAgACAAIAAgACAAIABcACIAVgBFAFIAUwBJAE8ATgA6AKwAdgAxAC4AMAAwACAAKAAwADEALQBBAHUAZwAtADIAMAAyADUAKQB8AFwAIgAgACYAXABuACAAIAAgACAAIAAgACAAIAAgACAAIAAgAFwAIgBQAEEAUgBBAE0ARQBUAEUAUgBTADoArAB8AFwAIgAgACYAXABuACAAIAAgACAAIAAgACAAIAAgACAAIAAgAFwAIgBhAHIAcgBhAHkArAAoAHIAZQBxAHUAaQByAGUAZAApACAAbwByAGkAZwBpAG4AYQBsACAAYQByAHIAYQB5ACAAZgBvAHIAIAB3AGgAaQBjAGgAIAB0AGgAZQAgAG8AcgBkAGUAcgAgAG8AZgAgAGkAdABlAG0AcwAgAGkAcwAgAHQAbwAgAGIAZQAgAHIAZQB2AGUAcgBzAGUAZAB8AFwAIgAgACYAXABuACAAIAAgACAAIAAgACAAIAAgACAAIAAgAFwAIgBiAHkAXwByAG8AdwCsACgAbwBwAHQAaQBvAG4AYQBsACkAIABjAGgAbwBvAHMAZQAgAHcAaABlAHQAaABlAHIAIAB0AG8AIAByAGUAdgBlAHIAcwBlACAAdABoAGUAIABhAHIAcgBhAHkAIAByAG8AdwAgAG8AcgBkAGUAcgAgAG8AcgAgAHQAaABlACAAYwBvAGwAdQBtAG4AIABvAHIAZABlAHIAIABpAG4AIAB0AGgAZQAgAG8AdQB0AHAAdQB0ACAAKABUAHIAdQBlAC8ARgBhAGwAcwBlACkAXAAiACAAJgBcAG4AIAAgACAAIAAgACAAIAAgACAAIAAgACAAXAAiAKYAXAAiACAAJgBcAG4AIAAgACAAIAAgACAAIAAgACAAIAAgACAAXAAiAE4AQQBNAEUAOgCsAFIAYQBuAGQAbwBtAFMAbwByAHQAfABcACIAIAAmAFwAbgAgACAAIAAgACAAIAAgACAAIAAgACAAIABcACIARABFAFMAQwBSAEkAUABUAEkATwBOADoArABTAG8AcgB0AHMAIAB0AGgAZQAgAHYAYQBsAHUAZQBzACAAaQBuACAAYQBuACAAaQBuAHAAdQB0ACAAYQByAHIAYQB5ACAAaQBuAHQAbwAgAGEAIAByAGEAbgBkAG8AbQAgAG8AcgBkAGUAcgB8AFwAIgAgACYAXABuACAAIAAgACAAIAAgACAAIAAgACAAIAAgAFwAIgBWAEUAUgBTAEkATwBOADoArAB2ADEALgAwADEAIAAoADMAMAAtAEoAdQBsAC0AMgAwADIANQApAHwAXAAiACAAJgBcAG4AIAAgACAAIAAgACAAIAAgACAAIAAgACAAXAAiAFAAQQBSAEEATQBFAFQARQBSAFMAOgCsAHwAXAAiACAAJgBcAG4AIAAgACAAIAAgACAAIAAgACAAIAAgACAAXAAiAGEAcgByAGEAeQCsACgAcgBlAHEAdQBpAHIAZQBkACkAIABhAHIAcgBhAHkAIABvAGYAIAB2AGEAbAB1AGUAcwAgAHQAbwAgAGIAZQAgAHMAbwByAHQAZQBkACAAaQBuAHQAbwAgAGEAIAByAGEAbgBkAG8AbQAgAG8AcgBkAGUAcgB8AFwAIgAgACYAXABuACAAIAAgACAAIAAgACAAIAAgACAAIAAgAFwAIgBiAHkAXwByAG8AdwCsACgAbwBwAHQAaQBvAG4AYQBsACkAIABjAGgAbwBvAHMAZQAgAHQAbwAgAHMAbwByAHQAIABvAG4AIABhACAAZgB1AGwAbAAgAHIAbwB3ACAAYgBhAHMAaQBzACAAbwByACAAZgB1AGwAbAAgAGMAbwBsAHUAbQBuACAAYgBhAHMAaQBzACAAKABUAHIAdQBlAC8ARgBhAGwAcwBlACkAXAAiACwAXABuACAAIAAgACAAIAAgACAAIAAgACAAIAAgAFwAIgCmAFwAIgBcAG4AIAAgACAAIAAgACAAIAAgACkALABcAG4AIAAgACAAIAAgACAAIAAgAF8AYQByAHIATwB1AHQALAAgAEkARgAoAF8AbgB1AG0AIAA9ACAAXAAiACMAXAAiACwAXABuACAAIAAgACAAIAAgACAAIAAgACAAIAAgAEwARQBUACgAXABuACAAIAAgACAAIAAgACAAIAAgACAAIAAgACAAIAAgACAAIABfAGkAZAB4ACwAIABTAFUATQAoACAAUwBFAFEAVQBFAE4AQwBFACgAMQAsACAAQwBPAFUATgBUAEEAKABfAGEAcgByAE4AYQBtAGUAcwApACkAIAAqACAAKABfAGEAcgByAE4AYQBtAGUAcwAgAD0AIABzAGUAbABlAGMAdABfAGYAdQBuAGMAdABpAG8AbgApACkALABcAG4AIAAgACAAIAAgACAAIAAgACAAIAAgACAAIAAgACAAIAAgAEkARgAoAF8AaQBkAHgAIAA+ACAAMAAsACAAVABFAFgAVABTAFAATABJAFQAKAAgAEkATgBEAEUAWAAoAF8AYQByAHIASABlAGwAcAAsACAAXwBpAGQAeAApACwAIABcACIArABcACIALAAgAFwAIgB8AFwAIgApACwAIABcACIAIwBbAEUAcgByAG8AcgA6ACAAbgBhAG0AZQAgAG4AbwB0ACAAcgBlAGMAbwBnAG4AaQBzAGUAZABdAFwAIgApAFwAbgAgACAAIAAgACAAIAAgACAAIAAgACAAIAApACwAXABuACAAIAAgACAAIAAgACAAIAAgACAAIAAgAEkARgAoAF8AbgB1AG0AIAA8AD4AIAAwACwAIABJAEYARQBSAFIATwBSACgAIABUAEUAWABUAFMAUABMAEkAVAAoACAASQBOAEQARQBYACgAXwBhAHIAcgBIAGUAbABwACwAIABfAG4AdQBtACkALAAgAFwAIgCsAFwAIgAsACAAXAAiAHwAXAAiACkALAAgAFwAIgAjAFsARQByAHIAbwByADoAIABpAG4AZABlAHgAIABuAG8AdAAgAHIAZQBjAG8AZwBuAGkAcwBlAGQAXQBcACIAKQAsAFwAbgAgACAAIAAgACAAIAAgACAAIAAgACAAIABcACIAXAAiACkAXABuACAAIAAgACAAIAAgACAAIAApACwAXABuACAAIAAgACAAIAAgACAAIABJAEYAKABfAGEAcgByAEQAZQBmACAAPQAgAFwAIgBcACIALAAgAF8AYQByAHIATwB1AHQALAAgAF8AYQByAHIARABlAGYAKQBcAG4AIAAgACAAIAApAFwAbgApADsAXABuAFwAbgAvACoAXABuACAAIAAgACAATgBhAG0AZQA6ACAAIAAgACAAIAAgACAAIABJAG4AcwBlAHIAdAAoACkAXABuACAAIAAgACAAVgBlAHIAcwBpAG8AbgA6ACAAIAAgACAAIAAxAC4AMAA0ACAAKAAzADEALQBKAHUAbAAtADIAMAAyADUAKQAgAC0ALQAgAFIAIABTAGkAbABrACwAIABSAFgATAAgAEQAZQB2AGUAbABvAHAAbQBlAG4AdABcAG4AIAAgACAAIABEAGUAcwBjAHIAaQBwAHQAaQBvAG4AOgAgACoALwAvACoAKgBJAG4AcwBlAHIAdABzACAAbgBlAHcAIAByAG8AdwBzACAAbwByACAAYwBvAGwAdQBtAG4AcwAgAGkAbgB0AG8AIABhAG4AIABpAG4AcAB1AHQAIABhAHIAcgBhAHkAIABhAHQAIABzAHAAZQBjAGkAZgBpAGUAZAAgAHAAbwBzAGkAdABpAG8AbgBzADsAIAB1AHMAZQBzACAAcgBlAGwAYQB0AGkAdgBlACAAcgBvAHcALwBjAG8AbAB1AG0AbgAgAGkAbgBkAGUAeAAgAG4AdQBtAGIAZQByAHMAKgAvAC8AKgBcAG4AIAAgACAAIABQAGEAcgBhAG0AZQB0AGUAcgBzADoAXABuACAAIAAgACAAIAAgACAAIAArACAAYQByAHIAYQB5ACAAIAAgACAAIAAgACAAIAAgACAAPQAgACgAcgBlAHEAdQBpAHIAZQBkACkAIABvAHIAaQBnAGkAbgBhAGwAIABhAHIAcgBhAHkAIAB0AG8AIAB3AGgAaQBjAGgAIABuAGUAdwAgAHIAbwB3AHMAIABvAHIAIABjAG8AbAB1AG0AbgBzACAAaQBzACAAdABvACAAYgBlACAAYQBkAGQAZQBkAFwAbgAgACAAIAAgACAAIAAgACAAKwAgAGkAbgBzAGUAcgB0AF8AaQBuAGQAZQB4ACAAIAAgAD0AIAAoAHIAZQBxAHUAaQByAGUAZAApACAAdABoAGUAIAByAGUAbABhAHQAaQB2AGUAIAByAG8AdwAgAG8AcgAgAGMAbwBsAHUAbQBuACAAbgB1AG0AYgBlAHIAKABzACkAIABpAG4AZABpAGMAYQB0AGkAbgBnACAAdwBoAGUAcgBlACAAbgBlAHcAIAByAG8AdwBzAC8AYwBvAGwAdQBtAG4AcwAgAHMAaABvAHUAbABkACAAYgBlACAAaQBuAHMAZQByAHQAZQBkAFwAbgAgACAAIAAgACAAIAAgACAAIAAgACAAIAAgACAAIAAgACAAIAAgACAAIAAgACAAIAAgACAAIAAgACAAIAAgACAAIAAgACAAIAAgACAAVABoAGUAIAB2AGEAbAB1AGUAcwAgAHMAaABvAHUAbABkACAAYgBlACAAdwBoAG8AbABlACAAdgBhAGwAdQBlAHMAIAAoAGkAbgB0AGUAZwBlAHIAcwApACAAYQBuAGQAIABjAGEAbgAgAGIAZQAgAHAAbwBzAGkAdABpAHYAZQAgAG8AcgAgAG4AZQBnAGEAdABpAHYAZQA6AFwAbgAgACAAIAAgACAAIAAgACAAIAAgACAAIAAgACAAIAAgACAAIAAgACAAIAAgACAAIAAgACAAIAAgACAAIAAgACAAIAAgACAAIAAgACAAIAAgAC0APgAgAHAAbwBzAGkAdABpAHYAZQAgAHYAYQBsAHUAZQBzACAAKAArADEAKQAgAGkAbgBkAGkAYwBhAHQAZQAgAGMAbwB1AG4AdABpAG4AZwAgAG8AZgAgAHIAZQBsAGEAdABpAHYAZQAgAHIAbwB3AC8AYwBvAGwAdQBtAG4AIABmAHIAbwBtACAAdABoAGUAIABzAHQAYQByAHQAIABvAGYAIAB0AGgAZQAgAGEAcgByAGEAeQAgACgAdABvAHAALwBsAGUAZgB0ACkAXABuACAAIAAgACAAIAAgACAAIAAgACAAIAAgACAAIAAgACAAIAAgACAAIAAgACAAIAAgACAAIAAgACAAIAAgACAAIAAgACAAIAAgACAAIAAgACAALQA+ACAAbgBlAGcAYQB0AGkAdgBlACAAdgBhAGwAdQBlAHMAIAAoAC0AMQApACAAaQBuAGQAaQBjAGEAdABlACAAYwBvAHUAbgB0AGkAbgBnACAAbwBmACAAcgBlAGwAYQB0AGkAdgBlACAAcgBvAHcALwBjAG8AbAB1AG0AbgAgAGYAcgBvAG0AIAB0AGgAZQAgAGUAbgBkACAAbwBmACAAdABoAGUAIABhAHIAcgBhAHkAIAAoAGIAbwB0AHQAbwBtAC8AcgBpAGcAaAB0ACkAXABuACAAIAAgACAAIAAgACAAIAArACAAaQBuAHMAZQByAHQAXwBpAG4AcAB1AHQAcwAgACAAPQAgACgAbwBwAHQAaQBvAG4AYQBsACkAIAB0AGgAZQAgAHYAYQBsAHUAZQAoAHMAKQAgAHQAbwAgAGIAZQAgAGkAbgBzAGUAcgB0AGUAZAAgAGkAbgB0AG8AIAB0AGgAZQAgAGEAcgByAGEAeQA7ACAAYwBhAG4AIABiAGUAIABhACAAcwBpAG4AZwBsAGUAIAB2AGEAbAB1AGUAIABvAHIAIABhAG4AIABhAHIAcgBhAHkAIABvAGYAIAB2AGEAbAB1AGUAcwBcAG4AIAAgACAAIAAgACAAIAAgACAAIAAgACAAIAAgACAAIAAgACAAIAAgACAAIAAgACAAIAAgACAAIAAgACAAIAAgACAAIAAgACAAIAAgAFQAaABlACAAdgBhAGwAdQBlACgAcwApACAAYwBhAG4AIABiAGUAIABvAGYAIABhAG4AeQAgAGQAYQB0AGEAIAB0AHkAcABlACwAIABiAHUAdAAgAHMAaABvAHUAbABkACAAbgBvAHQAIABiAGUAIABhAG4AIABFAHgAYwBlAGwAIABlAHIAcgBvAHIAIAB2AGEAbAB1AGUAXABuACAAIAAgACAAIAAgACAAIAArACAAaQBuAHMAZQByAHQAXwBhAGYAdABlAHIAIAAgACAAPQAgACgAbwBwAHQAaQBvAG4AYQBsACkAIABkAGUAdABlAHIAbQBpAG4AZQBzACAAdwBoAGUAdABoAGUAcgAgAHQAaABlACAAbgBlAHcAIAByAG8AdwAoAHMAKQAvAGMAbwBsAHUAbQBuACgAcwApACAAYQByAGUAIABpAG4AcwBlAHIAdABlAGQAIABiAGUAZgBvAHIAZQAgACgAZABlAGYAYQB1AGwAdAApACAAbwByACAAYQBmAHQAZQByACAAdABoAGUAIABzAHAAZQBjAGkAZgBpAGUAZAAgAHIAZQBsAGEAdABpAHYAZQAgAHIAbwB3AC8AYwBvAGwAdQBtAG4AIABuAHUAbQBiAGUAcgAoAHMAKQBcAG4AIAAgACAAIAAgACAAIAAgACAAIAAgACAAIAAgACAAIAAgACAAIAAgACAAIAAgACAAIAAgACAAIAAgACAAIAAgACAAIAAgACAAIAAgAEMAYQBuACAAYgBlACAAaQBuAHAAdQB0ACAAYQBzACAAZQBpAHQAaABlAHIAIABhACAAdwBoAG8AbABlACAAbgB1AG0AYgBlAHIAIABvAHIAIABhACAAbABvAGcAaQBjAGEAbAAgACgAQgBvAG8AbABlAGEAbgApACAAdgBhAGwAdQBlAFwAbgAgACAAIAAgACAAIAAgACAAIAAgACAAIAAgACAAIAAgACAAIAAgACAAIAAgACAAIAAgACAAIAAgACAAIAAgACAAIAAgACAAIAAgACAAIAAgADAALwBGAEEATABTAEUAIAA9ACAAKABkAGUAZgBhAHUAbAB0ACkAIABpAG4AcwBlAHIAdAAgAGIAZQBmAG8AcgBlACAAcwBwAGUAYwBpAGYAaQBlAGQAIABpAG4AZABlAHgAIAB2AGEAbAB1AGUAXABuACAAIAAgACAAIAAgACAAIAAgACAAIAAgACAAIAAgACAAIAAgACAAIAAgACAAIAAgACAAIAAgACAAIAAgACAAIAAgACAAIAAgACAAIAAgACAAMQAvAFQAUgBVAEUAIAAgAD0AIABpAG4AcwBlAHIAdAAgAGEAZgB0AGUAcgAgAHMAcABlAGMAaQBmAGkAZQBkACAAaQBuAGQAZQB4ACAAdgBhAGwAdQBlAFwAbgAgACAAIAAgACAAIAAgACAAKwAgAGkAbgBzAGUAcgB0AF8AYwBvAGwAdQBtAG4AcwAgAD0AIAAoAG8AcAB0AGkAbwBuAGEAbAApACAAZABlAHQAZQByAG0AaQBuAGUAcwAgAHcAaABlAHQAaABlAHIAIAB0AGgAZQAgAGkAbgBzAGUAcgB0AF8AaQBuAHAAdQB0AHMAIAB2AGEAbAB1AGUAcwAgAGEAcgBlACAAaQBuAHMAZQByAHQAZQBkACAAYQBzACAAbgBlAHcAIAByAG8AdwBzACAAbwByACAAYwBvAGwAdQBtAG4AcwBcAG4AIAAgACAAIAAgACAAIAAgACAAIAAgACAAIAAgACAAIAAgACAAIAAgACAAIAAgACAAIAAgACAAIAAgACAAIAAgACAAIAAgACAAIAAgAEMAYQBuACAAYgBlACAAaQBuAHAAdQB0ACAAYQBzACAAZQBpAHQAaABlAHIAIABhACAAdwBoAG8AbABlACAAbgB1AG0AYgBlAHIAIABvAHIAIABhACAAbABvAGcAaQBjAGEAbAAgACgAQgBvAG8AbABlAGEAbgApACAAdgBhAGwAdQBlAFwAbgAgACAAIAAgACAAIAAgACAAIAAgACAAIAAgACAAIAAgACAAIAAgACAAIAAgACAAIAAgACAAIAAgACAAIAAgACAAIAAgACAAIAAgACAAIAAgADAALwBGAEEATABTAEUAIAA9ACAAKABkAGUAZgBhAHUAbAB0ACkAIABpAG4AcwBlAHIAdAAgAG4AZQB3ACAAcgBvAHcAcwBcAG4AIAAgACAAIAAgACAAIAAgACAAIAAgACAAIAAgACAAIAAgACAAIAAgACAAIAAgACAAIAAgACAAIAAgACAAIAAgACAAIAAgACAAIAAgACAAIAAxAC8AVABSAFUARQAgACAAPQAgAGkAbgBzAGUAcgB0ACAAbgBlAHcAIABjAG8AbAB1AG0AbgBzAFwAbgAgACAAIAAgACAAIAAgACAAKwAgAGEAcwBfAGkAbgBkAGkAdgBpAGQAdQBhAGwAIAAgAD0AIAAoAG8AcAB0AGkAbwBuAGEAbAApACAAZABlAHQAZQByAG0AaQBuAGUAcwAgAHcAaABlAHQAaABlAHIAIAB0AGgAZQAgAHYAYQBsAHUAZQBzACAAZgByAG8AbQAgAHQAaABlACAAaQBuAHMAZQByAHQAXwBpAG4AcAB1AHQAcwAgAGEAcwAgAGkAbgBzAGUAcgB0AGUAZAAgAGkAbgAgAGYAdQBsAGwAIABvAHIAIABhAHMAIABpAG4AZABpAHYAaQBkAHUAYQBsACAAcgBvAHcAcwAvAGMAbwBsAHUAbQBuAHMAXABuACAAIAAgACAAIAAgACAAIAAgACAAIAAgACAAIAAgACAAIAAgACAAIAAgACAAIAAgACAAIAAgACAAIAAgACAAIAAgACAAIAAgACAAIABDAGEAbgAgAGIAZQAgAGkAbgBwAHUAdAAgAGEAcwAgAGUAaQB0AGgAZQByACAAYQAgAHcAaABvAGwAZQAgAG4AdQBtAGIAZQByACAAbwByACAAYQAgAGwAbwBnAGkAYwBhAGwAIAAoAEIAbwBvAGwAZQBhAG4AKQAgAHYAYQBsAHUAZQBcAG4AIAAgACAAIAAgACAAIAAgACAAIAAgACAAIAAgACAAIAAgACAAIAAgACAAIAAgACAAIAAgACAAIAAgACAAIAAgACAAIAAgACAAIAAgACAAIAAwAC8ARgBBAEwAUwBFACAAPQAgACgAZABlAGYAYQB1AGwAdAApACAAewAuAC4ALgB9AFwAbgAgACAAIAAgACAAIAAgACAAIAAgACAAIAAgACAAIAAgACAAIAAgACAAIAAgACAAIAAgACAAIAAgACAAIAAgACAAIAAgACAAIAAgACAAIAAgADEALwBUAFIAVQBFACAAIAA9ACAAaQBuAHMAZQByAHQAIABpAG4AcwBlAHIAdABfAGkAbgBwAHUAdABzACAAdgBhAGwAdQBlAHMAIABhAHMAIABpAG4AZABpAHYAaQBkAHUAYQBsACAAcgBvAHcAcwAvAGMAbwBsAHUAbQBuAHMAXABuACAAIAAgACAAIAAgACAAIAArACAAcgBlAHAAbABhAGMAZQBfAG4AYQAgACAAIAAgACAAPQAgACgAbwBwAHQAaQBvAG4AYQBsACkAIABkAGUAdABlAHIAbQBpAG4AZQBzACAAdwBoAGUAdABoAGUAcgAgAGEAbgB5ACAAIwBOAC8AQQAgAHYAYQBsAHUAZQBzACAAaQBuACAAdABoAGUAIABjAGEAbABjAHUAbABhAHQAZQBkACAAbwB1AHQAcAB1AHQAIABhAHIAZQAgAHIAZQBwAGwAYQBjAGUAZAAgAHcAaQB0AGgAIABnAGkAdgBlAG4AIAB2AGEAbAB1AGUAXABuACAAIAAgACAAIAAgACAAIAAgACAAIAAgACAAIAAgACAAIAAgACAAIAAgACAAIAAgACAAIAAgACAAIAAgACAAIAAgACAAIAAgACAAIABDAGEAbgAgAGIAZQAgAGkAbgBwAHUAdAAgAGEAcwAgAGUAaQB0AGgAZQByACAAYQAgAGwAbwBnAGkAYwBhAGwAIAAoAEIAbwBvAGwAZQBhAG4AKQAgAHYAYQBsAHUAZQAgAG8AcgAgAGEAbgB5ACAAbwB0AGgAZQByACAAdgBhAGwAdQBlAFwAbgAgACAAIAAgACAAIAAgACAAIAAgACAAIAAgACAAIAAgACAAIAAgACAAIAAgACAAIAAgACAAIAAgACAAIAAgACAAIAAgACAAIAAgACAAIAAgAEYAQQBMAFMARQAgACAAPQAgACgAZABlAGYAYQB1AGwAdAApACAAZABvAGUAcwAgAG4AbwB0ACAAcgBlAHAAbABhAGMAZQAgACMATgAvAEEAIAB2AGEAbAB1AGUAcwBcAG4AIAAgACAAIAAgACAAIAAgACAAIAAgACAAIAAgACAAIAAgACAAIAAgACAAIAAgACAAIAAgACAAIAAgACAAIAAgACAAIAAgACAAIAAgACAAIAAgAFQAUgBVAEUAIAAgAD0AIAByAGUAcABsAGEAYwBlAHMAIAAjAE4ALwBBACAAdgBhAGwAdQBlAHMAIAB3AGkAdABoACAAYQAgAHoAZQByAG8AIAAoADAAKQBcAG4AIAAgACAAIAAgACAAIAAgACAAIAAgACAAIAAgACAAIAAgACAAIAAgACAAIAAgACAAIAAgACAAIAAgACAAIAAgACAAIAAgACAAIAAgACAAWwBvAHQAaABlAHIAXQAgAD0AIAByAGUAcABsAGEAYwBlACAAIwBOAC8AQQAgAHYAYQBsAHUAZQBzACAAdwBpAHQAaAAgAGkAbgBwAHUAdAAgAHYAYQBsAHUAZQAgAHAAcgBvAHYAaQBkAGUAZABcAG4AIAAgACAAIABFAHIAcgBvAHIAIABjAG8AZABlAHMAOgBcAG4AIAAgACAAIAAgACAAIAAgACMAVgBBAEwAVQBFACEAIAAgACAAIAAgAD0AIABSAGUAcQB1AGkAcgBlAGQAIABpAG4AcAB1AHQAIABwAGEAcgBhAG0AZQB0AGUAcgBzACAAKABhAHIAcgBhAHkALAAgAGkAbgBzAGUAcgB0AF8AaQBuAGQAZQB4ACkAIABoAGEAdgBlACAAbgBvAHQAIABiAGUAZQBuACAAcAByAG8AdgBpAGQAZQBkAFwAbgAgACAAIAAgACAAIAAgACAAIwBDAEEATABDACEAIAAgACAAIAAgACAAPQAgAFQAaABlACAAaQBuAHAAdQB0ACAAcAByAG8AdgBpAGQAZQBkACAAZgBvAHIAIAB0AGgAZQAgAGEAcgByAGEAeQAgAHAAYQByAGEAbQBlAHQAZQByACAAaQBzACAAaQBuAHYAYQBsAGkAZAAgACgAaQAuAGUALgAgAG4AbwB0ACAAYQBuACAAYQByAHIAYQB5ACAAbwBmACAAbQBvAHIAZQAgAHQAaABhAG4AIABvAG4AZQAgAHYAYQBsAHUAZQApACwAIABvAHIAXABuACAAIAAgACAAIAAgACAAIAAgACAAIAAgACAAIAAgACAAIAAgACAAIAAgACAAdABoAGUAIABpAG4AcAB1AHQAKABzACkAIABwAHIAbwB2AGkAZABlAGQAIABmAG8AcgAgAHQAaABlACAAaQBuAHMAZQByAHQAXwBpAG4AZABlAHgAIABwAGEAcgBhAG0AZQB0AGUAcgAgAGEAcgBlACAAaQBuAHYAYQBsAGkAZABcAG4AIAAgACAAIAAgACAAIAAgACMAVgBBAEwAVQBFACEAIAAgACAAIAAgAD0AIABUAGgAZQAgAGkAbgBwAHUAdAAoAHMAKQAgAHAAcgBvAHYAaQBkAGUAZAAgAGYAbwByACAAdABoAGUAIABpAG4AcwBlAHIAdABfAGkAbgBwAHUAdABzACAAcABhAHIAYQBtAGUAdABlAHIAIABhAHIAZQAgAGkAbgB2AGEAbABpAGQAIAAoAGkALgBlAC4AIABjAG8AbgB0AGEAaQBuAHMAIABhAG4AIABFAHgAYwBlAGwAIABlAHIAcgBvAHIAIAB2AGEAbAB1AGUAKQAsACAAbwByAFwAbgAgACAAIAAgACAAIAAgACAAIAAgACAAIAAgACAAIAAgACAAIAAgACAAIAAgAHQAaABlACAAbwBwAHQAaQBvAG4AYQBsACAAcABhAHIAYQBtAGUAdABlAHIAcwAgAGkAbgBzAGUAcgB0AF8AYQBmAHQAZQByACwAIABpAG4AcwBlAHIAdABfAGMAbwBsAHUAbQBuAHMALAAgAG8AcgAgAGEAcwBfAGkAbgBkAGkAdgBpAGQAdQBhAGwAIABoAGEAdgBlACAAaQBuAHYAYQBsAGkAZAAgAGkAbgBwAHUAdAAgAHYAYQBsAHUAZQBzACAAcAByAG8AdgBpAGQAZQBkAFwAbgAgACAAIAAgACAAIAAgACAAIAAgACAAIAAgACAAIAAgACAAIAAgACAAIAAgACAAIAAgAC0AIABtAHUAcwB0ACAAYgBlACAAZQBpAHQAaABlAHIAIABhACAAbgB1AG0AYgBlAHIAIAAoADAAIABvAHIAIAAxACkAIABvAHIAIABhACAAbABvAGcAaQBjAGEAbAAvAEIAbwBvAGwAZQBhAG4AIAB2AGEAbAB1AGUAIAAoAFQAUgBVAEUALwBGAEEATABTAEUAKQBcAG4AKgAvAFwAbgBJAG4AcwBlAHIAdAAgAD0AIABMAEEATQBCAEQAQQAoAFwAbgAgACAAIAAgAC8ALwAgAFAAYQByAGEAbQBlAHQAZQByACAAZABlAGYAaQBuAGkAdABpAG8AbgBzAFwAbgAgACAAIAAgAGEAcgByAGEAeQAsAFwAbgAgACAAIAAgAGkAbgBzAGUAcgB0AF8AaQBuAGQAZQB4ACwAXABuACAAIAAgACAAWwBpAG4AcwBlAHIAdABfAGkAbgBwAHUAdABzAF0ALABcAG4AIAAgACAAIABbAGkAbgBzAGUAcgB0AF8AYQBmAHQAZQByAF0ALABcAG4AIAAgACAAIABbAGkAbgBzAGUAcgB0AF8AYwBvAGwAdQBtAG4AcwBdACwAXABuACAAIAAgACAAWwBhAHMAXwBpAG4AZABpAHYAaQBkAHUAYQBsAF0ALABcAG4AIAAgACAAIABbAHIAZQBwAGwAYQBjAGUAXwBuAGEAXQAsAFwAbgAgACAAIAAgAC8ALwAgAE0AYQBpAG4AIABmAHUAbgBjAHQAaQBvAG4AIABiAG8AZAB5AC8AYwBhAGwAYwB1AGwAYQB0AGkAbwBuAHMAXABuACAAIAAgACAATABFAFQAKABcAG4AIAAgACAAIAAgACAAIAAgAC8ALwAgAEQAZQBhAGwAaQBuAGcAIAB3AGkAdABoACAAdABoAGUAIAByAGUAcQB1AGkAcgBlAGQAIABwAGEAcgBhAG0AZQB0AGUAcgBzACAAYQBuAGQAIABjAGEAbABjAHUAbABhAHQAaQBuAGcAIAB0AGgAZQAgAGQAaQBtAGUAbgBzAGkAbwBuACAAdgBhAHIAaQBhAGIAbABlAHMAIABuAGUAZQBkAGUAZAAgAGYAbwByACAAdABoAGUAIABtAGEAaQBuACAAYwBhAGwAYwB1AGwAYQB0AGkAbwBuAFwAbgAgACAAIAAgACAAIAAgACAAXwBhAHIAcgAsACAAYQByAHIAYQB5ACwAXABuACAAIAAgACAAIAAgACAAIABfAHIAcgAsACAAUgBPAFcAUwAoAF8AYQByAHIAKQAsAFwAbgAgACAAIAAgACAAIAAgACAAXwBjAGMALAAgAEMATwBMAFUATQBOAFMAKABfAGEAcgByACkALABcAG4AIAAgACAAIAAgACAAIAAgAC8ALwAgAEQAZQBhAGwAaQBuAGcAIAB3AGkAdABoACAAbwBwAHQAaQBvAG4AYQBsACAAcABhAHIAYQBtAGUAdABlAHIAcwAgACYAIABzAGUAdAB0AGkAbgBnACAAZABlAGYAYQB1AGwAdAAgAHYAYQBsAHUAZQBzAFwAbgAgACAAIAAgACAAIAAgACAAXwBpAG4AcAAsACAASQBGACgAIABJAFMATwBNAEkAVABUAEUARAAoAGkAbgBzAGUAcgB0AF8AaQBuAHAAdQB0AHMAKQAsACAAXAAiAKYAXAAiACwAIABpAG4AcwBlAHIAdABfAGkAbgBwAHUAdABzACkALABcAG4AIAAgACAAIAAgACAAIAAgAF8AaQBBAGYAdAAsACAASQBGACgAIABJAFMATwBNAEkAVABUAEUARAAoAGkAbgBzAGUAcgB0AF8AYQBmAHQAZQByACkALAAgADAALAAgAEkATgBUACgAaQBuAHMAZQByAHQAXwBhAGYAdABlAHIAKQApACwAXABuACAAIAAgACAAIAAgACAAIABfAGkAQwBvAGwALAAgAEkARgAoACAASQBTAE8ATQBJAFQAVABFAEQAKABpAG4AcwBlAHIAdABfAGMAbwBsAHUAbQBuAHMAKQAsACAAMAAsACAASQBOAFQAKABpAG4AcwBlAHIAdABfAGMAbwBsAHUAbQBuAHMAKQApACwAXABuACAAIAAgACAAIAAgACAAIABfAGkAZAB2ACwAIABJAEYAKAAgAEkAUwBPAE0ASQBUAFQARQBEACgAYQBzAF8AaQBuAGQAaQB2AGkAZAB1AGEAbAApACwAIAAwACwAIABJAE4AVAAoAGEAcwBfAGkAbgBkAGkAdgBpAGQAdQBhAGwAKQApACwAXABuACAAIAAgACAAIAAgACAAIABfAG4ASQBuAHAALAAgAEkARgAoACAASQBTAE8ATQBJAFQAVABFAEQAKAByAGUAcABsAGEAYwBlAF8AbgBhACkALAAgAEYAQQBMAFMARQAsACAASQBOAEQARQBYACgAcgBlAHAAbABhAGMAZQBfAG4AYQAsACAAMQAsACAAMQApACkALABcAG4AIAAgACAAIAAgACAAIAAgAF8AcgBlAHAALAAgAEkARgAoACAASQBTAEwATwBHAEkAQwBBAEwAKABfAG4ASQBuAHAAKQAsACAASQBGACgAXwBuAEkAbgBwACwAIAAwACwAIABOAEEAKAApACkALAAgAF8AbgBJAG4AcAApACwAXABuACAAIAAgACAAIAAgACAAIAAvAC8AIABBAGQAagB1AHMAdABpAG4AZwAgAGkAbgBzAGUAcgB0AF8AaQBuAGQAZQB4ACAAaQBuAHAAdQB0AHMAIAB0AG8AIABhAGMAYwBvAHUAbgB0ACAAZgBvAHIAIABuAGUAZwBhAHQAaQB2AGUAIABpAG4AcAB1AHQAIAB2AGEAbAB1AGUAcwBcAG4AIAAgACAAIAAgACAAIAAgAF8AbgB1AG0ALAAgAEkARgAoAF8AaQBDAG8AbAAsACAAXwBjAGMALAAgAF8AcgByACkALABcAG4AIAAgACAAIAAgACAAIAAgAF8AaQBuAHMALAAgAEkATgBUACgAaQBuAHMAZQByAHQAXwBpAG4AZABlAHgAKQAgACsAIABJAEYAKABpAG4AcwBlAHIAdABfAGkAbgBkAGUAeAAgADwAIAAwACwAIABfAG4AdQBtACAAKwAgADEALAAgADAAKQAsAFwAbgAgACAAIAAgACAAIAAgACAALwAvACAASQBuAHAAdQB0ACAAYwBoAGUAYwBrAHMAIABmAG8AcgAgAHQAaABlACAAbwBwAHQAaQBvAG4AYQBsACAAcABhAHIAYQBtAGUAdABlAHIAcwAgAGEAbgBkACAAcgBlAHEAdQBpAHIAZQBkACAAcABhAHIAYQBtAGUAdABlAHIAcwAsACAAcgBlAHQAdQByAG4AaQBuAGcAIAB0AGgAZQAgAF8AaQBuAHAAQwBoAGsAIAB2AGEAbAB1AGUAIABhAHMAIAAxAC0AdABvAC0AMwBcAG4AIAAgACAAIAAgACAAIAAgAF8AaQBuAHAAQwBoAGsALAAgAEkARgAoAFwAbgAgACAAIAAgACAAIAAgACAAIAAgACAAIABPAFIAKABcAG4AIAAgACAAIAAgACAAIAAgACAAIAAgACAAIAAgACAAIABBAE4ARAAoAF8AcgByACAAPAA9ACAAMQAsACAAXwBjAGMAIAA8AD0AIAAxACkALABcAG4AIAAgACAAIAAgACAAIAAgACAAIAAgACAAIAAgACAAIABTAFUATQAoAC0ALQBJAFMARQBSAFIATwBSACgAXwBpAG4AcwApACkAIAA+ACAAMABcAG4AIAAgACAAIAAgACAAIAAgACAAIAAgACAAKQAsACAAMgAsACAASQBGACgAXABuACAAIAAgACAAIAAgACAAIAAgACAAIAAgAE8AUgAoAFwAbgAgACAAIAAgACAAIAAgACAAIAAgACAAIAAgACAAIAAgAFMAVQBNACgALQAtAEkAUwBFAFIAUgBPAFIAKABfAGkAbgBwACkAKQAgAD4AIAAwACwAXABuACAAIAAgACAAIAAgACAAIAAgACAAIAAgACAAIAAgACAAUgBFAEQAVQBDAEUAKAAwACwAIABWAFMAVABBAEMASwAoAF8AaQBBAGYAdAAsAF8AaQBDAG8AbAAsAF8AaQBkAHYAKQAsACAATABBAE0AQgBEAEEAKABfAGEAYwBjACwAXwB2AGEAbAAsACAAXwBhAGMAYwAgACsAIABJAEYAKABcAG4AIAAgACAAIAAgACAAIAAgACAAIAAgACAAIAAgACAAIAAgACAAIAAgAFMAVQBNACgALQAtAEkAUwBFAFIAUgBPAFIAKABfAHYAYQBsACkAKQAgAD4AIAAwACwAIAAxACwAIABJAEYAKABcAG4AIAAgACAAIAAgACAAIAAgACAAIAAgACAAIAAgACAAIAAgACAAIAAgAE8AUgAoACAATQBJAE4AKABfAHYAYQBsACkAIAA8ACAAMAAsACAATQBBAFgAKABfAHYAYQBsACkAIAA+ACAAMQApACwAIAAxACwAXABuACAAIAAgACAAIAAgACAAIAAgACAAIAAgACAAIAAgACAAIAAgACAAIAAwACkAKQBcAG4AIAAgACAAIAAgACAAIAAgACAAIAAgACAAIAAgACAAIAApACkAIAA+ACAAMABcAG4AIAAgACAAIAAgACAAIAAgACAAIAAgACAAKQAsACAAMwAsACAAMQBcAG4AIAAgACAAIAAgACAAIAAgACkAKQAsAFwAbgAgACAAIAAgACAAIAAgACAALwAvACAAQwBhAGwAYwB1AGwAYQB0AGUAIAB0AGgAZQAgAHIAZQBxAHUAaQByAGUAZAAgAGEAZABkAGkAdABpAG8AbgBhAGwAIAB2AGEAbAB1AGUAcwAgAGEAbgBkACAAdABoAGUAIAByAGUAbABhAHQAaQB2AGUAIAByAG8AdwAgACYAIABjAG8AbAB1AG0AbgAgAG4AdQBtAGIAZQByACAAcwBlAHEAdQBlAG4AYwBlAHMAIABmAG8AcgAgAHUAcwBlAFwAbgAgACAAIAAgACAAIAAgACAALwAvACAAaQBuACAAdABoAGUAIABtAGEAaQBuACAAYwBhAGwAYwB1AGwAYQB0AGkAbwBuACAAKABfAGMAYQBsAGMAKQAsACAAYgBhAHMAZQBkACAAbwBuACAAdABoAGUAIABkAGkAbQBlAG4AcwBpAG8AbgBzACAAbwBmACAAdABoAGUAIABpAG4AcAB1AHQAIABhAHIAcgBhAHkAIAAoAF8AYQByAHIAKQAgAGEAbgBkACAAaQBuAHMAZQByAHQAaQBvAG4AXABuACAAIAAgACAAIAAgACAAIAAvAC8AIABpAG4AcAB1AHQAcwAgACgAXwBpAG4AcAApAFwAbgAgACAAIAAgACAAIAAgACAAXwByAEkAbgBwACwAIABSAE8AVwBTACgAXwBpAG4AcAApACwAXABuACAAIAAgACAAIAAgACAAIABfAGMASQBuAHAALAAgAEMATwBMAFUATQBOAFMAKABfAGkAbgBwACkALABcAG4AIAAgACAAIAAgACAAIAAgAF8AcgBJAGQAeAAsACAAUwBFAFEAVQBFAE4AQwBFACgAUgBPAFcAUwAoAF8AYQByAHIAKQAsACAAMQApACwAXABuACAAIAAgACAAIAAgACAAIABfAGMASQBkAHgALAAgAFMARQBRAFUARQBOAEMARQAoADEALAAgAEMATwBMAFUATQBOAFMAKABfAGEAcgByACkAKQAsAFwAbgAgACAAIAAgACAAIAAgACAALwAvACAAQwBhAGwAYwB1AGwAYQB0AGUAIAB0AGgAZQAgAG0AYQBpAG4AIABmAHUAbgBjAHQAaQBvAG4AIABvAHUAdABwAHUAdAAgAHUAcwBpAG4AZwAgAGMAbwBsAHUAbQBuACAAbwByACAAcgBvAHcAIABpAG4AcwBlAHIAdABpAG8AbgBzACAAYgBhAHMAZQBkACAAbwBuACAAXwBpAEMAbwBsAFwAbgAgACAAIAAgACAAIAAgACAALwAvACAAIAAgAHcAaABlAHIAZQAgAF8AaQBBAGYAdAAgAGkAcwAgAFQAcgB1AGUAIAB0AGgAZQAgAGkAbgBzAGUAcgB0AGUAZAAgAGQAYQB0AGEAIAAoAF8AbgBlAHcAKQAgAHcAaQBsAGwAIABiAGUAIABhAGQAZABlAGQAIABiAGUAZgBvAHIAZQAgAHQAaABlACAAcwBlAGwAZQBjAHQAZQBkACAAYQByAHIAYQB5ACAAaQBuAGQAZQB4ACAAKABfAG8AbABkACkAXABuACAAIAAgACAAIAAgACAAIAAvAC8AIAAgACAAdwBoAGUAcgBlACAAXwBpAEEAZgB0ACAAaQBzACAARgBhAGwAcwBlACAAdABoAGUAIABpAG4AcwBlAHIAdABlAGQAIABkAGEAdABhACAAKABfAG4AZQB3ACkAIAB3AGkAbABsACAAYgBlACAAYQBkAGQAZQBkACAAYgBlAGYAbwByAGUAIAB0AGgAZQAgAHMAZQBsAGUAYwB0AGUAZAAgAGEAcgByAGEAeQAgAGkAbgBkAGUAeAAgACgAXwBvAGwAZAApAFwAbgAgACAAIAAgACAAIAAgACAAXwBjAGEAbABjACwAIABJAEYAKABfAGkAQwBvAGwALABcAG4AIAAgACAAIAAgACAAIAAgACAAIAAgACAALwAvACAAQwBhAGwAYwB1AGwAYQB0AGUAIAB0AGgAZQAgAG8AdQB0AHAAdQB0ACAAYQByAHIAYQB5ACAAdwBpAHQAaAAgAGkAbgBzAGUAcgB0AGUAZAAgAGMAbwBsAHUAbQBuAHMAXABuACAAIAAgACAAIAAgACAAIAAgACAAIAAgAEQAUgBPAFAAKABcAG4AIAAgACAAIAAgACAAIAAgACAAIAAgACAAIAAgACAAIABSAEUARABVAEMARQAoADAALAAgAFMARQBRAFUARQBOAEMARQAoADEALAAgAF8AYwBjACkALAAgAEwAQQBNAEIARABBACgAXwBhAGMAYwAsAF8AdgBhAGwALABcAG4AIAAgACAAIAAgACAAIAAgACAAIAAgACAAIAAgACAAIAAgACAAIAAgAEkARgAoACAASQBTAE4AVQBNAEIARQBSACgAWABNAEEAVABDAEgAKABfAHYAYQBsACwAIABfAGkAbgBzACkAKQAsAFwAbgAgACAAIAAgACAAIAAgACAAIAAgACAAIAAgACAAIAAgACAAIAAgACAAIAAgACAAIABMAEUAVAAoAFwAbgAgACAAIAAgACAAIAAgACAAIAAgACAAIAAgACAAIAAgACAAIAAgACAAIAAgACAAIAAgACAAIAAgAF8AaQBkAHgALAAgAFMARQBRAFUARQBOAEMARQAoAFIATwBXAFMAKABfAGkAbgBwACkALAAgADEAKQAsAFwAbgAgACAAIAAgACAAIAAgACAAIAAgACAAIAAgACAAIAAgACAAIAAgACAAIAAgACAAIAAgACAAIAAgAF8AbgBlAHcALAAgAEkARgAoAF8AaQBkAHYALAAgAEkATgBEAEUAWAAoAF8AaQBuAHAALAAgAF8AaQBkAHgALAAgAE0ATwBEACgAIABYAE0AQQBUAEMASAAoAF8AdgBhAGwALAAgAF8AaQBuAHMAKQAgAC0AIAAxACwAIABfAGMASQBuAHAAKQAgACsAIAAxACkALAAgAF8AaQBuAHAAKQAsAFwAbgAgACAAIAAgACAAIAAgACAAIAAgACAAIAAgACAAIAAgACAAIAAgACAAIAAgACAAIAAgACAAIAAgAF8AbwBsAGQALAAgAEkATgBEAEUAWAAoAF8AYQByAHIALAAgAF8AcgBJAGQAeAAsACAAXwB2AGEAbAApACwAXABuACAAIAAgACAAIAAgACAAIAAgACAAIAAgACAAIAAgACAAIAAgACAAIAAgACAAIAAgACAAIAAgACAAXwAxAHMAdAAsACAASQBGACgAXwBpAEEAZgB0ACwAIABfAG8AbABkACwAIABfAG4AZQB3ACkALABcAG4AIAAgACAAIAAgACAAIAAgACAAIAAgACAAIAAgACAAIAAgACAAIAAgACAAIAAgACAAIAAgACAAIABfADIAbgBkACwAIABJAEYAKABfAGkAQQBmAHQALAAgAF8AbgBlAHcALAAgAF8AbwBsAGQAKQAsAFwAbgAgACAAIAAgACAAIAAgACAAIAAgACAAIAAgACAAIAAgACAAIAAgACAAIAAgACAAIAAgACAAIAAgAEgAUwBUAEEAQwBLACgAXwBhAGMAYwAsACAAXwAxAHMAdAAsACAAXwAyAG4AZAApAFwAbgAgACAAIAAgACAAIAAgACAAIAAgACAAIAAgACAAIAAgACAAIAAgACAAIAAgACAAIAApACwAXABuACAAIAAgACAAIAAgACAAIAAgACAAIAAgACAAIAAgACAAIAAgACAAIAAgACAAIAAgAEgAUwBUAEEAQwBLACgAXwBhAGMAYwAsACAASQBOAEQARQBYACgAXwBhAHIAcgAsACAAXwByAEkAZAB4ACwAIABfAHYAYQBsACkAKQApAFwAbgAgACAAIAAgACAAIAAgACAAIAAgACAAIAAgACAAIAAgACkAKQAsACAALAAgADEAXABuACAAIAAgACAAIAAgACAAIAAgACAAIAAgACkALABcAG4AIAAgACAAIAAgACAAIAAgACAAIAAgACAALwAvACAAQwBhAGwAYwB1AGwAYQB0AGUAIAB0AGgAZQAgAG8AdQB0AHAAdQB0ACAAYQByAHIAYQB5ACAAdwBpAHQAaAAgAGkAbgBzAGUAcgB0AGUAZAAgAHIAbwB3AHMAXABuACAAIAAgACAAIAAgACAAIAAgACAAIAAgAEQAUgBPAFAAKABcAG4AIAAgACAAIAAgACAAIAAgACAAIAAgACAAIAAgACAAIABSAEUARABVAEMARQAoADAALAAgAFMARQBRAFUARQBOAEMARQAoAF8AcgByACwAIAAxACkALAAgAEwAQQBNAEIARABBACgAXwBhAGMAYwAsAF8AdgBhAGwALABcAG4AIAAgACAAIAAgACAAIAAgACAAIAAgACAAIAAgACAAIAAgACAAIAAgAEkARgAoACAASQBTAE4AVQBNAEIARQBSACgAWABNAEEAVABDAEgAKABfAHYAYQBsACwAIABfAGkAbgBzACkAKQAsAFwAbgAgACAAIAAgACAAIAAgACAAIAAgACAAIAAgACAAIAAgACAAIAAgACAAIAAgACAAIABMAEUAVAAoAFwAbgAgACAAIAAgACAAIAAgACAAIAAgACAAIAAgACAAIAAgACAAIAAgACAAIAAgACAAIAAgACAAIAAgAF8AaQBkAHgALAAgAFMARQBRAFUARQBOAEMARQAoADEALAAgAEMATwBMAFUATQBOAFMAKABfAGkAbgBwACkAKQAsAFwAbgAgACAAIAAgACAAIAAgACAAIAAgACAAIAAgACAAIAAgACAAIAAgACAAIAAgACAAIAAgACAAIAAgAF8AbgBlAHcALAAgAEkARgAoAF8AaQBkAHYALAAgAEkATgBEAEUAWAAoAF8AaQBuAHAALAAgAE0ATwBEACgAIABYAE0AQQBUAEMASAAoAF8AdgBhAGwALAAgAF8AaQBuAHMAKQAgAC0AIAAxACwAIABfAHIASQBuAHAAKQAgACsAIAAxACwAIABfAGkAZAB4ACkALAAgAF8AaQBuAHAAKQAsAFwAbgAgACAAIAAgACAAIAAgACAAIAAgACAAIAAgACAAIAAgACAAIAAgACAAIAAgACAAIAAgACAAIAAgAF8AbwBsAGQALAAgAEkATgBEAEUAWAAoAF8AYQByAHIALAAgAF8AdgBhAGwALAAgAF8AYwBJAGQAeAApACwAXABuACAAIAAgACAAIAAgACAAIAAgACAAIAAgACAAIAAgACAAIAAgACAAIAAgACAAIAAgACAAIAAgACAAXwAxAHMAdAAsACAASQBGACgAXwBpAEEAZgB0ACwAIABfAG8AbABkACwAIABfAG4AZQB3ACkALABcAG4AIAAgACAAIAAgACAAIAAgACAAIAAgACAAIAAgACAAIAAgACAAIAAgACAAIAAgACAAIAAgACAAIABfADIAbgBkACwAIABJAEYAKABfAGkAQQBmAHQALAAgAF8AbgBlAHcALAAgAF8AbwBsAGQAKQAsAFwAbgAgACAAIAAgACAAIAAgACAAIAAgACAAIAAgACAAIAAgACAAIAAgACAAIAAgACAAIAAgACAAIAAgAFYAUwBUAEEAQwBLACgAXwBhAGMAYwAsACAAXwAxAHMAdAAsACAAXwAyAG4AZAApAFwAbgAgACAAIAAgACAAIAAgACAAIAAgACAAIAAgACAAIAAgACAAIAAgACAAIAAgACAAIAApACwAXABuACAAIAAgACAAIAAgACAAIAAgACAAIAAgACAAIAAgACAAIAAgACAAIAAgACAAIAAgAFYAUwBUAEEAQwBLACgAXwBhAGMAYwAsACAASQBOAEQARQBYACgAXwBhAHIAcgAsACAAXwB2AGEAbAAsACAAXwBjAEkAZAB4ACkAKQApAFwAbgAgACAAIAAgACAAIAAgACAAIAAgACAAIAAgACAAIAAgACkAKQAsACAAMQBcAG4AIAAgACAAIAAgACAAIAAgACAAIAAgACAAKQBcAG4AIAAgACAAIAAgACAAIAAgACkALABcAG4AIAAgACAAIAAgACAAIAAgAC8ALwAgAFcAaABlAHIAZQAgAHIAZQBxAHUAaQByAGUAZAAsACAAcgBlAHAAbABhAGMAZQAgAGEAbgB5ACAAIwBOAC8AQQAgAHYAYQBsAHUAZQBzACAAaQBuACAAdABoAGUAIABjAGEAbABjAHUAbABhAHQAZQBkACAAbwB1AHQAcAB1AHQAIAAoAF8AYwBhAGwAYwApACAAdwBpAHQAaAAgAHQAaABlACAAYwBoAG8AcwBlAG4AIABcAG4AIAAgACAAIAAgACAAIAAgAC8ALwAgAHIAZQBwAGwAYQBjAGUAbQBlAG4AdAAgAHYAYQBsAHUAZQAgACgAXwByAGUAcAApAFwAbgAgACAAIAAgACAAIAAgACAAXwByAHQAbgAsACAASQBGACgAIABJAFMATgBBACgAXwByAGUAcAApACwAXABuACAAIAAgACAAIAAgACAAIAAgACAAIAAgAEkARgAoAF8AYwBhAGwAYwAgAD0AIABcACIApgBcACIALAAgAE4AQQAoACkALAAgAF8AYwBhAGwAYwApACwAXABuACAAIAAgACAAIAAgACAAIAAgACAAIAAgAEkARgAoACgASQBGAEUAUgBSAE8AUgAoAF8AYwBhAGwAYwAgAD0AIABcACIApgBcACIALAAgAEYAQQBMAFMARQApACAAKwAgAEkAUwBOAEEAKABfAGMAYQBsAGMAKQApACwAIABfAHIAZQBwACwAIABfAGMAYQBsAGMAKQBcAG4AIAAgACAAIAAgACAAIAAgACkALABcAG4AIAAgACAAIAAgACAAIAAgAC8ALwAgAEkAZgAgAHQAaABlACAAaQBuAHAAdQB0ACAAYwBoAGUAYwBrAHMAIAAoAF8AaQBuAHAAQwBoAGsAKQAgAGgAYQB2AGUAIABmAGwAYQBnAGcAZQBkACAAdABoAGUAbgAgAHQAaABlACAAcgBlAHEAdQBpAHIAZQBkACAARQB4AGMAZQBsACAAZQByAHIAbwByACAAYwBvAGQAZQAgAGkAcwAgAHIAZQB0AHUAcgBuAGUAZAAsAFwAbgAgACAAIAAgACAAIAAgACAALwAvACAAbwB0AGgAZQByAHcAaQBzAGUAIAB0AGgAZQAgAGMAYQBsAGMAdQBsAGEAdABlAGQAIAByAGUAcwB1AGwAdAAgACgAXwByAHQAbgApACAAaQBzACAAcgBlAHQAdQByAG4AZQBkAFwAbgAgACAAIAAgACAAIAAgACAAQwBIAE8ATwBTAEUAKABfAGkAbgBwAEMAaABrACwAIABfAHIAdABuACwAIABMAEEATQBCAEQAQQAoADAAKQAsACAAIwBWAEEATABVAEUAIQApAFwAbgAgACAAIAAgACkAXABuACkAOwBcAG4AXABuAC8AKgBcAG4AIAAgACAAIABOAGEAbQBlADoAIAAgACAAIAAgACAAIAAgAFIAZQBtAG8AdgBlACgAKQBcAG4AIAAgACAAIABWAGUAcgBzAGkAbwBuADoAIAAgACAAIAAgADEALgAwADMAIAAoADMAMQAtAEoAdQBsAC0AMgAwADIANQApACAALQAtACAAUgAgAFMAaQBsAGsALAAgAFIAWABMACAARABlAHYAZQBsAG8AcABtAGUAbgB0AFwAbgAgACAAIAAgAEQAZQBzAGMAcgBpAHAAdABpAG8AbgA6ACAAKgAvAC8AKgAqAFIAZQBtAG8AdgBlAHMAIABjAGgAbwBzAGUAbgAgAHIAbwB3AHMAIABhAG4AZAAvAG8AcgAgAGMAbwBsAHUAbQBuAHMAIABmAHIAbwBtACAAYQBuACAAaQBuAHAAdQB0ACAAYQByAHIAYQB5ADsAIAB1AHMAZQBzACAAcgBlAGwAYQB0AGkAdgBlACAAcgBvAHcALwBjAG8AbAB1AG0AbgAgAGkAbgBkAGUAeAAgAG4AdQBtAGIAZQByAHMAKgAvAC8AKgBcAG4AIAAgACAAIABQAGEAcgBhAG0AZQB0AGUAcgBzADoAXABuACAAIAAgACAAIAAgACAAIAArACAAYQByAHIAYQB5ACAAIAAgACAAIAAgACAAPQAgACgAcgBlAHEAdQBpAHIAZQBkACkAIABvAHIAaQBnAGkAbgBhAGwAIABhAHIAcgBhAHkAIABmAHIAbwBtACAAdwBoAGkAYwBoACAAcgBvAHcAcwAgAGEAbgBkAC8AbwByACAAYwBvAGwAdQBtAG4AcwAgAGEAcgBlACAAdABvACAAYgBlACAAcgBlAG0AbwB2AGUAZABcAG4AIAAgACAAIAAgACAAIAAgACsAIAByAGUAbQBvAHYAZQBfAHIAbwB3AHMAIAA9ACAAKABvAHAAdABpAG8AbgBhAGwAKQAgAHQAaABlACAAcgBlAGwAYQB0AGkAdgBlACAAcgBvAHcAIABuAHUAbQBiAGUAcgAoAHMAKQAgAGkAbgBkAGkAYwBhAHQAaQBuAGcAIAB3AGgAaQBjAGgAIAByAG8AdwAoAHMAKQAgAHMAaABvAHUAbABkACAAYgBlACAAcgBlAG0AbwB2AGUAZAAgAGYAcgBvAG0AIAB0AGgAZQAgAGkAbgBwAHUAdAAgAGEAcgByAGEAeQBcAG4AIAAgACAAIAAgACAAIAAgACAAIAAgACAAIAAgACAAIAAgACAAIAAgACAAIAAgACAAIAAgACAAIAAgACAAIAAgACAAIAAgACAAVABoAGUAIAB2AGEAbAB1AGUAcwAgAHMAaABvAHUAbABkACAAYgBlACAAdwBoAG8AbABlACAAbgB1AG0AYgBlAHIAcwAgACgAaQBuAHQAZQBnAGUAcgBzACkAIABhAG4AZAAgAGMAYQBuACAAYgBlACAAcABvAHMAaQB0AGkAdgBlACAAbwByACAAbgBlAGcAYQB0AGkAdgBlADoAXABuACAAIAAgACAAIAAgACAAIAAgACAAIAAgACAAIAAgACAAIAAgACAAIAAgACAAIAAgACAAIAAgACAAIAAgACAAIAAgACAAIAAgACAAIAAtAD4AIABwAG8AcwBpAHQAaQB2AGUAIAB2AGEAbAB1AGUAcwAgACgAKwAxACkAIABpAG4AZABpAGMAYQB0AGUAIABjAG8AdQBuAHQAaQBuAGcAIABvAGYAIAByAGUAbABhAHQAaQB2AGUAIAByAG8AdwAgAGYAcgBvAG0AIAB0AGgAZQAgAHMAdABhAHIAdAAgAG8AZgAgAHQAaABlACAAYQByAHIAYQB5ACAAKAB0AG8AcAApACAAZwBvAGkAbgBnACAAZABvAHcAbgB3AGEAcgBkAHMAXABuACAAIAAgACAAIAAgACAAIAAgACAAIAAgACAAIAAgACAAIAAgACAAIAAgACAAIAAgACAAIAAgACAAIAAgACAAIAAgACAAIAAgACAAIAAtAD4AIABuAGUAZwBhAHQAaQB2AGUAIAB2AGEAbAB1AGUAcwAgACgALQAxACkAIABpAG4AZABpAGMAYQB0AGUAIABjAG8AdQBuAHQAaQBuAGcAIABvAGYAIAByAGUAbABhAHQAaQB2AGUAIABjAG8AbAB1AG0AbgAgAGYAcgBvAG0AIAB0AGgAZQAgAGUAbgBkACAAbwBmACAAdABoAGUAIABhAHIAcgBhAHkAIAAoAGIAbwB0AHQAbwBtACkAIABnAG8AaQBuAGcAIAB1AHAAdwBhAHIAZABzAFwAbgAgACAAIAAgACAAIAAgACAAKwAgAHIAZQBtAG8AdgBlAF8AYwBvAGwAcwAgAD0AIAAoAG8AcAB0AGkAbwBuAGEAbAApACAAdABoAGUAIAByAGUAbABhAHQAaQB2AGUAIABjAG8AbAB1AG0AbgAgAG4AdQBtAGIAZQByACgAcwApACAAaQBuAGQAaQBjAGEAdABpAG4AZwAgAHcAaABpAGMAaAAgAGMAbwBsAHUAbQBuACgAcwApACAAcwBoAG8AdQBsAGQAIABiAGUAIAByAGUAbQBvAHYAZQBkACAAZgByAG8AbQAgAHQAaABlACAAaQBuAHAAdQB0ACAAYQByAHIAYQB5AFwAbgAgACAAIAAgACAAIAAgACAAIAAgACAAIAAgACAAIAAgACAAIAAgACAAIAAgACAAIAAgACAAIAAgACAAIAAgACAAIAAgACAAIABUAGgAZQAgAHYAYQBsAHUAZQBzACAAcwBoAG8AdQBsAGQAIABiAGUAIAB3AGgAbwBsAGUAIABuAHUAbQBiAGUAcgBzACAAKABpAG4AdABlAGcAZQByAHMAKQAgAGEAbgBkACAAYwBhAG4AIABiAGUAIABwAG8AcwBpAHQAaQB2AGUAIABvAHIAIABuAGUAZwBhAHQAaQB2AGUAOgBcAG4AIAAgACAAIAAgACAAIAAgACAAIAAgACAAIAAgACAAIAAgACAAIAAgACAAIAAgACAAIAAgACAAIAAgACAAIAAgACAAIAAgACAAIAAgAC0APgAgAHAAbwBzAGkAdABpAHYAZQAgAHYAYQBsAHUAZQBzACAAKAArADEAKQAgAGkAbgBkAGkAYwBhAHQAZQAgAGMAbwB1AG4AdABpAG4AZwAgAG8AZgAgAHIAZQBsAGEAdABpAHYAZQAgAGMAbwBsAHUAbQBuACAAZgByAG8AbQAgAHQAaABlACAATABlAGYAdAAgAHMAaQBkAGUAIABvAGYAIAB0AGgAZQAgAGEAcgByAGEAeQAgAGcAbwBpAG4AZwAgAGEAYwByAG8AcwBzACAAdABvACAAdABoAGUAIABSAGkAZwBoAHQAXABuACAAIAAgACAAIAAgACAAIAAgACAAIAAgACAAIAAgACAAIAAgACAAIAAgACAAIAAgACAAIAAgACAAIAAgACAAIAAgACAAIAAgACAAIAAtAD4AIABuAGUAZwBhAHQAaQB2AGUAIAB2AGEAbAB1AGUAcwAgACgALQAxACkAIABpAG4AZABpAGMAYQB0AGUAIABjAG8AdQBuAHQAaQBuAGcAIABvAGYAIAByAGUAbABhAHQAaQB2AGUAIABjAG8AbAB1AG0AbgAgAGYAcgBvAG0AIAB0AGgAZQAgAFIAaQBnAGgAdAAgAHMAaQBkAGUAIABvAGYAIAB0AGgAZQAgAGEAcgByAGEAeQAgAGcAbwBpAG4AZwAgAGIAYQBjAGsAIAB0AG8AIAB0AGgAZQAgAEwAZQBmAHQAXABuACAAIAAgACAAIAAgACAAIAArACAAaQBmAF8AZQBtAHAAdAB5ACAAIAAgACAAPQAgACgAbwBwAHQAaQBvAG4AYQBsACkAIABhAG4AIABvAHAAdABpAG8AbgBhAGwAIAB2AGEAbAB1AGUAIAB3AGgAaQBjAGgAIAB3AGkAbABsACAAYgBlACAAbwB1AHQAcAB1AHQAIABpAGYAIABhAGwAbAAgAHIAbwB3AHMAIABvAHIAIABjAG8AbAB1AG0AbgBzACAAYQByAGUAIAByAGUAbQBvAHYAZQBkACAAbABlAGEAdgBpAG4AZwAgAGEAbgAgAGUAbQBwAHQAeQAgAG8AdQB0AHAAdQB0ACAAYQByAHIAYQB5AFwAbgAgACAAIAAgAEUAcgByAG8AcgAgAGMAbwBkAGUAcwA6AFwAbgAgACAAIAAgACAAIAAgACAAIwBWAEEATABVAEUAIQAgACAAIAAgACAAPQAgAFIAZQBxAHUAaQByAGUAZAAgAGkAbgBwAHUAdAAgAHAAYQByAGEAbQBlAHQAZQByAHMAIAAoAGEAcgByAGEAeQApACAAaABhAHYAZQAgAG4AbwB0ACAAYgBlAGUAbgAgAHAAcgBvAHYAaQBkAGUAZABcAG4AIAAgACAAIAAgACAAIAAgACMAQwBBAEwAQwAhACAAIAAgACAAIAAgAD0AIABUAGgAZQAgAGkAbgBwAHUAdAAgAHAAcgBvAHYAaQBkAGUAZAAgAGYAbwByACAAdABoAGUAIABhAHIAcgBhAHkAIABwAGEAcgBhAG0AZQB0AGUAcgAgAGkAcwAgAGkAbgB2AGEAbABpAGQAIAAoAGkALgBlAC4AIABuAG8AdAAgAGEAbgAgAGEAcgByAGEAeQAgAG8AZgAgAG0AbwByAGUAIAB0AGgAYQBuACAAbwBuAGUAIAB2AGEAbAB1AGUAKQBcAG4AIAAgACAAIAAgACAAIAAgACMAVgBBAEwAVQBFACEAIAAgACAAIAAgAD0AIABUAGgAZQAgAGkAbgBwAHUAdAAoAHMAKQAgAHAAcgBvAHYAaQBkAGUAZAAgAGYAbwByACAAdABoAGUAIAByAGUAbQBvAHYAZQBfAHIAbwB3AHMAIABhAG4AZAAgAHIAZQBtAG8AdgBlAF8AYwBvAGwAcwAgAHAAYQByAGEAbQBlAHQAZQByACAAYQByAGUAIABpAG4AdgBhAGwAaQBkACAAKABpAC4AZQAuACAAYwBvAG4AdABhAGkAbgBzACAAYQBuACAARQB4AGMAZQBsACAAZQByAHIAbwByACAAdgBhAGwAdQBlACAAbwByACAAbgBvAG4ALQBuAHUAbQBiAGUAcgAgAHYAYQBsAHUAZQBzACkAXABuACoALwBcAG4AUgBlAG0AbwB2AGUAIAA9ACAATABBAE0AQgBEAEEAKABcAG4AIAAgACAAIAAvAC8AIABQAGEAcgBhAG0AZQB0AGUAcgAgAGQAZQBmAGkAbgBpAHQAaQBvAG4AcwBcAG4AIAAgACAAIABhAHIAcgBhAHkALABcAG4AIAAgACAAIABbAHIAZQBtAG8AdgBlAF8AcgBvAHcAcwBdACwAXABuACAAIAAgACAAWwByAGUAbQBvAHYAZQBfAGMAbwBsAHMAXQAsAFwAbgAgACAAIAAgAFsAaQBmAF8AZQBtAHAAdAB5AF0ALABcAG4AIAAgACAAIAAvAC8AIABNAGEAaQBuACAAZgB1AG4AYwB0AGkAbwBuACAAYgBvAGQAeQAvAGMAYQBsAGMAdQBsAGEAdABpAG8AbgBzAFwAbgAgACAAIAAgAEwARQBUACgAXABuACAAIAAgACAAIAAgACAAIAAvAC8AIABEAGUAYQBsAGkAbgBnACAAdwBpAHQAaAAgAHQAaABlACAAcgBlAHEAdQBpAHIAZQBkACAAcABhAHIAYQBtAGUAdABlAHIAcwAgAGEAbgBkACAAYwBhAGwAYwB1AGwAYQB0AGkAbgBnACAAdABoAGUAIABkAGkAbQBlAG4AcwBpAG8AbgAgAHYAYQByAGkAYQBiAGwAZQBzACAAbgBlAGUAZABlAGQAIABmAG8AcgAgAHQAaABlACAAbQBhAGkAbgAgAGMAYQBsAGMAdQBsAGEAdABpAG8AbgBcAG4AIAAgACAAIAAgACAAIAAgAF8AYQByAHIALAAgAGEAcgByAGEAeQAsAFwAbgAgACAAIAAgACAAIAAgACAAXwByAHIALAAgAFIATwBXAFMAKABfAGEAcgByACkALABcAG4AIAAgACAAIAAgACAAIAAgAF8AYwBjACwAIABDAE8ATABVAE0ATgBTACgAXwBhAHIAcgApACwAXABuACAAIAAgACAAIAAgACAAIAAvAC8AIABEAGUAYQBsAGkAbgBnACAAdwBpAHQAaAAgAG8AcAB0AGkAbwBuAGEAbAAgAHAAYQByAGEAbQBlAHQAZQByAHMAIAAmACAAcwBlAHQAdABpAG4AZwAgAGQAZQBmAGEAdQBsAHQAIAB2AGEAbAB1AGUAcwBcAG4AIAAgACAAIAAgACAAIAAgAF8AcgBJAG4AcAAsACAASQBGACgAIABJAFMATwBNAEkAVABUAEUARAAoAHIAZQBtAG8AdgBlAF8AcgBvAHcAcwApACwAIAAwACwAIABJAE4AVAAoAHIAZQBtAG8AdgBlAF8AcgBvAHcAcwApACkALABcAG4AIAAgACAAIAAgACAAIAAgAF8AYwBJAG4AcAAsACAASQBGACgAIABJAFMATwBNAEkAVABUAEUARAAoAHIAZQBtAG8AdgBlAF8AYwBvAGwAcwApACwAIAAwACwAIABJAE4AVAAoAHIAZQBtAG8AdgBlAF8AYwBvAGwAcwApACkALABcAG4AIAAgACAAIAAgACAAIAAgAF8AcgBlAHAALAAgAEkARgAoACAASQBTAE8ATQBJAFQAVABFAEQAKABpAGYAXwBlAG0AcAB0AHkAKQAsACAATgBBACgAKQAsACAAaQBmAF8AZQBtAHAAdAB5ACkALABcAG4AIAAgACAAIAAgACAAIAAgAC8ALwAgAEEAZABqAHUAcwB0AGkAbgBnACAAdABoAGUAIAByAGUAbQBvAHYAZQBfAHIAbwB3AHMAIABhAG4AZAAgAHIAZQBtAG8AdgBlAF8AYwBvAGwAcwAgAGkAbgBkAGUAeAAgAHYAYQBsAHUAZQBzACAAdABvACAAZAB5AG4AYQBtAGkAYwBhAGwAbAB5ACAAYQBjAGMAbwB1AG4AdAAgAGYAbwByACAAbgBlAGcAYQB0AGkAdgBlACAAaQBuAHAAdQB0ACAAdgBhAGwAdQBlAHMAXABuACAAIAAgACAAIAAgACAAIABfAHIAQQBkAGoALAAgAF8AcgBJAG4AcAAgACsAIABJAEYAKABfAHIASQBuAHAAIAA8ACAAMAAsACAAXwByAHIAIAArACAAMQAsACAAMAApACwAXABuACAAIAAgACAAIAAgACAAIABfAGMAQQBkAGoALAAgAF8AYwBJAG4AcAAgACsAIABJAEYAKABfAGMASQBuAHAAIAA8ACAAMAAsACAAXwBjAGMAIAArACAAMQAsACAAMAApACwAXABuACAAIAAgACAAIAAgACAAIAAvAC8AIABJAG4AcAB1AHQAIABjAGgAZQBjAGsAcwAgAGYAbwByACAAdABoAGUAIABvAHAAdABpAG8AbgBhAGwAIABwAGEAcgBhAG0AZQB0AGUAcgBzACAAYQBuAGQAIAByAGUAcQB1AGkAcgBlAGQAIABwAGEAcgBhAG0AZQB0AGUAcgBzACwAIAByAGUAdAB1AHIAbgBpAG4AZwAgAHQAaABlACAAXwBpAG4AcABDAGgAawAgAHYAYQBsAHUAZQAgAGEAcwAgADEALQB0AG8ALQAzAFwAbgAgACAAIAAgACAAIAAgACAAXwBpAG4AcABDAGgAawAsACAASQBGACgAXABuACAAIAAgACAAIAAgACAAIAAgACAAIAAgAEEATgBEACgAXwByAHIAIAA8AD0AIAAxACwAIABfAGMAYwAgADwAPQAgADEAKQAsAFwAbgAgACAAIAAgACAAIAAgACAAIAAgACAAIAAyACwAIABJAEYAKABcAG4AIAAgACAAIAAgACAAIAAgACAAIAAgACAATwBSACgAXABuACAAIAAgACAAIAAgACAAIAAgACAAIAAgACAAIAAgACAAUwBVAE0AKAAtAC0ASQBTAEUAUgBSAE8AUgAoAF8AcgBBAGQAagApACkAIAA+ACAAMAAsACAAUwBVAE0AKAAtAC0ASQBTAEwATwBHAEkAQwBBAEwAKAByAGUAbQBvAHYAZQBfAHIAbwB3AHMAKQApACAAPgAgADAALABcAG4AIAAgACAAIAAgACAAIAAgACAAIAAgACAAIAAgACAAIABTAFUATQAoAC0ALQBJAFMARQBSAFIATwBSACgAXwBjAEEAZABqACkAKQAgAD4AIAAwACwAIABTAFUATQAoAC0ALQBJAFMATABPAEcASQBDAEEATAAoAHIAZQBtAG8AdgBlAF8AYwBvAGwAcwApACkAIAA+ACAAMABcAG4AIAAgACAAIAAgACAAIAAgACAAIAAgACAAKQAsACAAMwAsAFwAbgAgACAAIAAgACAAIAAgACAAIAAgACAAIAAxAFwAbgAgACAAIAAgACAAIAAgACAAKQApACwAXABuACAAIAAgACAAIAAgACAAIAAvAC8AIABSAGUALQBjAG8AbgBzAHQAcgB1AGMAdABpAG4AZwAgAHQAaABlACAAbwByAGkAZwBpAG4AYQBsACAAYQByAHIAYQB5ACAAKABfAGEAcgByACkAIABsAGUAYQB2AGkAbgBnACAAbwB1AHQAIABhAG4AeQAgAHIAbwB3ACAAaQBuAGQAaQBjAGUAcwAgAG0AYQByAGsAZQBkACAAZgBvAHIAIAByAGUAbQBvAHYAYQBsAFwAbgAgACAAIAAgACAAIAAgACAAXwByAEMAYQBsAGMALAAgAEQAUgBPAFAAKABcAG4AIAAgACAAIAAgACAAIAAgACAAIAAgACAAUgBFAEQAVQBDAEUAKAAwACwAIABTAEUAUQBVAEUATgBDAEUAKABfAHIAcgAsACAAMQApACwAIABMAEEATQBCAEQAQQAoAF8AYQBjAGMALABfAHYAYQBsACwAXABuACAAIAAgACAAIAAgACAAIAAgACAAIAAgACAAIAAgACAASQBGACgAIABJAFMATgBBACgAWABNAEEAVABDAEgAKABfAHYAYQBsACwAIABfAHIAQQBkAGoAKQApACwAXABuACAAIAAgACAAIAAgACAAIAAgACAAIAAgACAAIAAgACAAIAAgACAAIABWAFMAVABBAEMASwAoAF8AYQBjAGMALAAgAEkATgBEAEUAWAAoAF8AYQByAHIALAAgAF8AdgBhAGwALAAgAFMARQBRAFUARQBOAEMARQAoADEALAAgAF8AYwBjACkAKQApACwAIABfAGEAYwBjACkAKQBcAG4AIAAgACAAIAAgACAAIAAgACAAIAAgACAAKQAsACAAMQApACwAXABuACAAIAAgACAAIAAgACAAIAAvAC8AIABSAGUALQBjAGEAbABjAHUAbABhAHQAaQBuAGcAIAB0AGgAZQAgAG4AdQBtAGIAZQByACAAbwBmACAAcgBvAHcAcwAgAGkAbgAgAHQAaABlACAAYQByAHIAYQB5ACAAYQBmAHQAZQByACAAcABvAHQAZQBuAHQAaQBhAGwAIAByAG8AdwAgAHIAZQBtAG8AdgBhAGwAcwBcAG4AIAAgACAAIAAgACAAIAAgAF8AcgByAEMALAAgAFIATwBXAFMAKABfAHIAQwBhAGwAYwApACwAXABuACAAIAAgACAAIAAgACAAIAAvAC8AIABSAGUALQBjAG8AbgBzAHQAcgB1AGMAdABpAG4AZwAgAHQAaABlACAAdQBwAGQAYQB0AGUAZAAgAGEAcgByAGEAeQAgAGEAZgB0AGUAcgAgAHIAbwB3ACAAcgBlAG0AbwB2AGEAbAAgACgAXwByAEMAYQBsAGMAKQAgAGwAZQBhAHYAaQBuAGcAIABvAHUAdAAgAGEAbgB5ACAAYwBvAGwAdQBtAG4AIABpAG4AZABpAGMAZQBzACAAbQBhAHIAawBlAGQAIABmAG8AcgAgAHIAZQBtAG8AdgBhAGwAXABuACAAIAAgACAAIAAgACAAIABfAGMAQwBhAGwAYwAsACAARABSAE8AUAAoAFwAbgAgACAAIAAgACAAIAAgACAAIAAgACAAIABSAEUARABVAEMARQAoADAALAAgAFMARQBRAFUARQBOAEMARQAoADEALAAgAF8AYwBjACkALAAgAEwAQQBNAEIARABBACgAXwBhAGMAYwAsAF8AdgBhAGwALABcAG4AIAAgACAAIAAgACAAIAAgACAAIAAgACAAIAAgACAAIABJAEYAKAAgAEkAUwBOAEEAKABYAE0AQQBUAEMASAAoAF8AdgBhAGwALAAgAF8AYwBBAGQAagApACkALABcAG4AIAAgACAAIAAgACAAIAAgACAAIAAgACAAIAAgACAAIAAgACAAIAAgAEgAUwBUAEEAQwBLACgAXwBhAGMAYwAsACAASQBOAEQARQBYACgAXwByAEMAYQBsAGMALAAgAFMARQBRAFUARQBOAEMARQAoAF8AcgByAEMALAAgADEAKQAsACAAXwB2AGEAbAApACkALAAgAF8AYQBjAGMAKQApAFwAbgAgACAAIAAgACAAIAAgACAAIAAgACAAIAApACwAIAAsACAAMQApACwAXABuACAAIAAgACAAIAAgACAAIAAvAC8AIABEAGUAYQBsAGkAbgBnACAAdwBpAHQAaAAgAGEAbgAgAGUAbQBwAHQAeQAgAHIAZQAtAGMAbwBuAHMAdAByAHUAYwB0AGUAZAAgAGEAcgByAGEAeQAgAGEAZgB0AGUAcgAgAHIAbwB3ACAAYQBuAGQAIABjAG8AbAB1AG0AbgAgAHIAZQBtAG8AdgBhAGwAIAB1AHMAaQBuAGcAIABhAG4AeQAgAHYAYQBsAHUAZQAgAGYAcgBvAG0AIABpAGYAXwBlAG0AcAB0AHkAIABwAGEAcgBhAG0AZQB0AGUAcgBcAG4AIAAgACAAIAAgACAAIAAgAF8AcgB0AG4ALAAgAEkARgAoACAASQBTAEUAUgBSACgAXwBjAEMAYQBsAGMAKQAsACAAXwByAGUAcAAsACAAXwBjAEMAYQBsAGMAKQAsAFwAbgAgACAAIAAgACAAIAAgACAALwAvACAASQBmACAAdABoAGUAIABpAG4AcAB1AHQAIABjAGgAZQBjAGsAcwAgACgAXwBpAG4AcABDAGgAawApACAAaABhAHYAZQAgAGYAbABhAGcAZwBlAGQAIAB0AGgAZQBuACAAdABoAGUAIAByAGUAcQB1AGkAcgBlAGQAIABFAHgAYwBlAGwAIABlAHIAcgBvAHIAIABjAG8AZABlACAAaQBzACAAcgBlAHQAdQByAG4AZQBkACwAXABuACAAIAAgACAAIAAgACAAIAAvAC8AIABvAHQAaABlAHIAdwBpAHMAZQAgAHQAaABlACAAYwBhAGwAYwB1AGwAYQB0AGUAZAAgAHIAZQBzAHUAbAB0ACAAKABfAHIAdABuACkAIABpAHMAIAByAGUAdAB1AHIAbgBlAGQAXABuACAAIAAgACAAIAAgACAAIABDAEgATwBPAFMARQAoAF8AaQBuAHAAQwBoAGsALAAgAF8AcgB0AG4ALAAgAEwAQQBNAEIARABBACgAMAApACwAIAAjAFYAQQBMAFUARQAhACkAXABuACAAIAAgACAAKQBcAG4AKQA7AFwAbgBcAG4ALwAqAFwAbgAgACAAIAAgAE4AYQBtAGUAOgAgACAAIAAgACAAIAAgAFIAZQB2AGUAcgBzAGUAKAApAFwAbgAgACAAIAAgAFYAZQByAHMAaQBvAG4AOgAgACAAIAAgADEALgAwADAAIAAoADAAMQAtAEEAdQBnAC0AMgAwADIANQApACAALQAtACAAUgAgAFMAaQBsAGsALAAgAFIAWABMACAARABlAHYAZQBsAG8AcABtAGUAbgB0AFwAbgAgACAAIAAgAEQAZQBzAGMAcgBpAHAAdABpAG8AbgA6ACAAKgAvAC8AKgAqAFIAZQB2AGUAcgBzAGUAcwAgAHQAaABlACAAbwByAGQAZQByACAAbwBmACAAaQB0AGUAbQBzACAAaQBuACAAYQBuACAAaQBuAHAAdQB0ACAAYQByAHIAYQB5ADsAIABjAGEAbgAgAGIAZQAgAGIAYQBzAGUAZAAgAG8AbgAgAHIAbwB3ACAAbwByAGQAZQByACwAIABjAG8AbAB1AG0AbgAgAG8AcgBkAGUAcgAsACAAbwByACAAYgBvAHQAaAAvAGYAdQBsAGwAIABhAHIAcgBhAHkAKgAvAC8AKgBcAG4AIAAgACAAIABQAGEAcgBhAG0AZQB0AGUAcgBzADoAXABuACAAIAAgACAAIAAgACAAIAArACAAYQByAHIAYQB5ACAAIAAgACAAIAA9ACAAKAByAGUAcQB1AGkAcgBlAGQAKQAgAG8AcgBpAGcAaQBuAGEAbAAgAGEAcgByAGEAeQAgAGYAbwByACAAdwBoAGkAYwBoACAAdABoAGUAIABvAHIAZABlAHIAIABvAGYAIABpAHQAZQBtAHMAIABpAHMAIAB0AG8AIABiAGUAIAByAGUAdgBlAHIAcwBlAGQAXABuACAAIAAgACAAIAAgACAAIAArACAAYgB5AF8AcgBvAHcAIAAgACAAIAA9ACAAKABvAHAAdABpAG8AbgBhAGwAKQAgAGQAZQB0AGUAcgBtAGkAbgBlAHMAIAB3AGgAZQB0AGgAZQByACAAdABoAGUAIABhAHIAcgBhAHkAIAByAG8AdwAgAG8AcgBkAGUAcgAgAGkAcwAgAHIAZQB2AGUAcgBzAGUAZAAgAG8AcgAgAHQAaABlACAAYwBvAGwAdQBtAG4AIABvAHIAZABlAHIAIABpAHMAIAByAGUAdgBlAHIAcwBlAGQAIABpAG4AIAB0AGgAZQAgAGYAdQBuAGMAdABpAG8AbgAgAG8AdQB0AHAAdQB0AFwAbgAgACAAIAAgACAAIAAgACAAIAAgACAAIAAgACAAIAAgACAAIAAgACAAIAAgACAAIAAgACAAIAAgACAAIAAgACAAIABDAGEAbgAgAGIAZQAgAGkAbgBwAHUAdAAgAGEAcwAgAGUAaQB0AGgAZQByACAAYQAgAHcAaABvAGwAZQAgAG4AdQBtAGIAZQByACAAbwByACAAYQAgAGwAbwBnAGkAYwBhAGwAIAAoAEIAbwBvAGwAZQBhAG4AKQAgAHYAYQBsAHUAZQBcAG4AIAAgACAAIAAgACAAIAAgACAAIAAgACAAIAAgACAAIAAgACAAIAAgACAAIAAgACAAIAAgACAAIAAgACAAIAAgACAAIAAgAFQAUgBVAEUAIAAgAC8AIAArADEAIAA9ACAAcgBlAHYAZQByAHMAZQBzACAAdABoAGUAIABvAHIAZABlAHIAIABvAGYAIAByAG8AdwBzACAAaQBuACAAdABoAGUAIABvAHUAdABwAHUAdAAgACgAbwByAGQAZQByACAAbwBmACAAYwBvAGwAdQBtAG4AcwAgAGkAcwAgAG4AbwB0ACAAcgBlAHYAZQByAHMAZQBkACkAXABuACAAIAAgACAAIAAgACAAIAAgACAAIAAgACAAIAAgACAAIAAgACAAIAAgACAAIAAgACAAIAAgACAAIAAgACAAIAAgACAAIABGAEEATABTAEUAIAAvACAAIAAwACAAPQAgAHIAZQB2AGUAcgBzAGUAcwAgAHQAaABlACAAbwByAGQAZQByACAAbwBmACAAYwBvAGwAdQBtAG4AcwAgAGkAbgAgAHQAaABlACAAbwB1AHQAcAB1AHQAIAAoAG8AcgBkAGUAcgAgAG8AZgAgAHIAbwB3AHMAIABpAHMAIABuAG8AdAAgAHIAZQB2AGUAcgBzAGUAZAApAFwAbgAgACAAIAAgACAAIAAgACAAIAAgACAAIAAgACAAIAAgACAAIAAgACAAIAAgACAAIAAgACAAIAAgACAAIAAgACAAIAAgACAAIAAgACAAIAAgACAAIAAgAC0AMQAgAD0AIAByAGUAdgBlAHIAcwBlAHMAIAB0AGgAZQAgAG8AcgBkAGUAcgAgAG8AZgAgAGYAdQBsAGwAIABhAHIAcgBhAHkAIAAoAHIAbwB3AHMAIABhAG4AZAAgAGMAbwBsAHUAbQBuAHMAKQAgAGkAbgAgAHQAaABlACAAbwB1AHQAcAB1AHQAXABuACAAIAAgACAARQByAHIAbwByACAAYwBvAGQAZQBzADoAXABuACAAIAAgACAAIAAgACAAIAAjAFYAQQBMAFUARQAhACAAIAAgACAAIAA9ACAAUgBlAHEAdQBpAHIAZQBkACAAaQBuAHAAdQB0ACAAcABhAHIAYQBtAGUAdABlAHIAcwAgACgAYQByAHIAYQB5ACkAIABoAGEAdgBlACAAbgBvAHQAIABiAGUAZQBuACAAcAByAG8AdgBpAGQAZQBkAFwAbgAgACAAIAAgACAAIAAgACAAIwBDAEEATABDACEAIAAgACAAIAAgACAAPQAgAFQAaABlACAAaQBuAHAAdQB0ACAAcAByAG8AdgBpAGQAZQBkACAAZgBvAHIAIAB0AGgAZQAgAGEAcgByAGEAeQAgAHAAYQByAGEAbQBlAHQAZQByACAAaQBzACAAaQBuAHYAYQBsAGkAZAAgACgAaQAuAGUALgAgAG4AbwB0ACAAYQBuACAAYQByAHIAYQB5ACAAbwBmACAAbQBvAHIAZQAgAHQAaABhAG4AIABvAG4AZQAgAHYAYQBsAHUAZQApAFwAbgAgACAAIAAgACAAIAAgACAAIwBWAEEATABVAEUAIQAgACAAIAAgACAAPQAgAFQAaABlACAAbwBwAHQAaQBvAG4AYQBsACAAcABhAHIAYQBtAGUAdABlAHIAIABiAHkAXwByAG8AdwAgAGkAbgBwAHUAdAAgAHYAYQBsAHUAZQAgAHAAcgBvAHYAaQBkAGUAZAAgAGkAcwAgAGkAbgB2AGEAbABpAGQAXABuACAAIAAgACAAIAAgACAAIAAgACAAIAAgACAAIAAgACAAIAAgACAAIAAgACAAIAAgAC0AIABtAHUAcwB0ACAAYgBlACAAZQBpAHQAaABlAHIAIABhACAAbgB1AG0AYgBlAHIAIAAoACsAMQAsACAAMAAsACAAbwByACAALQAxACkAIABvAHIAIABhACAAbABvAGcAaQBjAGEAbAAvAEIAbwBvAGwAZQBhAG4AIAB2AGEAbAB1AGUAIAAoAFQAUgBVAEUALwBGAEEATABTAEUAKQBcAG4AKgAvAFwAbgBSAGUAdgBlAHIAcwBlACAAPQAgAEwAQQBNAEIARABBACgAXABuACAAIAAgACAALwAvACAAUABhAHIAYQBtAGUAdABlAHIAIABkAGUAZgBpAG4AaQB0AGkAbwBuAHMAXABuACAAIAAgACAAYQByAHIAYQB5ACwAXABuACAAIAAgACAAWwBiAHkAXwByAG8AdwBdACwAXABuACAAIAAgACAALwAvACAATQBhAGkAbgAgAGYAdQBuAGMAdABpAG8AbgAgAGIAbwBkAHkALwBjAGEAbABjAHUAbABhAHQAaQBvAG4AcwBcAG4AIAAgACAAIABMAEUAVAAoAFwAbgAgACAAIAAgACAAIAAgACAALwAvACAAQwBhAGwAYwB1AGwAYQB0AGkAbgBnACAAdABoAGUAIABkAGUAcgBpAHYAZQBkACAAdgBhAHIAaQBhAGIAbABlAHMAIABuAGUAZQBkAGUAZAAgAGYAbwByACAAdABoAGUAIABtAGEAaQBuACAAYwBhAGwAYwB1AGwAYQB0AGkAbwBuAFwAbgAgACAAIAAgACAAIAAgACAAXwByAHIALAAgAFIATwBXAFMAKABhAHIAcgBhAHkAKQAsAFwAbgAgACAAIAAgACAAIAAgACAAXwBjAGMALAAgAEMATwBMAFUATQBOAFMAKABhAHIAcgBhAHkAKQAsAFwAbgAgACAAIAAgACAAIAAgACAALwAvACAARABlAGEAbABpAG4AZwAgAHcAaQB0AGgAIABvAHAAdABpAG8AbgBhAGwAIABwAGEAcgBhAG0AZQB0AGUAcgBzACAAJgAgAHMAZQB0AHQAaQBuAGcAIABkAGUAZgBhAHUAbAB0ACAAdgBhAGwAdQBlAHMAXABuACAAIAAgACAAIAAgACAAIABfAGIAeQBSACwAIABJAEYAKAAgAEkAUwBPAE0ASQBUAFQARQBEACgAYgB5AF8AcgBvAHcAKQAsACAALQAxACwAIABJAE4AVAAoAGIAeQBfAHIAbwB3ACkAKQAsAFwAbgAgACAAIAAgACAAIAAgACAALwAvACAASQBuAHAAdQB0ACAAYwBoAGUAYwBrAHMAIABmAG8AcgAgAHQAaABlACAAbwBwAHQAaQBvAG4AYQBsACAAcABhAHIAYQBtAGUAdABlAHIAcwAgAGEAbgBkACAAcgBlAHEAdQBpAHIAZQBkACAAcABhAHIAYQBtAGUAdABlAHIAcwAsACAAcgBlAHQAdQByAG4AaQBuAGcAIAB0AGgAZQAgAF8AaQBuAHAAQwBoAGsAIAB2AGEAbAB1AGUAIABhAHMAIAAxAC0AdABvAC0AMwBcAG4AIAAgACAAIAAgACAAIAAgAF8AaQBuAHAAQwBoAGsALAAgAEkARgAoAFwAbgAgACAAIAAgACAAIAAgACAAIAAgACAAIABBAE4ARAAoAF8AcgByACAAPAA9ACAAMQAsACAAXwBjAGMAIAA8AD0AIAAxACkALABcAG4AIAAgACAAIAAgACAAIAAgACAAIAAgACAAMgAsACAASQBGACgAXABuACAAIAAgACAAIAAgACAAIAAgACAAIAAgAE8AUgAoAFwAbgAgACAAIAAgACAAIAAgACAAIAAgACAAIAAgACAAIAAgAEkAUwBFAFIAUgBPAFIAKABfAGIAeQBSACkALABcAG4AIAAgACAAIAAgACAAIAAgACAAIAAgACAAIAAgACAAIABfAGIAeQBSACAAPAAgAC0AMQAsACAAXwBiAHkAUgAgAD4AIAAxAFwAbgAgACAAIAAgACAAIAAgACAAIAAgACAAIAApACwAIAAzACwAXABuACAAIAAgACAAIAAgACAAIAAgACAAIAAgADEAXABuACAAIAAgACAAIAAgACAAIAApACkALABcAG4AIAAgACAAIAAgACAAIAAgAC8ALwAgAEMAYQBsAGMAdQBsAGEAdABlACAAdABoAGUAIAByAGUAcQB1AGkAcgBlAGQAIAByAG8AdwAgACgAXwByAEkAZAB4ACkAIABhAG4AZAAgAGMAbwBsAHUAbQBuACAAKABfAGMASQBkAHgAKQAgAHIAZQBsAGEAdABpAHYAZQAgAGkAbgBkAGUAeAAgAG8AcgBkAGUAcgAgAGEAcgByAGEAeQBzAFwAbgAgACAAIAAgACAAIAAgACAAXwByAEkAZAB4ACwAIABJAEYAKABfAGIAeQBSACAAPAA+ACAAMAAsAFwAbgAgACAAIAAgACAAIAAgACAAIAAgACAAIABTAEUAUQBVAEUATgBDAEUAKABfAHIAcgAsACAAMQAsACAAXwByAHIALAAgAC0AMQApACwAXABuACAAIAAgACAAIAAgACAAIAAgACAAIAAgAFMARQBRAFUARQBOAEMARQAoAF8AcgByACwAIAAxACwAIAAxACwAIAAxACkAXABuACAAIAAgACAAIAAgACAAIAApACwAXABuACAAIAAgACAAIAAgACAAIABfAGMASQBkAHgALAAgAEkARgAoAF8AYgB5AFIAIAA8AD0AIAAwACwAXABuACAAIAAgACAAIAAgACAAIAAgACAAIAAgAFMARQBRAFUARQBOAEMARQAoADEALAAgAF8AYwBjACwAIABfAGMAYwAsACAALQAxACkALABcAG4AIAAgACAAIAAgACAAIAAgACAAIAAgACAAUwBFAFEAVQBFAE4AQwBFACgAMQAsACAAXwBjAGMALAAgADEALAAgADEAKQBcAG4AIAAgACAAIAAgACAAIAAgACkALABcAG4AIAAgACAAIAAgACAAIAAgAC8ALwAgAEMAcgBlAGEAdABlACAAdABoAGUAIABvAHUAdABwAHUAdAAgAGEAcgByAGEAeQAgAHUAcwBpAG4AZwAgAHQAaABlACAAYwBhAGwAYwB1AGwAYQB0AGUAZAAgAG8AdQB0AHAAdQB0ACAAcgBlAGwAYQB0AGkAdgBlACAAbwByAGQAZQByACAAcwBlAHEAdQBlAG4AYwBlAHMAXABuACAAIAAgACAAIAAgACAAIABfAHIAdABuACwAIABJAE4ARABFAFgAKABhAHIAcgBhAHkALAAgAF8AcgBJAGQAeAAsACAAXwBjAEkAZAB4ACkALABcAG4AIAAgACAAIAAgACAAIAAgAC8ALwAgAEkAZgAgAHQAaABlACAAaQBuAHAAdQB0ACAAYwBoAGUAYwBrAHMAIAAoAF8AaQBuAHAAQwBoAGsAKQAgAGgAYQB2AGUAIABmAGwAYQBnAGcAZQBkACAAdABoAGUAbgAgAHQAaABlACAAcgBlAHEAdQBpAHIAZQBkACAARQB4AGMAZQBsACAAZQByAHIAbwByACAAYwBvAGQAZQAgAGkAcwAgAHIAZQB0AHUAcgBuAGUAZAAsAFwAbgAgACAAIAAgACAAIAAgACAALwAvACAAbwB0AGgAZQByAHcAaQBzAGUAIAB0AGgAZQAgAGMAYQBsAGMAdQBsAGEAdABlAGQAIAByAGUAcwB1AGwAdAAgACgAXwByAHQAbgApACAAaQBzACAAcgBlAHQAdQByAG4AZQBkAFwAbgAgACAAIAAgACAAIAAgACAAQwBIAE8ATwBTAEUAKABfAGkAbgBwAEMAaABrACwAIABfAHIAdABuACwAIABMAEEATQBCAEQAQQAoADAAKQAsACAAIwBWAEEATABVAEUAIQApAFwAbgAgACAAIAAgACkAXABuACkAOwBcAG4AXABuAC8AKgBcAG4AIAAgACAAIABOAGEAbQBlADoAIAAgACAAIAAgACAAIAAgAFIAYQBuAGQAbwBtAFMAbwByAHQAKAApAFwAbgAgACAAIAAgAFYAZQByAHMAaQBvAG4AOgAgACAAIAAgACAAMQAuADAAMQAgACgAMwAwAC0ASgB1AGwALQAyADAAMgA1ACkAIAAtAC0AIABSACAAUwBpAGwAawAsACAAUgBYAEwAIABEAGUAdgBlAGwAbwBwAG0AZQBuAHQAXABuACAAIAAgACAARABlAHMAYwByAGkAcAB0AGkAbwBuADoAIAAqAC8ALwAqACoAUwBvAHIAdABzACAAdABoAGUAIAB2AGEAbAB1AGUAcwAgAGkAbgAgAGEAbgAgAGkAbgBwAHUAdAAgAGEAcgByAGEAeQAgAGkAbgB0AG8AIABhACAAcgBhAG4AZABvAG0AIABvAHIAZABlAHIAKgAvAC8AKgBcAG4AIAAgACAAIABQAGEAcgBhAG0AZQB0AGUAcgBzADoAXABuACAAIAAgACAAIAAgACAAIAArACAAYQByAHIAYQB5ACAAIAAgACAAIAA9ACAAKAByAGUAcQB1AGkAcgBlAGQAKQAgAGEAcgByAGEAeQAgAG8AZgAgAHYAYQBsAHUAZQBzACAAdwBoAGkAYwBoACAAaQBzACAAdABvACAAYgBlACAAcwBvAHIAdABlAGQAIABpAG4AdABvACAAYQAgAHIAYQBuAGQAbwBtACAAbwByAGQAZQByAFwAbgAgACAAIAAgACAAIAAgACAAKwAgAGIAeQBfAHIAbwB3ACAAIAAgACAAPQAgACgAbwBwAHQAaQBvAG4AYQBsACkAIABkAGUAdABlAHIAbQBpAG4AZQBzACAAdwBoAGUAdABoAGUAcgAgAHQAbwAgAHMAbwByAHQAIABvAG4AIABhACAAYgB5AC0AcgBvAHcAIABiAGEAcwBpAHMAIABvAHIAIABhACAAYgB5AC0AYwBvAGwAdQBtAG4AIABiAGEAcwBpAHMAXABuACAAIAAgACAARQByAHIAbwByACAAYwBvAGQAZQBzADoAXABuACAAIAAgACAAIAAgACAAIAAjAFYAQQBMAFUARQAhACAAIAAgACAAIAA9ACAAUgBlAHEAdQBpAHIAZQBkACAAaQBuAHAAdQB0ACAAcABhAHIAYQBtAGUAdABlAHIAcwAgACgAYQByAHIAYQB5ACkAIABoAGEAdgBlACAAbgBvAHQAIABiAGUAZQBuACAAcAByAG8AdgBpAGQAZQBkAFwAbgAgACAAIAAgACAAIAAgACAAIwBDAEEATABDACEAIAAgACAAIAAgACAAPQAgAFQAaABlACAAaQBuAHAAdQB0ACAAcAByAG8AdgBpAGQAZQBkACAAZgBvAHIAIAB0AGgAZQAgAGEAcgByAGEAeQAgAHAAYQByAGEAbQBlAHQAZQByACAAaQBzACAAaQBuAHYAYQBsAGkAZAAgACgAaQAuAGUALgAgAG4AbwB0ACAAYQBuACAAYQByAHIAYQB5ACAAbwBmACAAbQBvAHIAZQAgAHQAaABhAG4AIABvAG4AZQAgAHYAYQBsAHUAZQApAFwAbgAgACAAIAAgACAAIAAgACAAIwBWAEEATABVAEUAIQAgACAAIAAgACAAPQAgAFQAaABlACAAbwBwAHQAaQBvAG4AYQBsACAAcABhAHIAYQBtAGUAdABlAHIAIABiAHkAXwByAG8AdwAgAGkAbgBwAHUAdAAgAHYAYQBsAHUAZQAgAHAAcgBvAHYAaQBkAGUAZAAgAGkAcwAgAGkAbgB2AGEAbABpAGQAXABuACAAIAAgACAAIAAgACAAIAAgACAAIAAgACAAIAAgACAAIAAgACAAIAAgACAAIAAgAC0AIABtAHUAcwB0ACAAYgBlACAAZQBpAHQAaABlAHIAIABhACAAbgB1AG0AYgBlAHIAIAAoADAAIABvAHIAIAAxACkAIABvAHIAIABhACAAbABvAGcAaQBjAGEAbAAvAEIAbwBvAGwAZQBhAG4AIAB2AGEAbAB1AGUAIAAoAFQAUgBVAEUALwBGAEEATABTAEUAKQBcAG4AIAAgACAAIABOAG8AdABlAHMAOgBcAG4AIAAgACAAIAAgACAAIAAgAC0AIABCAHkAIABkAGUAZgBhAHUAbAB0ACwAIABhAGwAbAAgAHYAYQBsAHUAZQBzACAAaQBuACAAdABoAGUAIABpAG4AcAB1AHQAIABhAHIAcgBhAHkAIAB3AGkAbABsACAAYgBlACAAcgBlAC0AbwByAGQAZQByAGUAZAA7ACAAaQBmACAAdABoAGUAIABiAHkALQByAG8AdwAgAHAAYQByAGEAbQBlAHQAZQByACAAaQBzACAAdQBzAGUAZAAgAHQAaABlAG4AIABmAHUAbABsACAAcgBvAHcAcwAgACgAMQAvAFQAUgBVAEUAKQBcAG4AIAAgACAAIAAgACAAIAAgACAAIABvAHIAIABmAHUAbABsACAAYwBvAGwAdQBtAG4AcwAgACgAMAAvAEYAQQBMAFMARQApACAAYQByAGUAIAByAGEAbgBkAG8AbQBsAHkAIABzAG8AcgB0AGUAZAAgAHIAYQB0AGgAZQByACAAdABoAGEAbgAgAGkAbgBkAGkAdgBpAGQAdQBhAGwAIAB2AGEAbAB1AGUAcwAuAFwAbgAgACAAIAAgACAAIAAgACAALQAgAEEAcwAgAHQAaABlACAAZgB1AG4AYwB0AGkAbwBuACAAdQBzAGUAcwAgAHIAYQBuAGQAbwBtACAAbgB1AG0AYgBlAHIAIABnAGUAbgBlAHIAYQB0AGkAbwBuACAAdABvACAAcgBlAC0AbwByAGQAZQByACAAdABoAGUAIABpAG4AcAB1AHQAIABhAHIAcgBhAHkALAAgAGkAdAAgAGkAcwAgAGEAIAB2AG8AbABhAHQAaQBsAGUAIABmAHUAbgBjAHQAaQBvAG4AIABhAG4AZAAgAHcAaQBsAGwAXABuACAAIAAgACAAIAAgACAAIAAgACAAcgBlAC0AYwBhAGwAYwB1AGwAYQB0AGUAIABlAHYAZQByAHkAdABpAG0AZQAgAHQAaABlAHIAZQAgAGkAcwAgAGEAIABjAGEAbABjAHUAbABhAHQAaQBvAG4AIAB0AHIAaQBnAGcAZQByAC4AXABuACoALwBcAG4AUgBhAG4AZABvAG0AUwBvAHIAdAAgAD0AIABMAEEATQBCAEQAQQAoAFwAbgAgACAAIAAgAC8ALwAgAFAAYQByAGEAbQBlAHQAZQByACAAZABlAGYAaQBuAGkAdABpAG8AbgBzAFwAbgAgACAAIAAgAGEAcgByAGEAeQAsAFwAbgAgACAAIAAgAFsAYgB5AF8AcgBvAHcAXQAsAFwAbgAgACAAIAAgAC8ALwAgAE0AYQBpAG4AIABmAHUAbgBjAHQAaQBvAG4AIABiAG8AZAB5AC8AYwBhAGwAYwB1AGwAYQB0AGkAbwBuAHMAXABuACAAIAAgACAATABFAFQAKABcAG4AIAAgACAAIAAgACAAIAAgAC8ALwAgAEQAZQBhAGwAaQBuAGcAIAB3AGkAdABoACAAdABoAGUAIAByAGUAcQB1AGkAcgBlAGQAIABwAGEAcgBhAG0AZQB0AGUAcgBzACAAYQBuAGQAIABjAGEAbABjAHUAbABhAHQAaQBuAGcAIAB0AGgAZQAgAGQAZQByAGkAdgBlAGQAIAB2AGEAcgBpAGEAYgBsAGUAcwAgAG4AZQBlAGQAZQBkACAAZgBvAHIAIAB0AGgAZQAgAG0AYQBpAG4AIABjAGEAbABjAHUAbABhAHQAaQBvAG4AXABuACAAIAAgACAAIAAgACAAIABfAGkAbgBwACwAIABhAHIAcgBhAHkALABcAG4AIAAgACAAIAAgACAAIAAgAF8AcgBvAHcAcwAsACAAUgBPAFcAUwAoAF8AaQBuAHAAKQAsAFwAbgAgACAAIAAgACAAIAAgACAAXwBjAG8AbABzACwAIABDAE8ATABVAE0ATgBTACgAXwBpAG4AcAApACwAXABuACAAIAAgACAAIAAgACAAIAAvAC8AIABEAGUAYQBsAGkAbgBnACAAdwBpAHQAaAAgAG8AcAB0AGkAbwBuAGEAbAAgAHAAYQByAGEAbQBlAHQAZQByAHMAIAAmACAAcwBlAHQAdABpAG4AZwAgAGQAZQBmAGEAdQBsAHQAIAB2AGEAbAB1AGUAcwBcAG4AIAAgACAAIAAgACAAIAAgAF8AYgB5AFIAdwAsACAASQBGACgAIABJAFMATwBNAEkAVABUAEUARAAoAGIAeQBfAHIAbwB3ACkALAAgAC0AMQAsACAASQBOAFQAKABiAHkAXwByAG8AdwApACkALABcAG4AIAAgACAAIAAgACAAIAAgAC8ALwAgAEkAbgBwAHUAdAAgAGMAaABlAGMAawBzACAAZgBvAHIAIAB0AGgAZQAgAG8AcAB0AGkAbwBuAGEAbAAgAHAAYQByAGEAbQBlAHQAZQByAHMAIABhAG4AZAAgAHIAZQBxAHUAaQByAGUAZAAgAHAAYQByAGEAbQBlAHQAZQByAHMALAAgAHIAZQB0AHUAcgBuAGkAbgBnACAAdABoAGUAIABfAGkAbgBwAEMAaABrACAAdgBhAGwAdQBlACAAYQBzACAAMQAtAHQAbwAtADMAXABuACAAIAAgACAAIAAgACAAIABfAGkAbgBwAEMAaABrACwAIABJAEYAKABcAG4AIAAgACAAIAAgACAAIAAgACAAIAAgACAAQQBOAEQAKABcAG4AIAAgACAAIAAgACAAIAAgACAAIAAgACAAIAAgACAAIABSAE8AVwBTACgAXwBpAG4AcAApACAAPAA9ACAAMQAsACAAQwBPAEwAVQBNAE4AUwAoAF8AaQBuAHAAKQAgADwAPQAgADEAXABuACAAIAAgACAAIAAgACAAIAAgACAAIAAgACkALAAgADIALAAgAEkARgAoAFwAbgAgACAAIAAgACAAIAAgACAAIAAgACAAIABPAFIAKABcAG4AIAAgACAAIAAgACAAIAAgACAAIAAgACAAIAAgACAAIABOAE8AVAAoAEkAUwBOAFUATQBCAEUAUgAoAF8AYgB5AFIAdwApACkALABcAG4AIAAgACAAIAAgACAAIAAgACAAIAAgACAAIAAgACAAIABfAGIAeQBSAHcAIAA8ACAALQAxACwAIABfAGIAeQBSAHcAIAA+ACAAMQBcAG4AIAAgACAAIAAgACAAIAAgACAAIAAgACAAKQAsACAAMwAsACAAMQApAFwAbgAgACAAIAAgACAAIAAgACAAKQAsAFwAbgAgACAAIAAgACAAIAAgACAALwAvACAAVwBoAGUAcgBlACAAdABoAGUAIAB1AHMAZQByACAAaABhAHMAIABjAGgAbwBzAGUAbgAgAHQAbwAgAHMAbwByAHQAIAB0AGgAZQAgAGYAdQBsAGwAIABhAHIAcgBhAHkALAAgAHQAaABlACAAYQByAHIAYQB5ACAAaQBzACAAYwBvAG4AdgBlAHIAdABlAGQAIAB0AG8AIABhACAAcwBpAG4AZwBsAGUAIAAxAEQAIAB2AGUAcgB0AGkAYwBhAGwAIABsAGkAcwB0ACAAbwBmACAAdgBhAGwAdQBlAHMAXABuACAAIAAgACAAIAAgACAAIABfAGEAcgByACwAIABJAEYAKABfAGIAeQBSAHcAIAA8ACAAMAAsACAAVABPAEMATwBMACgAXwBpAG4AcAApACwAIABfAGkAbgBwACkALABcAG4AIAAgACAAIAAgACAAIAAgAC8ALwAgAEMAYQBsAGMAdQBsAGEAdABlAHMAIABhAG4AIABpAG4AZABlAHgAIABsAGkAcwB0ACAAdwBoAGkAYwBoACAAcgBlAGwAYQB0AGUAcwAgAHQAbwAgAGUAYQBjAGgAIABpAHQAZQBtACAAbwBmACAAdABoAGUAIABpAG4AcAB1AHQAIABhAHIAcgBhAHkAIAB0AGgAYQB0ACAAaQBzACAAdABvACAAYgBlACAAcgBhAG4AZABvAG0AbAB5ACAAcwBvAHIAdABlAGQAXABuACAAIAAgACAAIAAgACAAIAAvAC8AIAAgAC0AIAB3AGgAZQByAGUAIAB0AGgAZQAgAHUAcwBlAHIAIABoAGEAcwAgAGMAaABvAHMAZQBuACAAdABvACAAcwBvAHIAdAAgAGIAeQAgAGMAbwBsAHUAbQBuACAAKABfAGIAeQBSAHcAIAA9ACAAMAApACwAIAB0AGgAZQAgAGkAbgBkAGUAeAAgAGwAaQBzAHQAIAByAGUAbABhAHQAZQBzACAAdABvACAAdABoAGUAIABuAHUAbQBiAGUAcgAgAG8AZgAgAGMAbwBsAHUAbQBuAHMAIABpAG4AIAB0AGgAZQAgAGEAcgByAGEAeQBcAG4AIAAgACAAIAAgACAAIAAgAC8ALwAgACAALQAgAHcAaABlAHIAZQAgAHQAaABlACAAdQBzAGUAcgAgAGgAYQBzACAAYwBoAG8AcwBlAG4AIAB0AG8AIABzAG8AcgB0ACAAYgB5ACAAcgBvAHcAIAAoAF8AYgB5AFIAdwAgAD0AIAAxACkALAAgAHQAaABlACAAaQBuAGQAZQB4ACAAcgBlAGwAYQB0AGUAcwAgAHQAbwAgAHQAaABlACAAbgB1AG0AYgBlAHIAIABvAGYAIAByAG8AdwBzACAAaQBuACAAdABoAGUAIABhAHIAcgBhAHkAXABuACAAIAAgACAAIAAgACAAIAAvAC8AIAAgAC0AIAB3AGgAZQByAGUAIAB0AGgAZQAgAGYAdQBsAGwAIABhAHIAcgBhAHkAIABpAHMAIAB0AG8AIABiAGUAIABzAG8AcgB0AGUAZAAgACgAXwBiAHkAUgB3ACAAPQAgAC0AMQApACwAIAB0AGgAZQAgAG4AdQBtAGIAZQByACAAbwBmACAAcgBvAHcAcwAgAGkAbgAgAHQAaABlACAAYwBvAG4AdgBlAHIAdABlAGQAIABhAHIAcgBhAHkAIABpAHMAIAB1AHMAZQBkAFwAbgAgACAAIAAgACAAIAAgACAAXwBpAGQAeAAsACAASQBGACgAXwBiAHkAUgB3ACAAPQAgADAALABcAG4AIAAgACAAIAAgACAAIAAgACAAIAAgACAAUwBFAFEAVQBFAE4AQwBFACgAIABDAE8ATABVAE0ATgBTACgAXwBhAHIAcgApACkALABcAG4AIAAgACAAIAAgACAAIAAgACAAIAAgACAAUwBFAFEAVQBFAE4AQwBFACgAIABSAE8AVwBTACgAXwBhAHIAcgApACkAXABuACAAIAAgACAAIAAgACAAIAApACwAXABuACAAIAAgACAAIAAgACAAIAAvAC8AIABDAGEAbABjAHUAbABhAHQAZQBzACAAYQAgAHIAYQBuAGQAbwBtAGwAeQAgAHMAbwByAHQAZQBkACAAYwBvAHAAeQAgAG8AZgAgAHQAaABlACAAaQBuAGQAZQB4ACAAbABpAHMAdAAgAHUAcwBpAG4AZwAgAGEAIABjAG8AbQBiAGkAbgBhAHQAaQBvAG4AIABvAGYAIABSAEUARABVAEMARQAoACkAIAArACAARgBJAEwAVABFAFIAKAApAFwAbgAgACAAIAAgACAAIAAgACAAXwByAG4AZAAsACAARABSAE8AUAAoAFwAbgAgACAAIAAgACAAIAAgACAAIAAgACAAIABSAEUARABVAEMARQAoADAALAAgAF8AaQBkAHgALAAgAEwAQQBNAEIARABBACgAXwBhAGMAYwAsAF8AdgBhAGwALABcAG4AIAAgACAAIAAgACAAIAAgACAAIAAgACAAIAAgACAAIABMAEUAVAAoAFwAbgAgACAAIAAgACAAIAAgACAAIAAgACAAIAAgACAAIAAgACAAIAAgACAAXwBmAGwAdAByACwAIABGAEkATABUAEUAUgAoAF8AaQBkAHgALAAgAEkAUwBOAEEAKABYAE0AQQBUAEMASAAoAF8AaQBkAHgALAAgAF8AYQBjAGMAKQApACkALABcAG4AIAAgACAAIAAgACAAIAAgACAAIAAgACAAIAAgACAAIAAgACAAIAAgAF8AcgByACwAIABSAE8AVwBTACgAXwBmAGwAdAByACkALABcAG4AIAAgACAAIAAgACAAIAAgACAAIAAgACAAIAAgACAAIAAgACAAIAAgAFYAUwBUAEEAQwBLACgAXwBhAGMAYwAsACAASQBOAEQARQBYACgAXwBmAGwAdAByACwAIABSAEEATgBEAEIARQBUAFcARQBFAE4AKAAxACwAIABfAHIAcgApACkAKQBcAG4AIAAgACAAIAAgACAAIAAgACAAIAAgACAAIAAgACAAIAApAFwAbgAgACAAIAAgACAAIAAgACAAIAAgACAAIAApACkALABcAG4AIAAgACAAIAAgACAAIAAgADEAKQAsAFwAbgAgACAAIAAgACAAIAAgACAALwAvACAAUgBlAC0AYwByAGUAYQB0AGUAcwAgAHQAaABlACAAbwByAGkAZwBpAG4AYQBsACAAaQBuAHAAdQB0ACAAYQByAHIAYQB5ACAAdQBzAGkAbgBnACAAdABoAGUAIAByAGEAbgBkAG8AbQBsAHkAIABzAG8AcgB0AGUAZAAgAGkAbgBkAGUAeAAgAGwAaQBzAHQAIAB0AG8AIAByAGUALQBvAHIAZABlAHIAIAB0AGgAZQAgAGEAcgByAGEAeQBcAG4AIAAgACAAIAAgACAAIAAgAF8AcgB0AG4ALAAgAEkARgAoAF8AYgB5AFIAdwAgADwAIAAwACwAXABuACAAIAAgACAAIAAgACAAIAAgACAAIAAgAE0AQQBLAEUAQQBSAFIAQQBZACgAXwByAG8AdwBzACwAIABfAGMAbwBsAHMALAAgAEwAQQBNAEIARABBACgAXwByACwAXwBjACwAIABJAE4ARABFAFgAKABfAGEAcgByACwAIABJAE4ARABFAFgAKABfAHIAbgBkACwAIAAoAF8AcgAgAC0AIAAxACkAIAAqACAAXwBjAG8AbABzACAAKwAgAF8AYwApACkAKQApACwAXABuACAAIAAgACAAIAAgACAAIAAgACAAIAAgAEkARgAoAF8AYgB5AFIAdwAsAFwAbgAgACAAIAAgACAAIAAgACAAIAAgACAAIAAgACAAIAAgAE0AQQBLAEUAQQBSAFIAQQBZACgAXwByAG8AdwBzACwAIABfAGMAbwBsAHMALAAgAEwAQQBNAEIARABBACgAXwByACwAXwBjACwAIABJAE4ARABFAFgAKABfAGEAcgByACwAIABJAE4ARABFAFgAKABfAHIAbgBkACwAIABfAHIAKQAsACAAXwBjACkAKQApACwAXABuACAAIAAgACAAIAAgACAAIAAgACAAIAAgACAAIAAgACAATQBBAEsARQBBAFIAUgBBAFkAKABfAHIAbwB3AHMALAAgAF8AYwBvAGwAcwAsACAATABBAE0AQgBEAEEAKABfAHIALABfAGMALAAgAEkATgBEAEUAWAAoAF8AYQByAHIALAAgAF8AcgAsACAASQBOAEQARQBYACgAXwByAG4AZAAsACAAXwBjACkAKQApACkAXABuACAAIAAgACAAIAAgACAAIAAgACAAIAAgACkAXABuACAAIAAgACAAIAAgACAAIAApACwAXABuACAAIAAgACAAIAAgACAAIAAvAC8AIABJAGYAIAB0AGgAZQAgAGkAbgBwAHUAdAAgAGMAaABlAGMAawBzACAAKABfAGkAbgBwAEMAaABrACkAIABoAGEAdgBlACAAZgBsAGEAZwBnAGUAZAAgAHQAaABlAG4AIAB0AGgAZQAgAHIAZQBxAHUAaQByAGUAZAAgAEUAeABjAGUAbAAgAGUAcgByAG8AcgAgAGMAbwBkAGUAIABpAHMAIAByAGUAdAB1AHIAbgBlAGQALABcAG4AIAAgACAAIAAgACAAIAAgAC8ALwAgAG8AdABoAGUAcgB3AGkAcwBlACAAdABoAGUAIABjAGEAbABjAHUAbABhAHQAZQBkACAAcgBlAHMAdQBsAHQAIAAoAF8AcgB0AG4AKQAgAGkAcwAgAHIAZQB0AHUAcgBuAGUAZABcAG4AIAAgACAAIAAgACAAIAAgAEMASABPAE8AUwBFACgAXwBpAG4AcABDAGgAawAsACAAXwByAHQAbgAsACAATABBAE0AQgBEAEEAKAAwACkALAAgACMAVgBBAEwAVQBFACEAKQBcAG4AIAAgACAAIAApAFwAbgApADsAIgB9AF0ALAAiAHAAcgBvAGoAZQBjAHQATgBhAG0AZQBzACIAOgBbACIAUgBYAEwAXwBBAHIAcgBhAHkALgBBAGIAbwB1AHQAIgAsACIAUgBYAEwAXwBBAHIAcgBhAHkALgBJAG4AcwBlAHIAdAAiACwAIgBSAFgATABfAEEAcgByAGEAeQAuAFIAZQBtAG8AdgBlACIALAAiAFIAWABMAF8AQQByAHIAYQB5AC4AUgBlAHYAZQByAHMAZQAiACwAIgBSAFgATABfAEEAcgByAGEAeQAuAFIAYQBuAGQAbwBtAFMAbwByAHQ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ow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nAGIAIgB9AH0A</AFEJSONBlob>
</file>

<file path=customXml/itemProps1.xml><?xml version="1.0" encoding="utf-8"?>
<ds:datastoreItem xmlns:ds="http://schemas.openxmlformats.org/officeDocument/2006/customXml" ds:itemID="{27C20DC6-6EA6-4688-BE54-33271D649EB2}">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Insert</vt:lpstr>
      <vt:lpstr>Remove</vt:lpstr>
      <vt:lpstr>Reverse</vt:lpstr>
      <vt:lpstr>RandomSort</vt:lpstr>
      <vt:lpstr>Demo</vt:lpstr>
      <vt:lpstr>VBA</vt:lpstr>
      <vt:lpstr>Lookups</vt:lpstr>
      <vt:lpstr>VBA!_OnOff</vt:lpstr>
      <vt:lpstr>_OnOff</vt:lpstr>
      <vt:lpstr>VBA!_YesNo</vt:lpstr>
      <vt:lpstr>_YesNo</vt:lpstr>
    </vt:vector>
  </TitlesOfParts>
  <Company>RXL Development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RXL Array Utilities Lambda Module</dc:title>
  <dc:subject>Excel LAMBDA function development</dc:subject>
  <dc:creator>Robert Silk</dc:creator>
  <cp:keywords>https://excel-bits.net/</cp:keywords>
  <cp:lastModifiedBy>Robert Silk</cp:lastModifiedBy>
  <dcterms:created xsi:type="dcterms:W3CDTF">2025-07-31T16:36:18Z</dcterms:created>
  <dcterms:modified xsi:type="dcterms:W3CDTF">2026-05-06T15:06:24Z</dcterms:modified>
  <cp:category>LAMBDA functions</cp:category>
</cp:coreProperties>
</file>