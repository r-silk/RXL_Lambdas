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Work\_RXL\Development\LAMBDA\"/>
    </mc:Choice>
  </mc:AlternateContent>
  <xr:revisionPtr revIDLastSave="0" documentId="13_ncr:1_{F7931149-69F2-41E4-B730-73D1992AC06A}" xr6:coauthVersionLast="47" xr6:coauthVersionMax="47" xr10:uidLastSave="{00000000-0000-0000-0000-000000000000}"/>
  <bookViews>
    <workbookView xWindow="-108" yWindow="-108" windowWidth="23256" windowHeight="12456" activeTab="5" xr2:uid="{C29E0D24-0EA8-4D41-8E06-9F040E158B6C}"/>
  </bookViews>
  <sheets>
    <sheet name="CrossJoin" sheetId="15" r:id="rId1"/>
    <sheet name="Join" sheetId="19" r:id="rId2"/>
    <sheet name="FindItem" sheetId="16" r:id="rId3"/>
    <sheet name="Union" sheetId="18" r:id="rId4"/>
    <sheet name="UnPivot" sheetId="13" r:id="rId5"/>
    <sheet name="Demo" sheetId="14" r:id="rId6"/>
    <sheet name="VBA" sheetId="21" r:id="rId7"/>
    <sheet name="Lookups" sheetId="12" r:id="rId8"/>
  </sheets>
  <definedNames>
    <definedName name="_OnOff">Lookups!$C$6:$C$7</definedName>
    <definedName name="_YesNo">Lookups!$C$3:$C$4</definedName>
    <definedName name="RXL_CrossJoin" comment="Createa a cross join (Cartesian join) between two lists; each row of 2nd list is joined to each row of 1st list">_xlfn.LAMBDA(_xlpm.list_one,_xlpm.list_two,_xlop.convert_list_one,_xlop.list_one_by_column,_xlop.convert_list_two,_xlop.list_two_by_column,_xlop.replace_blanks,_xlop.filter_blanks,_xlop.filter_errors,_xlop.distinct_rows,_xlop.vertical_output,_xlfn.LET(_xlpm._cvt1,IF(_xlfn.ISOMITTED(_xlpm.convert_list_one),FALSE,_xlpm.convert_list_one),_xlpm._byCol1,IF(_xlfn.ISOMITTED(_xlpm.list_one_by_column),TRUE,_xlpm.list_one_by_column),_xlpm._cvt2,IF(_xlfn.ISOMITTED(_xlpm.convert_list_two),FALSE,_xlpm.convert_list_two),_xlpm._byCol2,IF(_xlfn.ISOMITTED(_xlpm.list_two_by_column),TRUE,_xlpm.list_two_by_column),_xlpm._rep,IF(_xlfn.ISOMITTED(_xlpm.replace_blanks),"",_xlpm.replace_blanks),_xlpm._blnk,IF(_xlfn.ISOMITTED(_xlpm.filter_blanks),FALSE,_xlpm.filter_blanks),_xlpm._errs,IF(_xlfn.ISOMITTED(_xlpm.filter_errors),FALSE,_xlpm.filter_errors),_xlpm._dst,IF(_xlfn.ISOMITTED(_xlpm.distinct_rows),FALSE,_xlpm.distinct_rows),_xlpm._vrt,IF(_xlfn.ISOMITTED(_xlpm.vertical_output),TRUE,_xlpm.vertical_output),_xlpm._chk,_xlfn.REDUCE(0,_xlfn.VSTACK(_xlpm._cvt1,_xlpm._byCol1,_xlpm._cvt2,_xlpm._byCol2,_xlpm._blnk,_xlpm._errs,_xlpm._dst,_xlpm._vrt),_xlfn.LAMBDA(_xlpm._acc,_xlpm._val,_xlpm._acc+AND(NOT(ISLOGICAL(_xlpm._val)),NOT(ISNUMBER(_xlpm._val))))),_xlpm._inpChk,IF(OR(NOT(ISREF(_xlpm.list_one)),NOT(ISREF(_xlpm.list_two))),2,IF(_xlpm._chk&gt;0,3,1)),_xlpm._hz1,(COLUMNS(_xlpm.list_one)&gt;ROWS(_xlpm.list_one)),_xlpm._hz2,(COLUMNS(_xlpm.list_two)&gt;ROWS(_xlpm.list_two)),_xlpm._list1,IF(ISBLANK(_xlpm.list_one),_xlpm._rep,_xlpm.list_one),_xlpm._list2,IF(ISBLANK(_xlpm.list_two),_xlpm._rep,_xlpm.list_two),_xlpm._tbl1,_xlfn.LET(_xlpm._tT,IF(_xlpm._hz1,TRANSPOSE(_xlpm._list1),_xlpm._list1),IF(_xlpm._cvt1,_xlfn.TOCOL(_xlpm._tT,0,IF(_xlpm._hz1,NOT(_xlpm._byCol1),_xlpm._byCol1)),_xlpm._tT)),_xlpm._tbl2,_xlfn.LET(_xlpm._tT,IF(_xlpm._hz2,TRANSPOSE(_xlpm._list2),_xlpm._list2),IF(_xlpm._cvt2,_xlfn.TOCOL(_xlpm._tT,0,IF(_xlpm._hz2,NOT(_xlpm._byCol2),_xlpm._byCol2)),_xlpm._tT)),_xlpm._inc1,_xlfn.BYROW(_xlpm._tbl1,_xlfn.LAMBDA(_xlpm._row,IF(_xlpm._blnk,SUM(--(_xlfn.IFNA(_xlpm._row,"#")&lt;&gt;"")),1)*IF(_xlpm._errs,NOT(ISERROR(SUM(_xlpm._row))),1))),_xlpm._inc2,_xlfn.BYROW(_xlpm._tbl2,_xlfn.LAMBDA(_xlpm._row,IF(_xlpm._blnk,SUM(--(_xlfn.IFNA(_xlpm._row,"#")&lt;&gt;"")),1)*IF(_xlpm._errs,NOT(ISERROR(SUM(_xlpm._row))),1))),_xlpm._fltr1,_xlfn._xlws.FILTER(_xlpm._tbl1,_xlpm._inc1),_xlpm._fltr2,_xlfn._xlws.FILTER(_xlpm._tbl2,_xlpm._inc2),_xlpm._rr1,ROWS(_xlpm._fltr1),_xlpm._rr2,ROWS(_xlpm._fltr2),_xlpm._cc1,COLUMNS(_xlpm._fltr1),_xlpm._cc2,COLUMNS(_xlpm._fltr2),_xlpm._rtn,_xlfn.LET(_xlpm._cT,_xlfn.HSTACK(_xlfn.MAKEARRAY(_xlpm._rr1*_xlpm._rr2,_xlpm._cc1,_xlfn.LAMBDA(_xlpm._row,_xlpm._col,INDEX(_xlpm._fltr1,ROUNDUP(_xlpm._row/_xlpm._rr2,0),_xlpm._col))),_xlfn.MAKEARRAY(_xlpm._rr1*_xlpm._rr2,_xlpm._cc2,_xlfn.LAMBDA(_xlpm._row,_xlpm._col,INDEX(_xlpm._fltr2,MOD(_xlpm._row-1,_xlpm._rr2)+1,_xlpm._col)))),_xlpm._dT,IF(_xlpm._dst,_xlfn.UNIQUE(_xlpm._cT),_xlpm._cT),_xlpm._rT,IF(NOT(_xlpm._vrt),TRANSPOSE(_xlpm._dT),_xlpm._dT),_xlpm._rT),CHOOSE(_xlpm._inpChk,_xlpm._rtn,CrossJoin!#REF!,#VALUE!)))</definedName>
    <definedName name="RXL_CrossJoin1D">_xlfn.LAMBDA(_xlpm.list_one,_xlpm.list_two,_xlop.filter_blanks,_xlop.filter_errors,_xlop.replace_blanks,_xlfn.LET(_xlpm._ignore,IF(OR(_xlfn.ISOMITTED(_xlpm.filter_blanks),NOT(_xlpm.filter_blanks)),0,1)+IF(OR(_xlfn.ISOMITTED(_xlpm.filter_errors),NOT(_xlpm.filter_errors)),0,2),_xlpm._inpChk,IF(OR(NOT(ISREF(_xlpm.list_one)),NOT(ISREF(_xlpm.list_two))),"#[Error: invalid input cell references]",IF(OR(AND(NOT(ISLOGICAL(_xlpm.filter_blanks)),NOT(ISNUMBER(_xlpm.filter_blanks))),AND(NOT(ISLOGICAL(_xlpm.filter_errors)),NOT(ISNUMBER(_xlpm.filter_errors)))),"#[Error: invalid optional inputs]","")),_xlpm._list1,IF(AND(COLUMNS(_xlpm.list_one)&gt;1,ROWS(_xlpm.list_one)&gt;1),IF(COLUMNS(_xlpm.list_one)&gt;ROWS(_xlpm.list_one),_xlfn.CHOOSEROWS(_xlpm.list_one,1),_xlfn.CHOOSECOLS(_xlpm.list_one,1)),_xlpm.list_one),_xlpm._list2,IF(AND(COLUMNS(_xlpm.list_two)&gt;1,ROWS(_xlpm.list_two)&gt;1),IF(COLUMNS(_xlpm.list_two)&gt;ROWS(_xlpm.list_two),_xlfn.CHOOSEROWS(_xlpm.list_two,1),_xlfn.CHOOSECOLS(_xlpm.list_two,1)),_xlpm.list_two),_xlpm._fltr1,IF(NOT(ISBLANK(_xlpm.replace_blanks)),IF(ISBLANK(_xlpm._list1),_xlpm.replace_blanks,_xlpm._list1),_xlpm._list1),_xlpm._fltr2,IF(NOT(ISBLANK(_xlpm.replace_blanks)),IF(ISBLANK(_xlpm._list2),_xlpm.replace_blanks,_xlpm._list2),_xlpm._list2),_xlpm._col1,_xlfn.TOCOL(_xlpm._fltr1,_xlpm._ignore),_xlpm._col2,_xlfn.TOCOL(_xlpm._fltr2,_xlpm._ignore),_xlpm._len,ROWS(_xlpm._col2),_xlpm._idx0,_xlfn.SEQUENCE(_xlpm._len*ROWS(_xlpm._col1),1),_xlpm._idx1,_xlfn.CEILING.MATH(_xlpm._idx0/_xlpm._len),_xlpm._idx2,MOD(_xlpm._idx0-1,_xlpm._len)+1,_xlpm._rtn,_xlfn.HSTACK(INDEX(_xlpm._col1,_xlpm._idx1),INDEX(_xlpm._col2,_xlpm._idx2)),IF(_xlpm._inpChk&lt;&gt;"",_xlpm._inpChk,_xlpm._rtn)))</definedName>
    <definedName name="RXL_Data.About" comment="Provides information about the functions in this module">_xlfn.LAMBDA(_xlop.select_function, _xlfn.LET(_xlpm._num, IF(_xlfn.ISOMITTED(_xlpm.select_function), 0, IF(ISNUMBER(_xlpm.select_function), INT(_xlpm.select_function), "#")), _xlpm._arrDef, IF(_xlpm._num = 0, _xlfn.TEXTSPLIT("About:¬RXL Data Analysis Tools|" &amp; "¬Suggested module name = RXL_Data|" &amp; "Version:¬v2.04  (Jul-2025)|" &amp; "Author:¬R Silk, RXL Development|" &amp; "URL:¬https://gist.github.com/r-silk/35f4e036206646007bc649d0ff4198f4|" &amp; "¬|" &amp; "Function¬Description|" &amp; "0 - About¬Provides information about the functions in this module|" &amp; "1 - CrossJoin¬Returns a cross-join between two input lists|" &amp; "2 - FindItem¬Returns matching values within a source array|" &amp; "3 - Join¬Joins two data tables matching data rows|" &amp; "4 - Union¬Stacks two data tables matching data columns|" &amp; "5 - UnPivot¬Unpivots a 2D array to vertical data table", "¬", "|"), ""), _xlpm._arrNames, _xlfn.TEXTSPLIT("CrossJoin¦" &amp; "FindItem¦" &amp; "Join¦" &amp; "Union¦" &amp; "UnPivot", "¦"), _xlpm._arrHelp, _xlfn.TEXTSPLIT("NAME:¬CrossJoin|" &amp; "DESCRIPTION:¬Returns a cross-join between two input lists|" &amp; "VERSION:¬v1.06 (12-Apr-2025)|" &amp; "PARAMETERS:¬|" &amp; "list_one¬(required) the 1st input list/array|" &amp; "list_two¬(required) the 2nd input list/array|" &amp; "convert_list_one¬(optional) choose to convert list_one to a 1D array (True/False)|" &amp; "list_one_by_column¬(optional) scan list_one by column when converting to 1D array (True/False)|" &amp; "convert_list_two¬(optional) choose to convert list_two to a 1D array (True/False)|" &amp; "list_one_by_column¬(optional) scan list_two by column when converting to 1D array (True/False)|" &amp; "replace_blanks¬(optional) value to replace blanks in the input lists/arrays|" &amp; "filter_blanks¬(optional) choose to filter out blank rows before joining lists (True/False)|" &amp; "filter_errors¬(optional) choose to filter out error values before joining lists (True/False)|" &amp; "distinct_rows¬(optional) choose to keep only distinct/unique rows after joining lists (True/False)|" &amp; "vertical_output¬(optional) choose to output the created join in vertical orientation (True/False)" &amp; "¦" &amp; "NAME:¬FindItem|" &amp; "DESCRIPTION:¬Returns matching values within a source array|" &amp; "VERSION:¬v1.07 (08-Apr-2025)|" &amp; "PARAMETERS:¬|" &amp; "range¬(required) range of cells containing the data|" &amp; "find_item¬(required) value to find in range|" &amp; "match_type¬(optional) match type to use (number 0-to-6)|" &amp; "output_type¬(optional) the function output type (number 0-to-5)|" &amp; "if_not_found¬(optional) value to return if no matches found|" &amp; "add_header¬(optional) choose to add column headers to the output (True/False)|" &amp; "split_output¬(optional) choose to split the output into two columns (True/False)" &amp; "¦" &amp; "NAME:¬Join|" &amp; "DESCRIPTION:¬Joins two data tables matching data rows based on chosen match columns|" &amp; "VERSION:¬v1.05 (29-Jul-2025)|" &amp; "PARAMETERS:¬|" &amp; "first_array¬(required) first (primary/left) data table array|" &amp; "second_array¬(required) second (secondary/right) data table array|" &amp; "first_match_index¬(required) the first_array column number(s) to use for row matching|" &amp; "second_match_index¬(required) the second_array column number(s) to use for row matching|" &amp; "join_type¬(optional) set the JOIN type to output (number 0-to-3 or text)|" &amp; "first_array_cols¬(optional) the first_array columns to include in the output and order|" &amp; "second_array_cols¬(optional) the second_array columns to include in the output and order|" &amp; "sort¬(optional) choose whether to sort the output by match columns (number -1-to-1, True/False)|" &amp; "replace_na¬(optional) choose whether to replace #N/A values in the function output with a different value" &amp; "¦" &amp; "NAME:¬Union|" &amp; "DESCRIPTION:¬Stacks two data tables matching data columns based on column titles/headers|" &amp; "VERSION:¬v1.05 (03-Jul-2025)|" &amp; "PARAMETERS:¬|" &amp; "first_array¬(required) first (primary) data array|" &amp; "second_array¬(required) second (secondary) data array, which is added to the first data array|" &amp; "first_titles¬(optional) column titles/headers associated with the first data array|" &amp; "second_titles¬(optional) column titles/headers associated with the second data array|" &amp; "output_titles¬(optional) choose whether to include column titles/headers as the first row of the output|" &amp; "simple_stack¬(optional) choose whether to use simple stacking or column matching for the union|" &amp; "replace_na¬(optional) choose whether to replace #N/A values in the function output with a different value" &amp; "¦" &amp; "NAME:¬UnPivot|" &amp; "DESCRIPTION:¬Unpivots a 2D array to vertical data table|" &amp; "VERSION:¬v1.06 (27-Mar-2025)|" &amp; "PARAMETERS:¬|" &amp; "data¬(required) array containing the main data points|" &amp; "row_headers¬(required) array containing the data row headers|" &amp; "column_headers¬(required) array containing the data column headers|" &amp; "by_column¬(optional) choose to scan the data array by column (True/False)|" &amp; "replace_data_blanks¬(optional) value to replace blanks in the data arrays|" &amp; "filter_blanks¬(optional) choose to filter out blank values from the data array (True/False)|" &amp; "filter_errors¬(optional) choose to filter out error values from the data array (True/False)|" &amp; "fill_row_blanks¬(optional) choose whether to fill blank values in the row_headers input array|" &amp; "fill_column_blanks¬(optional) choose whether to fill blank values in the column_headers input array|" &amp; "output_vertical¬(optional) choose to output the function result in vertical orientation (True/False)", "¦"), _xlpm._arrOut, IF(_xlpm._num = "#", _xlfn.LET(_xlpm._idx, SUM(_xlfn.SEQUENCE(1, COUNTA(_xlpm._arrNames)) * (_xlpm._arrNames = _xlpm.select_function)), IF(_xlpm._idx &gt; 0, _xlfn.TEXTSPLIT(INDEX(_xlpm._arrHelp, _xlpm._idx), "¬", "|"), "#[Error: name not recognised]")), IF(_xlpm._num &lt;&gt; 0, IFERROR(_xlfn.TEXTSPLIT(INDEX(_xlpm._arrHelp, _xlpm._num), "¬", "|"), "#[Error: index not recognised]"), "")), IF(_xlpm._arrDef = "", _xlpm._arrOut, _xlpm._arrDef)))</definedName>
    <definedName name="RXL_Data.CrossJoin" comment="Createa a cross join (Cartesian join) between two lists; each row of 2nd list is joined to each row of 1st list">_xlfn.LAMBDA(_xlpm.list_one,_xlpm.list_two,_xlop.convert_list_one,_xlop.list_one_by_column,_xlop.convert_list_two,_xlop.list_two_by_column,_xlop.replace_blanks,_xlop.filter_blanks,_xlop.filter_errors,_xlop.distinct_rows,_xlop.vertical_output, _xlfn.LET(_xlpm._cvt1, IF(_xlfn.ISOMITTED(_xlpm.convert_list_one), FALSE, _xlpm.convert_list_one), _xlpm._byCol1, IF(_xlfn.ISOMITTED(_xlpm.list_one_by_column), TRUE, _xlpm.list_one_by_column), _xlpm._cvt2, IF(_xlfn.ISOMITTED(_xlpm.convert_list_two), FALSE, _xlpm.convert_list_two), _xlpm._byCol2, IF(_xlfn.ISOMITTED(_xlpm.list_two_by_column), TRUE, _xlpm.list_two_by_column), _xlpm._rep, IF(_xlfn.ISOMITTED(_xlpm.replace_blanks), "", _xlpm.replace_blanks), _xlpm._blnk, IF(_xlfn.ISOMITTED(_xlpm.filter_blanks), FALSE, _xlpm.filter_blanks), _xlpm._errs, IF(_xlfn.ISOMITTED(_xlpm.filter_errors), FALSE, _xlpm.filter_errors), _xlpm._dst, IF(_xlfn.ISOMITTED(_xlpm.distinct_rows), FALSE, _xlpm.distinct_rows), _xlpm._vrt, IF(_xlfn.ISOMITTED(_xlpm.vertical_output), TRUE, _xlpm.vertical_output), _xlpm._chk, _xlfn.REDUCE(0, _xlfn.VSTACK(_xlpm._cvt1, _xlpm._byCol1, _xlpm._cvt2, _xlpm._byCol2, _xlpm._blnk, _xlpm._errs, _xlpm._dst, _xlpm._vrt), _xlfn.LAMBDA(_xlpm._acc,_xlpm._val, _xlpm._acc + AND(NOT(ISLOGICAL(_xlpm._val)), NOT(ISNUMBER(_xlpm._val))))), _xlpm._inpChk, IF(OR(NOT(ISREF(_xlpm.list_one)), NOT(ISREF(_xlpm.list_two))), 2, IF(_xlpm._chk &gt; 0, 3, 1)), _xlpm._hz1, (COLUMNS(_xlpm.list_one) &gt; ROWS(_xlpm.list_one)), _xlpm._hz2, (COLUMNS(_xlpm.list_two) &gt; ROWS(_xlpm.list_two)), _xlpm._list1, IF(ISBLANK(_xlpm.list_one), _xlpm._rep, _xlpm.list_one), _xlpm._list2, IF(ISBLANK(_xlpm.list_two), _xlpm._rep, _xlpm.list_two), _xlpm._tbl1, _xlfn.LET(_xlpm._tT, IF(_xlpm._hz1, TRANSPOSE(_xlpm._list1), _xlpm._list1), IF(_xlpm._cvt1, _xlfn.TOCOL(_xlpm._tT, 0, IF(_xlpm._hz1, NOT(_xlpm._byCol1), _xlpm._byCol1)), _xlpm._tT)), _xlpm._tbl2, _xlfn.LET(_xlpm._tT, IF(_xlpm._hz2, TRANSPOSE(_xlpm._list2), _xlpm._list2), IF(_xlpm._cvt2, _xlfn.TOCOL(_xlpm._tT, 0, IF(_xlpm._hz2, NOT(_xlpm._byCol2), _xlpm._byCol2)), _xlpm._tT)), _xlpm._inc1, _xlfn.BYROW(_xlpm._tbl1, _xlfn.LAMBDA(_xlpm._row, IF(_xlpm._blnk, SUM(--(_xlfn.IFNA(_xlpm._row, "#") &lt;&gt; "")), 1) * IF(_xlpm._errs, NOT(ISERROR(SUM(_xlpm._row))), 1))), _xlpm._inc2, _xlfn.BYROW(_xlpm._tbl2, _xlfn.LAMBDA(_xlpm._row, IF(_xlpm._blnk, SUM(--(_xlfn.IFNA(_xlpm._row, "#") &lt;&gt; "")), 1) * IF(_xlpm._errs, NOT(ISERROR(SUM(_xlpm._row))), 1))), _xlpm._fltr1, _xlfn._xlws.FILTER(_xlpm._tbl1, _xlpm._inc1), _xlpm._fltr2, _xlfn._xlws.FILTER(_xlpm._tbl2, _xlpm._inc2), _xlpm._rr1, ROWS(_xlpm._fltr1), _xlpm._rr2, ROWS(_xlpm._fltr2), _xlpm._cc1, COLUMNS(_xlpm._fltr1), _xlpm._cc2, COLUMNS(_xlpm._fltr2), _xlpm._rtn, _xlfn.LET(_xlpm._cT, _xlfn.HSTACK(_xlfn.MAKEARRAY(_xlpm._rr1 * _xlpm._rr2, _xlpm._cc1, _xlfn.LAMBDA(_xlpm._row,_xlpm._col, INDEX(_xlpm._fltr1, ROUNDUP(_xlpm._row / _xlpm._rr2, 0), _xlpm._col))), _xlfn.MAKEARRAY(_xlpm._rr1 * _xlpm._rr2, _xlpm._cc2, _xlfn.LAMBDA(_xlpm._row,_xlpm._col, INDEX(_xlpm._fltr2, MOD(_xlpm._row - 1, _xlpm._rr2) + 1, _xlpm._col)))), _xlpm._dT, IF(_xlpm._dst, _xlfn.UNIQUE(_xlpm._cT), _xlpm._cT), _xlpm._rT, IF(NOT(_xlpm._vrt), TRANSPOSE(_xlpm._dT), _xlpm._dT), _xlpm._rT), CHOOSE(_xlpm._inpChk, _xlpm._rtn, INDIRECT(""), #VALUE!)))</definedName>
    <definedName name="RXL_Data.FindItem" comment="Function for finding matching values within a source array">_xlfn.LAMBDA(_xlpm.range,_xlpm.find_item,_xlop.match_type,_xlop.output_type,_xlop.if_not_found,_xlop.add_header,_xlop.split_output, _xlfn.LET(_xlpm._rng, _xlpm.range, _xlpm._itm, _xlpm.find_item, _xlpm._mInp, IF(OR(_xlfn.ISOMITTED(_xlpm.match_type), ISBLANK(_xlpm.match_type)), 0, INT(_xlpm.match_type)), _xlpm._typ, IF(ISNUMBER(_xlpm._mInp), _xlpm._mInp + 1, _xlfn.IFNA(MATCH(LOWER(_xlpm.match_type), {"=","&lt;&gt;","&gt;","&lt;","&gt;=","&lt;=","find","regex"}, 0), -1)), _xlpm._optn, IF(OR(_xlfn.ISOMITTED(_xlpm.output_type), ISBLANK(_xlpm.output_type)), 0, INT(_xlpm.output_type)), _xlpm._rep, IF(OR(_xlfn.ISOMITTED(_xlpm.if_not_found), ISBLANK(_xlpm.if_not_found)), NA(), _xlpm.if_not_found), _xlpm._add, IF(OR(_xlfn.ISOMITTED(_xlpm.add_header), ISBLANK(_xlpm.add_header)), FALSE, _xlpm.add_header), _xlpm._splt, IF(OR(_xlfn.ISOMITTED(_xlpm.split_output), ISBLANK(_xlpm.split_output)), FALSE, _xlpm.split_output), _xlpm._inpChk, IF(NOT(ISREF(_xlpm.range)), 2, IF(OR(_xlpm._typ &lt; 1, _xlpm._typ &gt; 8, NOT(ISNUMBER(_xlpm._optn)), _xlpm._optn &lt; 0, _xlpm._optn &gt; 5), 3, 1)), _xlpm._tbl, CHOOSE(_xlpm._optn + 1, _xlpm._rng, (ROW(_xlpm._rng) - ROW(_xlfn.TAKE(_xlpm._rng, 1)) + 1) &amp; "," &amp; (COLUMN(_xlpm._rng) - COLUMN(_xlfn.TAKE(_xlpm._rng, , 1)) + 1), ROW(_xlpm._rng) &amp; "," &amp; COLUMN(_xlpm._rng), ADDRESS(ROW(_xlpm._rng), COLUMN(_xlpm._rng), 4, 1), ADDRESS(ROW(_xlpm._rng), COLUMN(_xlpm._rng), 1, 1), _xlpm._rng), _xlpm._mtch, _xlfn.TOCOL(CHOOSE(_xlpm._typ, IF(_xlpm._rng = _xlpm._itm, _xlpm._tbl, NA()), IF(_xlpm._rng &lt;&gt; _xlpm._itm, _xlpm._tbl, NA()), IF(_xlpm._rng &gt; _xlpm._itm, _xlpm._tbl, NA()), IF(_xlpm._rng &lt; _xlpm._itm, _xlpm._tbl, NA()), IF(_xlpm._rng &gt;= _xlpm._itm, _xlpm._tbl, NA()), IF(_xlpm._rng &lt;= _xlpm._itm, _xlpm._tbl, NA()), IF(ISNUMBER(FIND(LOWER(_xlpm._itm), LOWER(_xlpm._rng))), _xlpm._tbl, NA()), IF(_xlfn.REGEXTEST(_xlpm._rng, _xlpm._itm), _xlpm._tbl, NA())), 2), _xlpm._calc, IF(_xlpm._optn &lt;&gt; 5, _xlpm._mtch, MAX(ROWS(_xlpm._mtch))), _xlpm._arr, IF(ISERROR(_xlpm._calc), IF(_xlpm._optn = 5, 0, _xlpm._rep), _xlpm._calc), _xlpm._hdr, CHOOSE(_xlpm._optn + 1, "Matches", "Row,Column", "Row,Column", "Cell Address", "Cell Address", "Count of Matches"), _xlpm._inc, _xlfn.VSTACK(_xlpm._hdr, _xlpm._arr), _xlpm._rslt, IF(AND(_xlpm._splt, _xlpm._optn &gt; 0, _xlpm._optn &lt; 3), _xlfn.DROP(_xlfn.REDUCE("", _xlpm._inc, _xlfn.LAMBDA(_xlpm._acc,_xlpm._val, _xlfn.VSTACK(_xlpm._acc, _xlfn.TEXTSPLIT(_xlpm._val, ",", , TRUE)))), 1), _xlpm._inc), _xlpm._out, _xlfn.DROP(_xlpm._rslt, IF(_xlpm._add, 0, 1)), _xlpm._rtn, IF(ISNA(_xlpm._out), _xlpm._rep, _xlpm._out), CHOOSE(_xlpm._inpChk, _xlpm._rtn, INDIRECT(""), #VALUE!)))</definedName>
    <definedName name="RXL_Data.Join" comment="Joins two data tables together matching rows based on chosen columns from each input array; similar to the SQL JOIN operation">_xlfn.LAMBDA(_xlpm.first_array,_xlpm.second_array,_xlpm.first_match_index,_xlpm.second_match_index,_xlop.join_type,_xlop.first_array_cols,_xlop.second_array_cols,_xlop.sort,_xlop.replace_na, _xlfn.LET(_xlpm._arr1, _xlpm.first_array, _xlpm._arr2, _xlpm.second_array, _xlpm._col1, _xlpm.first_match_index, _xlpm._col2, _xlpm.second_match_index, _xlpm._idx1, IF(_xlfn.ISOMITTED(_xlpm.first_array_cols), _xlfn.SEQUENCE(1, COLUMNS(_xlpm._arr1)), IF(SUM(--ISERROR(_xlpm.first_array_cols)) &gt; 0, 0, _xlpm.first_array_cols)), _xlpm._idx2, IF(_xlfn.ISOMITTED(_xlpm.second_array_cols), _xlfn.SEQUENCE(1, COLUMNS(_xlpm._arr2)), IF(SUM(--ISERROR(_xlpm.second_array_cols)) &gt; 0, 0, _xlpm.second_array_cols)), _xlpm._inpT, IF(_xlfn.ISOMITTED(_xlpm.join_type), 0, INT(_xlpm.join_type)), _xlpm._typ, IF(ISNUMBER(_xlpm._inpT), _xlpm._inpT + 1, _xlfn.IFNA(MATCH(LOWER(_xlpm.join_type), {"left","right","inner","full"}, 0), -1)), _xlpm._srt, IF(_xlfn.ISOMITTED(_xlpm.sort), 0, IF(ISERROR(_xlpm.sort), "", INT(_xlpm.sort))), _xlpm._inpR, IF(_xlfn.ISOMITTED(_xlpm.replace_na), FALSE, INDEX(_xlpm.replace_na, 1, 1)), _xlpm._rep, IF(ISLOGICAL(_xlpm._inpR), IF(_xlpm._inpR, "", NA()), _xlpm._inpR), _xlpm._inpChk, IF(OR(NOT(ISNUMBER(_xlpm._col1)), NOT(ISNUMBER(_xlpm._col2)), MIN(_xlpm._col1) &lt; 1, MAX(_xlpm._col1) &gt; COLUMNS(_xlpm._arr1), MIN(_xlpm._col2) &lt; 1, MAX(_xlpm._col2) &gt; COLUMNS(_xlpm._arr2), NOT(ISNUMBER(_xlpm._idx1)), NOT(ISNUMBER(_xlpm._idx2)), MIN(_xlpm._idx1) &lt; 1, MAX(_xlpm._idx1) &gt; COLUMNS(_xlpm._arr1), MIN(_xlpm._idx2) &lt; 1, MAX(_xlpm._idx2) &gt; COLUMNS(_xlpm._arr2)), 2, IF(OR(_xlpm._typ &lt; 1, _xlpm._typ &gt; 4, ISERROR(_xlpm._srt), _xlpm._srt &lt; -1, _xlpm._srt &gt; 1), 3, 1)), _xlpm._uId1, _xlfn.SCAN(0, _xlfn.SEQUENCE(ROWS(_xlpm._arr1)), _xlfn.LAMBDA(_xlpm._acc,_xlpm._val, _xlfn.CONCAT(INDEX(_xlpm._arr1, _xlpm._val, _xlpm._col1)))), _xlpm._uId2, _xlfn.SCAN(0, _xlfn.SEQUENCE(ROWS(_xlpm._arr2)), _xlfn.LAMBDA(_xlpm._acc,_xlpm._val, _xlfn.CONCAT(INDEX(_xlpm._arr2, _xlpm._val, _xlpm._col2)))), _xlpm._out1, _xlfn.CHOOSECOLS(_xlpm._arr1, _xlpm._idx1), _xlpm._out2, _xlfn.CHOOSECOLS(_xlpm._arr2, _xlpm._idx2), _xlpm._cc1, COLUMNS(_xlpm._out1), _xlpm._cc2, COLUMNS(_xlpm._out2), _xlpm._ccS, _xlpm._cc1 + IF(_xlpm._srt &lt;&gt; 0, 1, 0),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_xlfn.LET(_xlpm._fltr, _xlfn.SCAN(0, _xlfn.SEQUENCE(ROWS(_xlpm._out2), 1), _xlfn.LAMBDA(_xlpm._acc,_xlpm._val, IF(ISNA(MATCH(_xlpm._val, _xlpm._mtch, 0)), 1, 0))), _xlpm._arr, _xlfn._xlws.FILTER(_xlpm._out2, _xlpm._fltr = 1, "#[Empty]"), _xlpm._mCl, _xlfn._xlws.FILTER(_xlpm._uId2, _xlpm._fltr = 1, NA()), _xlpm._blnk, _xlfn.MAKEARRAY(ROWS(_xlpm._arr), _xlpm._cc1, _xlfn.LAMBDA(_xlpm._r,_xlpm._c, NA())), IF(_xlpm._srt &lt;&gt; 0, _xlfn.HSTACK(_xlpm._mCl, _xlpm._blnk, _xlpm._arr), _xlfn.HSTACK(_xlpm._blnk, _xlpm._arr))), _xlpm._arrC, IF(_xlpm._srt &lt;&gt; 0, _xlfn.HSTACK(_xlpm._uId1, _xlpm._out1, _xlpm._arrN), _xlfn.HSTACK(_xlpm._out1, _xlpm._arrN)), _xlpm._arrL, IF(OR(_xlpm._typ = 2, _xlpm._typ = 3), _xlfn._xlws.FILTER(_xlpm._arrC, _xlpm._mtch &lt;&gt; 0, "#[Empty]"), _xlpm._arrC), _xlpm._calc, CHOOSE(_xlpm._typ, _xlpm._arrL, IF(INDEX(_xlpm._arrL, 1, 1) = "#[Empty]", _xlpm._arrR, IF(INDEX(_xlpm._arrR, 1, _xlpm._ccS + 1) = "#[Empty]", _xlpm._arrL, _xlfn.VSTACK(_xlpm._arrL, _xlpm._arrR))), IF(INDEX(_xlpm._arrL, 1, 1) = "#[Empty]", _xlfn.MAKEARRAY(1, _xlpm._ccS + _xlpm._cc2, _xlfn.LAMBDA(_xlpm._r,_xlpm._c, NA())), _xlpm._arrL), IF(INDEX(_xlpm._arrR, 1, _xlpm._ccS + 1) = "#[Empty]", _xlpm._arrL, _xlfn.VSTACK(_xlpm._arrL, _xlpm._arrR))), _xlpm._rtn, _xlfn.LET(_xlpm._arrS, IF(_xlpm._srt &lt;&gt; 0, _xlfn.DROP(_xlfn.SORTBY(_xlpm._calc, _xlfn.CHOOSECOLS(_xlpm._calc, 1), _xlpm._srt), 0, 1), _xlpm._calc), _xlpm._aRep, IF(ISNA(_xlpm._rep), _xlpm._arrS, IF(ISNA(_xlpm._arrS), _xlpm._rep, _xlpm._arrS)), _xlpm._aRep), CHOOSE(_xlpm._inpChk, _xlpm._rtn, _xlfn.LAMBDA(0), #VALUE!)))</definedName>
    <definedName name="RXL_Data.Union" comment="Stacks two data tables together matching data columns based on column titles/headers; similar to the SQL UNION operation">_xlfn.LAMBDA(_xlpm.first_array,_xlpm.second_array,_xlop.first_titles,_xlop.second_titles,_xlop.output_titles,_xlop.simple_stack,_xlop.replace_na, _xlfn.LET(_xlpm._inp1, _xlpm.first_array, _xlpm._inp2, _xlpm.second_array, _xlpm._cc1, COLUMNS(_xlpm._inp1), _xlpm._cc2, COLUMNS(_xlpm._inp2), _xlpm._ttl1, IF(_xlfn.ISOMITTED(_xlpm.first_titles), _xlfn.SEQUENCE(1, _xlpm._cc1, 1), _xlfn.TAKE(_xlpm.first_titles, 1)), _xlpm._ttl2, IF(_xlfn.ISOMITTED(_xlpm.second_titles), _xlfn.SEQUENCE(1, _xlpm._cc2, _xlpm._cc1 + 1), _xlfn.TAKE(_xlpm.second_titles, 1)), _xlpm._hdr, IF(_xlfn.ISOMITTED(_xlpm.output_titles), 0, _xlpm.output_titles), _xlpm._ccH, COLUMNS(_xlpm._hdr), _xlpm._inc, IF(AND(_xlpm._ccH = 1, OR(ISLOGICAL(_xlpm._hdr), ISNUMBER(_xlpm._hdr))), IF(_xlpm._hdr, 1, 0), -1), _xlpm._stk, IF(_xlfn.ISOMITTED(_xlpm.simple_stack), FALSE, _xlpm.simple_stack), _xlpm._rep, IF(_xlfn.ISOMITTED(_xlpm.replace_na), FALSE, IF(AND(ISLOGICAL(_xlpm.replace_na), _xlpm.replace_na = FALSE), FALSE, TRUE)), _xlpm._str, IF(_xlfn.ISOMITTED(_xlpm.replace_na), 0, IF(AND(ISLOGICAL(_xlpm.replace_na), _xlpm.replace_na), "", _xlpm.replace_na)), _xlpm._inpChk, _xlfn.IFS(OR(COLUMNS(_xlpm._ttl1) &lt;&gt; _xlpm._cc1, COLUMNS(_xlpm._ttl2) &lt;&gt; _xlpm._cc2), 2, OR(ROWS(_xlpm._hdr) &lt;&gt; 1, ROWS(_xlpm._str) &lt;&gt; 1, COLUMNS(_xlpm._str) &lt;&gt; 1, ISERROR(_xlpm._str), ROWS(_xlpm._stk) &lt;&gt; 1, COLUMNS(_xlpm._stk) &lt;&gt; 1, AND(NOT(ISLOGICAL(_xlpm._stk)), NOT(ISNUMBER(_xlpm._stk)))), 3, TRUE, 1), _xlpm._ttlC, IF(_xlpm._stk, _xlfn.DROP(_xlfn.REDUCE("", _xlfn.SEQUENCE(1, MAX(_xlpm._cc1, _xlpm._cc2)), _xlfn.LAMBDA(_xlpm._acc,_xlpm._val, _xlfn.HSTACK(_xlpm._acc, IF(_xlpm._val &lt;= _xlpm._cc1, INDEX(_xlpm._ttl1, , _xlpm._val), INDEX(_xlpm._ttl2, , _xlpm._val))))), , 1), _xlfn.REDUCE(_xlpm._ttl1, _xlpm._ttl2, _xlfn.LAMBDA(_xlpm._acc,_xlpm._val, IF(ISNA(MATCH(_xlpm._val, _xlpm._ttl1, 0)), _xlfn.HSTACK(_xlpm._acc, _xlpm._val), _xlpm._acc)))), _xlpm._idx, _xlfn.DROP(_xlfn.REDUCE(0, _xlpm._ttlC, _xlfn.LAMBDA(_xlpm._acc,_xlpm._val, _xlfn.HSTACK(_xlpm._acc, _xlfn.IFNA(MATCH(_xlpm._val, _xlpm._ttl2, 0), 0)))), , 1), _xlpm._arr, IF(_xlpm._stk, _xlpm._inp2, _xlfn.DROP(_xlfn.REDUCE(0, _xlpm._idx, _xlfn.LAMBDA(_xlpm._acc,_xlpm._val, _xlfn.HSTACK(_xlpm._acc, IF(_xlpm._val &gt; 0, _xlfn.CHOOSECOLS(_xlpm._inp2, _xlpm._val), "¦")))), , 1)), _xlpm._new, IF(_xlpm._arr = "¦", NA(), _xlpm._arr), _xlpm._calc, _xlfn.VSTACK(_xlpm._inp1, _xlpm._new), _xlpm._out, IF(_xlpm._inc &lt; 0, _xlfn.VSTACK(_xlfn.TAKE(_xlpm._hdr, 1, MIN(_xlpm._ccH, COLUMNS(_xlpm._calc))), _xlpm._calc), IF(_xlpm._inc &gt; 0, _xlfn.VSTACK(_xlpm._ttlC, _xlpm._calc), _xlpm._calc)), _xlpm._rtn, IF(_xlpm._rep, IF(ISNA(_xlpm._out), _xlpm._str, _xlpm._out), _xlpm._out), CHOOSE(_xlpm._inpChk, _xlpm._rtn, _xlfn.LAMBDA(0), #VALUE!)))</definedName>
    <definedName name="RXL_Data.UnPivot" comment="Unpivot (&quot;flatten&quot;) a 2D source array into a vertical data table; each source data point represented as an individual row">_xlfn.LAMBDA(_xlpm.data,_xlpm.row_headers,_xlpm.column_headers,_xlop.by_column,_xlop.replace_data_blanks,_xlop.filter_blanks,_xlop.filter_errors,_xlop.fill_row_blanks,_xlop.fill_column_blanks,_xlop.output_vertical, _xlfn.LET(_xlpm._dd, _xlpm.data, _xlpm._rh, _xlpm.row_headers, _xlpm._ch, _xlpm.column_headers, _xlpm._byCol, IF(_xlfn.ISOMITTED(_xlpm.by_column), 0, IF(_xlpm.by_column, 1, 0)), _xlpm._repD, IF(_xlfn.ISOMITTED(_xlpm.replace_data_blanks), "", IF(ISLOGICAL(_xlpm.replace_data_blanks), IF(_xlpm.replace_data_blanks, NA(), ""), _xlpm.replace_data_blanks)), _xlpm._fltrB, IF(_xlfn.ISOMITTED(_xlpm.filter_blanks), 0, IF(_xlpm.filter_blanks, 1, 0)), _xlpm._fltrE, IF(_xlfn.ISOMITTED(_xlpm.filter_errors), 0, IF(_xlpm.filter_errors, 1, 0)), _xlpm._rowB, IF(_xlfn.ISOMITTED(_xlpm.fill_row_blanks), 0, _xlpm.fill_row_blanks), _xlpm._colB, IF(_xlfn.ISOMITTED(_xlpm.fill_column_blanks), 0, _xlpm.fill_column_blanks), _xlpm._vrt, IF(_xlfn.ISOMITTED(_xlpm.output_vertical), 1, IF(_xlpm.output_vertical, 1, 0)), _xlpm._repR, IF(OR(ISNUMBER(_xlpm._rowB), ISLOGICAL(_xlpm._rowB)), "", _xlpm._rowB), _xlpm._repC, IF(OR(ISNUMBER(_xlpm._colB), ISLOGICAL(_xlpm._colB)), "", _xlpm._colB), _xlpm._dirR, IF(OR(ISNUMBER(_xlpm._rowB), ISLOGICAL(_xlpm._rowB)), INT(_xlpm._rowB), 0), _xlpm._dirC, IF(OR(ISNUMBER(_xlpm._colB), ISLOGICAL(_xlpm._colB)), INT(_xlpm._colB), 0), _xlpm._inpChk, _xlfn.IFS(IFERROR(OR(ROWS(_xlpm._rh) &lt; 1, COLUMNS(_xlpm._rh) &lt; 1, ROWS(_xlpm._ch) &lt; 1, COLUMNS(_xlpm._ch) &lt; 1, ROWS(_xlpm._dd) &lt; 1, COLUMNS(_xlpm._dd) &lt; 1), 3), 3, IFERROR(OR(ROWS(_xlpm._dd) &lt;&gt; ROWS(_xlpm._rh), COLUMNS(_xlpm._dd) &lt;&gt; COLUMNS(_xlpm._ch)), 3), 2, TRUE, 1), _xlpm._kCols, IF(_xlpm._byCol, TRANSPOSE(_xlpm._ch), _xlpm._rh), _xlpm._nCols, IF(_xlpm._byCol, _xlpm._rh, TRANSPOSE(_xlpm._ch)), _xlpm._rK, ROWS(_xlpm._kCols), _xlpm._cK, COLUMNS(_xlpm._kCols), _xlpm._rN, ROWS(_xlpm._nCols), _xlpm._cN, COLUMNS(_xlpm._nCols), _xlpm._keys, _xlfn.LET(_xlpm._kRep, IF(_xlpm._byCol, _xlpm._repC, _xlpm._repR), _xlpm._kDir, IF(_xlpm._byCol, _xlpm._dirC, _xlpm._dirR), _xlpm._kArr, IF(_xlpm._kDir = -1, INDEX(_xlpm._kCols, _xlfn.SEQUENCE(_xlpm._rK, 1, _xlpm._rK, -1), _xlfn.SEQUENCE(1, _xlpm._cK)), _xlpm._kCols), _xlpm._kFil, _xlfn.DROP(_xlfn.REDUCE(0, _xlfn.SEQUENCE(_xlpm._cK), _xlfn.LAMBDA(_xlpm._arr,_xlpm._col, _xlfn.HSTACK(_xlpm._arr, _xlfn.SCAN("", _xlfn.CHOOSECOLS(_xlpm._kArr, _xlpm._col), _xlfn.LAMBDA(_xlpm._acc,_xlpm._val, IF(ISBLANK(_xlpm._val), IF(_xlpm._kDir = 0, _xlpm._kRep, _xlpm._acc), _xlpm._val)))))), , 1), _xlpm._out, IF(_xlpm._kDir = -1, INDEX(_xlpm._kFil, _xlfn.SEQUENCE(_xlpm._rK, 1, _xlpm._rK, -1), _xlfn.SEQUENCE(1, _xlpm._cK)), _xlpm._kFil), _xlfn.MAKEARRAY(_xlpm._rK * _xlpm._rN, _xlpm._cK, _xlfn.LAMBDA(_xlpm._row,_xlpm._col, INDEX(_xlpm._out, ROUNDUP(_xlpm._row / _xlpm._rN, 0), _xlpm._col)))), _xlpm._names, _xlfn.LET(_xlpm._nRep, IF(_xlpm._byCol, _xlpm._repR, _xlpm._repC), _xlpm._nDir, IF(_xlpm._byCol, _xlpm._dirR, _xlpm._dirC), _xlpm._nArr, IF(_xlpm._nDir = -1, INDEX(_xlpm._nCols, _xlfn.SEQUENCE(_xlpm._rN, 1, _xlpm._rN, -1), _xlfn.SEQUENCE(1, _xlpm._cN)), _xlpm._nCols), _xlpm._nFil, _xlfn.DROP(_xlfn.REDUCE(0, _xlfn.SEQUENCE(_xlpm._cN), _xlfn.LAMBDA(_xlpm._arr,_xlpm._col, _xlfn.HSTACK(_xlpm._arr, _xlfn.SCAN("", _xlfn.CHOOSECOLS(_xlpm._nArr, _xlpm._col), _xlfn.LAMBDA(_xlpm._acc,_xlpm._val, IF(ISBLANK(_xlpm._val), IF(_xlpm._nDir = 0, _xlpm._nRep, _xlpm._acc), _xlpm._val)))))), , 1), _xlpm._out, IF(_xlpm._nDir = -1, INDEX(_xlpm._nFil, _xlfn.SEQUENCE(_xlpm._rN, 1, _xlpm._rN, -1), _xlfn.SEQUENCE(1, _xlpm._cN)), _xlpm._nFil), _xlfn.MAKEARRAY(_xlpm._rK * _xlpm._rN, _xlpm._cN, _xlfn.LAMBDA(_xlpm._row,_xlpm._col, INDEX(_xlpm._out, MOD(_xlpm._row - 1, _xlpm._rN) + 1, _xlpm._col)))), _xlpm._values, _xlfn.LET(_xlpm._dp, _xlfn.TOCOL(_xlpm._dd, , _xlpm._byCol), IF(ISBLANK(_xlpm._dp), _xlpm._repD, _xlpm._dp)), _xlpm._rtn, _xlfn.LET(_xlpm._dt, _xlfn.HSTACK(_xlpm._keys, _xlpm._names, _xlpm._values), _xlpm._vl, _xlfn.CHOOSECOLS(_xlpm._dt, -1), _xlpm._dfB, IF(_xlpm._fltrB, _xlfn._xlws.FILTER(_xlpm._dt, IF(ISERROR(_xlpm._vl), TRUE, _xlfn.IFNA(_xlpm._vl, "#") &lt;&gt; "")), _xlpm._dt), _xlpm._dfE, IF(_xlpm._fltrE, _xlfn._xlws.FILTER(_xlpm._dfB, NOT(ISERROR(_xlfn.CHOOSECOLS(_xlpm._dfB, -1)))), _xlpm._dfB), IF(NOT(_xlpm._vrt), TRANSPOSE(_xlpm._dfE), _xlpm._dfE)), CHOOSE(_xlpm._inpChk, _xlpm._rtn, _xlfn.LAMBDA(0), #VALUE!)))</definedName>
    <definedName name="RXL_FindItem" comment="Function for finding matching values within a source array">_xlfn.LAMBDA(_xlpm.range,_xlpm.find_item,_xlop.match_type,_xlop.output_type,_xlop.if_not_found,_xlop.add_header,_xlop.split_output,_xlfn.LET(_xlpm._rng,_xlpm.range,_xlpm._itm,_xlpm.find_item,_xlpm._mInp,IF(OR(_xlfn.ISOMITTED(_xlpm.match_type),ISBLANK(_xlpm.match_type)),0,INT(_xlpm.match_type)),_xlpm._typ,IF(ISNUMBER(_xlpm._mInp),_xlpm._mInp+1,_xlfn.IFNA(MATCH(LOWER(_xlpm.match_type),{"=","&lt;&gt;","&gt;","&lt;","&gt;=","&lt;=","find","regex"},0),-1)),_xlpm._optn,IF(OR(_xlfn.ISOMITTED(_xlpm.output_type),ISBLANK(_xlpm.output_type)),0,INT(_xlpm.output_type)),_xlpm._rep,IF(OR(_xlfn.ISOMITTED(_xlpm.if_not_found),ISBLANK(_xlpm.if_not_found)),NA(),_xlpm.if_not_found),_xlpm._add,IF(OR(_xlfn.ISOMITTED(_xlpm.add_header),ISBLANK(_xlpm.add_header)),FALSE,_xlpm.add_header),_xlpm._splt,IF(OR(_xlfn.ISOMITTED(_xlpm.split_output),ISBLANK(_xlpm.split_output)),FALSE,_xlpm.split_output),_xlpm._inpChk,IF(NOT(ISREF(_xlpm.range)),2,IF(OR(_xlpm._typ&lt;1,_xlpm._typ&gt;8,NOT(ISNUMBER(_xlpm._optn)),_xlpm._optn&lt;0,_xlpm._optn&gt;5),3,1)),_xlpm._tbl,CHOOSE(_xlpm._optn+1,_xlpm._rng,(ROW(_xlpm._rng)-ROW(_xlfn.TAKE(_xlpm._rng,1))+1)&amp;","&amp;(COLUMN(_xlpm._rng)-COLUMN(_xlfn.TAKE(_xlpm._rng,,1))+1),ROW(_xlpm._rng)&amp;","&amp;COLUMN(_xlpm._rng),ADDRESS(ROW(_xlpm._rng),COLUMN(_xlpm._rng),4,1),ADDRESS(ROW(_xlpm._rng),COLUMN(_xlpm._rng),1,1),_xlpm._rng),_xlpm._mtch,_xlfn.TOCOL(CHOOSE(_xlpm._typ,IF(_xlpm._rng=_xlpm._itm,_xlpm._tbl,NA()),IF(_xlpm._rng&lt;&gt;_xlpm._itm,_xlpm._tbl,NA()),IF(_xlpm._rng&gt;_xlpm._itm,_xlpm._tbl,NA()),IF(_xlpm._rng&lt;_xlpm._itm,_xlpm._tbl,NA()),IF(_xlpm._rng&gt;=_xlpm._itm,_xlpm._tbl,NA()),IF(_xlpm._rng&lt;=_xlpm._itm,_xlpm._tbl,NA()),IF(ISNUMBER(FIND(LOWER(_xlpm._itm),LOWER(_xlpm._rng))),_xlpm._tbl,NA()),IF(_xlfn.REGEXTEST(_xlpm._rng,_xlpm._itm),_xlpm._tbl,NA())),2),_xlpm._calc,IF(_xlpm._optn&lt;&gt;5,_xlpm._mtch,MAX(ROWS(_xlpm._mtch))),_xlpm._arr,IF(ISERROR(_xlpm._calc),IF(_xlpm._optn=5,0,_xlpm._rep),_xlpm._calc),_xlpm._hdr,CHOOSE(_xlpm._optn+1,"Matches","Row,Column","Row,Column","Cell Address","Cell Address","Count of Matches"),_xlpm._inc,_xlfn.VSTACK(_xlpm._hdr,_xlpm._arr),_xlpm._rslt,IF(AND(_xlpm._splt,_xlpm._optn&gt;0,_xlpm._optn&lt;3),_xlfn.DROP(_xlfn.REDUCE("",_xlpm._inc,_xlfn.LAMBDA(_xlpm._acc,_xlpm._val,_xlfn.VSTACK(_xlpm._acc,_xlfn.TEXTSPLIT(_xlpm._val,",",,TRUE)))),1),_xlpm._inc),_xlpm._out,_xlfn.DROP(_xlpm._rslt,IF(_xlpm._add,0,1)),_xlpm._rtn,IF(ISNA(_xlpm._out),_xlpm._rep,_xlpm._out),CHOOSE(_xlpm._inpChk,_xlpm._rtn,FindItem!#REF!,#VALUE!)))</definedName>
    <definedName name="RXL_Join" comment="Joins two data tables together matching rows based on chosen columns from each input array; similar to the SQL JOIN operation">_xlfn.LAMBDA(_xlpm.first_array,_xlpm.second_array,_xlpm.first_match_index,_xlpm.second_match_index,_xlop.join_type,_xlop.first_array_cols,_xlop.second_array_cols,_xlop.sort,_xlop.replace_na, _xlfn.LET(_xlpm._arr1, _xlpm.first_array, _xlpm._arr2, _xlpm.second_array, _xlpm._col1, _xlpm.first_match_index, _xlpm._col2, _xlpm.second_match_index, _xlpm._idx1, IF(_xlfn.ISOMITTED(_xlpm.first_array_cols), _xlfn.SEQUENCE(1, COLUMNS(_xlpm._arr1)), IF(SUM(--ISERROR(_xlpm.first_array_cols)) &gt; 0, 0, _xlpm.first_array_cols)), _xlpm._idx2, IF(_xlfn.ISOMITTED(_xlpm.second_array_cols), _xlfn.SEQUENCE(1, COLUMNS(_xlpm._arr2)), IF(SUM(--ISERROR(_xlpm.second_array_cols)) &gt; 0, 0, _xlpm.second_array_cols)), _xlpm._inpT, IF(_xlfn.ISOMITTED(_xlpm.join_type), 0, INT(_xlpm.join_type)), _xlpm._typ, IF(ISNUMBER(_xlpm._inpT), _xlpm._inpT + 1, _xlfn.IFNA(MATCH(LOWER(_xlpm.join_type), {"left","right","inner","full"}, 0), -1)), _xlpm._srt, IF(_xlfn.ISOMITTED(_xlpm.sort), 0, IF(ISERROR(_xlpm.sort), "", INT(_xlpm.sort))), _xlpm._inpR, IF(_xlfn.ISOMITTED(_xlpm.replace_na), FALSE, INDEX(_xlpm.replace_na, 1, 1)), _xlpm._rep, IF(ISLOGICAL(_xlpm._inpR), IF(_xlpm._inpR, "", NA()), _xlpm._inpR), _xlpm._inpChk, IF(OR(NOT(ISNUMBER(_xlpm._col1)), NOT(ISNUMBER(_xlpm._col2)), MIN(_xlpm._col1) &lt; 1, MAX(_xlpm._col1) &gt; COLUMNS(_xlpm._arr1), MIN(_xlpm._col2) &lt; 1, MAX(_xlpm._col2) &gt; COLUMNS(_xlpm._arr2), NOT(ISNUMBER(_xlpm._idx1)), NOT(ISNUMBER(_xlpm._idx2)), MIN(_xlpm._idx1) &lt; 1, MAX(_xlpm._idx1) &gt; COLUMNS(_xlpm._arr1), MIN(_xlpm._idx2) &lt; 1, MAX(_xlpm._idx2) &gt; COLUMNS(_xlpm._arr2)), 2, IF(OR(_xlpm._typ &lt; 1, _xlpm._typ &gt; 4, ISERROR(_xlpm._srt), _xlpm._srt &lt; -1, _xlpm._srt &gt; 1), 3, 1)), _xlpm._uId1, _xlfn.SCAN(0, _xlfn.SEQUENCE(ROWS(_xlpm._arr1)), _xlfn.LAMBDA(_xlpm._acc,_xlpm._val, _xlfn.CONCAT(INDEX(_xlpm._arr1, _xlpm._val, _xlpm._col1)))), _xlpm._uId2, _xlfn.SCAN(0, _xlfn.SEQUENCE(ROWS(_xlpm._arr2)), _xlfn.LAMBDA(_xlpm._acc,_xlpm._val, _xlfn.CONCAT(INDEX(_xlpm._arr2, _xlpm._val, _xlpm._col2)))), _xlpm._out1, _xlfn.CHOOSECOLS(_xlpm._arr1, _xlpm._idx1), _xlpm._out2, _xlfn.CHOOSECOLS(_xlpm._arr2, _xlpm._idx2), _xlpm._cc1, COLUMNS(_xlpm._out1), _xlpm._cc2, COLUMNS(_xlpm._out2), _xlpm._ccS, _xlpm._cc1 + IF(_xlpm._srt &lt;&gt; 0, 1, 0),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_xlfn.LET(_xlpm._fltr, _xlfn.SCAN(0, _xlfn.SEQUENCE(ROWS(_xlpm._out2), 1), _xlfn.LAMBDA(_xlpm._acc,_xlpm._val, IF(ISNA(MATCH(_xlpm._val, _xlpm._mtch, 0)), 1, 0))), _xlpm._arr, _xlfn._xlws.FILTER(_xlpm._out2, _xlpm._fltr = 1, "#[Empty]"), _xlpm._mCl, _xlfn._xlws.FILTER(_xlpm._uId2, _xlpm._fltr = 1, NA()), _xlpm._blnk, _xlfn.MAKEARRAY(ROWS(_xlpm._arr), _xlpm._cc1, _xlfn.LAMBDA(_xlpm._r,_xlpm._c, NA())), IF(_xlpm._srt &lt;&gt; 0, _xlfn.HSTACK(_xlpm._mCl, _xlpm._blnk, _xlpm._arr), _xlfn.HSTACK(_xlpm._blnk, _xlpm._arr))), _xlpm._arrC, IF(_xlpm._srt &lt;&gt; 0, _xlfn.HSTACK(_xlpm._uId1, _xlpm._out1, _xlpm._arrN), _xlfn.HSTACK(_xlpm._out1, _xlpm._arrN)), _xlpm._arrL, IF(OR(_xlpm._typ = 2, _xlpm._typ = 3), _xlfn._xlws.FILTER(_xlpm._arrC, _xlpm._mtch &lt;&gt; 0, "#[Empty]"), _xlpm._arrC), _xlpm._calc, CHOOSE(_xlpm._typ, _xlpm._arrL, IF(INDEX(_xlpm._arrL, 1, 1) = "#[Empty]", _xlpm._arrR, IF(INDEX(_xlpm._arrR, 1, _xlpm._ccS + 1) = "#[Empty]", _xlpm._arrL, _xlfn.VSTACK(_xlpm._arrL, _xlpm._arrR))), IF(INDEX(_xlpm._arrL, 1, 1) = "#[Empty]", _xlfn.MAKEARRAY(1, _xlpm._ccS + _xlpm._cc2, _xlfn.LAMBDA(_xlpm._r,_xlpm._c, NA())), _xlpm._arrL), IF(INDEX(_xlpm._arrR, 1, _xlpm._ccS + 1) = "#[Empty]", _xlpm._arrL, _xlfn.VSTACK(_xlpm._arrL, _xlpm._arrR))), _xlpm._rtn, _xlfn.LET(_xlpm._arrS, IF(_xlpm._srt &lt;&gt; 0, _xlfn.DROP(_xlfn.SORTBY(_xlpm._calc, _xlfn.CHOOSECOLS(_xlpm._calc, 1), _xlpm._srt), 0, 1), _xlpm._calc), _xlpm._aRep, IF(ISNA(_xlpm._rep), _xlpm._arrS, IF(ISNA(_xlpm._arrS), _xlpm._rep, _xlpm._arrS)), _xlpm._aRep), CHOOSE(_xlpm._inpChk, _xlpm._rtn, _xlfn.LAMBDA(0), #VALUE!)))</definedName>
    <definedName name="RXL_Union" comment="Stacks two data tables together matching data columns based on column titles/headers; similar to the SQL UNION operation">_xlfn.LAMBDA(_xlpm.first_array,_xlpm.second_array,_xlop.first_titles,_xlop.second_titles,_xlop.output_titles,_xlop.simple_stack,_xlop.replace_na, _xlfn.LET(_xlpm._inp1, _xlpm.first_array, _xlpm._inp2, _xlpm.second_array, _xlpm._cc1, COLUMNS(_xlpm._inp1), _xlpm._cc2, COLUMNS(_xlpm._inp2), _xlpm._ttl1, IF(_xlfn.ISOMITTED(_xlpm.first_titles), _xlfn.SEQUENCE(1, _xlpm._cc1, 1), _xlfn.TAKE(_xlpm.first_titles, 1)), _xlpm._ttl2, IF(_xlfn.ISOMITTED(_xlpm.second_titles), _xlfn.SEQUENCE(1, _xlpm._cc2, _xlpm._cc1 + 1), _xlfn.TAKE(_xlpm.second_titles, 1)), _xlpm._hdr, IF(_xlfn.ISOMITTED(_xlpm.output_titles), 0, _xlpm.output_titles), _xlpm._ccH, COLUMNS(_xlpm._hdr), _xlpm._inc, IF(AND(_xlpm._ccH = 1, OR(ISLOGICAL(_xlpm._hdr), ISNUMBER(_xlpm._hdr))), IF(_xlpm._hdr, 1, 0), -1), _xlpm._stk, IF(_xlfn.ISOMITTED(_xlpm.simple_stack), FALSE, _xlpm.simple_stack), _xlpm._rep, IF(_xlfn.ISOMITTED(_xlpm.replace_na), FALSE, IF(AND(ISLOGICAL(_xlpm.replace_na), _xlpm.replace_na = FALSE), FALSE, TRUE)), _xlpm._str, IF(_xlfn.ISOMITTED(_xlpm.replace_na), 0, IF(AND(ISLOGICAL(_xlpm.replace_na), _xlpm.replace_na), "", _xlpm.replace_na)), _xlpm._inpChk, _xlfn.IFS(OR(COLUMNS(_xlpm._ttl1) &lt;&gt; _xlpm._cc1, COLUMNS(_xlpm._ttl2) &lt;&gt; _xlpm._cc2), 2, OR(ROWS(_xlpm._hdr) &lt;&gt; 1, ROWS(_xlpm._str) &lt;&gt; 1, COLUMNS(_xlpm._str) &lt;&gt; 1, ISERROR(_xlpm._str), ROWS(_xlpm._stk) &lt;&gt; 1, COLUMNS(_xlpm._stk) &lt;&gt; 1, AND(NOT(ISLOGICAL(_xlpm._stk)), NOT(ISNUMBER(_xlpm._stk)))), 3, TRUE, 1), _xlpm._ttlC, IF(_xlpm._stk, _xlfn.DROP(_xlfn.REDUCE("", _xlfn.SEQUENCE(1, MAX(_xlpm._cc1, _xlpm._cc2)), _xlfn.LAMBDA(_xlpm._acc,_xlpm._val, _xlfn.HSTACK(_xlpm._acc, IF(_xlpm._val &lt;= _xlpm._cc1, INDEX(_xlpm._ttl1, , _xlpm._val), INDEX(_xlpm._ttl2, , _xlpm._val))))), , 1), _xlfn.REDUCE(_xlpm._ttl1, _xlpm._ttl2, _xlfn.LAMBDA(_xlpm._acc,_xlpm._val, IF(ISNA(MATCH(_xlpm._val, _xlpm._ttl1, 0)), _xlfn.HSTACK(_xlpm._acc, _xlpm._val), _xlpm._acc)))), _xlpm._idx, _xlfn.DROP(_xlfn.REDUCE(0, _xlpm._ttlC, _xlfn.LAMBDA(_xlpm._acc,_xlpm._val, _xlfn.HSTACK(_xlpm._acc, _xlfn.IFNA(MATCH(_xlpm._val, _xlpm._ttl2, 0), 0)))), , 1), _xlpm._arr, IF(_xlpm._stk, _xlpm._inp2, _xlfn.DROP(_xlfn.REDUCE(0, _xlpm._idx, _xlfn.LAMBDA(_xlpm._acc,_xlpm._val, _xlfn.HSTACK(_xlpm._acc, IF(_xlpm._val &gt; 0, _xlfn.CHOOSECOLS(_xlpm._inp2, _xlpm._val), "¦")))), , 1)), _xlpm._new, IF(_xlpm._arr = "¦", NA(), _xlpm._arr), _xlpm._calc, _xlfn.VSTACK(_xlpm._inp1, _xlpm._new), _xlpm._out, IF(_xlpm._inc &lt; 0, _xlfn.VSTACK(_xlfn.TAKE(_xlpm._hdr, 1, MIN(_xlpm._ccH, COLUMNS(_xlpm._calc))), _xlpm._calc), IF(_xlpm._inc &gt; 0, _xlfn.VSTACK(_xlpm._ttlC, _xlpm._calc), _xlpm._calc)), _xlpm._rtn, IF(_xlpm._rep, IF(ISNA(_xlpm._out), _xlpm._str, _xlpm._out), _xlpm._out), CHOOSE(_xlpm._inpChk, _xlpm._rtn, _xlfn.LAMBDA(0), #VALUE!)))</definedName>
    <definedName name="TitleList1">Lookups!$C$10:$C$12</definedName>
    <definedName name="TitleList2">Lookups!$C$14:$C$16</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3" i="21" l="1"/>
  <c r="B2" i="21"/>
  <c r="D516" i="14" a="1"/>
  <c r="D498" i="14" a="1"/>
  <c r="D480" i="14" a="1"/>
  <c r="D462" i="14" a="1"/>
  <c r="D442" i="14" a="1"/>
  <c r="D423" i="14" a="1"/>
  <c r="D404" i="14" a="1"/>
  <c r="D383" i="14" a="1"/>
  <c r="D365" i="14" a="1"/>
  <c r="D348" i="14" a="1"/>
  <c r="D329" i="14" a="1"/>
  <c r="D312" i="14" a="1"/>
  <c r="D295" i="14" a="1"/>
  <c r="D278" i="14" a="1"/>
  <c r="D261" i="14" a="1"/>
  <c r="D256" i="14"/>
  <c r="D246" i="14" a="1"/>
  <c r="D528" i="14"/>
  <c r="D510" i="14"/>
  <c r="D492" i="14"/>
  <c r="D474" i="14"/>
  <c r="D454" i="14"/>
  <c r="D435" i="14"/>
  <c r="D416" i="14"/>
  <c r="D395" i="14"/>
  <c r="D377" i="14"/>
  <c r="D360" i="14"/>
  <c r="D341" i="14"/>
  <c r="D324" i="14"/>
  <c r="D307" i="14"/>
  <c r="D290" i="14"/>
  <c r="D271" i="14"/>
  <c r="B858" i="19"/>
  <c r="O761" i="19" a="1"/>
  <c r="G761" i="19" a="1"/>
  <c r="E761" i="19" a="1"/>
  <c r="C761" i="19" a="1"/>
  <c r="G760" i="19" a="1"/>
  <c r="E760" i="19" a="1"/>
  <c r="E760" i="19" s="1"/>
  <c r="C760" i="19" a="1"/>
  <c r="C760" i="19" s="1"/>
  <c r="L755" i="19"/>
  <c r="H755" i="19" a="1"/>
  <c r="L754" i="19"/>
  <c r="H754" i="19" a="1"/>
  <c r="L753" i="19"/>
  <c r="H753" i="19" a="1"/>
  <c r="L752" i="19"/>
  <c r="H752" i="19" a="1"/>
  <c r="O653" i="19" a="1"/>
  <c r="G653" i="19" a="1"/>
  <c r="E653" i="19" a="1"/>
  <c r="C653" i="19" a="1"/>
  <c r="G652" i="19" a="1"/>
  <c r="E652" i="19" a="1"/>
  <c r="C652" i="19" a="1"/>
  <c r="L647" i="19"/>
  <c r="H647" i="19" a="1"/>
  <c r="L646" i="19"/>
  <c r="H646" i="19" a="1"/>
  <c r="B644" i="19" a="1"/>
  <c r="B644" i="19" s="1"/>
  <c r="F604" i="19" a="1"/>
  <c r="E604" i="19" a="1"/>
  <c r="E604" i="19" s="1"/>
  <c r="E600" i="19" a="1"/>
  <c r="E599" i="19" a="1"/>
  <c r="E595" i="19"/>
  <c r="E594" i="19"/>
  <c r="B592" i="19" a="1"/>
  <c r="B592" i="19" s="1"/>
  <c r="O509" i="19" a="1"/>
  <c r="G509" i="19" a="1"/>
  <c r="E509" i="19" a="1"/>
  <c r="C509" i="19" a="1"/>
  <c r="G508" i="19" a="1"/>
  <c r="E508" i="19" a="1"/>
  <c r="C508" i="19" a="1"/>
  <c r="L503" i="19"/>
  <c r="H503" i="19" a="1"/>
  <c r="L502" i="19"/>
  <c r="H502" i="19" a="1"/>
  <c r="D490" i="19" a="1"/>
  <c r="D489" i="19"/>
  <c r="O417" i="19" a="1"/>
  <c r="G417" i="19" a="1"/>
  <c r="E417" i="19" a="1"/>
  <c r="C417" i="19" a="1"/>
  <c r="G416" i="19" a="1"/>
  <c r="E416" i="19" a="1"/>
  <c r="C416" i="19" a="1"/>
  <c r="L412" i="19"/>
  <c r="H412" i="19" a="1"/>
  <c r="L411" i="19"/>
  <c r="H411" i="19" a="1"/>
  <c r="B409" i="19" a="1"/>
  <c r="B409" i="19" s="1"/>
  <c r="O355" i="19" a="1"/>
  <c r="E355" i="19" a="1"/>
  <c r="C355" i="19" a="1"/>
  <c r="E354" i="19" a="1"/>
  <c r="C354" i="19" a="1"/>
  <c r="L351" i="19"/>
  <c r="H351" i="19" a="1"/>
  <c r="L350" i="19"/>
  <c r="H350" i="19" a="1"/>
  <c r="L338" i="19"/>
  <c r="C338" i="19" a="1"/>
  <c r="L337" i="19"/>
  <c r="C337" i="19" a="1"/>
  <c r="L335" i="19"/>
  <c r="I335" i="19" a="1"/>
  <c r="G306" i="19" a="1"/>
  <c r="E306" i="19" a="1"/>
  <c r="C306" i="19" a="1"/>
  <c r="O281" i="19" a="1"/>
  <c r="G281" i="19" a="1"/>
  <c r="E281" i="19" a="1"/>
  <c r="C281" i="19" a="1"/>
  <c r="G239" i="19" a="1"/>
  <c r="G227" i="19" a="1"/>
  <c r="E227" i="19" a="1"/>
  <c r="C227" i="19" a="1"/>
  <c r="G205" i="19" a="1"/>
  <c r="G204" i="19"/>
  <c r="G184" i="19" a="1"/>
  <c r="G176" i="19" a="1"/>
  <c r="E176" i="19" a="1"/>
  <c r="C176" i="19" a="1"/>
  <c r="G149" i="19" a="1"/>
  <c r="G137" i="19" a="1"/>
  <c r="E137" i="19" a="1"/>
  <c r="C137" i="19" a="1"/>
  <c r="G121" i="19" a="1"/>
  <c r="M111" i="19" a="1"/>
  <c r="J111" i="19" a="1"/>
  <c r="G111" i="19" a="1"/>
  <c r="E111" i="19" a="1"/>
  <c r="C111" i="19" a="1"/>
  <c r="G92" i="19" a="1"/>
  <c r="G84" i="19" a="1"/>
  <c r="E84" i="19" a="1"/>
  <c r="C84" i="19" a="1"/>
  <c r="G69" i="19" a="1"/>
  <c r="L61" i="19"/>
  <c r="G61" i="19" a="1"/>
  <c r="E61" i="19" a="1"/>
  <c r="C61" i="19" a="1"/>
  <c r="B57" i="19" a="1"/>
  <c r="B57" i="19" s="1"/>
  <c r="G46" i="19" a="1"/>
  <c r="L38" i="19"/>
  <c r="G38" i="19" a="1"/>
  <c r="E38" i="19" a="1"/>
  <c r="C38" i="19" a="1"/>
  <c r="B34" i="19" a="1"/>
  <c r="B23" i="19"/>
  <c r="J849" i="14" a="1"/>
  <c r="D849" i="14" a="1"/>
  <c r="J831" i="14" a="1"/>
  <c r="D831" i="14" a="1"/>
  <c r="J813" i="14" a="1"/>
  <c r="D813" i="14" a="1"/>
  <c r="J797" i="14" a="1"/>
  <c r="D797" i="14" a="1"/>
  <c r="D781" i="14" a="1"/>
  <c r="J764" i="14" a="1"/>
  <c r="D764" i="14" a="1"/>
  <c r="J749" i="14" a="1"/>
  <c r="D749" i="14" a="1"/>
  <c r="I734" i="14" a="1"/>
  <c r="D734" i="14" a="1"/>
  <c r="D719" i="14" a="1"/>
  <c r="M849" i="14"/>
  <c r="D860" i="14"/>
  <c r="M831" i="14"/>
  <c r="D842" i="14"/>
  <c r="M813" i="14"/>
  <c r="D823" i="14"/>
  <c r="D807" i="14"/>
  <c r="D791" i="14"/>
  <c r="M797" i="14"/>
  <c r="M764" i="14"/>
  <c r="D774" i="14"/>
  <c r="M749" i="14"/>
  <c r="D759" i="14"/>
  <c r="K734" i="14"/>
  <c r="D744" i="14"/>
  <c r="D729" i="14"/>
  <c r="H459" i="18" a="1"/>
  <c r="H458" i="18" a="1"/>
  <c r="H458" i="18" s="1"/>
  <c r="G429" i="18" a="1"/>
  <c r="G424" i="18" a="1"/>
  <c r="G424" i="18" s="1"/>
  <c r="C369" i="18" a="1"/>
  <c r="C358" i="18" a="1"/>
  <c r="C358" i="18" s="1"/>
  <c r="C345" i="18" a="1"/>
  <c r="C345" i="18" s="1"/>
  <c r="C291" i="18" a="1"/>
  <c r="C280" i="18" a="1"/>
  <c r="C280" i="18" s="1"/>
  <c r="C267" i="18" a="1"/>
  <c r="C239" i="18" a="1"/>
  <c r="C228" i="18" a="1"/>
  <c r="C228" i="18" s="1"/>
  <c r="C215" i="18" a="1"/>
  <c r="C215" i="18" s="1"/>
  <c r="C195" i="18" a="1"/>
  <c r="C194" i="18" a="1"/>
  <c r="C194" i="18" s="1"/>
  <c r="C192" i="18" a="1"/>
  <c r="C192" i="18" s="1"/>
  <c r="C156" i="18" a="1"/>
  <c r="C156" i="18" s="1"/>
  <c r="C145" i="18" a="1"/>
  <c r="C145" i="18" s="1"/>
  <c r="C138" i="18" a="1"/>
  <c r="C138" i="18" s="1"/>
  <c r="C113" i="18" a="1"/>
  <c r="C113" i="18" s="1"/>
  <c r="C91" i="18" a="1"/>
  <c r="C91" i="18" s="1"/>
  <c r="C77" i="18" a="1"/>
  <c r="C77" i="18" s="1"/>
  <c r="C51" i="18" a="1"/>
  <c r="C51" i="18" s="1"/>
  <c r="C37" i="18" a="1"/>
  <c r="C37" i="18" s="1"/>
  <c r="C36" i="18" a="1"/>
  <c r="C36" i="18" s="1"/>
  <c r="C46" i="18" s="1" a="1"/>
  <c r="C46" i="18" s="1"/>
  <c r="C67" i="18" s="1" a="1"/>
  <c r="C67" i="18" s="1"/>
  <c r="B19" i="18"/>
  <c r="B501" i="18" s="1"/>
  <c r="J1055" i="14"/>
  <c r="D1054" i="14"/>
  <c r="D1022" i="14" a="1"/>
  <c r="J1022" i="14" a="1"/>
  <c r="I996" i="14" a="1"/>
  <c r="D997" i="14" a="1"/>
  <c r="M976" i="14" a="1"/>
  <c r="I976" i="14" a="1"/>
  <c r="M956" i="14" a="1"/>
  <c r="I956" i="14" a="1"/>
  <c r="I937" i="14" a="1"/>
  <c r="L883" i="14" a="1"/>
  <c r="H883" i="14" a="1"/>
  <c r="D883" i="14" a="1"/>
  <c r="L180" i="14" a="1"/>
  <c r="H180" i="14" a="1"/>
  <c r="D180" i="14" a="1"/>
  <c r="D148" i="14" a="1"/>
  <c r="D132" i="14" a="1"/>
  <c r="J109" i="14" a="1"/>
  <c r="D109" i="14" a="1"/>
  <c r="J87" i="14" a="1"/>
  <c r="D87" i="14" a="1"/>
  <c r="J74" i="14" a="1"/>
  <c r="D74" i="14" a="1"/>
  <c r="J46" i="14" a="1"/>
  <c r="G46" i="14" a="1"/>
  <c r="D46" i="14" a="1"/>
  <c r="J21" i="14" a="1"/>
  <c r="G21" i="14" a="1"/>
  <c r="D21" i="14" a="1"/>
  <c r="H692" i="14" a="1"/>
  <c r="J692" i="14"/>
  <c r="H686" i="14" a="1"/>
  <c r="J686" i="14"/>
  <c r="H680" i="14" a="1"/>
  <c r="J680" i="14"/>
  <c r="H674" i="14" a="1"/>
  <c r="J674" i="14"/>
  <c r="G654" i="14"/>
  <c r="G646" i="14"/>
  <c r="G638" i="14"/>
  <c r="G630" i="14"/>
  <c r="F622" i="14"/>
  <c r="K662" i="14" a="1"/>
  <c r="K661" i="14"/>
  <c r="K660" i="14"/>
  <c r="G660" i="14" a="1"/>
  <c r="F660" i="14" a="1"/>
  <c r="E654" i="14" a="1"/>
  <c r="E646" i="14" a="1"/>
  <c r="E638" i="14" a="1"/>
  <c r="E630" i="14" a="1"/>
  <c r="E622" i="14" a="1"/>
  <c r="E616" i="14" a="1"/>
  <c r="E616" i="14" s="1"/>
  <c r="E612" i="14" a="1"/>
  <c r="E612" i="14" s="1"/>
  <c r="E608" i="14" a="1"/>
  <c r="E608" i="14" s="1"/>
  <c r="E604" i="14" a="1"/>
  <c r="E604" i="14" s="1"/>
  <c r="E600" i="14" a="1"/>
  <c r="E600" i="14" s="1"/>
  <c r="F616" i="14"/>
  <c r="F612" i="14"/>
  <c r="F608" i="14"/>
  <c r="F604" i="14"/>
  <c r="F600" i="14"/>
  <c r="E594" i="14" a="1"/>
  <c r="E594" i="14" s="1"/>
  <c r="E587" i="14" a="1"/>
  <c r="E580" i="14" a="1"/>
  <c r="F594" i="14"/>
  <c r="F587" i="14"/>
  <c r="F580" i="14"/>
  <c r="E573" i="14" a="1"/>
  <c r="F573" i="14"/>
  <c r="K558" i="14" a="1"/>
  <c r="K568" i="14"/>
  <c r="E558" i="14" a="1"/>
  <c r="E549" i="14" a="1"/>
  <c r="E568" i="14"/>
  <c r="F549" i="14"/>
  <c r="L419" i="16" a="1"/>
  <c r="I419" i="16" a="1"/>
  <c r="I419" i="16" s="1"/>
  <c r="L359" i="16" a="1"/>
  <c r="I359" i="16" a="1"/>
  <c r="I359" i="16" s="1"/>
  <c r="L306" i="16" a="1"/>
  <c r="I306" i="16" a="1"/>
  <c r="I306" i="16" s="1"/>
  <c r="L261" i="16" a="1"/>
  <c r="I261" i="16" a="1"/>
  <c r="I261" i="16" s="1"/>
  <c r="L236" i="16" a="1"/>
  <c r="I236" i="16" a="1"/>
  <c r="I236" i="16" s="1"/>
  <c r="L202" i="16" a="1"/>
  <c r="I202" i="16" a="1"/>
  <c r="I202" i="16" s="1"/>
  <c r="L167" i="16" a="1"/>
  <c r="I167" i="16" a="1"/>
  <c r="I167" i="16" s="1"/>
  <c r="L153" i="16" a="1"/>
  <c r="I153" i="16"/>
  <c r="L131" i="16" a="1"/>
  <c r="I131" i="16" a="1"/>
  <c r="I131" i="16" s="1"/>
  <c r="L117" i="16" a="1"/>
  <c r="I117" i="16" a="1"/>
  <c r="I117" i="16" s="1"/>
  <c r="L105" i="16" a="1"/>
  <c r="I105" i="16" a="1"/>
  <c r="I105" i="16" s="1"/>
  <c r="L93" i="16" a="1"/>
  <c r="I93" i="16" a="1"/>
  <c r="I93" i="16" s="1"/>
  <c r="L81" i="16" a="1"/>
  <c r="I81" i="16" a="1"/>
  <c r="I81" i="16" s="1"/>
  <c r="L63" i="16" a="1"/>
  <c r="I63" i="16" a="1"/>
  <c r="I63" i="16" s="1"/>
  <c r="L52" i="16" a="1"/>
  <c r="I52" i="16" a="1"/>
  <c r="I52" i="16" s="1"/>
  <c r="L42" i="16" a="1"/>
  <c r="I42" i="16" a="1"/>
  <c r="I42" i="16" s="1"/>
  <c r="L33" i="16" a="1"/>
  <c r="I33" i="16" a="1"/>
  <c r="I33" i="16" s="1"/>
  <c r="B2" i="16"/>
  <c r="B478" i="16" s="1"/>
  <c r="L182" i="14"/>
  <c r="H213" i="14"/>
  <c r="D212" i="14"/>
  <c r="D169" i="14"/>
  <c r="D144" i="14"/>
  <c r="J127" i="14"/>
  <c r="D127" i="14"/>
  <c r="J105" i="14"/>
  <c r="D105" i="14"/>
  <c r="J83" i="14"/>
  <c r="D83" i="14"/>
  <c r="J64" i="14"/>
  <c r="G63" i="14"/>
  <c r="D62" i="14"/>
  <c r="J42" i="14"/>
  <c r="G41" i="14"/>
  <c r="D40" i="14"/>
  <c r="C554" i="15" a="1"/>
  <c r="D548" i="15"/>
  <c r="H309" i="15" a="1"/>
  <c r="H309" i="15" s="1"/>
  <c r="C309" i="15" a="1"/>
  <c r="C309" i="15" s="1"/>
  <c r="G242" i="15" a="1"/>
  <c r="G242" i="15" s="1"/>
  <c r="C242" i="15" a="1"/>
  <c r="C242" i="15" s="1"/>
  <c r="G162" i="15" a="1"/>
  <c r="G162" i="15" s="1"/>
  <c r="C162" i="15" a="1"/>
  <c r="C162" i="15" s="1"/>
  <c r="O137" i="15" a="1"/>
  <c r="O137" i="15" s="1"/>
  <c r="K137" i="15" a="1"/>
  <c r="K137" i="15" s="1"/>
  <c r="G137" i="15" a="1"/>
  <c r="G137" i="15" s="1"/>
  <c r="C137" i="15" a="1"/>
  <c r="C137" i="15" s="1"/>
  <c r="G117" i="15"/>
  <c r="G117" i="15" a="1"/>
  <c r="C117" i="15" a="1"/>
  <c r="C117" i="15" s="1"/>
  <c r="N68" i="15" a="1"/>
  <c r="N68" i="15" s="1"/>
  <c r="K68" i="15" a="1"/>
  <c r="K68" i="15" s="1"/>
  <c r="G68" i="15" a="1"/>
  <c r="G68" i="15" s="1"/>
  <c r="C68" i="15" a="1"/>
  <c r="C68" i="15" s="1"/>
  <c r="J30" i="15" a="1"/>
  <c r="J30" i="15" s="1"/>
  <c r="F30" i="15" a="1"/>
  <c r="F30" i="15" s="1"/>
  <c r="C30" i="15" a="1"/>
  <c r="C30" i="15" s="1"/>
  <c r="B19" i="15"/>
  <c r="D531" i="13"/>
  <c r="D532" i="13"/>
  <c r="I243" i="13" a="1"/>
  <c r="H137" i="13" a="1"/>
  <c r="J351" i="13" a="1"/>
  <c r="J542" i="13" a="1"/>
  <c r="D528" i="13"/>
  <c r="E507" i="13" a="1"/>
  <c r="H479" i="13" a="1"/>
  <c r="H463" i="13" a="1"/>
  <c r="D497" i="13" a="1"/>
  <c r="D475" i="13" a="1"/>
  <c r="I999" i="14"/>
  <c r="D1009" i="14"/>
  <c r="M992" i="14"/>
  <c r="I991" i="14"/>
  <c r="M972" i="14"/>
  <c r="I971" i="14"/>
  <c r="I952" i="14"/>
  <c r="L933" i="14"/>
  <c r="H932" i="14"/>
  <c r="D931" i="14"/>
  <c r="B2" i="14"/>
  <c r="D339" i="13"/>
  <c r="D345" i="13" s="1" a="1"/>
  <c r="D345" i="13" s="1"/>
  <c r="AM27" i="13" a="1"/>
  <c r="AM27" i="13" s="1"/>
  <c r="AH27" i="13" a="1"/>
  <c r="AH27" i="13" s="1"/>
  <c r="AD27" i="13" a="1"/>
  <c r="AD27" i="13" s="1"/>
  <c r="Z27" i="13" a="1"/>
  <c r="Z27" i="13" s="1"/>
  <c r="V27" i="13" a="1"/>
  <c r="V27" i="13" s="1"/>
  <c r="R27" i="13" a="1"/>
  <c r="R27" i="13" s="1"/>
  <c r="N27" i="13" a="1"/>
  <c r="N27" i="13" s="1"/>
  <c r="K27" i="13" a="1"/>
  <c r="K27" i="13" s="1"/>
  <c r="J27" i="13" a="1"/>
  <c r="J27" i="13" s="1"/>
  <c r="I27" i="13" a="1"/>
  <c r="I27" i="13" s="1"/>
  <c r="F27" i="13" a="1"/>
  <c r="F27" i="13" s="1"/>
  <c r="E27" i="13" a="1"/>
  <c r="E27" i="13" s="1"/>
  <c r="D27" i="13" a="1"/>
  <c r="D27" i="13" s="1"/>
  <c r="D233" i="13"/>
  <c r="D238" i="13" s="1" a="1"/>
  <c r="D238" i="13" s="1"/>
  <c r="D128" i="13"/>
  <c r="D133" i="13" s="1" a="1"/>
  <c r="D133" i="13" s="1"/>
  <c r="D516" i="14" l="1"/>
  <c r="D498" i="14"/>
  <c r="D480" i="14"/>
  <c r="D462" i="14"/>
  <c r="D442" i="14"/>
  <c r="D423" i="14"/>
  <c r="D404" i="14"/>
  <c r="D383" i="14"/>
  <c r="D365" i="14"/>
  <c r="D348" i="14"/>
  <c r="D329" i="14"/>
  <c r="D312" i="14"/>
  <c r="D295" i="14"/>
  <c r="D278" i="14"/>
  <c r="D261" i="14"/>
  <c r="D246" i="14"/>
  <c r="G761" i="19"/>
  <c r="G653" i="19"/>
  <c r="G652" i="19"/>
  <c r="B275" i="19" a="1"/>
  <c r="B275" i="19" s="1"/>
  <c r="B221" i="19" a="1"/>
  <c r="B221" i="19" s="1"/>
  <c r="B80" i="19" a="1"/>
  <c r="B80" i="19" s="1"/>
  <c r="B133" i="19" s="1" a="1"/>
  <c r="B133" i="19" s="1"/>
  <c r="G509" i="19"/>
  <c r="G508" i="19"/>
  <c r="G417" i="19"/>
  <c r="G416" i="19"/>
  <c r="E761" i="19"/>
  <c r="C761" i="19"/>
  <c r="G760" i="19"/>
  <c r="H755" i="19"/>
  <c r="H753" i="19"/>
  <c r="E653" i="19"/>
  <c r="C653" i="19"/>
  <c r="E652" i="19"/>
  <c r="C652" i="19"/>
  <c r="H647" i="19"/>
  <c r="H646" i="19"/>
  <c r="D490" i="19"/>
  <c r="O355" i="19"/>
  <c r="G355" i="19" a="1"/>
  <c r="G355" i="19" s="1"/>
  <c r="E355" i="19"/>
  <c r="C355" i="19"/>
  <c r="G354" i="19" a="1"/>
  <c r="G354" i="19" s="1"/>
  <c r="E354" i="19"/>
  <c r="C354" i="19"/>
  <c r="H351" i="19"/>
  <c r="H350" i="19"/>
  <c r="I338" i="19" a="1"/>
  <c r="G338" i="19" a="1"/>
  <c r="C338" i="19"/>
  <c r="I337" i="19" a="1"/>
  <c r="G337" i="19" a="1"/>
  <c r="G337" i="19" s="1"/>
  <c r="C337" i="19"/>
  <c r="I335" i="19"/>
  <c r="G306" i="19"/>
  <c r="G239" i="19"/>
  <c r="G227" i="19"/>
  <c r="E176" i="19"/>
  <c r="C176" i="19"/>
  <c r="C84" i="19"/>
  <c r="G69" i="19"/>
  <c r="G61" i="19"/>
  <c r="I61" i="19" s="1" a="1"/>
  <c r="E61" i="19"/>
  <c r="C61" i="19"/>
  <c r="G46" i="19"/>
  <c r="G38" i="19"/>
  <c r="I38" i="19" s="1" a="1"/>
  <c r="E38" i="19"/>
  <c r="C38" i="19"/>
  <c r="B34" i="19"/>
  <c r="E306" i="19"/>
  <c r="C306" i="19"/>
  <c r="O281" i="19"/>
  <c r="G205" i="19"/>
  <c r="G111" i="19"/>
  <c r="G92" i="19"/>
  <c r="G84" i="19"/>
  <c r="E84" i="19"/>
  <c r="G281" i="19"/>
  <c r="E281" i="19"/>
  <c r="C281" i="19"/>
  <c r="O417" i="19"/>
  <c r="E417" i="19"/>
  <c r="C417" i="19"/>
  <c r="E416" i="19"/>
  <c r="C416" i="19"/>
  <c r="H412" i="19"/>
  <c r="H411" i="19"/>
  <c r="O509" i="19"/>
  <c r="E509" i="19"/>
  <c r="C509" i="19"/>
  <c r="E508" i="19"/>
  <c r="C508" i="19"/>
  <c r="H503" i="19"/>
  <c r="H502" i="19"/>
  <c r="O761" i="19"/>
  <c r="H754" i="19"/>
  <c r="H752" i="19"/>
  <c r="E227" i="19"/>
  <c r="C227" i="19"/>
  <c r="G121" i="19"/>
  <c r="M111" i="19"/>
  <c r="J111" i="19"/>
  <c r="E111" i="19"/>
  <c r="C111" i="19"/>
  <c r="O653" i="19"/>
  <c r="F604" i="19"/>
  <c r="E600" i="19"/>
  <c r="E599" i="19"/>
  <c r="G184" i="19"/>
  <c r="G176" i="19"/>
  <c r="G149" i="19"/>
  <c r="G137" i="19"/>
  <c r="E137" i="19"/>
  <c r="C137" i="19"/>
  <c r="H459" i="18"/>
  <c r="G429" i="18"/>
  <c r="C369" i="18"/>
  <c r="C291" i="18"/>
  <c r="C239" i="18"/>
  <c r="C195" i="18"/>
  <c r="K662" i="14"/>
  <c r="L419" i="16"/>
  <c r="L359" i="16"/>
  <c r="L306" i="16"/>
  <c r="L261" i="16"/>
  <c r="L236" i="16"/>
  <c r="L202" i="16"/>
  <c r="L167" i="16"/>
  <c r="L153" i="16"/>
  <c r="L131" i="16"/>
  <c r="L117" i="16"/>
  <c r="L105" i="16"/>
  <c r="L93" i="16"/>
  <c r="L81" i="16"/>
  <c r="L63" i="16"/>
  <c r="L52" i="16"/>
  <c r="L42" i="16"/>
  <c r="L33" i="16"/>
  <c r="C554" i="15"/>
  <c r="I243" i="13"/>
  <c r="H137" i="13"/>
  <c r="J351" i="13"/>
  <c r="J542" i="13"/>
  <c r="E507" i="13"/>
  <c r="H479" i="13"/>
  <c r="H463" i="13"/>
  <c r="J849" i="14"/>
  <c r="D849" i="14"/>
  <c r="J813" i="14"/>
  <c r="D781" i="14"/>
  <c r="D764" i="14"/>
  <c r="I734" i="14"/>
  <c r="D813" i="14"/>
  <c r="D797" i="14"/>
  <c r="D734" i="14"/>
  <c r="J797" i="14"/>
  <c r="D749" i="14"/>
  <c r="D719" i="14"/>
  <c r="J764" i="14"/>
  <c r="J749" i="14"/>
  <c r="J831" i="14"/>
  <c r="D831" i="14"/>
  <c r="C267" i="18"/>
  <c r="C81" i="18" a="1"/>
  <c r="C81" i="18" s="1"/>
  <c r="C127" i="18" s="1" a="1"/>
  <c r="C127" i="18" s="1"/>
  <c r="C103" i="18" a="1"/>
  <c r="C103" i="18" s="1"/>
  <c r="D1022" i="14"/>
  <c r="J1022" i="14"/>
  <c r="I996" i="14"/>
  <c r="D997" i="14"/>
  <c r="M976" i="14"/>
  <c r="I976" i="14"/>
  <c r="M956" i="14"/>
  <c r="I956" i="14"/>
  <c r="I937" i="14"/>
  <c r="L883" i="14"/>
  <c r="H883" i="14"/>
  <c r="D883" i="14"/>
  <c r="L180" i="14"/>
  <c r="H180" i="14"/>
  <c r="D180" i="14"/>
  <c r="D148" i="14"/>
  <c r="D132" i="14"/>
  <c r="J109" i="14"/>
  <c r="D109" i="14"/>
  <c r="J87" i="14"/>
  <c r="D87" i="14"/>
  <c r="J74" i="14"/>
  <c r="E558" i="14"/>
  <c r="D74" i="14"/>
  <c r="J46" i="14"/>
  <c r="G46" i="14"/>
  <c r="D46" i="14"/>
  <c r="J21" i="14"/>
  <c r="G21" i="14"/>
  <c r="D21" i="14"/>
  <c r="H692" i="14"/>
  <c r="H686" i="14"/>
  <c r="H680" i="14"/>
  <c r="G660" i="14"/>
  <c r="I660" i="14" s="1" a="1"/>
  <c r="F660" i="14"/>
  <c r="E654" i="14"/>
  <c r="E646" i="14"/>
  <c r="E638" i="14"/>
  <c r="E630" i="14"/>
  <c r="E587" i="14"/>
  <c r="E580" i="14"/>
  <c r="E573" i="14"/>
  <c r="K558" i="14"/>
  <c r="E549" i="14"/>
  <c r="H674" i="14"/>
  <c r="E622" i="14"/>
  <c r="B656" i="15"/>
  <c r="B361" i="15"/>
  <c r="G27" i="13" a="1"/>
  <c r="G27" i="13" s="1"/>
  <c r="D536" i="13" a="1"/>
  <c r="D536" i="13" s="1"/>
  <c r="L27" i="13" a="1"/>
  <c r="L27" i="13" s="1"/>
  <c r="D497" i="13"/>
  <c r="D475" i="13"/>
  <c r="D479" i="13" s="1" a="1"/>
  <c r="D479" i="13" s="1"/>
  <c r="D462" i="13" a="1"/>
  <c r="D462" i="13" s="1"/>
  <c r="G463" i="13" a="1"/>
  <c r="G463" i="13" s="1"/>
  <c r="B22" i="13"/>
  <c r="B485" i="19" l="1" a="1"/>
  <c r="B485" i="19" s="1"/>
  <c r="B751" i="19" a="1"/>
  <c r="B751" i="19" s="1"/>
  <c r="B348" i="19" a="1"/>
  <c r="B348" i="19" s="1"/>
  <c r="B201" i="19" a="1"/>
  <c r="B201" i="19" s="1"/>
  <c r="B172" i="19" a="1"/>
  <c r="B172" i="19" s="1"/>
  <c r="B333" i="19" a="1"/>
  <c r="B333" i="19" s="1"/>
  <c r="B107" i="19" a="1"/>
  <c r="B107" i="19" s="1"/>
  <c r="I38" i="19"/>
  <c r="I338" i="19"/>
  <c r="G338" i="19"/>
  <c r="I337" i="19"/>
  <c r="I61" i="19"/>
  <c r="I660" i="14"/>
  <c r="E501" i="13" a="1"/>
  <c r="E501" i="13" s="1"/>
  <c r="J501" i="13" a="1"/>
  <c r="J501" i="13" s="1"/>
  <c r="G479" i="13" a="1"/>
  <c r="G479" i="13" s="1"/>
  <c r="B124" i="13"/>
  <c r="B500" i="19" l="1" a="1"/>
  <c r="B500" i="19" s="1"/>
  <c r="B443" i="13"/>
  <c r="B634"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<sst xmlns="http://schemas.openxmlformats.org/spreadsheetml/2006/main" count="2989" uniqueCount="1566">
  <si>
    <t>End of Sheet</t>
  </si>
  <si>
    <t>Purpose:</t>
  </si>
  <si>
    <t>Lookup Tables</t>
  </si>
  <si>
    <t>_YesNo</t>
  </si>
  <si>
    <t>Development</t>
  </si>
  <si>
    <t>_OnOff</t>
  </si>
  <si>
    <t>Final Version</t>
  </si>
  <si>
    <t>UnPivot Function</t>
  </si>
  <si>
    <t>Data Table:</t>
  </si>
  <si>
    <t>Category.1</t>
  </si>
  <si>
    <t>Category.2</t>
  </si>
  <si>
    <t>Category.3</t>
  </si>
  <si>
    <t>Category.4</t>
  </si>
  <si>
    <t>Jan</t>
  </si>
  <si>
    <t>Feb</t>
  </si>
  <si>
    <t>Mar</t>
  </si>
  <si>
    <t>Apr</t>
  </si>
  <si>
    <t>May</t>
  </si>
  <si>
    <t>Jun</t>
  </si>
  <si>
    <t>Jul</t>
  </si>
  <si>
    <t>Aug</t>
  </si>
  <si>
    <t>Sep</t>
  </si>
  <si>
    <t>Oct</t>
  </si>
  <si>
    <t>Nov</t>
  </si>
  <si>
    <t>Dec</t>
  </si>
  <si>
    <t>P_1</t>
  </si>
  <si>
    <t>P_2</t>
  </si>
  <si>
    <t>P_3</t>
  </si>
  <si>
    <t>P_4</t>
  </si>
  <si>
    <t>P_5</t>
  </si>
  <si>
    <t>P_6</t>
  </si>
  <si>
    <t>P_7</t>
  </si>
  <si>
    <t>P_8</t>
  </si>
  <si>
    <t>P_9</t>
  </si>
  <si>
    <t>P_10</t>
  </si>
  <si>
    <t>P_11</t>
  </si>
  <si>
    <t>P_12</t>
  </si>
  <si>
    <t>AAA</t>
  </si>
  <si>
    <t>BBB</t>
  </si>
  <si>
    <t>CCC</t>
  </si>
  <si>
    <t>DDD</t>
  </si>
  <si>
    <t>EEE</t>
  </si>
  <si>
    <t>FFF</t>
  </si>
  <si>
    <t>GGG</t>
  </si>
  <si>
    <t>HHH</t>
  </si>
  <si>
    <t>LAMBDA v.3 (INDEX-XMATCH + value test</t>
  </si>
  <si>
    <t>LAMBDA v.4 (INDEX-XMATCH + value test</t>
  </si>
  <si>
    <t>LAMBDA v.5 (multikey cols + INDEX-XMATCH + value test</t>
  </si>
  <si>
    <t>LAMBDA v.6 (multikey cols + INDEX-XMATCH + value test</t>
  </si>
  <si>
    <t>TOCOL-IFNA</t>
  </si>
  <si>
    <t>TOCOL</t>
  </si>
  <si>
    <t>INDEX-MATCH</t>
  </si>
  <si>
    <t>TOCOL-IF-SEQ</t>
  </si>
  <si>
    <t>LAMBDA v.1 (simple data)</t>
  </si>
  <si>
    <t>LAMBDA v.2a (INDEX-XMATCH data)</t>
  </si>
  <si>
    <t>LAMBDA v.2b (INDEX-XMATCH + value test)</t>
  </si>
  <si>
    <t xml:space="preserve"> + optional filter)</t>
  </si>
  <si>
    <t xml:space="preserve"> + optional filter + input checks)</t>
  </si>
  <si>
    <t xml:space="preserve"> + optional filter + optional transpose + input checks)</t>
  </si>
  <si>
    <t>Key_Col</t>
  </si>
  <si>
    <t>Name_Col</t>
  </si>
  <si>
    <t>Value_Col</t>
  </si>
  <si>
    <t xml:space="preserve">Replace blanks:  </t>
  </si>
  <si>
    <t xml:space="preserve">Filter blanks:  </t>
  </si>
  <si>
    <t xml:space="preserve">Output Vertical:  </t>
  </si>
  <si>
    <t>Lambda function used to unpivot a table of data into a single data table for further analysis</t>
  </si>
  <si>
    <t>Allows for the creation of a so-called "flat-file" of tabular data, where each data point is a single row and the other data columns provide additional information</t>
  </si>
  <si>
    <t>In the function output array, there can be one or more Key columns along with a single Name column and single Values column</t>
  </si>
  <si>
    <t>Requires the flexibilty to replace blank values with a chosen value/string, as well filtering out blanks and/or errors</t>
  </si>
  <si>
    <t xml:space="preserve">By column:  </t>
  </si>
  <si>
    <t xml:space="preserve">Filter errors:  </t>
  </si>
  <si>
    <t>UnPivot()</t>
  </si>
  <si>
    <t>Description:</t>
  </si>
  <si>
    <t>Parameters:</t>
  </si>
  <si>
    <t>Errors:</t>
  </si>
  <si>
    <t>Function:</t>
  </si>
  <si>
    <t>Single Key Column</t>
  </si>
  <si>
    <t>Extended Functionality &amp; Testing</t>
  </si>
  <si>
    <t>Multiple Key columns -- Row Headers as Key columns, single Name column</t>
  </si>
  <si>
    <t>Multiple Key columns -- Row Headers or Column Headers as Key columns, others as Name columns</t>
  </si>
  <si>
    <t>LET(</t>
  </si>
  <si>
    <t>_rh, row_headers,</t>
  </si>
  <si>
    <t>_ch, column_headers,</t>
  </si>
  <si>
    <t>_dd, data,</t>
  </si>
  <si>
    <t>_inpChk, IFS(</t>
  </si>
  <si>
    <t>IFERROR( OR( ROWS(_rh) &lt; 1, COLUMNS(_rh) &lt; 1, ROWS(_ch) &lt; 1, COLUMNS(_ch) &lt; 1, ROWS(_dd) &lt; 1, COLUMNS(_dd) &lt; 1), 3), 3,</t>
  </si>
  <si>
    <t>IFERROR( OR( ROWS(_dd) &lt;&gt; ROWS(_rh), COLUMNS(_dd) &lt;&gt; COLUMNS(_ch)), 3), 2,</t>
  </si>
  <si>
    <t>TRUE, 1</t>
  </si>
  <si>
    <t>),</t>
  </si>
  <si>
    <t>_byCol, IF( ISOMITTED(by_column), 0, IF(by_column, 1, 0)),</t>
  </si>
  <si>
    <t>_fltrB, IF( ISOMITTED(filter_blanks), 0, IF(filter_blanks, 1, 0)),</t>
  </si>
  <si>
    <t>_fltrE, IF( ISOMITTED(filter_errors), 0, IF(filter_errors, 1, 0)),</t>
  </si>
  <si>
    <t>_vrt, IF( ISOMITTED(output_vertical), 1, IF(output_vertical, 1, 0)),</t>
  </si>
  <si>
    <t>_kCols, IF(_byCol, TRANSPOSE(_ch), _rh),</t>
  </si>
  <si>
    <t>_nCols, IF(_byCol, _rh, TRANSPOSE(_ch)),</t>
  </si>
  <si>
    <t>_rK, ROWS(_kCols),</t>
  </si>
  <si>
    <t>_cK, COLUMNS(_kCols),</t>
  </si>
  <si>
    <t>_rN, ROWS(_nCols),</t>
  </si>
  <si>
    <t>_cN, COLUMNS(_nCols),</t>
  </si>
  <si>
    <t>_values, LET(</t>
  </si>
  <si>
    <t>_dp, TOCOL(_dd, , _byCol),</t>
  </si>
  <si>
    <t>_rtn, LET(</t>
  </si>
  <si>
    <t>_dt, HSTACK(_keys, _names, _values),</t>
  </si>
  <si>
    <t>_dfE, IF(_fltrE, FILTER(_dfB, NOT(ISERROR( CHOOSECOLS(_dfB, -1)))), _dfB),</t>
  </si>
  <si>
    <t>IF(NOT(_vrt), TRANSPOSE(_dfE), _dfE)</t>
  </si>
  <si>
    <t>CHOOSE(_inpChk, _rtn, LAMBDA(0), #VALUE!)</t>
  </si>
  <si>
    <t>)</t>
  </si>
  <si>
    <t>= LAMBDA(</t>
  </si>
  <si>
    <t>row_headers,</t>
  </si>
  <si>
    <t>column_headers,</t>
  </si>
  <si>
    <t>data,</t>
  </si>
  <si>
    <t>[by_column],</t>
  </si>
  <si>
    <t>[filter_blanks],</t>
  </si>
  <si>
    <t>[filter_errors],</t>
  </si>
  <si>
    <t>[output_vertical],</t>
  </si>
  <si>
    <t>Minimised version:</t>
  </si>
  <si>
    <t>by_column</t>
  </si>
  <si>
    <t>filter_blanks</t>
  </si>
  <si>
    <t>filter_errors</t>
  </si>
  <si>
    <t>output_vertical</t>
  </si>
  <si>
    <t>row_headers</t>
  </si>
  <si>
    <t>column_headers</t>
  </si>
  <si>
    <t>data</t>
  </si>
  <si>
    <t>Occurs where the data array dimensions are not the equal to the corresponding dimenesions of the row and column header input arrays</t>
  </si>
  <si>
    <t>i.e. the row headers array and data array should have the same number of rows</t>
  </si>
  <si>
    <t>the column headers array and data array should have the same number of columns</t>
  </si>
  <si>
    <t>// Parameter definitions</t>
  </si>
  <si>
    <t>// Main function body/calculations</t>
  </si>
  <si>
    <t>// Dealing with default values for optional parameters</t>
  </si>
  <si>
    <t>// Input parameter checks</t>
  </si>
  <si>
    <t>// Construct the output array</t>
  </si>
  <si>
    <t>// Check if input checks have flagged -- if so return the appropriate error, otherwise return the calculated output array</t>
  </si>
  <si>
    <t>// Apply filtering to the constructed output array for blanks and/or errors</t>
  </si>
  <si>
    <t>// Assign the row header and column header input arrays to the key columns and name columns arrays depending on the by_column input</t>
  </si>
  <si>
    <t>// ensure that assigned key and name column arrays are vertically aligned</t>
  </si>
  <si>
    <t>// get the dimensions (rows, columns) of the assigned arrays</t>
  </si>
  <si>
    <t>Occurs when one or more of the inputs provided are invalid</t>
  </si>
  <si>
    <r>
      <t xml:space="preserve">The </t>
    </r>
    <r>
      <rPr>
        <sz val="10"/>
        <color theme="1" tint="0.249977111117893"/>
        <rFont val="Consolas"/>
        <family val="3"/>
      </rPr>
      <t>row_headers</t>
    </r>
    <r>
      <rPr>
        <sz val="10"/>
        <color rgb="FF002138"/>
        <rFont val="Calibri"/>
        <family val="2"/>
        <scheme val="minor"/>
      </rPr>
      <t xml:space="preserve"> input array should have the same number of rows as the </t>
    </r>
    <r>
      <rPr>
        <sz val="10"/>
        <color theme="1" tint="0.249977111117893"/>
        <rFont val="Consolas"/>
        <family val="3"/>
      </rPr>
      <t>data</t>
    </r>
    <r>
      <rPr>
        <sz val="10"/>
        <color rgb="FF002138"/>
        <rFont val="Calibri"/>
        <family val="2"/>
        <scheme val="minor"/>
      </rPr>
      <t xml:space="preserve"> input array; there can be one or more columns in the </t>
    </r>
    <r>
      <rPr>
        <sz val="10"/>
        <color theme="1" tint="0.249977111117893"/>
        <rFont val="Consolas"/>
        <family val="3"/>
      </rPr>
      <t>row_headers</t>
    </r>
    <r>
      <rPr>
        <sz val="10"/>
        <color rgb="FF002138"/>
        <rFont val="Calibri"/>
        <family val="2"/>
        <scheme val="minor"/>
      </rPr>
      <t xml:space="preserve"> input array</t>
    </r>
  </si>
  <si>
    <r>
      <t xml:space="preserve">The </t>
    </r>
    <r>
      <rPr>
        <sz val="10"/>
        <color theme="1" tint="0.249977111117893"/>
        <rFont val="Consolas"/>
        <family val="3"/>
      </rPr>
      <t>column_headers</t>
    </r>
    <r>
      <rPr>
        <sz val="10"/>
        <color rgb="FF002138"/>
        <rFont val="Calibri"/>
        <family val="2"/>
        <scheme val="minor"/>
      </rPr>
      <t xml:space="preserve"> input array should have the same number of columns as the </t>
    </r>
    <r>
      <rPr>
        <sz val="10"/>
        <color theme="1" tint="0.249977111117893"/>
        <rFont val="Consolas"/>
        <family val="3"/>
      </rPr>
      <t>data</t>
    </r>
    <r>
      <rPr>
        <sz val="10"/>
        <color rgb="FF002138"/>
        <rFont val="Calibri"/>
        <family val="2"/>
        <scheme val="minor"/>
      </rPr>
      <t xml:space="preserve"> input array; there can be one or more rows in the </t>
    </r>
    <r>
      <rPr>
        <sz val="10"/>
        <color theme="1" tint="0.249977111117893"/>
        <rFont val="Consolas"/>
        <family val="3"/>
      </rPr>
      <t>column_headers</t>
    </r>
    <r>
      <rPr>
        <sz val="10"/>
        <color rgb="FF002138"/>
        <rFont val="Calibri"/>
        <family val="2"/>
        <scheme val="minor"/>
      </rPr>
      <t xml:space="preserve"> input array</t>
    </r>
  </si>
  <si>
    <t>Note - This option does not consider any blank values within the Key column(s) or Name column(s)</t>
  </si>
  <si>
    <t>Note - This option does not consider any error values within the Key column(s) or Name column(s)</t>
  </si>
  <si>
    <r>
      <rPr>
        <b/>
        <sz val="10"/>
        <color rgb="FFFC6017"/>
        <rFont val="Calibri"/>
        <family val="2"/>
        <scheme val="minor"/>
      </rPr>
      <t>[optional]</t>
    </r>
    <r>
      <rPr>
        <sz val="10"/>
        <color rgb="FF002138"/>
        <rFont val="Calibri"/>
        <family val="2"/>
        <scheme val="minor"/>
      </rPr>
      <t xml:space="preserve">   A True/False input which determines whether to filter out any rows with error values within the data values column</t>
    </r>
  </si>
  <si>
    <t>= vertical orientation</t>
  </si>
  <si>
    <t>= horizontal orientation, running left-to-right across the worksheet</t>
  </si>
  <si>
    <r>
      <t xml:space="preserve">If blank data values have been replaced with the </t>
    </r>
    <r>
      <rPr>
        <sz val="10"/>
        <color theme="1" tint="0.249977111117893"/>
        <rFont val="Consolas"/>
        <family val="3"/>
      </rPr>
      <t>replace_blanks</t>
    </r>
    <r>
      <rPr>
        <sz val="10"/>
        <color rgb="FF002138"/>
        <rFont val="Calibri"/>
        <family val="2"/>
        <scheme val="minor"/>
      </rPr>
      <t xml:space="preserve"> inputs the </t>
    </r>
    <r>
      <rPr>
        <sz val="10"/>
        <color theme="1" tint="0.249977111117893"/>
        <rFont val="Consolas"/>
        <family val="3"/>
      </rPr>
      <t>filter_blanks</t>
    </r>
    <r>
      <rPr>
        <sz val="10"/>
        <color rgb="FF002138"/>
        <rFont val="Calibri"/>
        <family val="2"/>
        <scheme val="minor"/>
      </rPr>
      <t xml:space="preserve"> option will have not effect on the output</t>
    </r>
  </si>
  <si>
    <r>
      <t xml:space="preserve">Can be input as </t>
    </r>
    <r>
      <rPr>
        <sz val="10"/>
        <color rgb="FF0000FF"/>
        <rFont val="Consolas"/>
        <family val="3"/>
      </rPr>
      <t>TRUE</t>
    </r>
    <r>
      <rPr>
        <sz val="10"/>
        <color rgb="FF002138"/>
        <rFont val="Calibri"/>
        <family val="2"/>
        <scheme val="minor"/>
      </rPr>
      <t>/</t>
    </r>
    <r>
      <rPr>
        <sz val="10"/>
        <color rgb="FF0000FF"/>
        <rFont val="Consolas"/>
        <family val="3"/>
      </rPr>
      <t>FALSE</t>
    </r>
    <r>
      <rPr>
        <sz val="10"/>
        <color rgb="FF002138"/>
        <rFont val="Calibri"/>
        <family val="2"/>
        <scheme val="minor"/>
      </rPr>
      <t xml:space="preserve"> (Boolean logical value) or </t>
    </r>
    <r>
      <rPr>
        <sz val="10"/>
        <color rgb="FF0000FF"/>
        <rFont val="Consolas"/>
        <family val="3"/>
      </rPr>
      <t>1</t>
    </r>
    <r>
      <rPr>
        <sz val="10"/>
        <color rgb="FF002138"/>
        <rFont val="Calibri"/>
        <family val="2"/>
        <scheme val="minor"/>
      </rPr>
      <t>/</t>
    </r>
    <r>
      <rPr>
        <sz val="10"/>
        <color rgb="FF0000FF"/>
        <rFont val="Consolas"/>
        <family val="3"/>
      </rPr>
      <t>0</t>
    </r>
    <r>
      <rPr>
        <sz val="10"/>
        <color rgb="FF002138"/>
        <rFont val="Calibri"/>
        <family val="2"/>
        <scheme val="minor"/>
      </rPr>
      <t xml:space="preserve"> (number)</t>
    </r>
  </si>
  <si>
    <r>
      <t xml:space="preserve">If not supplied, will </t>
    </r>
    <r>
      <rPr>
        <sz val="10"/>
        <color rgb="FF0000FF"/>
        <rFont val="Calibri"/>
        <family val="2"/>
        <scheme val="minor"/>
      </rPr>
      <t>default</t>
    </r>
    <r>
      <rPr>
        <sz val="10"/>
        <color rgb="FF002138"/>
        <rFont val="Calibri"/>
        <family val="2"/>
        <scheme val="minor"/>
      </rPr>
      <t xml:space="preserve"> to </t>
    </r>
    <r>
      <rPr>
        <sz val="10"/>
        <color rgb="FF0000FF"/>
        <rFont val="Consolas"/>
        <family val="3"/>
      </rPr>
      <t>FALSE</t>
    </r>
  </si>
  <si>
    <t>If the input provided is a number or text string, then this value is used to replace any blank data points</t>
  </si>
  <si>
    <t>If the input provided is a logical/Boolean value:</t>
  </si>
  <si>
    <t>= blank data points will not be replaced</t>
  </si>
  <si>
    <r>
      <t>TRUE</t>
    </r>
    <r>
      <rPr>
        <sz val="10"/>
        <color theme="1"/>
        <rFont val="Calibri"/>
        <family val="2"/>
        <scheme val="minor"/>
      </rPr>
      <t xml:space="preserve"> /</t>
    </r>
    <r>
      <rPr>
        <sz val="10"/>
        <color rgb="FF0000FF"/>
        <rFont val="Consolas"/>
        <family val="3"/>
      </rPr>
      <t xml:space="preserve"> 1 </t>
    </r>
  </si>
  <si>
    <r>
      <t>FALSE</t>
    </r>
    <r>
      <rPr>
        <sz val="10"/>
        <color theme="1"/>
        <rFont val="Calibri"/>
        <family val="2"/>
        <scheme val="minor"/>
      </rPr>
      <t xml:space="preserve"> / </t>
    </r>
    <r>
      <rPr>
        <sz val="10"/>
        <color rgb="FF0000FF"/>
        <rFont val="Consolas"/>
        <family val="3"/>
      </rPr>
      <t xml:space="preserve">0 </t>
    </r>
  </si>
  <si>
    <r>
      <t xml:space="preserve">= blank data points will be replaced with a </t>
    </r>
    <r>
      <rPr>
        <sz val="10"/>
        <color rgb="FFC00000"/>
        <rFont val="Consolas"/>
        <family val="3"/>
      </rPr>
      <t>#N/A</t>
    </r>
    <r>
      <rPr>
        <sz val="10"/>
        <color rgb="FF002138"/>
        <rFont val="Calibri"/>
        <family val="2"/>
        <scheme val="minor"/>
      </rPr>
      <t xml:space="preserve"> error value</t>
    </r>
  </si>
  <si>
    <r>
      <t xml:space="preserve">If not supplied, will </t>
    </r>
    <r>
      <rPr>
        <sz val="10"/>
        <color rgb="FF0000FF"/>
        <rFont val="Calibri"/>
        <family val="2"/>
        <scheme val="minor"/>
      </rPr>
      <t>default</t>
    </r>
    <r>
      <rPr>
        <sz val="10"/>
        <color rgb="FF002138"/>
        <rFont val="Calibri"/>
        <family val="2"/>
        <scheme val="minor"/>
      </rPr>
      <t xml:space="preserve"> to an effective blank string value ( </t>
    </r>
    <r>
      <rPr>
        <sz val="10"/>
        <color rgb="FF0000FF"/>
        <rFont val="Consolas"/>
        <family val="3"/>
      </rPr>
      <t>""</t>
    </r>
    <r>
      <rPr>
        <sz val="10"/>
        <color rgb="FF002138"/>
        <rFont val="Calibri"/>
        <family val="2"/>
        <scheme val="minor"/>
      </rPr>
      <t xml:space="preserve"> )</t>
    </r>
  </si>
  <si>
    <r>
      <t xml:space="preserve">If not supplied, will </t>
    </r>
    <r>
      <rPr>
        <sz val="10"/>
        <color rgb="FF0000FF"/>
        <rFont val="Calibri"/>
        <family val="2"/>
        <scheme val="minor"/>
      </rPr>
      <t>default</t>
    </r>
    <r>
      <rPr>
        <sz val="10"/>
        <color rgb="FF002138"/>
        <rFont val="Calibri"/>
        <family val="2"/>
        <scheme val="minor"/>
      </rPr>
      <t xml:space="preserve"> to </t>
    </r>
    <r>
      <rPr>
        <sz val="10"/>
        <color rgb="FF0000FF"/>
        <rFont val="Consolas"/>
        <family val="3"/>
      </rPr>
      <t>FALSE</t>
    </r>
    <r>
      <rPr>
        <sz val="10"/>
        <color rgb="FF002138"/>
        <rFont val="Calibri"/>
        <family val="2"/>
        <scheme val="minor"/>
      </rPr>
      <t xml:space="preserve"> (therefore reading the </t>
    </r>
    <r>
      <rPr>
        <sz val="10"/>
        <color theme="1" tint="0.249977111117893"/>
        <rFont val="Consolas"/>
        <family val="3"/>
      </rPr>
      <t>data</t>
    </r>
    <r>
      <rPr>
        <sz val="10"/>
        <color rgb="FF002138"/>
        <rFont val="Calibri"/>
        <family val="2"/>
        <scheme val="minor"/>
      </rPr>
      <t xml:space="preserve"> array by row)</t>
    </r>
  </si>
  <si>
    <r>
      <t xml:space="preserve">the </t>
    </r>
    <r>
      <rPr>
        <sz val="10"/>
        <color theme="1" tint="0.249977111117893"/>
        <rFont val="Consolas"/>
        <family val="3"/>
      </rPr>
      <t>data</t>
    </r>
    <r>
      <rPr>
        <sz val="10"/>
        <color rgb="FF002138"/>
        <rFont val="Calibri"/>
        <family val="2"/>
        <scheme val="minor"/>
      </rPr>
      <t xml:space="preserve"> array is read by going down each column (top-to-bottom), using the </t>
    </r>
    <r>
      <rPr>
        <sz val="10"/>
        <color theme="1" tint="0.249977111117893"/>
        <rFont val="Consolas"/>
        <family val="3"/>
      </rPr>
      <t>column_headers</t>
    </r>
    <r>
      <rPr>
        <sz val="10"/>
        <color rgb="FF002138"/>
        <rFont val="Calibri"/>
        <family val="2"/>
        <scheme val="minor"/>
      </rPr>
      <t xml:space="preserve"> as the Key column(s) and the </t>
    </r>
    <r>
      <rPr>
        <sz val="10"/>
        <color theme="1" tint="0.249977111117893"/>
        <rFont val="Consolas"/>
        <family val="3"/>
      </rPr>
      <t>row_headers</t>
    </r>
    <r>
      <rPr>
        <sz val="10"/>
        <color rgb="FF002138"/>
        <rFont val="Calibri"/>
        <family val="2"/>
        <scheme val="minor"/>
      </rPr>
      <t xml:space="preserve"> as the Name column(s)</t>
    </r>
  </si>
  <si>
    <r>
      <t xml:space="preserve">If </t>
    </r>
    <r>
      <rPr>
        <sz val="10"/>
        <color rgb="FF0000FF"/>
        <rFont val="Consolas"/>
        <family val="3"/>
      </rPr>
      <t>TRUE</t>
    </r>
    <r>
      <rPr>
        <sz val="10"/>
        <color rgb="FF002138"/>
        <rFont val="Calibri"/>
        <family val="2"/>
        <scheme val="minor"/>
      </rPr>
      <t xml:space="preserve">:  </t>
    </r>
  </si>
  <si>
    <r>
      <t xml:space="preserve">If </t>
    </r>
    <r>
      <rPr>
        <sz val="10"/>
        <color rgb="FF0000FF"/>
        <rFont val="Consolas"/>
        <family val="3"/>
      </rPr>
      <t>FALSE</t>
    </r>
    <r>
      <rPr>
        <sz val="10"/>
        <color rgb="FF002138"/>
        <rFont val="Calibri"/>
        <family val="2"/>
        <scheme val="minor"/>
      </rPr>
      <t xml:space="preserve">:  </t>
    </r>
  </si>
  <si>
    <t>_keys, LET(</t>
  </si>
  <si>
    <t>_names, LET(</t>
  </si>
  <si>
    <t>This function is designed to unpivot a table of data into a single data table for further/easier analysis</t>
  </si>
  <si>
    <t>The output of the function is in a tabular data format with each data point in the source data table represented as a single row -- a "flat-file" format</t>
  </si>
  <si>
    <t>The row titles/headers and column headers associated with the table of source data are used to add additional information to each data row in the output row, such as Key columns and Name columns</t>
  </si>
  <si>
    <t>It is possible for the source data to be read in a by-row direction (i.e. across each row from left-to-right) or a by-column direction (i.e. down each column from top-to-bottom)</t>
  </si>
  <si>
    <r>
      <t xml:space="preserve">the </t>
    </r>
    <r>
      <rPr>
        <sz val="10"/>
        <color theme="1" tint="0.249977111117893"/>
        <rFont val="Consolas"/>
        <family val="3"/>
      </rPr>
      <t>data</t>
    </r>
    <r>
      <rPr>
        <sz val="10"/>
        <color rgb="FF002138"/>
        <rFont val="Calibri"/>
        <family val="2"/>
        <scheme val="minor"/>
      </rPr>
      <t xml:space="preserve"> array is read by going across each row (left-to-right), using the </t>
    </r>
    <r>
      <rPr>
        <sz val="10"/>
        <color theme="1" tint="0.249977111117893"/>
        <rFont val="Consolas"/>
        <family val="3"/>
      </rPr>
      <t>row_headers</t>
    </r>
    <r>
      <rPr>
        <sz val="10"/>
        <color rgb="FF002138"/>
        <rFont val="Calibri"/>
        <family val="2"/>
        <scheme val="minor"/>
      </rPr>
      <t xml:space="preserve"> as the Key column(s) and the </t>
    </r>
    <r>
      <rPr>
        <sz val="10"/>
        <color theme="1" tint="0.249977111117893"/>
        <rFont val="Consolas"/>
        <family val="3"/>
      </rPr>
      <t>column_headers</t>
    </r>
    <r>
      <rPr>
        <sz val="10"/>
        <color rgb="FF002138"/>
        <rFont val="Calibri"/>
        <family val="2"/>
        <scheme val="minor"/>
      </rPr>
      <t xml:space="preserve"> as the Name column(s)</t>
    </r>
  </si>
  <si>
    <t>_vl, CHOOSECOLS(_dt, -1),</t>
  </si>
  <si>
    <t>_dfB, IF(_fltrB, FILTER(_dt, IF( ISERROR(_vl), TRUE, IFNA(_vl, "#") &lt;&gt; "")), _dt),</t>
  </si>
  <si>
    <t>Demonstrating Function Usage</t>
  </si>
  <si>
    <t xml:space="preserve">Name:  </t>
  </si>
  <si>
    <t xml:space="preserve">Description:  </t>
  </si>
  <si>
    <t>RXL_UnPivot</t>
  </si>
  <si>
    <t>Unpivot ("flatten") a 2D source array into a vertical data table; each source data point represented as an individual row</t>
  </si>
  <si>
    <t>The main data points are held within a Values column</t>
  </si>
  <si>
    <t>The row titles/headers and column headers from the source data table are used to add details as Key and Name columns</t>
  </si>
  <si>
    <t>Test data set:</t>
  </si>
  <si>
    <t>Q1</t>
  </si>
  <si>
    <t>Q2</t>
  </si>
  <si>
    <t>Q3</t>
  </si>
  <si>
    <t>Q4</t>
  </si>
  <si>
    <t>Product 1</t>
  </si>
  <si>
    <t>Cat.A</t>
  </si>
  <si>
    <t>Product 2</t>
  </si>
  <si>
    <t>Product 3</t>
  </si>
  <si>
    <t>Cat.B</t>
  </si>
  <si>
    <t>Product 4</t>
  </si>
  <si>
    <t>Demonstrating main parameters</t>
  </si>
  <si>
    <t>Demonstrating filtering functionality</t>
  </si>
  <si>
    <t>Demonstrating vertical and horiztonal outputs (+ filtering blanks and errors)</t>
  </si>
  <si>
    <t>Simple 1D row and column title arrays</t>
  </si>
  <si>
    <t>Reading data array by column</t>
  </si>
  <si>
    <t>2D row and column title arrays (array read by row)</t>
  </si>
  <si>
    <t>Key</t>
  </si>
  <si>
    <t>Name</t>
  </si>
  <si>
    <t>Value</t>
  </si>
  <si>
    <t>Data</t>
  </si>
  <si>
    <t>Cat.1</t>
  </si>
  <si>
    <t>Cat.2</t>
  </si>
  <si>
    <t>Cat.3</t>
  </si>
  <si>
    <t>Alpha</t>
  </si>
  <si>
    <t>Bravo</t>
  </si>
  <si>
    <t>Charlie</t>
  </si>
  <si>
    <t>Delta</t>
  </si>
  <si>
    <t>Echo</t>
  </si>
  <si>
    <t>Simple functionality -- no filters / replacements applied</t>
  </si>
  <si>
    <t>Replacing blanks with 0 (zero)</t>
  </si>
  <si>
    <t>Replacing blanks with text ( "[null]" )</t>
  </si>
  <si>
    <t>Filtering-out blanks</t>
  </si>
  <si>
    <t>Filtering-out errors</t>
  </si>
  <si>
    <t>Default (vertical) output</t>
  </si>
  <si>
    <t>Horizontal output</t>
  </si>
  <si>
    <t>This will occur after the row and column header columns for the final output data table have been created</t>
  </si>
  <si>
    <t>for the column headers this column(s) will have read the input data from left-to-right</t>
  </si>
  <si>
    <t>for the row headers this column(s) will have read the input data from top-to-bottom</t>
  </si>
  <si>
    <t>Idea is to allow user to choose to fill blank cells with either the value from above/left, the value from below/right, or a passed specific value/string/etc.</t>
  </si>
  <si>
    <t>Possible user inputs for these new optional parameters:</t>
  </si>
  <si>
    <t>+1</t>
  </si>
  <si>
    <t>-1</t>
  </si>
  <si>
    <t>= fill using value in cell above (for row headers) or to the left (for column headers)</t>
  </si>
  <si>
    <t>= fill using value in cell below (for row headers) or to the right (for column headers)</t>
  </si>
  <si>
    <t>[text]</t>
  </si>
  <si>
    <t>= no replacement will be made, instead the blank string character ("") is used</t>
  </si>
  <si>
    <t>= any other input for this parameter, that isn’t a number or True/False, will be used to replace the blank cell values</t>
  </si>
  <si>
    <t>Determining action to take based on user parameter input</t>
  </si>
  <si>
    <t>Input</t>
  </si>
  <si>
    <t xml:space="preserve">User input:  </t>
  </si>
  <si>
    <t>Output</t>
  </si>
  <si>
    <t>Test!</t>
  </si>
  <si>
    <t>Direction</t>
  </si>
  <si>
    <t xml:space="preserve">Replacement string </t>
  </si>
  <si>
    <t>Testing different filling of blanks options - single column</t>
  </si>
  <si>
    <t>Testing different filling of blanks options - multiple columns</t>
  </si>
  <si>
    <t>Note:</t>
  </si>
  <si>
    <t>There are a couple of options for performing the filling procedure</t>
  </si>
  <si>
    <t>As I will have already constructed the row/column header data for the output using a MAKEARRAY() function, the most efficient option for filling with</t>
  </si>
  <si>
    <t>blanks in this data with the previous value (i.e. value above/left) seemed to be using the SCAN() function rather than an index-based approach</t>
  </si>
  <si>
    <t>This also means that an alternative replacement value/string can easily be entered in this formula logic</t>
  </si>
  <si>
    <t>In order to do the same thing in reverse was most easily achieved by reversing the constructed data column before the SCAN() and then re-verting back</t>
  </si>
  <si>
    <t>to the correct orientation after making the required blank replacements</t>
  </si>
  <si>
    <t>Cat.Z</t>
  </si>
  <si>
    <t>Cat.Y</t>
  </si>
  <si>
    <t>Cat.X</t>
  </si>
  <si>
    <t xml:space="preserve">The Above approach works well for a single constructed column being passed to the SCAN() function, </t>
  </si>
  <si>
    <t xml:space="preserve">however, when I tried to use the BYCOL() function to then perform this SCAN procedure on each of the </t>
  </si>
  <si>
    <t xml:space="preserve">Rather than reverting to using an index-based approach due to the complications of dealing with start </t>
  </si>
  <si>
    <t xml:space="preserve">and end of each column values I found that placing the SCAN() logic inside a REDUCE() function, taking </t>
  </si>
  <si>
    <t xml:space="preserve">one constructed column at a time with CHOOSECOLS() and then using HSTACK within the REDUCE() to </t>
  </si>
  <si>
    <t>reconstruct the full, blank-filled output</t>
  </si>
  <si>
    <t xml:space="preserve">constructed columns in turn this results in a #CALC! error as the BYCOL() must return a single value </t>
  </si>
  <si>
    <t>not an array</t>
  </si>
  <si>
    <t>Updated Functionality &amp; Testing</t>
  </si>
  <si>
    <t>Combining into full version + Testing</t>
  </si>
  <si>
    <t xml:space="preserve">Replace data blanks:  </t>
  </si>
  <si>
    <t xml:space="preserve">Filter data blanks:  </t>
  </si>
  <si>
    <t xml:space="preserve">Filter data errors:  </t>
  </si>
  <si>
    <t xml:space="preserve">Fill row blanks:  </t>
  </si>
  <si>
    <t xml:space="preserve">Fill column blanks:  </t>
  </si>
  <si>
    <t>replace_data_blanks</t>
  </si>
  <si>
    <t>An array containing the main data points from the table to unpivot or "flat-file"</t>
  </si>
  <si>
    <t>[required]</t>
  </si>
  <si>
    <t>An array of values which represent the row headers/titles for the main data input array</t>
  </si>
  <si>
    <t>An array of values which represent the column headers/titles for the main data input array</t>
  </si>
  <si>
    <t>[optional]</t>
  </si>
  <si>
    <t>A True/False input which determines whether the main data input array should be read by column (TRUE), or by row (FALSE)</t>
  </si>
  <si>
    <t>A value which can be used to replace any blank data points in the Value column, as per the main data input array</t>
  </si>
  <si>
    <t>A True/False input which determines whether to filter out any rows with blank data points within the Values column</t>
  </si>
  <si>
    <t>A True/False input which determines whether to filter out any rows with error values within the data values column</t>
  </si>
  <si>
    <t>A True/False input which determines whether to provide the final output data array in vertical orientation or horizontal orientation</t>
  </si>
  <si>
    <t>fill_row_blanks</t>
  </si>
  <si>
    <t>fill_column_blanks</t>
  </si>
  <si>
    <t>[fill_column_blanks],</t>
  </si>
  <si>
    <t>[fill_row_blanks],</t>
  </si>
  <si>
    <t>[replace_data_blanks],</t>
  </si>
  <si>
    <t>_repD, IF( ISOMITTED(replace_data_blanks), "",</t>
  </si>
  <si>
    <t>IF( ISLOGICAL(replace_data_blanks),</t>
  </si>
  <si>
    <t>IF(replace_data_blanks, NA(), ""),</t>
  </si>
  <si>
    <t>replace_data_blanks)</t>
  </si>
  <si>
    <t>_rowB, IF( ISOMITTED(fill_row_blanks), 0, fill_row_blanks),</t>
  </si>
  <si>
    <t>_colB, IF( ISOMITTED(fill_column_blanks), 0, fill_column_blanks),</t>
  </si>
  <si>
    <t>_repR, IF( OR(ISNUMBER(_rowB), ISLOGICAL(_rowB)), "", _rowB),</t>
  </si>
  <si>
    <t>_repC, IF( OR(ISNUMBER(_colB), ISLOGICAL(_colB)), "", _colB),</t>
  </si>
  <si>
    <t>_dirR, IF( OR(ISNUMBER(_rowB), ISLOGICAL(_rowB)), INT(_rowB), 0),</t>
  </si>
  <si>
    <t>_dirC, IF( OR(ISNUMBER(_colB), ISLOGICAL(_colB)), INT(_colB), 0),</t>
  </si>
  <si>
    <t>_kRep, IF(_byCol, _repC, _repR),</t>
  </si>
  <si>
    <t>_kDir, IF(_byCol, _dirC, _dirR),</t>
  </si>
  <si>
    <t>_kArr, IF(_kDir = -1, INDEX(_kCols, SEQUENCE(_rK, 1, _rK, -1), SEQUENCE(1, _cK)), _kCols),</t>
  </si>
  <si>
    <t>_kFil, DROP( REDUCE(0, SEQUENCE(_cK), LAMBDA(_arr,_col,</t>
  </si>
  <si>
    <t>HSTACK(_arr,</t>
  </si>
  <si>
    <t>SCAN("", CHOOSECOLS(_kArr, _col),</t>
  </si>
  <si>
    <t>LAMBDA(_acc,_val, IF(ISBLANK(_val), IF(_kDir = 0, _kRep, _acc), _val))</t>
  </si>
  <si>
    <t>))),</t>
  </si>
  <si>
    <t>, 1),</t>
  </si>
  <si>
    <t>_out, IF(_kDir = -1, INDEX(_kFil, SEQUENCE(_rK, 1, _rK, -1), SEQUENCE(1, _cK)), _kFil),</t>
  </si>
  <si>
    <t>MAKEARRAY(_rK * _rN, _cK, LAMBDA(_row,_col, INDEX(_out, ROUNDUP(_row / _rN, 0), _col)))</t>
  </si>
  <si>
    <t>_nRep, IF(_byCol, _repR, _repC),</t>
  </si>
  <si>
    <t>_nDir, IF(_byCol, _dirR, _dirC),</t>
  </si>
  <si>
    <t>_nArr, IF(_nDir = -1, INDEX(_nCols, SEQUENCE(_rN, 1, _rN, -1), SEQUENCE(1, _cN)), _nCols),</t>
  </si>
  <si>
    <t>_nFil, DROP( REDUCE(0, SEQUENCE(_cN), LAMBDA(_arr,_col,</t>
  </si>
  <si>
    <t>SCAN("", CHOOSECOLS(_nArr, _col),</t>
  </si>
  <si>
    <t>LAMBDA(_acc,_val, IF(ISBLANK(_val), IF(_nDir = 0, _nRep, _acc), _val))</t>
  </si>
  <si>
    <t>_out, IF(_nDir = -1, INDEX(_nFil, SEQUENCE(_rN, 1, _rN, -1), SEQUENCE(1, _cN)), _nFil),</t>
  </si>
  <si>
    <t>MAKEARRAY(_rK * _rN, _cN, LAMBDA(_row,_col, INDEX(_out, MOD(_row - 1, _rN) + 1, _col)))</t>
  </si>
  <si>
    <t>IF( ISBLANK(_dp), _repD, _dp)</t>
  </si>
  <si>
    <t>The blank cells can be filled with the values from the cells above or below the blank cell, or with a specified value.</t>
  </si>
  <si>
    <t>The blank cells can be filled with the values from the cells to the left or right of the blank cell, or with a specified value.</t>
  </si>
  <si>
    <t>= fills the blank data point with the cell value from the row above</t>
  </si>
  <si>
    <t>= fills the blank data point with the cell value from the row below</t>
  </si>
  <si>
    <r>
      <t xml:space="preserve">If not supplied, will </t>
    </r>
    <r>
      <rPr>
        <sz val="10"/>
        <color rgb="FF0000FF"/>
        <rFont val="Calibri"/>
        <family val="2"/>
        <scheme val="minor"/>
      </rPr>
      <t>default</t>
    </r>
    <r>
      <rPr>
        <sz val="10"/>
        <color rgb="FF002138"/>
        <rFont val="Calibri"/>
        <family val="2"/>
        <scheme val="minor"/>
      </rPr>
      <t xml:space="preserve"> to </t>
    </r>
    <r>
      <rPr>
        <sz val="10"/>
        <color rgb="FF0000FF"/>
        <rFont val="Consolas"/>
        <family val="3"/>
      </rPr>
      <t>FALSE</t>
    </r>
    <r>
      <rPr>
        <sz val="10"/>
        <color rgb="FF002138"/>
        <rFont val="Calibri"/>
        <family val="2"/>
        <scheme val="minor"/>
      </rPr>
      <t>/</t>
    </r>
    <r>
      <rPr>
        <sz val="10"/>
        <color rgb="FF0000FF"/>
        <rFont val="Consolas"/>
        <family val="3"/>
      </rPr>
      <t>0</t>
    </r>
  </si>
  <si>
    <r>
      <t xml:space="preserve">= does not fill the blank values from the input array, instead they are left as an empty string ( </t>
    </r>
    <r>
      <rPr>
        <sz val="10"/>
        <color rgb="FF0000FF"/>
        <rFont val="Consolas"/>
        <family val="3"/>
      </rPr>
      <t>""</t>
    </r>
    <r>
      <rPr>
        <sz val="10"/>
        <color rgb="FF002138"/>
        <rFont val="Calibri"/>
        <family val="2"/>
        <scheme val="minor"/>
      </rPr>
      <t xml:space="preserve"> ) in the output</t>
    </r>
  </si>
  <si>
    <t>= fills the blank data points with the cell value from the row above</t>
  </si>
  <si>
    <r>
      <t xml:space="preserve">= If any value other than a number or </t>
    </r>
    <r>
      <rPr>
        <sz val="10"/>
        <color rgb="FF0000FF"/>
        <rFont val="Consolas"/>
        <family val="3"/>
      </rPr>
      <t>TRUE</t>
    </r>
    <r>
      <rPr>
        <sz val="10"/>
        <color rgb="FF002138"/>
        <rFont val="Calibri"/>
        <family val="2"/>
        <scheme val="minor"/>
      </rPr>
      <t>/</t>
    </r>
    <r>
      <rPr>
        <sz val="10"/>
        <color rgb="FF0000FF"/>
        <rFont val="Consolas"/>
        <family val="3"/>
      </rPr>
      <t>FALSE</t>
    </r>
    <r>
      <rPr>
        <sz val="10"/>
        <color rgb="FF002138"/>
        <rFont val="Calibri"/>
        <family val="2"/>
        <scheme val="minor"/>
      </rPr>
      <t xml:space="preserve"> is provided this is used to fill all blank values</t>
    </r>
  </si>
  <si>
    <t>= fills the blank data point with the cell value from the cell to the Left</t>
  </si>
  <si>
    <t>= fills the blank data point with the cell value from the cell to the Right</t>
  </si>
  <si>
    <t>// Construct the keys (primary) and names (secondary) columns for the output array</t>
  </si>
  <si>
    <t>// Construct the values (data values) column for the output array</t>
  </si>
  <si>
    <t xml:space="preserve">// Note - filtering is only based on the Values (data values) column, </t>
  </si>
  <si>
    <t>//        blanks or error values in the Keys and Names columns will not be filtered</t>
  </si>
  <si>
    <t>// Transpose the output array if needed</t>
  </si>
  <si>
    <t>// + The input array is reversed if needed (depending on the direction chosen), and then</t>
  </si>
  <si>
    <t>// + The updated input array is returned to it's original direction if needed before being</t>
  </si>
  <si>
    <t>//   a combination of REDUCE(), HSTACK() and SCAN() are used to fill any blanks with an</t>
  </si>
  <si>
    <t>//   an appropriate replacement value, one column at a time</t>
  </si>
  <si>
    <t>//   used in the MAKEARRAY() function to construct the final Keys/Names column.</t>
  </si>
  <si>
    <t>// Determine the correct fill direction and if a replacement is string is needed</t>
  </si>
  <si>
    <t>// for both the row_headers and column_headers input arrays</t>
  </si>
  <si>
    <t>=LAMBDA(data,row_headers,column_headers,[by_column],[replace_data_blanks],[filter_blanks],[filter_errors],[fill_row_blanks],[fill_column_blanks],[output_vertical],LET(_dd,data,_rh,row_headers,_ch,column_headers,_byCol,IF(ISOMITTED(by_column),0,IF(by_column,1,0)),_repD,IF(ISOMITTED(replace_data_blanks),"",IF(ISLOGICAL(replace_data_blanks),IF(replace_data_blanks,NA(),""),replace_data_blanks)),_fltrB,IF(ISOMITTED(filter_blanks),0,IF(filter_blanks,1,0)),_fltrE,IF(ISOMITTED(filter_errors),0,IF(filter_errors,1,0)),_rowB,IF(ISOMITTED(fill_row_blanks),0,fill_row_blanks),_colB,IF(ISOMITTED(fill_column_blanks),0,fill_column_blanks),_vrt,IF(ISOMITTED(output_vertical),1,IF(output_vertical,1,0)),_repR,IF(OR(ISNUMBER(_rowB),ISLOGICAL(_rowB)),"",_rowB),_repC,IF(OR(ISNUMBER(_colB),ISLOGICAL(_colB)),"",_colB),_dirR,IF(OR(ISNUMBER(_rowB),ISLOGICAL(_rowB)),INT(_rowB),0),_dirC,IF(OR(ISNUMBER(_colB),ISLOGICAL(_colB)),INT(_colB),0),_inpChk,IFS(IFERROR(OR(ROWS(_rh)&lt;1,COLUMNS(_rh)&lt;1,ROWS(_ch)&lt;1,COLUMNS(_ch)&lt;1,ROWS(_dd)&lt;1,COLUMNS(_dd)&lt;1),3),3,IFERROR(OR(ROWS(_dd)&lt;&gt;ROWS(_rh),COLUMNS(_dd)&lt;&gt;COLUMNS(_ch)),3),2,TRUE,1),_kCols,IF(_byCol,TRANSPOSE(_ch),_rh),_nCols,IF(_byCol,_rh,TRANSPOSE(_ch)),_rK,ROWS(_kCols),_cK,COLUMNS(_kCols),_rN,ROWS(_nCols),_cN,COLUMNS(_nCols),_keys,LET(_kRep,IF(_byCol,_repC,_repR),_kDir,IF(_byCol,_dirC,_dirR),_kArr,IF(_kDir=-1,INDEX(_kCols,SEQUENCE(_rK,1,_rK,-1),SEQUENCE(1,_cK)),_kCols),_kFil,DROP(REDUCE(0,SEQUENCE(_cK),LAMBDA(_arr,_col,HSTACK(_arr,SCAN("",CHOOSECOLS(_kArr,_col),LAMBDA(_acc,_val,IF(ISBLANK(_val),IF(_kDir=0,_kRep,_acc),_val)))))),,1),_out,IF(_kDir=-1,INDEX(_kFil,SEQUENCE(_rK,1,_rK,-1),SEQUENCE(1,_cK)),_kFil),MAKEARRAY(_rK*_rN,_cK,LAMBDA(_row,_col,INDEX(_out,ROUNDUP(_row/_rN,0),_col)))),_names,LET(_nRep,IF(_byCol,_repR,_repC),_nDir,IF(_byCol,_dirR,_dirC),_nArr,IF(_nDir=-1,INDEX(_nCols,SEQUENCE(_rN,1,_rN,-1),SEQUENCE(1,_cN)),_nCols),_nFil,DROP(REDUCE(0,SEQUENCE(_cN),LAMBDA(_arr,_col,HSTACK(_arr,SCAN("",CHOOSECOLS(_nArr,_col),LAMBDA(_acc,_val,IF(ISBLANK(_val),IF(_nDir=0,_nRep,_acc),_val)))))),,1),_out,IF(_nDir=-1,INDEX(_nFil,SEQUENCE(_rN,1,_rN,-1),SEQUENCE(1,_cN)),_nFil),MAKEARRAY(_rK*_rN,_cN,LAMBDA(_row,_col,INDEX(_out,MOD(_row-1,_rN)+1,_col)))),_values,LET(_dp,TOCOL(_dd,,_byCol),IF(ISBLANK(_dp),_repD,_dp)),_rtn,LET(_dt,HSTACK(_keys,_names,_values),_vl,CHOOSECOLS(_dt,-1),_dfB,IF(_fltrB,FILTER(_dt,IF(ISERROR(_vl),TRUE,IFNA(_vl,"#")&lt;&gt;"")),_dt),_dfE,IF(_fltrE,FILTER(_dfB,NOT(ISERROR(CHOOSECOLS(_dfB,-1)))),_dfB),IF(NOT(_vrt),TRANSPOSE(_dfE),_dfE)),CHOOSE(_inpChk,_rtn,LAMBDA(0),#VALUE!)))</t>
  </si>
  <si>
    <r>
      <t xml:space="preserve">Determines whether any blank data points in the </t>
    </r>
    <r>
      <rPr>
        <sz val="10"/>
        <color rgb="FF0065A8"/>
        <rFont val="Consolas"/>
        <family val="3"/>
      </rPr>
      <t>row_headers</t>
    </r>
    <r>
      <rPr>
        <sz val="10"/>
        <color rgb="FF002138"/>
        <rFont val="Calibri"/>
        <family val="2"/>
        <scheme val="minor"/>
      </rPr>
      <t xml:space="preserve"> input array should be filled and what value should be used.</t>
    </r>
  </si>
  <si>
    <r>
      <t xml:space="preserve">Determines whether any blank data points in the </t>
    </r>
    <r>
      <rPr>
        <sz val="10"/>
        <color rgb="FF0065A8"/>
        <rFont val="Consolas"/>
        <family val="3"/>
      </rPr>
      <t>column_headers</t>
    </r>
    <r>
      <rPr>
        <sz val="10"/>
        <color rgb="FF002138"/>
        <rFont val="Calibri"/>
        <family val="2"/>
        <scheme val="minor"/>
      </rPr>
      <t xml:space="preserve"> input array should be filled and what value should be used.</t>
    </r>
  </si>
  <si>
    <t xml:space="preserve">Gist URL:  </t>
  </si>
  <si>
    <t>CrossJoin Function  (Cartesion Join Function)</t>
  </si>
  <si>
    <t>Ability to take two tables and join every row of one table to every row of another table</t>
  </si>
  <si>
    <t>For each row of the 1st table join each row of the 2nd table</t>
  </si>
  <si>
    <t>Need to be able to provide 1D arrays in either orientation and still join correctly</t>
  </si>
  <si>
    <t xml:space="preserve">If providing a 2d array then determine whether to use only specified columns (relative) as </t>
  </si>
  <si>
    <t>Data:</t>
  </si>
  <si>
    <t>List 1</t>
  </si>
  <si>
    <t>List 2</t>
  </si>
  <si>
    <t>List 3</t>
  </si>
  <si>
    <t>List 4</t>
  </si>
  <si>
    <t>One</t>
  </si>
  <si>
    <t>Two</t>
  </si>
  <si>
    <t>Three</t>
  </si>
  <si>
    <t>Four</t>
  </si>
  <si>
    <t>AAAA</t>
  </si>
  <si>
    <t>@@@</t>
  </si>
  <si>
    <t>Cat.4</t>
  </si>
  <si>
    <t>BBBB</t>
  </si>
  <si>
    <t>+++++</t>
  </si>
  <si>
    <t>CCCC</t>
  </si>
  <si>
    <t>=====</t>
  </si>
  <si>
    <t>List 5</t>
  </si>
  <si>
    <t>DDDD</t>
  </si>
  <si>
    <t>EEEE</t>
  </si>
  <si>
    <t>Initial experiments:</t>
  </si>
  <si>
    <t>Provide two 1D arrays in any orientation which are joined 1st to 2nd</t>
  </si>
  <si>
    <t>Check the dimensions of the input ranges/arrays and restrict to a 1D array</t>
  </si>
  <si>
    <t xml:space="preserve">  -- for a 2D array, assume where the # rows &gt; # columns, restrict to the 1st column and full # rows, and vice versa</t>
  </si>
  <si>
    <t xml:space="preserve">  -- for a square 2D array (i.e. # rows = # columns) default to taking the 1st column and full # rows</t>
  </si>
  <si>
    <t>Using TOCOL() function for creation of lists to join -- also allows for filtering out blanks and/or Errors from source lists</t>
  </si>
  <si>
    <t>Using TOCOL()</t>
  </si>
  <si>
    <t>Added input restrictions for 1D arrays</t>
  </si>
  <si>
    <t>Test with horizontal 1D array inputs</t>
  </si>
  <si>
    <t>Extended version -- optional filtering of blank cells and error cells</t>
  </si>
  <si>
    <t xml:space="preserve">Check and restrict to the assumed/expected 1D array </t>
  </si>
  <si>
    <t>Provide option to filter out blanks and Errors</t>
  </si>
  <si>
    <t>Provide option to replace blank cells with an input string</t>
  </si>
  <si>
    <t>Adding input checks</t>
  </si>
  <si>
    <t>Add optional inputs for filtering</t>
  </si>
  <si>
    <t>Add optional replacement string</t>
  </si>
  <si>
    <t>with native error codes</t>
  </si>
  <si>
    <t>with custom error messages</t>
  </si>
  <si>
    <t xml:space="preserve">Replacement:  </t>
  </si>
  <si>
    <t>Tests with 2D input arrays</t>
  </si>
  <si>
    <t>Added ability to cope with 2D arrays for 1st and/or 2nd input table, and in either orientation</t>
  </si>
  <si>
    <t>Changed to use MAKEARRAY for the individual columns rather than INDEX() function within the final HSTACK() function</t>
  </si>
  <si>
    <t>Approach:</t>
  </si>
  <si>
    <t xml:space="preserve"> - check the input arrays/ranges</t>
  </si>
  <si>
    <t xml:space="preserve"> - if converting to 1D array then use TOCOL along with filtering for blanks and errors as required</t>
  </si>
  <si>
    <t xml:space="preserve"> -- add optional parameter for reading down columns for conversion to 1D array</t>
  </si>
  <si>
    <t xml:space="preserve"> - if not converting to 1D array, preserve the current structure but transpose to vertical if 2D structure suggests horizontal layout</t>
  </si>
  <si>
    <t>Standardised 2D input array orientation</t>
  </si>
  <si>
    <t>Test with horiztonal 2D array</t>
  </si>
  <si>
    <t>+ convert to 1D if chosen</t>
  </si>
  <si>
    <t xml:space="preserve">Convert to 1D:  </t>
  </si>
  <si>
    <t>Adding ability to replace blanks</t>
  </si>
  <si>
    <t>Added filtering of blanks and errors</t>
  </si>
  <si>
    <t>Update to work with horizontal 2D array</t>
  </si>
  <si>
    <t>Test with two 2D input arrays</t>
  </si>
  <si>
    <t>with set replacement string</t>
  </si>
  <si>
    <t>(differing orientations --&gt; 1st vertical, 2nd horizontal)</t>
  </si>
  <si>
    <t>Extended version -- updated 2D array version to output CrossJoin product</t>
  </si>
  <si>
    <t>Provide 2D arrays in any orientation which are joined 1st to 2nd</t>
  </si>
  <si>
    <t>Specify whether to convert to 1d array or not for both tables, and direction of conversion (i.e. by column or row)</t>
  </si>
  <si>
    <t>2D 1st input array + 1D 2nd input array</t>
  </si>
  <si>
    <t>Testing with horizontal input arrays</t>
  </si>
  <si>
    <t>(vertical input arrays)</t>
  </si>
  <si>
    <t>Extended version -- adding ability to remove duplicate result rows, and choose to output horizontally</t>
  </si>
  <si>
    <t>Provide ability to replace blanks, filter blanks, and filter errors</t>
  </si>
  <si>
    <t>Choose to return only unique result rows</t>
  </si>
  <si>
    <t>Choose to return either vertical or horizontally oriented results table</t>
  </si>
  <si>
    <t>Returning distinct result rows</t>
  </si>
  <si>
    <t>Returning chosen orientation results table</t>
  </si>
  <si>
    <t xml:space="preserve">Distinct rows:  </t>
  </si>
  <si>
    <t xml:space="preserve">Vertical output:  </t>
  </si>
  <si>
    <t>Due to large number of inputs to check for validity tried using an array of the inputs and REDUCE() function to loop through these</t>
  </si>
  <si>
    <t>Separate check for the required range inputs for the inputs tables -- allows for two possible error messages/error codes</t>
  </si>
  <si>
    <t>Adding input-type checks</t>
  </si>
  <si>
    <t>(native Excel error codes)</t>
  </si>
  <si>
    <t>(custom error messages)</t>
  </si>
  <si>
    <t>[Yes/No]</t>
  </si>
  <si>
    <t>[Text]</t>
  </si>
  <si>
    <t>Testing 1D &amp; 2D Versions</t>
  </si>
  <si>
    <t>CrossJoin_1D()  --  allowing any input orientation, 1D input arrays only, filtering blanks &amp; errors, replacing blanks, and optional output orientation</t>
  </si>
  <si>
    <t>list_one,list_two,</t>
  </si>
  <si>
    <t>[filter_blanks],[filter_errors],[replace_blanks],</t>
  </si>
  <si>
    <t>// Deal with [optional] parameters and set default values</t>
  </si>
  <si>
    <t>_ignore,</t>
  </si>
  <si>
    <t>IF( OR( ISOMITTED(filter_blanks), NOT(filter_blanks)), 0, 1) +</t>
  </si>
  <si>
    <t>IF( OR( ISOMITTED(filter_errors), NOT(filter_errors)), 0, 2),</t>
  </si>
  <si>
    <t>// Input checks for the required cell references and optional parameters</t>
  </si>
  <si>
    <t>// As a single error message/code is returned, where one/both of the cell references are considered invalid, this error message/code is given priority</t>
  </si>
  <si>
    <t>_inpChk, IF(</t>
  </si>
  <si>
    <t>OR( NOT(ISREF(list_one)), NOT(ISREF(list_two))),</t>
  </si>
  <si>
    <t>"#[Error: invalid input cell references]",</t>
  </si>
  <si>
    <t>IF(</t>
  </si>
  <si>
    <t>OR( AND( NOT(ISLOGICAL(filter_blanks)), NOT(ISNUMBER(filter_blanks))), AND( NOT(ISLOGICAL(filter_errors)), NOT(ISNUMBER(filter_errors)))),</t>
  </si>
  <si>
    <t>"#[Error: invalid optional inputs]",</t>
  </si>
  <si>
    <t>""</t>
  </si>
  <si>
    <t>// For each input array, if the array is a 2D array then restrict to just the first column (if vertical) or first row (if horizontal)</t>
  </si>
  <si>
    <t>// (if the input array is square (equal number of rows and columns) then vertical orientation is assumed and restricted to the first column</t>
  </si>
  <si>
    <t>_list1, IF(</t>
  </si>
  <si>
    <t>AND(COLUMNS(list_one) &gt; 1, ROWS(list_one) &gt; 1),</t>
  </si>
  <si>
    <t>IF(COLUMNS(list_one) &gt; ROWS(list_one),</t>
  </si>
  <si>
    <t>CHOOSEROWS(list_one, 1),</t>
  </si>
  <si>
    <t>CHOOSECOLS(list_one, 1)</t>
  </si>
  <si>
    <t>list_one</t>
  </si>
  <si>
    <t>_list2, IF(</t>
  </si>
  <si>
    <t>AND(COLUMNS(list_two) &gt; 1, ROWS(list_two) &gt; 1),</t>
  </si>
  <si>
    <t>IF(COLUMNS(list_two) &gt; ROWS(list_two),</t>
  </si>
  <si>
    <t>CHOOSEROWS(list_two, 1),</t>
  </si>
  <si>
    <t>CHOOSECOLS(list_two, 1)</t>
  </si>
  <si>
    <t>list_two</t>
  </si>
  <si>
    <t>// Replace any blank cells in the restricted input array with the user supplied replacement string (optional parameter)</t>
  </si>
  <si>
    <t>_fltr1, IF(</t>
  </si>
  <si>
    <t>NOT(ISBLANK(replace_blanks)),</t>
  </si>
  <si>
    <t>IF( ISBLANK(_list1), replace_blanks, _list1),</t>
  </si>
  <si>
    <t>_list1</t>
  </si>
  <si>
    <t>_fltr2, IF(</t>
  </si>
  <si>
    <t>IF( ISBLANK(_list2), replace_blanks, _list2),</t>
  </si>
  <si>
    <t>_list2</t>
  </si>
  <si>
    <t>// Convert the input arrays to a single column using the TOCOL() function to standardise to vertical orientation</t>
  </si>
  <si>
    <t>// Allows for the use of the native filtering out of blank and error cells</t>
  </si>
  <si>
    <t>_col1, TOCOL(_fltr1, _ignore),</t>
  </si>
  <si>
    <t>_col2, TOCOL(_fltr2, _ignore),</t>
  </si>
  <si>
    <t>// Calculate the main index for the required total number of rows</t>
  </si>
  <si>
    <t>_len, ROWS(_col2),</t>
  </si>
  <si>
    <t>_idx0, SEQUENCE(_len * ROWS(_col1), 1),</t>
  </si>
  <si>
    <t>// Calculate the indexes for the two output columns</t>
  </si>
  <si>
    <t>_idx1, CEILING.MATH(_idx0 / _len),</t>
  </si>
  <si>
    <t>_idx2, MOD(_idx0 - 1, _len) + 1,</t>
  </si>
  <si>
    <t>// Create the return table by populating the two output columns and stacking horizontally (row number index not included)</t>
  </si>
  <si>
    <t>_rtn, HSTACK(</t>
  </si>
  <si>
    <t>INDEX(_col1, _idx1),</t>
  </si>
  <si>
    <t>INDEX(_col2, _idx2)</t>
  </si>
  <si>
    <t>// For the final calculation output, if the an input error check message/code is present return that, otherwise return the calculated output table</t>
  </si>
  <si>
    <t>IF(_inpChk &lt;&gt; "", _inpChk, _rtn)</t>
  </si>
  <si>
    <t>=LAMBDA(list_one,list_two,[filter_blanks],[filter_errors],[replace_blanks],LET(_ignore,IF(OR(ISOMITTED(filter_blanks),NOT(filter_blanks)),0,1)+IF(OR(ISOMITTED(filter_errors),NOT(filter_errors)),0,2),_inpChk,IF(OR(NOT(ISREF(list_one)),NOT(ISREF(list_two))),"#[Error: invalid input cell references]",IF(OR(AND(NOT(ISLOGICAL(filter_blanks)),NOT(ISNUMBER(filter_blanks))),AND(NOT(ISLOGICAL(filter_errors)),NOT(ISNUMBER(filter_errors)))),"#[Error: invalid optional inputs]","")),_list1,IF(AND(COLUMNS(list_one)&gt;1,ROWS(list_one)&gt;1),IF(COLUMNS(list_one)&gt;ROWS(list_one),CHOOSEROWS(list_one,1),CHOOSECOLS(list_one,1)),list_one),_list2,IF(AND(COLUMNS(list_two)&gt;1,ROWS(list_two)&gt;1),IF(COLUMNS(list_two)&gt;ROWS(list_two),CHOOSEROWS(list_two,1),CHOOSECOLS(list_two,1)),list_two),_fltr1,IF(NOT(ISBLANK(replace_blanks)),IF(ISBLANK(_list1),replace_blanks,_list1),_list1),_fltr2,IF(NOT(ISBLANK(replace_blanks)),IF(ISBLANK(_list2),replace_blanks,_list2),_list2),_col1,TOCOL(_fltr1,_ignore),_col2,TOCOL(_fltr2,_ignore),_len,ROWS(_col2),_idx0,SEQUENCE(_len*ROWS(_col1),1),_idx1,CEILING.MATH(_idx0/_len),_idx2,MOD(_idx0-1,_len)+1,_rtn,HSTACK(INDEX(_col1,_idx1),INDEX(_col2,_idx2)),IF(_inpChk&lt;&gt;"",_inpChk,_rtn)))</t>
  </si>
  <si>
    <t>CrossJoin_2D()  --  allowing any input orientation, 1D or 2D input arrays, filtering blanks &amp; errors, replacing blanks, distinct output rows, and optional output orientation</t>
  </si>
  <si>
    <t>[convert_list_one],[list_one_by_column],[convert_list_two],[list_two_by_column],[filter_blanks],[filter_errors],[replace_blanks],[distinct_rows],[vertical_output],</t>
  </si>
  <si>
    <t>_cvrt1, IF( ISOMITTED(convert_list_one), FALSE, convert_list_one),</t>
  </si>
  <si>
    <t>_byCol1, IF( ISOMITTED(list_one_by_column), TRUE, list_one_by_column),</t>
  </si>
  <si>
    <t>_cvrt2, IF( ISOMITTED(convert_list_two), FALSE, convert_list_two),</t>
  </si>
  <si>
    <t>_byCol2, IF( ISOMITTED(list_two_by_column), TRUE, list_two_by_column),</t>
  </si>
  <si>
    <t>_distinct, IF( ISOMITTED(distinct_rows), FALSE, distinct_rows),</t>
  </si>
  <si>
    <t>_vertical, IF( ISOMITTED(vertical_output), TRUE, vertical_output),</t>
  </si>
  <si>
    <t>// Check for invalid input values -- returns value of: 0 = no input errors; &gt;0 = input error(s) identified</t>
  </si>
  <si>
    <t>// this is placed after dealing with optional parameter default values so that an omitted input does not register an input error</t>
  </si>
  <si>
    <t>_inps, VSTACK(_cvrt1, _byCol1, _cvrt2, _byCol2, filter_blanks, filter_errors, _distinct, _vertical),</t>
  </si>
  <si>
    <t>_chk, REDUCE(0, _inps, LAMBDA(_acc,_val, _acc + AND( NOT(ISLOGICAL(_val)), NOT(ISNUMBER(_val))))),</t>
  </si>
  <si>
    <t>// Complete input error check by looking at the input list cell range references</t>
  </si>
  <si>
    <t>// As only a single error message/code is returned, an invalid cell range reference is prioritised over invalid optional inputs</t>
  </si>
  <si>
    <t>_chk &gt; 0,</t>
  </si>
  <si>
    <t>// Check if the input lists are vertically aligned (more rows than cols), or horizontally aligned (more cols than rows)</t>
  </si>
  <si>
    <t>// (for a square 2D array input (equal rows and columns) the input array is assumed to be vertically oriented)</t>
  </si>
  <si>
    <t>_hrz1, (COLUMNS(list_one) &gt; ROWS(list_one)),</t>
  </si>
  <si>
    <t>_hrz2, (COLUMNS(list_two) &gt; ROWS(list_two)),</t>
  </si>
  <si>
    <t>// For both input arrays/lists, replace blank cells with the user set replacement string/value if supplied (optional parameter)</t>
  </si>
  <si>
    <t>IF( ISBLANK(list_one), replace_blanks, list_one),</t>
  </si>
  <si>
    <t>IF( ISBLANK(list_two), replace_blanks, list_two),</t>
  </si>
  <si>
    <t>// For both updated input lists, create a FILTER() function inclusion lists -- i.e. list of True/False to filter out blanks &amp; errors</t>
  </si>
  <si>
    <t>// In order to cope with either orientation of input array, the calculation is either done on a byRow basis (vertical) or byCol basis (horiztonal)</t>
  </si>
  <si>
    <t>// The filter inclusion criteria will remove rows/columns where all cells are blank, or where at least one cell contains an error</t>
  </si>
  <si>
    <t>_inc1, IF(_hrz1,</t>
  </si>
  <si>
    <t>BYCOL(_list1, LAMBDA(_col, IF(filter_blanks, COUNTA(_col) &gt; 0, 1) * IF(filter_errors, NOT(ISERROR(SUM(_col))), 1))),</t>
  </si>
  <si>
    <t>BYROW(_list1, LAMBDA(_row, IF(filter_blanks, COUNTA(_row) &gt; 0, 1) * IF(filter_errors, NOT(ISERROR(SUM(_row))), 1)))</t>
  </si>
  <si>
    <t>_inc2, IF(_hrz2,</t>
  </si>
  <si>
    <t>BYCOL(_list2, LAMBDA(_col, IF(filter_blanks, COUNTA(_col) &gt; 0, 1) * IF(filter_errors, NOT(ISERROR(SUM(_col))), 1))),</t>
  </si>
  <si>
    <t>BYROW(_list2, LAMBDA(_row, IF(filter_blanks, COUNTA(_row) &gt; 0, 1) * IF(filter_errors, NOT(ISERROR(SUM(_row))), 1)))</t>
  </si>
  <si>
    <t>// Create a filtered array for each of the updated input lists</t>
  </si>
  <si>
    <t>// Where the input list is to be converted to a 1D array the TOCOL() function is used along with the native TOCOL filtering of blanks and errors</t>
  </si>
  <si>
    <t>// If the input list is not converted to 1D, the FILTER() function is used with the calculated inclusion criteria list</t>
  </si>
  <si>
    <t>_fltr1, IF(_cvrt1,</t>
  </si>
  <si>
    <t>TOCOL(_list1, _ignore, _byCol1),</t>
  </si>
  <si>
    <t>FILTER(_list1, _inc1)</t>
  </si>
  <si>
    <t>_fltr2, IF(_cvrt2,</t>
  </si>
  <si>
    <t>TOCOL(_list2, _ignore, _byCol2),</t>
  </si>
  <si>
    <t>FILTER(_list2, _inc2)</t>
  </si>
  <si>
    <t>// The filtered input lists are standardised to vertically-oriented input tables/arrays for those that aren't converted to a 1D array with TOCOL()</t>
  </si>
  <si>
    <t>_tbl1, IF( AND(NOT(_cvrt1), _hrz1), TRANSPOSE(_fltr1), _fltr1),</t>
  </si>
  <si>
    <t>_tbl2, IF( AND(NOT(_cvrt2), _hrz2), TRANSPOSE(_fltr2), _fltr2),</t>
  </si>
  <si>
    <t>// In order to cross join the two input tables/lists, identify the number of rows and columns in each</t>
  </si>
  <si>
    <t>_rr1, ROWS(_tbl1),</t>
  </si>
  <si>
    <t>_rr2, ROWS(_tbl2),</t>
  </si>
  <si>
    <t>_cc1, COLUMNS(_tbl1),</t>
  </si>
  <si>
    <t>_cc2, COLUMNS(_tbl2),</t>
  </si>
  <si>
    <t>// Create the two arrays of outputs from the 1st input table and the 2nd input table, then stack horizontally</t>
  </si>
  <si>
    <t>// Joined as each row of the 1st table joined to the each row of the 2nd table</t>
  </si>
  <si>
    <t>_cmbTbl, HSTACK(</t>
  </si>
  <si>
    <t>MAKEARRAY(_rr1 * _rr2, _cc1, LAMBDA(_row,_col, INDEX(_tbl1, CEILING.MATH(_row / _rr2), _col))),</t>
  </si>
  <si>
    <t>MAKEARRAY(_rr1 * _rr2, _cc2, LAMBDA(_row,_col, INDEX(_tbl2, MOD(_row - 1, _rr2) + 1, _col)))</t>
  </si>
  <si>
    <t>// Taking the combined + joined table, use the UNIQUE() function to remove any duplicate rows if requried (optional parameter)</t>
  </si>
  <si>
    <t>_rtnTbl, IF(_distinct,</t>
  </si>
  <si>
    <t>UNIQUE(_cmbTbl),</t>
  </si>
  <si>
    <t>_cmbTbl</t>
  </si>
  <si>
    <t>// With the combined + joined table (standardised to vertical orientation), use the TRANSPOSE() function to return a horizontal output if required</t>
  </si>
  <si>
    <t>_rtn, IF(NOT(_vertical),</t>
  </si>
  <si>
    <t>TRANSPOSE(_rtnTbl),</t>
  </si>
  <si>
    <t>_rtnTbl</t>
  </si>
  <si>
    <t>= LAMBDA(list_one,list_two,[convert_list_one],[list_one_by_column],[convert_list_two],[list_two_by_column],[filter_blanks],[filter_errors],[replace_blanks],[distinct_rows],[vertical_output],LET(_cvrt1, IF( ISOMITTED(convert_list_one), FALSE, convert_list_one),_byCol1, IF( ISOMITTED(list_one_by_column), TRUE, list_one_by_column),_cvrt2, IF( ISOMITTED(convert_list_two), FALSE, convert_list_two),_byCol2, IF( ISOMITTED(list_two_by_column), TRUE, list_two_by_column),_ignore,IF( OR( ISOMITTED(filter_blanks), NOT(filter_blanks)), 0, 1) +IF( OR( ISOMITTED(filter_errors), NOT(filter_errors)), 0, 2),_distinct, IF( ISOMITTED(distinct_rows), FALSE, distinct_rows),_vertical, IF( ISOMITTED(vertical_output), TRUE, vertical_output),_inps, VSTACK(_cvrt1, _byCol1, _cvrt2, _byCol2, filter_blanks, filter_errors, _distinct, _vertical),_chk, REDUCE(0, _inps, LAMBDA(_acc,_val, _acc + AND( NOT(ISLOGICAL(_val)), NOT(ISNUMBER(_val))))),_inpChk, IF(OR( NOT(ISREF(list_one)), NOT(ISREF(list_two))),"#[Error: invalid input cell references]",IF(_chk &gt; 0,"#[Error: invalid optional inputs]","")),_hrz1, (COLUMNS(list_one) &gt; ROWS(list_one)),_hrz2, (COLUMNS(list_two) &gt; ROWS(list_two)),_list1, IF(NOT(ISBLANK(replace_blanks)),IF( ISBLANK(list_one), replace_blanks, list_one),list_one),_list2, IF(NOT(ISBLANK(replace_blanks)),IF( ISBLANK(list_two), replace_blanks, list_two),list_two),_inc1, IF(_hrz1,BYCOL(_list1, LAMBDA(_col, IF(filter_blanks, COUNTA(_col) &gt; 0, 1) * IF(filter_errors, NOT(ISERROR(SUM(_col))), 1))),BYROW(_list1, LAMBDA(_row, IF(filter_blanks, COUNTA(_row) &gt; 0, 1) * IF(filter_errors, NOT(ISERROR(SUM(_row))), 1)))),_inc2, IF(_hrz2,BYCOL(_list2, LAMBDA(_col, IF(filter_blanks, COUNTA(_col) &gt; 0, 1) * IF(filter_errors, NOT(ISERROR(SUM(_col))), 1))),BYROW(_list2, LAMBDA(_row, IF(filter_blanks, COUNTA(_row) &gt; 0, 1) * IF(filter_errors, NOT(ISERROR(SUM(_row))), 1)))),_fltr1, IF(_cvrt1,TOCOL(_list1, _ignore, _byCol1),FILTER(_list1, _inc1)),_fltr2, IF(_cvrt2,TOCOL(_list2, _ignore, _byCol2),FILTER(_list2, _inc2)),_tbl1, IF( AND(NOT(_cvrt1), _hrz1), TRANSPOSE(_fltr1), _fltr1),_tbl2, IF( AND(NOT(_cvrt2), _hrz2), TRANSPOSE(_fltr2), _fltr2),_rr1, ROWS(_tbl1),_rr2, ROWS(_tbl2),_cc1, COLUMNS(_tbl1),_cc2, COLUMNS(_tbl2),_cmbTbl, HSTACK(MAKEARRAY(_rr1 * _rr2, _cc1, LAMBDA(_row,_col, INDEX(_tbl1, CEILING.MATH(_row / _rr2), _col))),MAKEARRAY(_rr1 * _rr2, _cc2, LAMBDA(_row,_col, INDEX(_tbl2, MOD(_row - 1, _rr2) + 1, _col)))),_rtnTbl, IF(_distinct,UNIQUE(_cmbTbl),_cmbTbl),_rtn, IF(NOT(_vertical),TRANSPOSE(_rtnTbl),_rtnTbl),IF(_inpChk&lt;&gt;"",_inpChk,_rtn)))</t>
  </si>
  <si>
    <t>Re-writing 2D version to make the function more efficient + using less characters  (within 2,084 character limit)</t>
  </si>
  <si>
    <t>List One</t>
  </si>
  <si>
    <t>List Two</t>
  </si>
  <si>
    <t>Ranges</t>
  </si>
  <si>
    <t xml:space="preserve">Cell range:  </t>
  </si>
  <si>
    <t>C11:D15</t>
  </si>
  <si>
    <t>L10:P11</t>
  </si>
  <si>
    <t>[List]</t>
  </si>
  <si>
    <t>C11:C15</t>
  </si>
  <si>
    <t>F11:F16</t>
  </si>
  <si>
    <t>H11:H15</t>
  </si>
  <si>
    <t>H11:I15</t>
  </si>
  <si>
    <t>L10:P10</t>
  </si>
  <si>
    <t>L13:P13</t>
  </si>
  <si>
    <t>This function is designed to create a cross join (or Cartesian join) between two input lists, where each row of the second list is joined to each row of the first list.</t>
  </si>
  <si>
    <t>The provided input lists can be 1D or 2D arrays, and can be vertically or horizontally oriented. Where a 2D input array is provided the function can convert this to 1D array/list prior to joining the input lists.</t>
  </si>
  <si>
    <t>Input rows containing error values can be filtered out, and input rows which are fully blank can also be filtered out.</t>
  </si>
  <si>
    <r>
      <rPr>
        <b/>
        <sz val="10"/>
        <color rgb="FFB75EE1"/>
        <rFont val="Calibri"/>
        <family val="2"/>
        <scheme val="minor"/>
      </rPr>
      <t>[required]</t>
    </r>
  </si>
  <si>
    <t>The 1st input array/list to which the 2nd input array will be joined; should be a valid cell reference</t>
  </si>
  <si>
    <t>The 2nd input array/list which is joined to the 1st input array/list; should be a valid cell reference</t>
  </si>
  <si>
    <t>convert_list_one</t>
  </si>
  <si>
    <r>
      <rPr>
        <b/>
        <sz val="10"/>
        <color rgb="FFFC6017"/>
        <rFont val="Calibri"/>
        <family val="2"/>
        <scheme val="minor"/>
      </rPr>
      <t>[optional]</t>
    </r>
  </si>
  <si>
    <r>
      <t xml:space="preserve">A True/False value which determines whether to convert </t>
    </r>
    <r>
      <rPr>
        <sz val="10"/>
        <color theme="1" tint="0.249977111117893"/>
        <rFont val="Consolas"/>
        <family val="3"/>
      </rPr>
      <t>list_one</t>
    </r>
    <r>
      <rPr>
        <sz val="10"/>
        <color rgb="FF002138"/>
        <rFont val="Calibri"/>
        <family val="2"/>
        <scheme val="minor"/>
      </rPr>
      <t xml:space="preserve"> to a 1D list / a single column list before the join</t>
    </r>
  </si>
  <si>
    <r>
      <t xml:space="preserve">Will default to </t>
    </r>
    <r>
      <rPr>
        <sz val="10"/>
        <color rgb="FF0000FF"/>
        <rFont val="Consolas"/>
        <family val="3"/>
      </rPr>
      <t>FALSE</t>
    </r>
    <r>
      <rPr>
        <sz val="10"/>
        <color rgb="FF002138"/>
        <rFont val="Calibri"/>
        <family val="2"/>
        <scheme val="minor"/>
      </rPr>
      <t xml:space="preserve"> (</t>
    </r>
    <r>
      <rPr>
        <sz val="10"/>
        <color rgb="FF0000FF"/>
        <rFont val="Consolas"/>
        <family val="3"/>
      </rPr>
      <t>0</t>
    </r>
    <r>
      <rPr>
        <sz val="10"/>
        <color rgb="FF002138"/>
        <rFont val="Calibri"/>
        <family val="2"/>
        <scheme val="minor"/>
      </rPr>
      <t>) if not supplied</t>
    </r>
  </si>
  <si>
    <t>list_one_by_column</t>
  </si>
  <si>
    <r>
      <t xml:space="preserve">A True/False value -- if </t>
    </r>
    <r>
      <rPr>
        <sz val="10"/>
        <color theme="1" tint="0.249977111117893"/>
        <rFont val="Consolas"/>
        <family val="3"/>
      </rPr>
      <t>list_one</t>
    </r>
    <r>
      <rPr>
        <sz val="10"/>
        <color rgb="FF002138"/>
        <rFont val="Calibri"/>
        <family val="2"/>
        <scheme val="minor"/>
      </rPr>
      <t xml:space="preserve"> is to be converted to a 1D list, this input determines whether to read </t>
    </r>
    <r>
      <rPr>
        <sz val="10"/>
        <color theme="1" tint="0.249977111117893"/>
        <rFont val="Consolas"/>
        <family val="3"/>
      </rPr>
      <t>list_one</t>
    </r>
    <r>
      <rPr>
        <sz val="10"/>
        <color rgb="FF002138"/>
        <rFont val="Calibri"/>
        <family val="2"/>
        <scheme val="minor"/>
      </rPr>
      <t xml:space="preserve"> by column (</t>
    </r>
    <r>
      <rPr>
        <sz val="10"/>
        <color rgb="FF0000FF"/>
        <rFont val="Consolas"/>
        <family val="3"/>
      </rPr>
      <t>TRUE</t>
    </r>
    <r>
      <rPr>
        <sz val="10"/>
        <color rgb="FF002138"/>
        <rFont val="Calibri"/>
        <family val="2"/>
        <scheme val="minor"/>
      </rPr>
      <t>) or by row (</t>
    </r>
    <r>
      <rPr>
        <sz val="10"/>
        <color rgb="FF0000FF"/>
        <rFont val="Consolas"/>
        <family val="3"/>
      </rPr>
      <t>FALSE</t>
    </r>
    <r>
      <rPr>
        <sz val="10"/>
        <color rgb="FF002138"/>
        <rFont val="Calibri"/>
        <family val="2"/>
        <scheme val="minor"/>
      </rPr>
      <t>)</t>
    </r>
  </si>
  <si>
    <r>
      <t xml:space="preserve">Will default to </t>
    </r>
    <r>
      <rPr>
        <sz val="10"/>
        <color rgb="FF0000FF"/>
        <rFont val="Consolas"/>
        <family val="3"/>
      </rPr>
      <t>TRUE</t>
    </r>
    <r>
      <rPr>
        <sz val="10"/>
        <color rgb="FF002138"/>
        <rFont val="Calibri"/>
        <family val="2"/>
        <scheme val="minor"/>
      </rPr>
      <t xml:space="preserve"> (</t>
    </r>
    <r>
      <rPr>
        <sz val="10"/>
        <color rgb="FF0000FF"/>
        <rFont val="Consolas"/>
        <family val="3"/>
      </rPr>
      <t>1</t>
    </r>
    <r>
      <rPr>
        <sz val="10"/>
        <color rgb="FF002138"/>
        <rFont val="Calibri"/>
        <family val="2"/>
        <scheme val="minor"/>
      </rPr>
      <t>) if not supplied</t>
    </r>
  </si>
  <si>
    <t>convert_list_two</t>
  </si>
  <si>
    <r>
      <t xml:space="preserve">A True/False value which determines whether to convert </t>
    </r>
    <r>
      <rPr>
        <sz val="10"/>
        <color theme="1" tint="0.249977111117893"/>
        <rFont val="Consolas"/>
        <family val="3"/>
      </rPr>
      <t>list_two</t>
    </r>
    <r>
      <rPr>
        <sz val="10"/>
        <color rgb="FF002138"/>
        <rFont val="Calibri"/>
        <family val="2"/>
        <scheme val="minor"/>
      </rPr>
      <t xml:space="preserve"> to a 1D list / a single column list before the join</t>
    </r>
  </si>
  <si>
    <t>list_two_by_column</t>
  </si>
  <si>
    <r>
      <t xml:space="preserve">A True/False value -- if </t>
    </r>
    <r>
      <rPr>
        <sz val="10"/>
        <color theme="1" tint="0.249977111117893"/>
        <rFont val="Consolas"/>
        <family val="3"/>
      </rPr>
      <t>list_two</t>
    </r>
    <r>
      <rPr>
        <sz val="10"/>
        <color rgb="FF002138"/>
        <rFont val="Calibri"/>
        <family val="2"/>
        <scheme val="minor"/>
      </rPr>
      <t xml:space="preserve"> is to be converted to a 1D list, this input determines whether to read </t>
    </r>
    <r>
      <rPr>
        <sz val="10"/>
        <color theme="1" tint="0.249977111117893"/>
        <rFont val="Consolas"/>
        <family val="3"/>
      </rPr>
      <t>list_two</t>
    </r>
    <r>
      <rPr>
        <sz val="10"/>
        <color rgb="FF002138"/>
        <rFont val="Calibri"/>
        <family val="2"/>
        <scheme val="minor"/>
      </rPr>
      <t xml:space="preserve"> by column (</t>
    </r>
    <r>
      <rPr>
        <sz val="10"/>
        <color rgb="FF0000FF"/>
        <rFont val="Consolas"/>
        <family val="3"/>
      </rPr>
      <t>TRUE</t>
    </r>
    <r>
      <rPr>
        <sz val="10"/>
        <color rgb="FF002138"/>
        <rFont val="Calibri"/>
        <family val="2"/>
        <scheme val="minor"/>
      </rPr>
      <t>) or by row (</t>
    </r>
    <r>
      <rPr>
        <sz val="10"/>
        <color rgb="FF0000FF"/>
        <rFont val="Consolas"/>
        <family val="3"/>
      </rPr>
      <t>FALSE</t>
    </r>
    <r>
      <rPr>
        <sz val="10"/>
        <color rgb="FF002138"/>
        <rFont val="Calibri"/>
        <family val="2"/>
        <scheme val="minor"/>
      </rPr>
      <t>)</t>
    </r>
  </si>
  <si>
    <t>replace_blanks</t>
  </si>
  <si>
    <r>
      <t xml:space="preserve">A value (number or string) which is used to replace any blank cell values in </t>
    </r>
    <r>
      <rPr>
        <sz val="10"/>
        <color theme="1" tint="0.249977111117893"/>
        <rFont val="Consolas"/>
        <family val="3"/>
      </rPr>
      <t>list_one</t>
    </r>
    <r>
      <rPr>
        <sz val="10"/>
        <color rgb="FF002138"/>
        <rFont val="Calibri"/>
        <family val="2"/>
        <scheme val="minor"/>
      </rPr>
      <t xml:space="preserve"> and </t>
    </r>
    <r>
      <rPr>
        <sz val="10"/>
        <color theme="1" tint="0.249977111117893"/>
        <rFont val="Consolas"/>
        <family val="3"/>
      </rPr>
      <t>list_two</t>
    </r>
    <r>
      <rPr>
        <sz val="10"/>
        <color rgb="FF002138"/>
        <rFont val="Calibri"/>
        <family val="2"/>
        <scheme val="minor"/>
      </rPr>
      <t xml:space="preserve"> before the join</t>
    </r>
  </si>
  <si>
    <r>
      <t xml:space="preserve">A True/False value which determines whether to filter out blank rows in </t>
    </r>
    <r>
      <rPr>
        <sz val="10"/>
        <color theme="1" tint="0.249977111117893"/>
        <rFont val="Consolas"/>
        <family val="3"/>
      </rPr>
      <t>list_one</t>
    </r>
    <r>
      <rPr>
        <sz val="10"/>
        <color rgb="FF002138"/>
        <rFont val="Calibri"/>
        <family val="2"/>
        <scheme val="minor"/>
      </rPr>
      <t xml:space="preserve"> and/or </t>
    </r>
    <r>
      <rPr>
        <sz val="10"/>
        <color theme="1" tint="0.249977111117893"/>
        <rFont val="Consolas"/>
        <family val="3"/>
      </rPr>
      <t>list_two</t>
    </r>
    <r>
      <rPr>
        <sz val="10"/>
        <color rgb="FF002138"/>
        <rFont val="Calibri"/>
        <family val="2"/>
        <scheme val="minor"/>
      </rPr>
      <t xml:space="preserve"> before the join</t>
    </r>
  </si>
  <si>
    <r>
      <t xml:space="preserve">Only rows where all values are blank ( </t>
    </r>
    <r>
      <rPr>
        <sz val="10"/>
        <color rgb="FF0000FF"/>
        <rFont val="Consolas"/>
        <family val="3"/>
      </rPr>
      <t>""</t>
    </r>
    <r>
      <rPr>
        <sz val="10"/>
        <color rgb="FF002138"/>
        <rFont val="Calibri"/>
        <family val="2"/>
        <scheme val="minor"/>
      </rPr>
      <t xml:space="preserve"> ) will be filtered out</t>
    </r>
  </si>
  <si>
    <t>Note: if the replace_blanks input is used then the filter_blanks option will not have an effect as the blank values are replaced and no longer need filtering out</t>
  </si>
  <si>
    <r>
      <t xml:space="preserve">A True/False value which determines whether to filter out rows in </t>
    </r>
    <r>
      <rPr>
        <sz val="10"/>
        <color theme="1" tint="0.249977111117893"/>
        <rFont val="Consolas"/>
        <family val="3"/>
      </rPr>
      <t>list_one</t>
    </r>
    <r>
      <rPr>
        <sz val="10"/>
        <color rgb="FF002138"/>
        <rFont val="Calibri"/>
        <family val="2"/>
        <scheme val="minor"/>
      </rPr>
      <t xml:space="preserve"> and/or </t>
    </r>
    <r>
      <rPr>
        <sz val="10"/>
        <color theme="1" tint="0.249977111117893"/>
        <rFont val="Consolas"/>
        <family val="3"/>
      </rPr>
      <t>list_two</t>
    </r>
    <r>
      <rPr>
        <sz val="10"/>
        <color rgb="FF002138"/>
        <rFont val="Calibri"/>
        <family val="2"/>
        <scheme val="minor"/>
      </rPr>
      <t xml:space="preserve"> which contain error values -- filtering occurs before the join</t>
    </r>
  </si>
  <si>
    <t>Rows which contain at least one error value will be filtered out</t>
  </si>
  <si>
    <t>distinct_rows</t>
  </si>
  <si>
    <r>
      <rPr>
        <b/>
        <sz val="10"/>
        <color rgb="FFFC6017"/>
        <rFont val="Calibri"/>
        <family val="2"/>
        <scheme val="minor"/>
      </rPr>
      <t>[optional]</t>
    </r>
    <r>
      <rPr>
        <sz val="10"/>
        <color rgb="FF002138"/>
        <rFont val="Calibri"/>
        <family val="2"/>
        <scheme val="minor"/>
      </rPr>
      <t xml:space="preserve">   …</t>
    </r>
  </si>
  <si>
    <r>
      <t>A True/False value which determines whether to keep only distinct/unique rows within the output array (</t>
    </r>
    <r>
      <rPr>
        <sz val="10"/>
        <color rgb="FF0000FF"/>
        <rFont val="Consolas"/>
        <family val="3"/>
      </rPr>
      <t>TRUE</t>
    </r>
    <r>
      <rPr>
        <sz val="10"/>
        <color rgb="FF002138"/>
        <rFont val="Calibri"/>
        <family val="2"/>
        <scheme val="minor"/>
      </rPr>
      <t>) or provide all calculated rows (</t>
    </r>
    <r>
      <rPr>
        <sz val="10"/>
        <color rgb="FF0000FF"/>
        <rFont val="Consolas"/>
        <family val="3"/>
      </rPr>
      <t>FALSE</t>
    </r>
    <r>
      <rPr>
        <sz val="10"/>
        <color rgb="FF002138"/>
        <rFont val="Calibri"/>
        <family val="2"/>
        <scheme val="minor"/>
      </rPr>
      <t>) -- assessed after the join</t>
    </r>
  </si>
  <si>
    <t>vertical_output</t>
  </si>
  <si>
    <r>
      <t>A True/Fasle value which determines whether to provide the calculated output array in a vertical (</t>
    </r>
    <r>
      <rPr>
        <sz val="10"/>
        <color rgb="FF0000FF"/>
        <rFont val="Consolas"/>
        <family val="3"/>
      </rPr>
      <t>TRUE</t>
    </r>
    <r>
      <rPr>
        <sz val="10"/>
        <color rgb="FF002138"/>
        <rFont val="Calibri"/>
        <family val="2"/>
        <scheme val="minor"/>
      </rPr>
      <t>) or horizontal (</t>
    </r>
    <r>
      <rPr>
        <sz val="10"/>
        <color rgb="FF0000FF"/>
        <rFont val="Consolas"/>
        <family val="3"/>
      </rPr>
      <t>FALSE</t>
    </r>
    <r>
      <rPr>
        <sz val="10"/>
        <color rgb="FF002138"/>
        <rFont val="Calibri"/>
        <family val="2"/>
        <scheme val="minor"/>
      </rPr>
      <t>) orientation</t>
    </r>
  </si>
  <si>
    <r>
      <t xml:space="preserve">Occurs where either the </t>
    </r>
    <r>
      <rPr>
        <sz val="10"/>
        <color theme="1" tint="0.249977111117893"/>
        <rFont val="Consolas"/>
        <family val="3"/>
      </rPr>
      <t>list_one</t>
    </r>
    <r>
      <rPr>
        <sz val="10"/>
        <color rgb="FF002138"/>
        <rFont val="Calibri"/>
        <family val="2"/>
        <scheme val="minor"/>
      </rPr>
      <t xml:space="preserve"> or </t>
    </r>
    <r>
      <rPr>
        <sz val="10"/>
        <color theme="1" tint="0.249977111117893"/>
        <rFont val="Consolas"/>
        <family val="3"/>
      </rPr>
      <t>list_two</t>
    </r>
    <r>
      <rPr>
        <sz val="10"/>
        <color rgb="FF002138"/>
        <rFont val="Calibri"/>
        <family val="2"/>
        <scheme val="minor"/>
      </rPr>
      <t xml:space="preserve"> inputs are not valid references</t>
    </r>
  </si>
  <si>
    <r>
      <t xml:space="preserve">Occurs when one of the optional inputs (other than the </t>
    </r>
    <r>
      <rPr>
        <sz val="10"/>
        <color theme="1" tint="0.249977111117893"/>
        <rFont val="Consolas"/>
        <family val="3"/>
      </rPr>
      <t>replace_blanks</t>
    </r>
    <r>
      <rPr>
        <sz val="10"/>
        <color rgb="FF002138"/>
        <rFont val="Calibri"/>
        <family val="2"/>
        <scheme val="minor"/>
      </rPr>
      <t xml:space="preserve"> input) is not a valid input, i.e. a number of a logical/Boolean value</t>
    </r>
  </si>
  <si>
    <t>list_one,</t>
  </si>
  <si>
    <t>list_two,</t>
  </si>
  <si>
    <t>[convert_list_one],</t>
  </si>
  <si>
    <t>[list_one_by_column],</t>
  </si>
  <si>
    <t>[convert_list_two],</t>
  </si>
  <si>
    <t>[list_two_by_column],</t>
  </si>
  <si>
    <t>[replace_blanks],</t>
  </si>
  <si>
    <t>[distinct_rows],</t>
  </si>
  <si>
    <t>[vertical_output],</t>
  </si>
  <si>
    <t>// Dealing with optional parameters</t>
  </si>
  <si>
    <t>_cvt1, IF( ISOMITTED(convert_list_one), FALSE, convert_list_one),</t>
  </si>
  <si>
    <t>_cvt2, IF( ISOMITTED(convert_list_two), FALSE, convert_list_two),</t>
  </si>
  <si>
    <t>_rep, IF( ISOMITTED(replace_blanks), "", replace_blanks),</t>
  </si>
  <si>
    <t>_blnk, IF( ISOMITTED(filter_blanks), FALSE, filter_blanks),</t>
  </si>
  <si>
    <t>_errs, IF( ISOMITTED(filter_errors), FALSE, filter_errors),</t>
  </si>
  <si>
    <t>_dst, IF( ISOMITTED(distinct_rows), FALSE, distinct_rows),</t>
  </si>
  <si>
    <t>_vrt, IF( ISOMITTED(vertical_output), TRUE, vertical_output),</t>
  </si>
  <si>
    <t>// Input checks for the optional parameters and required parameters, returning the _inpChk value as 1-to-3</t>
  </si>
  <si>
    <t>_chk, REDUCE(0,</t>
  </si>
  <si>
    <t>VSTACK(_cvt1, _byCol1, _cvt2, _byCol2, _blnk, _errs, _dst, _vrt),</t>
  </si>
  <si>
    <t>LAMBDA(_acc,_val, _acc + AND( NOT(ISLOGICAL(_val)), NOT(ISNUMBER(_val))))</t>
  </si>
  <si>
    <t>OR( NOT(ISREF(list_one)), NOT(ISREF(list_two))), 2,</t>
  </si>
  <si>
    <t>IF(_chk &gt; 0, 3,</t>
  </si>
  <si>
    <t>1)</t>
  </si>
  <si>
    <t>// Determine if the input array lists are to be considered vertically or horizontally oriented (assumes vertical if square in dimensions)</t>
  </si>
  <si>
    <t>//  -- assumes vertical orientation by default, e.g. if there are square dimensions</t>
  </si>
  <si>
    <t>_hz1, (COLUMNS(list_one) &gt; ROWS(list_one)),</t>
  </si>
  <si>
    <t>_hz2, (COLUMNS(list_two) &gt; ROWS(list_two)),</t>
  </si>
  <si>
    <t>// Replace blank values with the replacement string as appropriate</t>
  </si>
  <si>
    <t>_list1, IF( ISBLANK(list_one), _rep, list_one),</t>
  </si>
  <si>
    <t>_list2, IF( ISBLANK(list_two), _rep, list_two),</t>
  </si>
  <si>
    <t>// Re-orientate the input lists if not vertical, and convert to a single vertical 1D array if chosen by the user</t>
  </si>
  <si>
    <t>_tbl1, LET(</t>
  </si>
  <si>
    <t>_tT, IF(_hz1, TRANSPOSE(_list1), _list1),</t>
  </si>
  <si>
    <t>IF(_cvt1,</t>
  </si>
  <si>
    <t>TOCOL(_tT, 0, IF(_hz1, NOT(_byCol1), _byCol1)),</t>
  </si>
  <si>
    <t>_tT</t>
  </si>
  <si>
    <t>_tbl2, LET(</t>
  </si>
  <si>
    <t>_tT, IF(_hz2, TRANSPOSE(_list2), _list2),</t>
  </si>
  <si>
    <t>IF(_cvt2,</t>
  </si>
  <si>
    <t>TOCOL(_tT, 0, IF(_hz2, NOT(_byCol2), _byCol2)),</t>
  </si>
  <si>
    <t>// For the vertical and converted lists, create a filter inclusion list and filter as determined by the user inputs</t>
  </si>
  <si>
    <t>_inc1, BYROW(_tbl1, LAMBDA(_row, IF(_blnk, SUM(--(IFNA(_row, "#") &lt;&gt; "")), 1) * IF(_errs, NOT(ISERROR(SUM(_row))), 1))),</t>
  </si>
  <si>
    <t>_inc2, BYROW(_tbl2, LAMBDA(_row, IF(_blnk, SUM(--(IFNA(_row, "#") &lt;&gt; "")), 1) * IF(_errs, NOT(ISERROR(SUM(_row))), 1))),</t>
  </si>
  <si>
    <t>_fltr1, FILTER(_tbl1, _inc1),</t>
  </si>
  <si>
    <t>_fltr2, FILTER(_tbl2, _inc2),</t>
  </si>
  <si>
    <t>// Calculate the number of rows and columns for each of the filtered lists</t>
  </si>
  <si>
    <t>_rr1, ROWS(_fltr1),</t>
  </si>
  <si>
    <t>_rr2, ROWS(_fltr2),</t>
  </si>
  <si>
    <t>_cc1, COLUMNS(_fltr1),</t>
  </si>
  <si>
    <t>_cc2, COLUMNS(_fltr2),</t>
  </si>
  <si>
    <t>// Calculate the output array</t>
  </si>
  <si>
    <t>// Create the repeated lists and stack horizontally</t>
  </si>
  <si>
    <t>_cT, HSTACK(</t>
  </si>
  <si>
    <t>MAKEARRAY(_rr1 * _rr2, _cc1, LAMBDA(_row,_col, INDEX(_fltr1, ROUNDUP(_row / _rr2, 0), _col))),</t>
  </si>
  <si>
    <t>MAKEARRAY(_rr1 * _rr2, _cc2, LAMBDA(_row,_col, INDEX(_fltr2, MOD(_row - 1, _rr2) + 1, _col)))</t>
  </si>
  <si>
    <t>// Limit to unique rows only as required by user inputs</t>
  </si>
  <si>
    <t>_dT, IF(_dst,</t>
  </si>
  <si>
    <t>UNIQUE(_cT),</t>
  </si>
  <si>
    <t>_cT</t>
  </si>
  <si>
    <t>// Transpose the vertical output array to horiztonal (left-to-right) as required by user inputs</t>
  </si>
  <si>
    <t>_rT, IF(NOT(_vrt),</t>
  </si>
  <si>
    <t>TRANSPOSE(_dT),</t>
  </si>
  <si>
    <t>_dT</t>
  </si>
  <si>
    <t>), _rT</t>
  </si>
  <si>
    <t>// Check if an input check has flagged</t>
  </si>
  <si>
    <t>//  -- if so, output the appropriate error code</t>
  </si>
  <si>
    <t>//  -- if not output the calculated output array</t>
  </si>
  <si>
    <t>CHOOSE(_inpChk, _rtn, #REF!, #VALUE!)</t>
  </si>
  <si>
    <t>=LAMBDA(list_one,list_two,[convert_list_one],[list_one_by_column],[convert_list_two],[list_two_by_column],[replace_blanks],[filter_blanks],[filter_errors],[distinct_rows],[vertical_output],LET(_cvt1,IF(ISOMITTED(convert_list_one),FALSE,convert_list_one),_byCol1,IF(ISOMITTED(list_one_by_column),TRUE,list_one_by_column),_cvt2,IF(ISOMITTED(convert_list_two),FALSE,convert_list_two),_byCol2,IF(ISOMITTED(list_two_by_column),TRUE,list_two_by_column),_rep,IF(ISOMITTED(replace_blanks),"",replace_blanks),_blnk,IF(ISOMITTED(filter_blanks),FALSE,filter_blanks),_errs,IF(ISOMITTED(filter_errors),FALSE,filter_errors),_dst,IF(ISOMITTED(distinct_rows),FALSE,distinct_rows),_vrt,IF(ISOMITTED(vertical_output),TRUE,vertical_output),_chk,REDUCE(0,VSTACK(_cvt1,_byCol1,_cvt2,_byCol2,_blnk,_errs,_dst,_vrt),LAMBDA(_acc,_val,_acc+AND(NOT(ISLOGICAL(_val)),NOT(ISNUMBER(_val))))),_inpChk,IF(OR(NOT(ISREF(list_one)),NOT(ISREF(list_two))),2,IF(_chk&gt;0,3,1)),_hz1,(COLUMNS(list_one)&gt;ROWS(list_one)),_hz2,(COLUMNS(list_two)&gt;ROWS(list_two)),_list1,IF(ISBLANK(list_one),_rep,list_one),_list2,IF(ISBLANK(list_two),_rep,list_two),_tbl1,LET(_tT,IF(_hz1,TRANSPOSE(_list1),_list1),IF(_cvt1,TOCOL(_tT,0,IF(_hz1,NOT(_byCol1),_byCol1)),_tT)),_tbl2,LET(_tT,IF(_hz2,TRANSPOSE(_list2),_list2),IF(_cvt2,TOCOL(_tT,0,IF(_hz2,NOT(_byCol2),_byCol2)),_tT)),_inc1,BYROW(_tbl1,LAMBDA(_row,IF(_blnk,SUM(--(IFNA(_row,"#")&lt;&gt;"")),1)*IF(_errs,NOT(ISERROR(SUM(_row))),1))),_inc2,BYROW(_tbl2,LAMBDA(_row,IF(_blnk,SUM(--(IFNA(_row,"#")&lt;&gt;"")),1)*IF(_errs,NOT(ISERROR(SUM(_row))),1))),_fltr1,FILTER(_tbl1,_inc1),_fltr2,FILTER(_tbl2,_inc2),_rr1,ROWS(_fltr1),_rr2,ROWS(_fltr2),_cc1,COLUMNS(_fltr1),_cc2,COLUMNS(_fltr2),_rtn,LET(_cT,HSTACK(MAKEARRAY(_rr1*_rr2,_cc1,LAMBDA(_row,_col,INDEX(_fltr1,ROUNDUP(_row/_rr2,0),_col))),MAKEARRAY(_rr1*_rr2,_cc2,LAMBDA(_row,_col,INDEX(_fltr2,MOD(_row-1,_rr2)+1,_col)))),_dT,IF(_dst,UNIQUE(_cT),_cT),_rT,IF(NOT(_vrt),TRANSPOSE(_dT),_dT),_rT),CHOOSE(_inpChk,_rtn,#REF!,#VALUE!)))</t>
  </si>
  <si>
    <t>CrossJoin()</t>
  </si>
  <si>
    <t>RXL_CrossJoin</t>
  </si>
  <si>
    <t>Createa a cross join (Cartesian join) between two lists; each row of 2nd list is joined to each row of 1st list</t>
  </si>
  <si>
    <t>The provided input lists can be 1D or 2D arrays, and can be vertically or horizontally oriented</t>
  </si>
  <si>
    <t>Where a 2D input array is provided the function can optionally convert this to 1D array/list prior to joining the input lists</t>
  </si>
  <si>
    <t>Demonstrating using simple 1D input arrays</t>
  </si>
  <si>
    <t>Inputs</t>
  </si>
  <si>
    <t>Simple 1D lists without blanks</t>
  </si>
  <si>
    <t>Simple 1D lists with blanks</t>
  </si>
  <si>
    <t>Simple 1D lists with blanks + errors</t>
  </si>
  <si>
    <t xml:space="preserve">-- replacing blanks with 0 (zero) </t>
  </si>
  <si>
    <t>-- replacing blanks with text</t>
  </si>
  <si>
    <t>-- replacing blanks with #N/A</t>
  </si>
  <si>
    <t>Demonstrating using 2D input arrays with differing orientations</t>
  </si>
  <si>
    <t>Xray</t>
  </si>
  <si>
    <t>Yankee</t>
  </si>
  <si>
    <t>Zulu</t>
  </si>
  <si>
    <t>Foxtrot</t>
  </si>
  <si>
    <t>Golf</t>
  </si>
  <si>
    <t>Vertical 2D lists (default behaviour)</t>
  </si>
  <si>
    <t>Vertical &amp; Horizontal 2D lists (default beahviour)</t>
  </si>
  <si>
    <t>Vertical &amp; Horizontal 2D lists</t>
  </si>
  <si>
    <t>-- converting 1st list to 1D, reading by column (default)</t>
  </si>
  <si>
    <t>-- converting 1st list to 1D, reading by row</t>
  </si>
  <si>
    <t>-- converting 2nd list to 1D, reading by column (default)</t>
  </si>
  <si>
    <t>-- converting 2nd list to 1D, reading by row</t>
  </si>
  <si>
    <t>Demonstrating filtering blanks (with 2D input lists)</t>
  </si>
  <si>
    <t>2D lists with filtering blanks</t>
  </si>
  <si>
    <t>2D lists with filtering blanks; 1st list converted to 1D</t>
  </si>
  <si>
    <r>
      <t xml:space="preserve">-- </t>
    </r>
    <r>
      <rPr>
        <b/>
        <i/>
        <sz val="10"/>
        <color rgb="FFFF8225"/>
        <rFont val="Calibri"/>
        <family val="2"/>
        <scheme val="minor"/>
      </rPr>
      <t>Note:</t>
    </r>
    <r>
      <rPr>
        <i/>
        <sz val="10"/>
        <color rgb="FFFF8225"/>
        <rFont val="Calibri"/>
        <family val="2"/>
        <scheme val="minor"/>
      </rPr>
      <t xml:space="preserve"> only input list rows where all cells are blank are filtered out before the join</t>
    </r>
  </si>
  <si>
    <r>
      <t xml:space="preserve">-- </t>
    </r>
    <r>
      <rPr>
        <b/>
        <i/>
        <sz val="10"/>
        <color rgb="FFFF8225"/>
        <rFont val="Calibri"/>
        <family val="2"/>
        <scheme val="minor"/>
      </rPr>
      <t>Note:</t>
    </r>
    <r>
      <rPr>
        <i/>
        <sz val="10"/>
        <color rgb="FFFF8225"/>
        <rFont val="Calibri"/>
        <family val="2"/>
        <scheme val="minor"/>
      </rPr>
      <t xml:space="preserve"> when converting to 1D array, any rows which are blank are filtered out before the join</t>
    </r>
  </si>
  <si>
    <t>Demonstrating outputting distinct rows and changing output orientation</t>
  </si>
  <si>
    <t>Both lists converted to 1D</t>
  </si>
  <si>
    <t>-- all rows output</t>
  </si>
  <si>
    <t>-- only distinct rows output</t>
  </si>
  <si>
    <t xml:space="preserve">Both lists converted to 1D </t>
  </si>
  <si>
    <t>-- horizontal output selected</t>
  </si>
  <si>
    <t>Data Analysis Tools Module</t>
  </si>
  <si>
    <t>FindItem Function</t>
  </si>
  <si>
    <t>Lambda function used to find any matching values within an array and return the position(s) -- working for 1D and 2D arrays</t>
  </si>
  <si>
    <t>Intended to be flexible enough to return the relative position, absolute position, or cell address</t>
  </si>
  <si>
    <t xml:space="preserve">Look to extend to allow for:  </t>
  </si>
  <si>
    <t>wildcard character searches for string matching</t>
  </si>
  <si>
    <t>logical searching beyond simply equals-to ( = )</t>
  </si>
  <si>
    <t>(e.g. &lt;&gt; / &gt;= / &lt;= / &gt; / &lt; )</t>
  </si>
  <si>
    <t>Data Tables:</t>
  </si>
  <si>
    <t>III</t>
  </si>
  <si>
    <t>JJJ</t>
  </si>
  <si>
    <t>KKK</t>
  </si>
  <si>
    <t>LLL</t>
  </si>
  <si>
    <t>Five</t>
  </si>
  <si>
    <t>Six</t>
  </si>
  <si>
    <t>ZZZZ</t>
  </si>
  <si>
    <t>YYYY</t>
  </si>
  <si>
    <t>XXXX</t>
  </si>
  <si>
    <t>WWWW</t>
  </si>
  <si>
    <t>VVVV</t>
  </si>
  <si>
    <t>FFFF</t>
  </si>
  <si>
    <t>GGGG</t>
  </si>
  <si>
    <t>HHHH</t>
  </si>
  <si>
    <t>IIII</t>
  </si>
  <si>
    <t>JJJJ</t>
  </si>
  <si>
    <t>KKKK</t>
  </si>
  <si>
    <t>LLLL</t>
  </si>
  <si>
    <t>(A.)</t>
  </si>
  <si>
    <t>Using a simple IF() function to find matching values, changing non-matching values to #N/A</t>
  </si>
  <si>
    <t>Using TOCOL() function to convert the matched array to a single 1D output array and filtering out #N/A values</t>
  </si>
  <si>
    <t xml:space="preserve">Find value:  </t>
  </si>
  <si>
    <t xml:space="preserve">Result:  </t>
  </si>
  <si>
    <t>(B.)</t>
  </si>
  <si>
    <t>Extending version A. to deal with no matches being found --&gt; returning #N/A</t>
  </si>
  <si>
    <t>(C.)</t>
  </si>
  <si>
    <t>Extending version A. to deal with no matches being found --&gt; returning custom string</t>
  </si>
  <si>
    <t xml:space="preserve">Not found text:  </t>
  </si>
  <si>
    <t>(not found)</t>
  </si>
  <si>
    <t>(D.)</t>
  </si>
  <si>
    <t>Extending to output a count matching values or output array of matches</t>
  </si>
  <si>
    <t xml:space="preserve">Option:  </t>
  </si>
  <si>
    <t>Returning matched item position:</t>
  </si>
  <si>
    <t>(E.)</t>
  </si>
  <si>
    <t>Updating version C. to return the absolute position of matched items within the source worksheet  --&gt;  [row],[col]</t>
  </si>
  <si>
    <t>(F.)</t>
  </si>
  <si>
    <t>Updating version C. to return the relative position of matched items within the source array  --&gt;  [row],[col]</t>
  </si>
  <si>
    <t>(G.)</t>
  </si>
  <si>
    <t>Updating version C. to return the cell address of the matched item(s)  --&gt;  A1 format</t>
  </si>
  <si>
    <t>(H.)</t>
  </si>
  <si>
    <t>Extending version G. to return the cell address of the matched item(s) with varying output styles</t>
  </si>
  <si>
    <t xml:space="preserve">A1 style ref:  </t>
  </si>
  <si>
    <t xml:space="preserve">Absolute ref:  </t>
  </si>
  <si>
    <t>Adding options for Match type and Output type</t>
  </si>
  <si>
    <t>(I.)</t>
  </si>
  <si>
    <t>Testing output options</t>
  </si>
  <si>
    <t xml:space="preserve">Output option:  </t>
  </si>
  <si>
    <t>Output option</t>
  </si>
  <si>
    <t>matched values</t>
  </si>
  <si>
    <t>relative position</t>
  </si>
  <si>
    <t>absolute position</t>
  </si>
  <si>
    <t>relative cell address</t>
  </si>
  <si>
    <t>absolute cell address</t>
  </si>
  <si>
    <t>count of matches</t>
  </si>
  <si>
    <t>(J.)</t>
  </si>
  <si>
    <t>Testing numeric and text matching options</t>
  </si>
  <si>
    <t xml:space="preserve">Match type:  </t>
  </si>
  <si>
    <t>=</t>
  </si>
  <si>
    <t>Match type</t>
  </si>
  <si>
    <t>equal to</t>
  </si>
  <si>
    <t>&lt;&gt;</t>
  </si>
  <si>
    <t>not equal to</t>
  </si>
  <si>
    <t>&gt;</t>
  </si>
  <si>
    <t>greater than</t>
  </si>
  <si>
    <t>&lt;</t>
  </si>
  <si>
    <t>less than</t>
  </si>
  <si>
    <t>&gt;=</t>
  </si>
  <si>
    <t>greater than or equal to</t>
  </si>
  <si>
    <t>&lt;=</t>
  </si>
  <si>
    <t>less than or equal to</t>
  </si>
  <si>
    <t>regex</t>
  </si>
  <si>
    <t>match with RegEx</t>
  </si>
  <si>
    <t>(K.)</t>
  </si>
  <si>
    <t>Combining versions I. and J. for matching option and output option</t>
  </si>
  <si>
    <t>Converting to LAMBDA &amp; adding Input Checks</t>
  </si>
  <si>
    <t>(L.)</t>
  </si>
  <si>
    <t>Converting version K. to LAMBDA() formula</t>
  </si>
  <si>
    <t>(M.)</t>
  </si>
  <si>
    <t>Testing Input checks</t>
  </si>
  <si>
    <t>(N.)</t>
  </si>
  <si>
    <t>Combining version L. Lambda function with version M. input checks</t>
  </si>
  <si>
    <t>Additional functionality</t>
  </si>
  <si>
    <t>(O.)</t>
  </si>
  <si>
    <t>Adding option to include header row in output array</t>
  </si>
  <si>
    <t xml:space="preserve">Add header row:  </t>
  </si>
  <si>
    <t>(P.)</t>
  </si>
  <si>
    <t>Adding option to split the output array into 2 columns for the postion-based output options</t>
  </si>
  <si>
    <t>(none)</t>
  </si>
  <si>
    <t xml:space="preserve">Split output array:  </t>
  </si>
  <si>
    <t>(Q.)</t>
  </si>
  <si>
    <t>Adding a non-case sensitive part-string match mode using the FIND() function</t>
  </si>
  <si>
    <t>find</t>
  </si>
  <si>
    <t>Decription:</t>
  </si>
  <si>
    <t>Lambda function which allows for finding matching values within a source array.</t>
  </si>
  <si>
    <t>For each match that is found, the function can either return the relative position of the match within the source array or worksheet, or the cell address.</t>
  </si>
  <si>
    <t>The match logic can be chosen beyond simply equal-to matching logic, including using a partial text match and regular expression (RegEx) test.</t>
  </si>
  <si>
    <t>The partial text match is non-case sensitive -- for a case sensitive partial text match, use the RegEx test matching logic with a sub-string to find rather than a regular expression string</t>
  </si>
  <si>
    <t>range</t>
  </si>
  <si>
    <r>
      <rPr>
        <b/>
        <sz val="10"/>
        <color rgb="FF9F5CC0"/>
        <rFont val="Calibri"/>
        <family val="2"/>
        <scheme val="minor"/>
      </rPr>
      <t>[required]</t>
    </r>
    <r>
      <rPr>
        <sz val="10"/>
        <color rgb="FF002138"/>
        <rFont val="Calibri"/>
        <family val="2"/>
        <scheme val="minor"/>
      </rPr>
      <t xml:space="preserve">  Range of cells containing the source array to look within -- can be a 1D or 2D array in any ortientation</t>
    </r>
  </si>
  <si>
    <t>find_item</t>
  </si>
  <si>
    <r>
      <rPr>
        <b/>
        <sz val="10"/>
        <color rgb="FF9F5CC0"/>
        <rFont val="Calibri"/>
        <family val="2"/>
        <scheme val="minor"/>
      </rPr>
      <t>[required]</t>
    </r>
    <r>
      <rPr>
        <sz val="10"/>
        <color rgb="FF002138"/>
        <rFont val="Calibri"/>
        <family val="2"/>
        <scheme val="minor"/>
      </rPr>
      <t xml:space="preserve">  The value to look for within the source range</t>
    </r>
  </si>
  <si>
    <t>This can be a number, a text string, or a cell reference, but should be a single value rather than an array</t>
  </si>
  <si>
    <r>
      <t xml:space="preserve">If the RegEx </t>
    </r>
    <r>
      <rPr>
        <sz val="10"/>
        <color theme="1" tint="0.249977111117893"/>
        <rFont val="Consolas"/>
        <family val="3"/>
      </rPr>
      <t>match_type</t>
    </r>
    <r>
      <rPr>
        <sz val="10"/>
        <color rgb="FF002138"/>
        <rFont val="Calibri"/>
        <family val="2"/>
        <scheme val="minor"/>
      </rPr>
      <t xml:space="preserve"> option is selected, the </t>
    </r>
    <r>
      <rPr>
        <sz val="10"/>
        <color theme="1" tint="0.249977111117893"/>
        <rFont val="Consolas"/>
        <family val="3"/>
      </rPr>
      <t>find_item</t>
    </r>
    <r>
      <rPr>
        <sz val="10"/>
        <color rgb="FF002138"/>
        <rFont val="Calibri"/>
        <family val="2"/>
        <scheme val="minor"/>
      </rPr>
      <t xml:space="preserve"> value is used as the regular expression string</t>
    </r>
  </si>
  <si>
    <t>match_type</t>
  </si>
  <si>
    <r>
      <rPr>
        <b/>
        <sz val="10"/>
        <color rgb="FFFC6017"/>
        <rFont val="Calibri"/>
        <family val="2"/>
        <scheme val="minor"/>
      </rPr>
      <t>[optional]</t>
    </r>
    <r>
      <rPr>
        <sz val="10"/>
        <color rgb="FF002138"/>
        <rFont val="Calibri"/>
        <family val="2"/>
        <scheme val="minor"/>
      </rPr>
      <t xml:space="preserve">   A single value (can be a number or text string) to determine the match type to use to find values</t>
    </r>
  </si>
  <si>
    <t>Valid inputs are a number between 0 and 6, or a valid string from the list below</t>
  </si>
  <si>
    <r>
      <t xml:space="preserve">If not supplied, will </t>
    </r>
    <r>
      <rPr>
        <sz val="10"/>
        <color rgb="FF0000FF"/>
        <rFont val="Calibri"/>
        <family val="2"/>
        <scheme val="minor"/>
      </rPr>
      <t>default</t>
    </r>
    <r>
      <rPr>
        <sz val="10"/>
        <color rgb="FF002138"/>
        <rFont val="Calibri"/>
        <family val="2"/>
        <scheme val="minor"/>
      </rPr>
      <t xml:space="preserve"> to </t>
    </r>
    <r>
      <rPr>
        <sz val="10"/>
        <color rgb="FF0000FF"/>
        <rFont val="Consolas"/>
        <family val="3"/>
      </rPr>
      <t>0</t>
    </r>
    <r>
      <rPr>
        <sz val="10"/>
        <color rgb="FF002138"/>
        <rFont val="Calibri"/>
        <family val="2"/>
        <scheme val="minor"/>
      </rPr>
      <t xml:space="preserve"> (equal-to matching logic)</t>
    </r>
  </si>
  <si>
    <t>"="</t>
  </si>
  <si>
    <r>
      <t>= (</t>
    </r>
    <r>
      <rPr>
        <sz val="10"/>
        <color rgb="FF0000FF"/>
        <rFont val="Calibri"/>
        <family val="2"/>
        <scheme val="minor"/>
      </rPr>
      <t>default</t>
    </r>
    <r>
      <rPr>
        <sz val="10"/>
        <color rgb="FF002138"/>
        <rFont val="Calibri"/>
        <family val="2"/>
        <scheme val="minor"/>
      </rPr>
      <t>)  uses equal-to matching logic</t>
    </r>
  </si>
  <si>
    <t>"&lt;&gt;"</t>
  </si>
  <si>
    <t>= uses not-equal-to matching logic</t>
  </si>
  <si>
    <t>"&gt;"</t>
  </si>
  <si>
    <t>= uses greater-than matching logic</t>
  </si>
  <si>
    <t>"&lt;"</t>
  </si>
  <si>
    <t>= uses less-than matching logic</t>
  </si>
  <si>
    <t>"&gt;="</t>
  </si>
  <si>
    <t>= uses greater-than-or-equal-to matching logic</t>
  </si>
  <si>
    <t>"&lt;="</t>
  </si>
  <si>
    <t>= uses less-than-or-equal-to matching logic</t>
  </si>
  <si>
    <t>"find"</t>
  </si>
  <si>
    <t>= attempts to find a sub-string / part-string within the source values; uses a non-case sensitive search / matching logic</t>
  </si>
  <si>
    <t>"regex"</t>
  </si>
  <si>
    <t>= uses a regular expression (RegEx) to test the source values and match if True</t>
  </si>
  <si>
    <t>output_type</t>
  </si>
  <si>
    <r>
      <rPr>
        <b/>
        <sz val="10"/>
        <color rgb="FFFC6017"/>
        <rFont val="Calibri"/>
        <family val="2"/>
        <scheme val="minor"/>
      </rPr>
      <t>[optional]</t>
    </r>
    <r>
      <rPr>
        <sz val="10"/>
        <color rgb="FF002138"/>
        <rFont val="Calibri"/>
        <family val="2"/>
        <scheme val="minor"/>
      </rPr>
      <t xml:space="preserve">   Single number between 0 and 5 to determine the function output type/format; if no value is provided, will </t>
    </r>
    <r>
      <rPr>
        <sz val="10"/>
        <color rgb="FF0000FF"/>
        <rFont val="Calibri"/>
        <family val="2"/>
        <scheme val="minor"/>
      </rPr>
      <t>default</t>
    </r>
    <r>
      <rPr>
        <sz val="10"/>
        <color rgb="FF002138"/>
        <rFont val="Calibri"/>
        <family val="2"/>
        <scheme val="minor"/>
      </rPr>
      <t xml:space="preserve"> to </t>
    </r>
    <r>
      <rPr>
        <sz val="10"/>
        <color rgb="FF0000FF"/>
        <rFont val="Consolas"/>
        <family val="3"/>
      </rPr>
      <t>0</t>
    </r>
  </si>
  <si>
    <r>
      <t>= (</t>
    </r>
    <r>
      <rPr>
        <sz val="10"/>
        <color rgb="FF0000FF"/>
        <rFont val="Calibri"/>
        <family val="2"/>
        <scheme val="minor"/>
      </rPr>
      <t>default</t>
    </r>
    <r>
      <rPr>
        <sz val="10"/>
        <color rgb="FF002138"/>
        <rFont val="Calibri"/>
        <family val="2"/>
        <scheme val="minor"/>
      </rPr>
      <t>) list of the matched values</t>
    </r>
  </si>
  <si>
    <r>
      <t xml:space="preserve">= the relative positon of each match within the source array in the format:  </t>
    </r>
    <r>
      <rPr>
        <sz val="10"/>
        <color theme="1" tint="0.249977111117893"/>
        <rFont val="Consolas"/>
        <family val="3"/>
      </rPr>
      <t>[row],[col]</t>
    </r>
  </si>
  <si>
    <r>
      <t xml:space="preserve">= the absolute positon of each match within the source worksheet in the format:  </t>
    </r>
    <r>
      <rPr>
        <sz val="10"/>
        <color theme="1" tint="0.249977111117893"/>
        <rFont val="Consolas"/>
        <family val="3"/>
      </rPr>
      <t>[row],[col]</t>
    </r>
  </si>
  <si>
    <r>
      <t xml:space="preserve">= the cell address of each match using the cell reference format:  </t>
    </r>
    <r>
      <rPr>
        <sz val="10"/>
        <color theme="1" tint="0.249977111117893"/>
        <rFont val="Consolas"/>
        <family val="3"/>
      </rPr>
      <t>A1</t>
    </r>
  </si>
  <si>
    <r>
      <t xml:space="preserve">= the absolute cell address of each match using the cell reference format:  </t>
    </r>
    <r>
      <rPr>
        <sz val="10"/>
        <color theme="1" tint="0.249977111117893"/>
        <rFont val="Consolas"/>
        <family val="3"/>
      </rPr>
      <t>$A$1</t>
    </r>
  </si>
  <si>
    <t>= the count of the number of found matches</t>
  </si>
  <si>
    <t>if_not_found</t>
  </si>
  <si>
    <r>
      <rPr>
        <b/>
        <sz val="10"/>
        <color rgb="FFFC6017"/>
        <rFont val="Calibri"/>
        <family val="2"/>
        <scheme val="minor"/>
      </rPr>
      <t>[optional]</t>
    </r>
    <r>
      <rPr>
        <sz val="10"/>
        <color rgb="FF002138"/>
        <rFont val="Calibri"/>
        <family val="2"/>
        <scheme val="minor"/>
      </rPr>
      <t xml:space="preserve">   A single value (can be a number or text string) which is returned by the function if no matches are found</t>
    </r>
  </si>
  <si>
    <r>
      <t xml:space="preserve">If not supplied, the function will </t>
    </r>
    <r>
      <rPr>
        <sz val="10"/>
        <color rgb="FF0000FF"/>
        <rFont val="Calibri"/>
        <family val="2"/>
        <scheme val="minor"/>
      </rPr>
      <t>default</t>
    </r>
    <r>
      <rPr>
        <sz val="10"/>
        <color rgb="FF002138"/>
        <rFont val="Calibri"/>
        <family val="2"/>
        <scheme val="minor"/>
      </rPr>
      <t xml:space="preserve"> to returning a </t>
    </r>
    <r>
      <rPr>
        <sz val="10"/>
        <color rgb="FFC00000"/>
        <rFont val="Consolas"/>
        <family val="3"/>
      </rPr>
      <t>#N/A</t>
    </r>
    <r>
      <rPr>
        <sz val="10"/>
        <color rgb="FF002138"/>
        <rFont val="Calibri"/>
        <family val="2"/>
        <scheme val="minor"/>
      </rPr>
      <t xml:space="preserve"> value</t>
    </r>
  </si>
  <si>
    <t>add_header</t>
  </si>
  <si>
    <r>
      <rPr>
        <b/>
        <sz val="10"/>
        <color rgb="FFFC6017"/>
        <rFont val="Calibri"/>
        <family val="2"/>
        <scheme val="minor"/>
      </rPr>
      <t>[optional]</t>
    </r>
    <r>
      <rPr>
        <sz val="10"/>
        <color rgb="FF002138"/>
        <rFont val="Calibri"/>
        <family val="2"/>
        <scheme val="minor"/>
      </rPr>
      <t xml:space="preserve">   A True/False value to determine whether or not to add a header row to the function output array</t>
    </r>
  </si>
  <si>
    <r>
      <t xml:space="preserve">The input can be either </t>
    </r>
    <r>
      <rPr>
        <sz val="10"/>
        <color rgb="FF0000FF"/>
        <rFont val="Consolas"/>
        <family val="3"/>
      </rPr>
      <t>TRUE</t>
    </r>
    <r>
      <rPr>
        <sz val="10"/>
        <color rgb="FF002138"/>
        <rFont val="Calibri"/>
        <family val="2"/>
        <scheme val="minor"/>
      </rPr>
      <t>/</t>
    </r>
    <r>
      <rPr>
        <sz val="10"/>
        <color rgb="FF0000FF"/>
        <rFont val="Consolas"/>
        <family val="3"/>
      </rPr>
      <t>FALSE</t>
    </r>
    <r>
      <rPr>
        <sz val="10"/>
        <color rgb="FF002138"/>
        <rFont val="Calibri"/>
        <family val="2"/>
        <scheme val="minor"/>
      </rPr>
      <t xml:space="preserve"> or </t>
    </r>
    <r>
      <rPr>
        <sz val="10"/>
        <color rgb="FF0000FF"/>
        <rFont val="Consolas"/>
        <family val="3"/>
      </rPr>
      <t>1</t>
    </r>
    <r>
      <rPr>
        <sz val="10"/>
        <color rgb="FF002138"/>
        <rFont val="Calibri"/>
        <family val="2"/>
        <scheme val="minor"/>
      </rPr>
      <t>/</t>
    </r>
    <r>
      <rPr>
        <sz val="10"/>
        <color rgb="FF0000FF"/>
        <rFont val="Consolas"/>
        <family val="3"/>
      </rPr>
      <t>0</t>
    </r>
    <r>
      <rPr>
        <sz val="10"/>
        <color rgb="FF002138"/>
        <rFont val="Calibri"/>
        <family val="2"/>
        <scheme val="minor"/>
      </rPr>
      <t xml:space="preserve"> </t>
    </r>
  </si>
  <si>
    <r>
      <t xml:space="preserve">If not supplied, will </t>
    </r>
    <r>
      <rPr>
        <sz val="10"/>
        <color rgb="FF0000FF"/>
        <rFont val="Calibri"/>
        <family val="2"/>
        <scheme val="minor"/>
      </rPr>
      <t>default</t>
    </r>
    <r>
      <rPr>
        <sz val="10"/>
        <color rgb="FF002138"/>
        <rFont val="Calibri"/>
        <family val="2"/>
        <scheme val="minor"/>
      </rPr>
      <t xml:space="preserve"> to </t>
    </r>
    <r>
      <rPr>
        <sz val="10"/>
        <color rgb="FF0000FF"/>
        <rFont val="Consolas"/>
        <family val="3"/>
      </rPr>
      <t>FALSE</t>
    </r>
    <r>
      <rPr>
        <sz val="10"/>
        <color rgb="FF002138"/>
        <rFont val="Calibri"/>
        <family val="2"/>
        <scheme val="minor"/>
      </rPr>
      <t xml:space="preserve"> (</t>
    </r>
    <r>
      <rPr>
        <sz val="10"/>
        <color rgb="FF0000FF"/>
        <rFont val="Consolas"/>
        <family val="3"/>
      </rPr>
      <t>0</t>
    </r>
    <r>
      <rPr>
        <sz val="10"/>
        <color rgb="FF002138"/>
        <rFont val="Calibri"/>
        <family val="2"/>
        <scheme val="minor"/>
      </rPr>
      <t>)</t>
    </r>
  </si>
  <si>
    <t>split_output</t>
  </si>
  <si>
    <r>
      <rPr>
        <b/>
        <sz val="10"/>
        <color rgb="FFFC6017"/>
        <rFont val="Calibri"/>
        <family val="2"/>
        <scheme val="minor"/>
      </rPr>
      <t>[optional]</t>
    </r>
    <r>
      <rPr>
        <sz val="10"/>
        <color rgb="FF002138"/>
        <rFont val="Calibri"/>
        <family val="2"/>
        <scheme val="minor"/>
      </rPr>
      <t xml:space="preserve">   A True/False value to determine whether or not split the output array into two columns as appropriate</t>
    </r>
  </si>
  <si>
    <r>
      <t xml:space="preserve">If the </t>
    </r>
    <r>
      <rPr>
        <sz val="10"/>
        <color theme="1" tint="0.249977111117893"/>
        <rFont val="Consolas"/>
        <family val="3"/>
      </rPr>
      <t>output_type</t>
    </r>
    <r>
      <rPr>
        <sz val="10"/>
        <color rgb="FF002138"/>
        <rFont val="Calibri"/>
        <family val="2"/>
        <scheme val="minor"/>
      </rPr>
      <t xml:space="preserve"> selected is relative or abolsute position, then this option can split the position of each match into a 2 column array for row and column values</t>
    </r>
  </si>
  <si>
    <t>Error checks:</t>
  </si>
  <si>
    <t>#REF!</t>
  </si>
  <si>
    <r>
      <t xml:space="preserve">Invalid cell reference provided for the </t>
    </r>
    <r>
      <rPr>
        <sz val="10"/>
        <color theme="1" tint="0.249977111117893"/>
        <rFont val="Consolas"/>
        <family val="3"/>
      </rPr>
      <t>range</t>
    </r>
    <r>
      <rPr>
        <sz val="10"/>
        <color rgb="FF002138"/>
        <rFont val="Calibri"/>
        <family val="2"/>
        <scheme val="minor"/>
      </rPr>
      <t xml:space="preserve"> input, or a broken cell reference within any of the inputs</t>
    </r>
  </si>
  <si>
    <t>#VALUE!</t>
  </si>
  <si>
    <r>
      <rPr>
        <sz val="10"/>
        <color theme="1" tint="0.249977111117893"/>
        <rFont val="Consolas"/>
        <family val="3"/>
      </rPr>
      <t>match_type</t>
    </r>
    <r>
      <rPr>
        <sz val="10"/>
        <color rgb="FF002138"/>
        <rFont val="Calibri"/>
        <family val="2"/>
        <scheme val="minor"/>
      </rPr>
      <t xml:space="preserve"> parameter is invalid -- not a number between 0 and 6 or one of the expected/allowed input strings</t>
    </r>
  </si>
  <si>
    <r>
      <rPr>
        <sz val="10"/>
        <color theme="1" tint="0.249977111117893"/>
        <rFont val="Consolas"/>
        <family val="3"/>
      </rPr>
      <t>output_type</t>
    </r>
    <r>
      <rPr>
        <sz val="10"/>
        <color rgb="FF002138"/>
        <rFont val="Calibri"/>
        <family val="2"/>
        <scheme val="minor"/>
      </rPr>
      <t xml:space="preserve"> parameter is invalid -- not a number between 0 and 5</t>
    </r>
  </si>
  <si>
    <t>// Parameter declarations</t>
  </si>
  <si>
    <t>range,</t>
  </si>
  <si>
    <t>find_item,</t>
  </si>
  <si>
    <t>[match_type],</t>
  </si>
  <si>
    <t>[output_type],</t>
  </si>
  <si>
    <t>[if_not_found],</t>
  </si>
  <si>
    <t>[add_header],</t>
  </si>
  <si>
    <t>[split_output],</t>
  </si>
  <si>
    <t>// Main procedure</t>
  </si>
  <si>
    <t>_rng, range,</t>
  </si>
  <si>
    <t>_itm, find_item,</t>
  </si>
  <si>
    <t>// Deal with the optional input parameters and set default values for any omitted parameters</t>
  </si>
  <si>
    <t>_mInp, IF( OR( ISOMITTED(match_type), ISBLANK(match_type)), 0, INT(match_type)),</t>
  </si>
  <si>
    <t>_typ, IF( ISNUMBER(_mInp), _mInp + 1, IFNA( MATCH( LOWER(match_type), {"=","&lt;&gt;","&gt;","&lt;","&gt;=","&lt;=","find","regex"}, 0), -1)),</t>
  </si>
  <si>
    <t>_optn, IF( OR( ISOMITTED(output_type), ISBLANK(output_type)), 0, INT(output_type)),</t>
  </si>
  <si>
    <t>_rep, IF( OR( ISOMITTED(if_not_found), ISBLANK(if_not_found)), NA(), if_not_found),</t>
  </si>
  <si>
    <t>_add, IF( OR( ISOMITTED(add_header), ISBLANK(add_header)), FALSE, add_header),</t>
  </si>
  <si>
    <t>_splt, IF( OR( ISOMITTED(split_output), ISBLANK(split_output)), FALSE, split_output),</t>
  </si>
  <si>
    <t>// Check inputs</t>
  </si>
  <si>
    <t>//  --&gt; invalid cell reference in the range parameter will give a #REF! error</t>
  </si>
  <si>
    <t>//  --&gt; invalid inputs provided for the match_type or output_type parameters will give a #VALUE! Error</t>
  </si>
  <si>
    <t>NOT(ISREF(range)), 2,</t>
  </si>
  <si>
    <t>OR(</t>
  </si>
  <si>
    <t>_typ &lt; 1, _typ &gt; 8,</t>
  </si>
  <si>
    <t>NOT(ISNUMBER(_optn)), _optn &lt; 0, _optn &gt; 5</t>
  </si>
  <si>
    <t>3, 1)</t>
  </si>
  <si>
    <t>// Creates an array of the chosen output type/format to the same dimensions as the source array</t>
  </si>
  <si>
    <t>//  --&gt; the CHOOSE() function determines which output type to use</t>
  </si>
  <si>
    <t>_tbl, CHOOSE(_optn + 1,</t>
  </si>
  <si>
    <t>_rng,</t>
  </si>
  <si>
    <t>(ROW(_rng) - ROW( TAKE(_rng, 1)) + 1) &amp; "," &amp; (COLUMN(_rng) - COLUMN( TAKE(_rng, , 1)) + 1),</t>
  </si>
  <si>
    <t>ROW(_rng) &amp; "," &amp; COLUMN(_rng),</t>
  </si>
  <si>
    <t>ADDRESS( ROW(_rng), COLUMN(_rng), 4, 1),</t>
  </si>
  <si>
    <t>ADDRESS( ROW(_rng), COLUMN(_rng), 1, 1),</t>
  </si>
  <si>
    <t>_rng</t>
  </si>
  <si>
    <t>//  --&gt; the CHOOSE() function determines which match type to use</t>
  </si>
  <si>
    <t>//  --&gt; the IF() functions go through the source array and preserves any matches (from the created outputs array, _tbl) and sets non-matches to #N/A</t>
  </si>
  <si>
    <t>//  --&gt; the TOCOL() function converts the updated array to a single vertical 1D array and filters out #N/A values to leave only any matches</t>
  </si>
  <si>
    <t>IF(_rng = _itm, _tbl, NA()),</t>
  </si>
  <si>
    <t>IF(_rng &lt;&gt; _itm, _tbl, NA()),</t>
  </si>
  <si>
    <t>IF(_rng &gt; _itm, _tbl, NA()),</t>
  </si>
  <si>
    <t>IF(_rng &lt; _itm, _tbl, NA()),</t>
  </si>
  <si>
    <t>IF(_rng &gt;= _itm, _tbl, NA()),</t>
  </si>
  <si>
    <t>IF(_rng &lt;= _itm, _tbl, NA()),</t>
  </si>
  <si>
    <t>IF( ISNUMBER( FIND( LOWER(_itm), LOWER(_rng))), _tbl, NA()),</t>
  </si>
  <si>
    <t>2),</t>
  </si>
  <si>
    <t>// Determine whether the return result should be the filtered/matched output array or the count of the filtered/matched output array</t>
  </si>
  <si>
    <t>// Check if the calculated result returns an error suggesting not match -- if so return the correct "not found" value</t>
  </si>
  <si>
    <t>_arr, IF( ISERROR(_calc), IF(_optn = 5, 0, _rep), _calc),</t>
  </si>
  <si>
    <t>// Create the required header based on the chosen output type, and stack this on top of the calculated results array</t>
  </si>
  <si>
    <t>_hdr, CHOOSE(_optn + 1,</t>
  </si>
  <si>
    <t>"Matches",</t>
  </si>
  <si>
    <t>"Row,Column",</t>
  </si>
  <si>
    <t>"Cell Address",</t>
  </si>
  <si>
    <t>"Count of Matches"</t>
  </si>
  <si>
    <t>_inc, VSTACK(_hdr, _arr),</t>
  </si>
  <si>
    <t>// If the relative or absolute cell position output type is chosen and the split_output parameter is TRUE then the header and results are split into two columns</t>
  </si>
  <si>
    <t>_rslt, IF( AND(_splt, _optn &gt; 0, _optn &lt; 3),</t>
  </si>
  <si>
    <t>DROP( REDUCE("", _inc, LAMBDA(_acc,_val, VSTACK(_acc, TEXTSPLIT(_val, ",", , TRUE)))), 1),</t>
  </si>
  <si>
    <t>_inc</t>
  </si>
  <si>
    <t>// If the add_header parameter is FALSE then remove the header row</t>
  </si>
  <si>
    <t>_out, DROP(_rslt, IF(_add, 0, 1)),</t>
  </si>
  <si>
    <t>// If there are any #N/A values in the output array these replaced with the if_not_found value</t>
  </si>
  <si>
    <t>_rtn, IF( ISNA(_out), _rep, _out),</t>
  </si>
  <si>
    <t>// If the input checks (_inpChk) have flagged then return the required Excel error code, otherwise return the calculated result (_rtn)</t>
  </si>
  <si>
    <t>FindItem()</t>
  </si>
  <si>
    <t>RXL_FindItem</t>
  </si>
  <si>
    <t>Finds matching values within a source array</t>
  </si>
  <si>
    <t>Returns a list of the values, the positions of the values, or a count of the number of matching values</t>
  </si>
  <si>
    <t>https://gist.github.com/r-silk/ad8fa1536830e6fbfbf91953fa4efc3a</t>
  </si>
  <si>
    <t>P-1</t>
  </si>
  <si>
    <t>P-2</t>
  </si>
  <si>
    <t>P-3</t>
  </si>
  <si>
    <t>P-4</t>
  </si>
  <si>
    <t>P-5</t>
  </si>
  <si>
    <t>P-6</t>
  </si>
  <si>
    <t>P-7</t>
  </si>
  <si>
    <t>P-8</t>
  </si>
  <si>
    <t>P-9</t>
  </si>
  <si>
    <t>P-10</t>
  </si>
  <si>
    <t>P-11</t>
  </si>
  <si>
    <t>P-12</t>
  </si>
  <si>
    <t>Category 1</t>
  </si>
  <si>
    <t>Category 2</t>
  </si>
  <si>
    <t>Category 3</t>
  </si>
  <si>
    <t>Category 4</t>
  </si>
  <si>
    <t>Category 5</t>
  </si>
  <si>
    <t>Demonstrating default behaviour</t>
  </si>
  <si>
    <t>Find item</t>
  </si>
  <si>
    <t>Using different match modes</t>
  </si>
  <si>
    <t>With text based match mode input</t>
  </si>
  <si>
    <t>With numeric match mode input</t>
  </si>
  <si>
    <t>Using different output modes</t>
  </si>
  <si>
    <t>Listed matches (in order they are found)</t>
  </si>
  <si>
    <t>Listed matches showing relative position within source array (row, col.)</t>
  </si>
  <si>
    <t>Listed matches showing cell address</t>
  </si>
  <si>
    <t>Count of matches</t>
  </si>
  <si>
    <t>Demonstrating use of the if_not_found parameter</t>
  </si>
  <si>
    <t>Default behaviour</t>
  </si>
  <si>
    <t>Supplying a text string</t>
  </si>
  <si>
    <t>Supplying a numeric value</t>
  </si>
  <si>
    <t>Supplying a different Excel error code</t>
  </si>
  <si>
    <t>When used with the "count of matches" output mode</t>
  </si>
  <si>
    <t>Demonstrating use of the add_header and split_output parameters</t>
  </si>
  <si>
    <t>Using the relative default output type with header row</t>
  </si>
  <si>
    <t>Using the relative position output type with header row</t>
  </si>
  <si>
    <t>Using the relative position output type with header row + split output</t>
  </si>
  <si>
    <t>Using the absolute cell address output type with header row + split output</t>
  </si>
  <si>
    <t>Using the count of matches output type with header row + split output</t>
  </si>
  <si>
    <t>Demonstrating using the relative position output with split_output, to drive formulae to return the matching row and columns titles from source data set</t>
  </si>
  <si>
    <t xml:space="preserve">Find item: </t>
  </si>
  <si>
    <t xml:space="preserve">Output: </t>
  </si>
  <si>
    <t>Demonstrating using text-based matching</t>
  </si>
  <si>
    <t>Test List</t>
  </si>
  <si>
    <t>ABC Ltd</t>
  </si>
  <si>
    <t>urban greenery ltd</t>
  </si>
  <si>
    <t>CraftCove plc</t>
  </si>
  <si>
    <t>Vintage Wines Ltd</t>
  </si>
  <si>
    <t>Lux Soap Co.</t>
  </si>
  <si>
    <t>PixelPlus Studios plc</t>
  </si>
  <si>
    <t>Ink Splash Printing Co.</t>
  </si>
  <si>
    <t>Apex Group LLP</t>
  </si>
  <si>
    <t>GT Partners LLP</t>
  </si>
  <si>
    <t>Oasis Health PLC</t>
  </si>
  <si>
    <t>Matching sub-string / part-string  using numeric match-type input  --&gt; case insensitive</t>
  </si>
  <si>
    <t xml:space="preserve">Find: </t>
  </si>
  <si>
    <t>Ltd</t>
  </si>
  <si>
    <t>Matching sub-string / part-string  using text match-type input  --&gt; case insensitive</t>
  </si>
  <si>
    <t>plc</t>
  </si>
  <si>
    <t>Matching part-string with case sensitive match using Regex match-type</t>
  </si>
  <si>
    <t>Matching a text pattern using Regex match-type</t>
  </si>
  <si>
    <t>^\w{1,3}\s.*</t>
  </si>
  <si>
    <t>https://gist.github.com/r-silk/1203fd946f4096f3744083040668dbae</t>
  </si>
  <si>
    <t>https://gist.github.com/r-silk/c31faf1e9de8d01687447bede455f8cc</t>
  </si>
  <si>
    <t>Input data</t>
  </si>
  <si>
    <t>North</t>
  </si>
  <si>
    <t>South</t>
  </si>
  <si>
    <t>Output -- not filling blank header values</t>
  </si>
  <si>
    <t>Region</t>
  </si>
  <si>
    <t>Product</t>
  </si>
  <si>
    <t>Year</t>
  </si>
  <si>
    <t>Quarter</t>
  </si>
  <si>
    <t>Sales</t>
  </si>
  <si>
    <t>Output -- filling blank header values from above + left (default)</t>
  </si>
  <si>
    <r>
      <t xml:space="preserve">Demonstratring filling blank </t>
    </r>
    <r>
      <rPr>
        <b/>
        <i/>
        <sz val="10"/>
        <color rgb="FF002138"/>
        <rFont val="Consolas"/>
        <family val="3"/>
      </rPr>
      <t>row_headers</t>
    </r>
    <r>
      <rPr>
        <b/>
        <i/>
        <sz val="10"/>
        <color rgb="FF002138"/>
        <rFont val="Calibri"/>
        <family val="2"/>
        <scheme val="minor"/>
      </rPr>
      <t xml:space="preserve"> and </t>
    </r>
    <r>
      <rPr>
        <b/>
        <i/>
        <sz val="10"/>
        <color rgb="FF002138"/>
        <rFont val="Consolas"/>
        <family val="3"/>
      </rPr>
      <t>column_headers</t>
    </r>
    <r>
      <rPr>
        <b/>
        <i/>
        <sz val="10"/>
        <color rgb="FF002138"/>
        <rFont val="Calibri"/>
        <family val="2"/>
        <scheme val="minor"/>
      </rPr>
      <t xml:space="preserve"> values</t>
    </r>
  </si>
  <si>
    <t xml:space="preserve">_mtch, TOCOL( </t>
  </si>
  <si>
    <t>CHOOSE(_typ,</t>
  </si>
  <si>
    <t>IF( REGEXTEST(_rng, _itm), _tbl, NA())</t>
  </si>
  <si>
    <t>_calc, IF(_optn &lt;&gt; 5, _mtch, ROWS(_mtch)),</t>
  </si>
  <si>
    <t>=LAMBDA(range,find_item,[match_type],[output_type],[if_not_found],[add_header],[split_output],LET(_rng,range,_itm,find_item,_mInp,IF(OR(ISOMITTED(match_type),ISBLANK(match_type)),0,INT(match_type)),_typ,IF(ISNUMBER(_mInp),_mInp+1,IFNA(MATCH(LOWER(match_type),{"=","&lt;&gt;","&gt;","&lt;","&gt;=","&lt;=","find","regex"},0),-1)),_optn,IF(OR(ISOMITTED(output_type),ISBLANK(output_type)),0,INT(output_type)),_rep,IF(OR(ISOMITTED(if_not_found),ISBLANK(if_not_found)),NA(),if_not_found),_add,IF(OR(ISOMITTED(add_header),ISBLANK(add_header)),FALSE,add_header),_splt,IF(OR(ISOMITTED(split_output),ISBLANK(split_output)),FALSE,split_output),_inpChk,IF(NOT(ISREF(range)),2,IF(OR(_typ&lt;1,_typ&gt;8,NOT(ISNUMBER(_optn)),_optn&lt;0,_optn&gt;5),3,1)),_tbl,CHOOSE(_optn+1,_rng,(ROW(_rng)-ROW(TAKE(_rng,1))+1)&amp;","&amp;(COLUMN(_rng)-COLUMN(TAKE(_rng,,1))+1),ROW(_rng)&amp;","&amp;COLUMN(_rng),ADDRESS(ROW(_rng),COLUMN(_rng),4,1),ADDRESS(ROW(_rng),COLUMN(_rng),1,1),_rng),_mtch,TOCOL(CHOOSE(_typ,IF(_rng=_itm,_tbl,NA()),IF(_rng&lt;&gt;_itm,_tbl,NA()),IF(_rng&gt;_itm,_tbl,NA()),IF(_rng&lt;_itm,_tbl,NA()),IF(_rng&gt;=_itm,_tbl,NA()),IF(_rng&lt;=_itm,_tbl,NA()),IF(ISNUMBER(FIND(LOWER(_itm),LOWER(_rng))),_tbl,NA()),IF(REGEXTEST(_rng,_itm),_tbl,NA())),2),_calc,IF(_optn&lt;&gt;5,_mtch,ROWS(_mtch)),_arr,IF(ISERROR(_calc),IF(_optn=5,0,_rep),_calc),_hdr,CHOOSE(_optn+1,"Matches","Row,Column","Row,Column","Cell Address","Cell Address","Count of Matches"),_inc,VSTACK(_hdr,_arr),_rslt,IF(AND(_splt,_optn&gt;0,_optn&lt;3),DROP(REDUCE("",_inc,LAMBDA(_acc,_val,VSTACK(_acc,TEXTSPLIT(_val,",",,TRUE)))),1),_inc),_out,DROP(_rslt,IF(_add,0,1)),_rtn,IF(ISNA(_out),_rep,_out),CHOOSE(_inpChk,_rtn,#REF!,#VALUE!)))</t>
  </si>
  <si>
    <t>Union Function</t>
  </si>
  <si>
    <t>A custom Lambda function which replicates the output from a SQL UNION operation</t>
  </si>
  <si>
    <t xml:space="preserve"> -- stacks two data tables on top of each other (first followed by second) and attempts to match column positions based on field name/title/header</t>
  </si>
  <si>
    <t>The native Excel VSTACK() function can perform the stacking operation but does not allow for column positional variance matching same columns so</t>
  </si>
  <si>
    <t>that the combined columns form a consistent new data table</t>
  </si>
  <si>
    <t>Input data tables:</t>
  </si>
  <si>
    <t>Num</t>
  </si>
  <si>
    <t>Letters</t>
  </si>
  <si>
    <t>Numbers</t>
  </si>
  <si>
    <t>Address</t>
  </si>
  <si>
    <t>Other</t>
  </si>
  <si>
    <t>MMM</t>
  </si>
  <si>
    <t>NNN</t>
  </si>
  <si>
    <t>OOO</t>
  </si>
  <si>
    <t>Initial Experiments</t>
  </si>
  <si>
    <t xml:space="preserve"> - Starts by attempting to match the titles for the second input array against the titles for the first/main input array</t>
  </si>
  <si>
    <t xml:space="preserve"> -- the order of column titles for the first/main input array is not altered</t>
  </si>
  <si>
    <t xml:space="preserve"> -&gt; each of the column titles for the second input array are checked against the titles for the first/main input array to create a new combined array of column titles</t>
  </si>
  <si>
    <t xml:space="preserve"> -&gt; where there is a match, nothing changes</t>
  </si>
  <si>
    <t xml:space="preserve"> -&gt; where there is no match, the unmatched second array title is added to the end of the created array of titles</t>
  </si>
  <si>
    <t xml:space="preserve"> - The native VSTACK() function is used to stack the first and second input arrays and does this in a purely positional manner starting from the Left (relative column 1)</t>
  </si>
  <si>
    <t xml:space="preserve"> -- the simplest approach seems to be to creat a new version of the second input array by placing the columns in the correct position relative to the first input array and the combined titles array</t>
  </si>
  <si>
    <t xml:space="preserve"> -- could use the MAKEARRAY() function but this uses a LAMBDA() to go through each cell of the array one by one which is likley slower than placing whole columns in order using HSTACK()</t>
  </si>
  <si>
    <t xml:space="preserve"> -- the VSTACK() and HSTACK() by default will fill in any data gaps with #N/A values thereby creating the functionality I am looking for</t>
  </si>
  <si>
    <t>(A)</t>
  </si>
  <si>
    <t>Creating array of titles for output array</t>
  </si>
  <si>
    <t>(B)</t>
  </si>
  <si>
    <t>Create secondary array based on the new titles array</t>
  </si>
  <si>
    <t>(C)</t>
  </si>
  <si>
    <t>Combine first input array and new secondary array</t>
  </si>
  <si>
    <t>(D)</t>
  </si>
  <si>
    <t>Replacing the #N/A values with alternative value</t>
  </si>
  <si>
    <t xml:space="preserve">Replace #N/A? </t>
  </si>
  <si>
    <t xml:space="preserve">Replacement: </t>
  </si>
  <si>
    <t>(E)</t>
  </si>
  <si>
    <t>Replacing the #N/A values -- single input version</t>
  </si>
  <si>
    <t>(F)</t>
  </si>
  <si>
    <t>Include created titles array + Conditional Formatting</t>
  </si>
  <si>
    <t xml:space="preserve">Output titles? </t>
  </si>
  <si>
    <t>(G)</t>
  </si>
  <si>
    <t>Testing as full LAMBDA() function with input variables + Conditional Formatting</t>
  </si>
  <si>
    <t>Extended version -- simple stacking</t>
  </si>
  <si>
    <t xml:space="preserve"> - Allow for a simple stacking akin to the native VSTACK() functionality, but still giving the option to output the column titles</t>
  </si>
  <si>
    <t xml:space="preserve"> -- where the column titles are being output then create the positional array favouring the first input array titles</t>
  </si>
  <si>
    <t>(H)</t>
  </si>
  <si>
    <t>Creating the combined titles array accounting for unequal number of columns in simple stack</t>
  </si>
  <si>
    <t>Equal number of columns in second input</t>
  </si>
  <si>
    <t xml:space="preserve">Simple stack? </t>
  </si>
  <si>
    <t>More columns in second input</t>
  </si>
  <si>
    <t>(I)</t>
  </si>
  <si>
    <t>Simple stack option for non-matched input arrays + option to output titles + Conditional Formatting</t>
  </si>
  <si>
    <t>(J)</t>
  </si>
  <si>
    <t>Combining simple stack functionality with Lambda version G.</t>
  </si>
  <si>
    <t>Extended version -- custom titles</t>
  </si>
  <si>
    <t xml:space="preserve"> - For the output_titles option allow for a True/False or numeric value to choose whether to include the combined titles array in the function output</t>
  </si>
  <si>
    <t xml:space="preserve"> - Also allow for the user to pass a non-number / array which is used as the titles on the function output</t>
  </si>
  <si>
    <t xml:space="preserve"> - Restrict the length of a custom titles array to the total number of columns in the union output</t>
  </si>
  <si>
    <t>(K)</t>
  </si>
  <si>
    <t>Adding custom titles functionality to version J.</t>
  </si>
  <si>
    <t>Testing with single cell input for output_titles</t>
  </si>
  <si>
    <t>Testing with multi-cell/array input for output_titles</t>
  </si>
  <si>
    <t>Col.1</t>
  </si>
  <si>
    <t>Col.2</t>
  </si>
  <si>
    <t>Col.3</t>
  </si>
  <si>
    <t>Col.4</t>
  </si>
  <si>
    <t>Col.5</t>
  </si>
  <si>
    <t>Optional inputs + Input checks</t>
  </si>
  <si>
    <t>(L)</t>
  </si>
  <si>
    <t>Setting default values for optional input parameters</t>
  </si>
  <si>
    <t>Outputs</t>
  </si>
  <si>
    <t xml:space="preserve">first_titles: </t>
  </si>
  <si>
    <t xml:space="preserve">second_titles: </t>
  </si>
  <si>
    <t xml:space="preserve">output_titles: </t>
  </si>
  <si>
    <t xml:space="preserve">simple_stack: </t>
  </si>
  <si>
    <t xml:space="preserve">replace_na: </t>
  </si>
  <si>
    <t>[restrict titles to single/first row]</t>
  </si>
  <si>
    <t>(M)</t>
  </si>
  <si>
    <t>Input checks</t>
  </si>
  <si>
    <t xml:space="preserve">first_array: </t>
  </si>
  <si>
    <t xml:space="preserve">second_array: </t>
  </si>
  <si>
    <t>Lambda function which provides the ability to replicate SQL UNION operation on the worksheet</t>
  </si>
  <si>
    <t>The Union functionality will join/stack two data tables together matching columns where possible based on column titles/headers</t>
  </si>
  <si>
    <t>The column titles can be passed as positional numbers allowing for custom matching/positioning, otherwise matching is based on the title/header values</t>
  </si>
  <si>
    <t xml:space="preserve">The function output can optionally include column titles/headers in the output as the first row, either creating a combined array of titles or with a user input array of titles </t>
  </si>
  <si>
    <t>first_array</t>
  </si>
  <si>
    <t>The first or main (primary) data array, to which the second (secondary) data array will be added</t>
  </si>
  <si>
    <t>second_array</t>
  </si>
  <si>
    <t>The second (secondary) data array, which is added to the first (primary) data array</t>
  </si>
  <si>
    <t>first_titles</t>
  </si>
  <si>
    <t>The column titles/headers associated with the first (primary) input data array</t>
  </si>
  <si>
    <t>The column titles can be passed as a range/cell references or as a manually input array</t>
  </si>
  <si>
    <r>
      <t xml:space="preserve">If no input is provided the relative position of the columns in the </t>
    </r>
    <r>
      <rPr>
        <sz val="10"/>
        <color rgb="FF0000FF"/>
        <rFont val="Consolas"/>
        <family val="3"/>
      </rPr>
      <t>first_array</t>
    </r>
    <r>
      <rPr>
        <sz val="10"/>
        <color rgb="FF002138"/>
        <rFont val="Calibri"/>
        <family val="2"/>
        <scheme val="minor"/>
      </rPr>
      <t xml:space="preserve"> input is used to label the columns</t>
    </r>
  </si>
  <si>
    <t>second_titles</t>
  </si>
  <si>
    <t>The column titles/headers associated with the second (secondary) input data array</t>
  </si>
  <si>
    <r>
      <t xml:space="preserve">As the first (primary) data array is used as the basis for matching, the user can enter an array of numeric values to give the position of the </t>
    </r>
    <r>
      <rPr>
        <sz val="10"/>
        <color rgb="FF0000FF"/>
        <rFont val="Consolas"/>
        <family val="3"/>
      </rPr>
      <t>second_array</t>
    </r>
    <r>
      <rPr>
        <sz val="10"/>
        <color rgb="FF002138"/>
        <rFont val="Calibri"/>
        <family val="2"/>
        <scheme val="minor"/>
      </rPr>
      <t xml:space="preserve"> columns relative to the </t>
    </r>
    <r>
      <rPr>
        <sz val="10"/>
        <color rgb="FF0000FF"/>
        <rFont val="Consolas"/>
        <family val="3"/>
      </rPr>
      <t>first_array</t>
    </r>
  </si>
  <si>
    <r>
      <t xml:space="preserve">If no input is provided the relative position of the columns in the </t>
    </r>
    <r>
      <rPr>
        <sz val="10"/>
        <color rgb="FF0000FF"/>
        <rFont val="Consolas"/>
        <family val="3"/>
      </rPr>
      <t>second_array</t>
    </r>
    <r>
      <rPr>
        <sz val="10"/>
        <color rgb="FF002138"/>
        <rFont val="Calibri"/>
        <family val="2"/>
        <scheme val="minor"/>
      </rPr>
      <t xml:space="preserve"> input is used to label the columns</t>
    </r>
  </si>
  <si>
    <t>output_titles</t>
  </si>
  <si>
    <t>Determines whether to include column titles/headers as the first row of the function output</t>
  </si>
  <si>
    <r>
      <t xml:space="preserve">If input as </t>
    </r>
    <r>
      <rPr>
        <sz val="10"/>
        <color rgb="FF0000FF"/>
        <rFont val="Consolas"/>
        <family val="3"/>
      </rPr>
      <t>FALSE</t>
    </r>
    <r>
      <rPr>
        <sz val="10"/>
        <color rgb="FF002138"/>
        <rFont val="Calibri"/>
        <family val="2"/>
        <scheme val="minor"/>
      </rPr>
      <t>/</t>
    </r>
    <r>
      <rPr>
        <sz val="10"/>
        <color rgb="FF0000FF"/>
        <rFont val="Consolas"/>
        <family val="3"/>
      </rPr>
      <t>0</t>
    </r>
    <r>
      <rPr>
        <sz val="10"/>
        <color rgb="FF002138"/>
        <rFont val="Calibri"/>
        <family val="2"/>
        <scheme val="minor"/>
      </rPr>
      <t xml:space="preserve"> (</t>
    </r>
    <r>
      <rPr>
        <b/>
        <sz val="10"/>
        <color rgb="FF002138"/>
        <rFont val="Calibri"/>
        <family val="2"/>
        <scheme val="minor"/>
      </rPr>
      <t>default</t>
    </r>
    <r>
      <rPr>
        <sz val="10"/>
        <color rgb="FF002138"/>
        <rFont val="Calibri"/>
        <family val="2"/>
        <scheme val="minor"/>
      </rPr>
      <t>) then no titles row is added to the output</t>
    </r>
  </si>
  <si>
    <r>
      <t xml:space="preserve">If input as </t>
    </r>
    <r>
      <rPr>
        <sz val="10"/>
        <color rgb="FF0000FF"/>
        <rFont val="Consolas"/>
        <family val="3"/>
      </rPr>
      <t>TRUE</t>
    </r>
    <r>
      <rPr>
        <sz val="10"/>
        <color rgb="FF002138"/>
        <rFont val="Calibri"/>
        <family val="2"/>
        <scheme val="minor"/>
      </rPr>
      <t>/</t>
    </r>
    <r>
      <rPr>
        <sz val="10"/>
        <color rgb="FF0000FF"/>
        <rFont val="Consolas"/>
        <family val="3"/>
      </rPr>
      <t>1</t>
    </r>
    <r>
      <rPr>
        <sz val="10"/>
        <color rgb="FF002138"/>
        <rFont val="Calibri"/>
        <family val="2"/>
        <scheme val="minor"/>
      </rPr>
      <t xml:space="preserve"> then a titles row is added to the output made up of the combined/matched array titles from the </t>
    </r>
    <r>
      <rPr>
        <sz val="10"/>
        <color rgb="FF0000FF"/>
        <rFont val="Consolas"/>
        <family val="3"/>
      </rPr>
      <t>first_titles</t>
    </r>
    <r>
      <rPr>
        <sz val="10"/>
        <color rgb="FF002138"/>
        <rFont val="Calibri"/>
        <family val="2"/>
        <scheme val="minor"/>
      </rPr>
      <t xml:space="preserve"> and </t>
    </r>
    <r>
      <rPr>
        <sz val="10"/>
        <color rgb="FF0000FF"/>
        <rFont val="Consolas"/>
        <family val="3"/>
      </rPr>
      <t>second_titles</t>
    </r>
    <r>
      <rPr>
        <sz val="10"/>
        <color rgb="FF002138"/>
        <rFont val="Calibri"/>
        <family val="2"/>
        <scheme val="minor"/>
      </rPr>
      <t xml:space="preserve"> inputs</t>
    </r>
  </si>
  <si>
    <t>If an array of values or any other value (i.e. not a single logical or numeric value) is provided this will be used as the column titles row in the output</t>
  </si>
  <si>
    <t>simple_stack</t>
  </si>
  <si>
    <t>Determines whether to use simple stacking for the union or to use the column matching union functionality</t>
  </si>
  <si>
    <r>
      <t xml:space="preserve">Can be input as either </t>
    </r>
    <r>
      <rPr>
        <sz val="10"/>
        <color rgb="FF0000FF"/>
        <rFont val="Consolas"/>
        <family val="3"/>
      </rPr>
      <t>TRUE</t>
    </r>
    <r>
      <rPr>
        <sz val="10"/>
        <color rgb="FF002138"/>
        <rFont val="Calibri"/>
        <family val="2"/>
        <scheme val="minor"/>
      </rPr>
      <t>/</t>
    </r>
    <r>
      <rPr>
        <sz val="10"/>
        <color rgb="FF0000FF"/>
        <rFont val="Consolas"/>
        <family val="3"/>
      </rPr>
      <t>FALSE</t>
    </r>
    <r>
      <rPr>
        <sz val="10"/>
        <color rgb="FF002138"/>
        <rFont val="Calibri"/>
        <family val="2"/>
        <scheme val="minor"/>
      </rPr>
      <t xml:space="preserve"> or </t>
    </r>
    <r>
      <rPr>
        <sz val="10"/>
        <color rgb="FF0000FF"/>
        <rFont val="Consolas"/>
        <family val="3"/>
      </rPr>
      <t>1</t>
    </r>
    <r>
      <rPr>
        <sz val="10"/>
        <color rgb="FF002138"/>
        <rFont val="Calibri"/>
        <family val="2"/>
        <scheme val="minor"/>
      </rPr>
      <t>/</t>
    </r>
    <r>
      <rPr>
        <sz val="10"/>
        <color rgb="FF0000FF"/>
        <rFont val="Consolas"/>
        <family val="3"/>
      </rPr>
      <t>0</t>
    </r>
  </si>
  <si>
    <r>
      <t xml:space="preserve">Will </t>
    </r>
    <r>
      <rPr>
        <b/>
        <sz val="10"/>
        <color rgb="FF002138"/>
        <rFont val="Calibri"/>
        <family val="2"/>
        <scheme val="minor"/>
      </rPr>
      <t>default</t>
    </r>
    <r>
      <rPr>
        <sz val="10"/>
        <color rgb="FF002138"/>
        <rFont val="Calibri"/>
        <family val="2"/>
        <scheme val="minor"/>
      </rPr>
      <t xml:space="preserve"> to </t>
    </r>
    <r>
      <rPr>
        <sz val="10"/>
        <color rgb="FF0000FF"/>
        <rFont val="Consolas"/>
        <family val="3"/>
      </rPr>
      <t>FALSE</t>
    </r>
    <r>
      <rPr>
        <sz val="10"/>
        <color rgb="FF002138"/>
        <rFont val="Calibri"/>
        <family val="2"/>
        <scheme val="minor"/>
      </rPr>
      <t>/</t>
    </r>
    <r>
      <rPr>
        <sz val="10"/>
        <color rgb="FF0000FF"/>
        <rFont val="Consolas"/>
        <family val="3"/>
      </rPr>
      <t>0</t>
    </r>
    <r>
      <rPr>
        <sz val="10"/>
        <color rgb="FF002138"/>
        <rFont val="Calibri"/>
        <family val="2"/>
        <scheme val="minor"/>
      </rPr>
      <t xml:space="preserve"> if no input is provided --&gt; column matching</t>
    </r>
  </si>
  <si>
    <t>replace_na</t>
  </si>
  <si>
    <r>
      <t>Determines whether to replace</t>
    </r>
    <r>
      <rPr>
        <sz val="10"/>
        <rFont val="Calibri"/>
        <family val="2"/>
        <scheme val="minor"/>
      </rPr>
      <t xml:space="preserve"> </t>
    </r>
    <r>
      <rPr>
        <sz val="10"/>
        <rFont val="Consolas"/>
        <family val="3"/>
      </rPr>
      <t>#N/A</t>
    </r>
    <r>
      <rPr>
        <sz val="10"/>
        <rFont val="Calibri"/>
        <family val="2"/>
        <scheme val="minor"/>
      </rPr>
      <t xml:space="preserve"> </t>
    </r>
    <r>
      <rPr>
        <sz val="10"/>
        <color rgb="FF002138"/>
        <rFont val="Calibri"/>
        <family val="2"/>
        <scheme val="minor"/>
      </rPr>
      <t>values in the function output with a different value</t>
    </r>
  </si>
  <si>
    <r>
      <t xml:space="preserve">If input as </t>
    </r>
    <r>
      <rPr>
        <sz val="10"/>
        <color rgb="FF0000FF"/>
        <rFont val="Consolas"/>
        <family val="3"/>
      </rPr>
      <t>FALSE</t>
    </r>
    <r>
      <rPr>
        <sz val="10"/>
        <color rgb="FF002138"/>
        <rFont val="Calibri"/>
        <family val="2"/>
        <scheme val="minor"/>
      </rPr>
      <t>/</t>
    </r>
    <r>
      <rPr>
        <sz val="10"/>
        <color rgb="FF0000FF"/>
        <rFont val="Consolas"/>
        <family val="3"/>
      </rPr>
      <t>0</t>
    </r>
    <r>
      <rPr>
        <sz val="10"/>
        <color rgb="FF002138"/>
        <rFont val="Calibri"/>
        <family val="2"/>
        <scheme val="minor"/>
      </rPr>
      <t xml:space="preserve"> (</t>
    </r>
    <r>
      <rPr>
        <b/>
        <sz val="10"/>
        <color rgb="FF002138"/>
        <rFont val="Calibri"/>
        <family val="2"/>
        <scheme val="minor"/>
      </rPr>
      <t>default</t>
    </r>
    <r>
      <rPr>
        <sz val="10"/>
        <color rgb="FF002138"/>
        <rFont val="Calibri"/>
        <family val="2"/>
        <scheme val="minor"/>
      </rPr>
      <t xml:space="preserve">) then </t>
    </r>
    <r>
      <rPr>
        <sz val="10"/>
        <color rgb="FF002138"/>
        <rFont val="Consolas"/>
        <family val="3"/>
      </rPr>
      <t>#N/A</t>
    </r>
    <r>
      <rPr>
        <sz val="10"/>
        <color rgb="FF002138"/>
        <rFont val="Calibri"/>
        <family val="2"/>
        <scheme val="minor"/>
      </rPr>
      <t xml:space="preserve"> values will not be replace</t>
    </r>
  </si>
  <si>
    <r>
      <t xml:space="preserve">If input as </t>
    </r>
    <r>
      <rPr>
        <sz val="10"/>
        <color rgb="FF0000FF"/>
        <rFont val="Consolas"/>
        <family val="3"/>
      </rPr>
      <t>TRUE</t>
    </r>
    <r>
      <rPr>
        <sz val="10"/>
        <color rgb="FF002138"/>
        <rFont val="Calibri"/>
        <family val="2"/>
        <scheme val="minor"/>
      </rPr>
      <t>/</t>
    </r>
    <r>
      <rPr>
        <sz val="10"/>
        <color rgb="FF0000FF"/>
        <rFont val="Consolas"/>
        <family val="3"/>
      </rPr>
      <t>1</t>
    </r>
    <r>
      <rPr>
        <sz val="10"/>
        <color rgb="FF002138"/>
        <rFont val="Calibri"/>
        <family val="2"/>
        <scheme val="minor"/>
      </rPr>
      <t xml:space="preserve"> then </t>
    </r>
    <r>
      <rPr>
        <sz val="10"/>
        <color rgb="FF002138"/>
        <rFont val="Consolas"/>
        <family val="3"/>
      </rPr>
      <t>#N/A</t>
    </r>
    <r>
      <rPr>
        <sz val="10"/>
        <color rgb="FF002138"/>
        <rFont val="Calibri"/>
        <family val="2"/>
        <scheme val="minor"/>
      </rPr>
      <t xml:space="preserve"> values will be replaced with a blank string (</t>
    </r>
    <r>
      <rPr>
        <sz val="10"/>
        <color rgb="FF002138"/>
        <rFont val="Consolas"/>
        <family val="3"/>
      </rPr>
      <t>""</t>
    </r>
    <r>
      <rPr>
        <sz val="10"/>
        <color rgb="FF002138"/>
        <rFont val="Calibri"/>
        <family val="2"/>
        <scheme val="minor"/>
      </rPr>
      <t>)</t>
    </r>
  </si>
  <si>
    <r>
      <t xml:space="preserve">If any other value is provided then this will be used to replace any </t>
    </r>
    <r>
      <rPr>
        <sz val="10"/>
        <color rgb="FF002138"/>
        <rFont val="Consolas"/>
        <family val="3"/>
      </rPr>
      <t>#N/A</t>
    </r>
    <r>
      <rPr>
        <sz val="10"/>
        <color rgb="FF002138"/>
        <rFont val="Calibri"/>
        <family val="2"/>
        <scheme val="minor"/>
      </rPr>
      <t xml:space="preserve"> values</t>
    </r>
  </si>
  <si>
    <r>
      <t>Required input parameters (</t>
    </r>
    <r>
      <rPr>
        <sz val="10"/>
        <color rgb="FF0065A8"/>
        <rFont val="Consolas"/>
        <family val="3"/>
      </rPr>
      <t>first_array</t>
    </r>
    <r>
      <rPr>
        <sz val="10"/>
        <color rgb="FF002138"/>
        <rFont val="Calibri"/>
        <family val="2"/>
        <scheme val="minor"/>
      </rPr>
      <t xml:space="preserve">, </t>
    </r>
    <r>
      <rPr>
        <sz val="10"/>
        <color rgb="FF0065A8"/>
        <rFont val="Consolas"/>
        <family val="3"/>
      </rPr>
      <t>second_array</t>
    </r>
    <r>
      <rPr>
        <sz val="10"/>
        <color rgb="FF002138"/>
        <rFont val="Calibri"/>
        <family val="2"/>
        <scheme val="minor"/>
      </rPr>
      <t>) have not been provided or are invalid</t>
    </r>
  </si>
  <si>
    <r>
      <t xml:space="preserve">The number of columns in the </t>
    </r>
    <r>
      <rPr>
        <sz val="10"/>
        <color rgb="FF0065A8"/>
        <rFont val="Consolas"/>
        <family val="3"/>
      </rPr>
      <t>first_titles</t>
    </r>
    <r>
      <rPr>
        <sz val="10"/>
        <color rgb="FF002138"/>
        <rFont val="Calibri"/>
        <family val="2"/>
        <scheme val="minor"/>
      </rPr>
      <t xml:space="preserve"> and </t>
    </r>
    <r>
      <rPr>
        <sz val="10"/>
        <color rgb="FF0065A8"/>
        <rFont val="Consolas"/>
        <family val="3"/>
      </rPr>
      <t>second_titles</t>
    </r>
    <r>
      <rPr>
        <sz val="10"/>
        <color rgb="FF002138"/>
        <rFont val="Calibri"/>
        <family val="2"/>
        <scheme val="minor"/>
      </rPr>
      <t xml:space="preserve"> inputs do not match those of the </t>
    </r>
    <r>
      <rPr>
        <sz val="10"/>
        <color rgb="FF0065A8"/>
        <rFont val="Consolas"/>
        <family val="3"/>
      </rPr>
      <t>first_array</t>
    </r>
    <r>
      <rPr>
        <sz val="10"/>
        <color rgb="FF002138"/>
        <rFont val="Calibri"/>
        <family val="2"/>
        <scheme val="minor"/>
      </rPr>
      <t xml:space="preserve"> and </t>
    </r>
    <r>
      <rPr>
        <sz val="10"/>
        <color rgb="FF0065A8"/>
        <rFont val="Consolas"/>
        <family val="3"/>
      </rPr>
      <t>second_array</t>
    </r>
    <r>
      <rPr>
        <sz val="10"/>
        <color rgb="FF002138"/>
        <rFont val="Calibri"/>
        <family val="2"/>
        <scheme val="minor"/>
      </rPr>
      <t xml:space="preserve"> inputs respectively</t>
    </r>
  </si>
  <si>
    <r>
      <t xml:space="preserve">If the </t>
    </r>
    <r>
      <rPr>
        <sz val="10"/>
        <color rgb="FF0065A8"/>
        <rFont val="Consolas"/>
        <family val="3"/>
      </rPr>
      <t>output_titles</t>
    </r>
    <r>
      <rPr>
        <sz val="10"/>
        <color rgb="FF002138"/>
        <rFont val="Calibri"/>
        <family val="2"/>
        <scheme val="minor"/>
      </rPr>
      <t xml:space="preserve"> input parameter is provided as an array of values this must be a 1D array with a single row only</t>
    </r>
  </si>
  <si>
    <r>
      <rPr>
        <sz val="10"/>
        <color rgb="FF0065A8"/>
        <rFont val="Consolas"/>
        <family val="3"/>
      </rPr>
      <t>output_titles</t>
    </r>
    <r>
      <rPr>
        <sz val="10"/>
        <color rgb="FF002138"/>
        <rFont val="Calibri"/>
        <family val="2"/>
        <scheme val="minor"/>
      </rPr>
      <t xml:space="preserve">, </t>
    </r>
    <r>
      <rPr>
        <sz val="10"/>
        <color rgb="FF0065A8"/>
        <rFont val="Consolas"/>
        <family val="3"/>
      </rPr>
      <t>simple_stack</t>
    </r>
    <r>
      <rPr>
        <sz val="10"/>
        <color rgb="FF002138"/>
        <rFont val="Calibri"/>
        <family val="2"/>
        <scheme val="minor"/>
      </rPr>
      <t xml:space="preserve">, or </t>
    </r>
    <r>
      <rPr>
        <sz val="10"/>
        <color rgb="FF0065A8"/>
        <rFont val="Consolas"/>
        <family val="3"/>
      </rPr>
      <t>replace_na</t>
    </r>
    <r>
      <rPr>
        <sz val="10"/>
        <color rgb="FF002138"/>
        <rFont val="Calibri"/>
        <family val="2"/>
        <scheme val="minor"/>
      </rPr>
      <t xml:space="preserve"> input parameters are invalid -- </t>
    </r>
    <r>
      <rPr>
        <sz val="10"/>
        <color rgb="FF0065A8"/>
        <rFont val="Consolas"/>
        <family val="3"/>
      </rPr>
      <t>simple_stac</t>
    </r>
    <r>
      <rPr>
        <sz val="10"/>
        <color rgb="FF002138"/>
        <rFont val="Calibri"/>
        <family val="2"/>
        <scheme val="minor"/>
      </rPr>
      <t xml:space="preserve">k should be a Logical or numeric value; </t>
    </r>
    <r>
      <rPr>
        <sz val="10"/>
        <color rgb="FF0065A8"/>
        <rFont val="Consolas"/>
        <family val="3"/>
      </rPr>
      <t>replace_na</t>
    </r>
    <r>
      <rPr>
        <sz val="10"/>
        <color rgb="FF002138"/>
        <rFont val="Calibri"/>
        <family val="2"/>
        <scheme val="minor"/>
      </rPr>
      <t xml:space="preserve"> input must be a single value, and non-Excel error value</t>
    </r>
  </si>
  <si>
    <t>Notes:</t>
  </si>
  <si>
    <t>The first_array is given preference and the second_array is matched to this, meaning that the order of the columns in the first_array will be unchanged</t>
  </si>
  <si>
    <t>Column titles (in part. second_titles) can be passed as an array of numbers showing the intended output position relative to the first_array columns order</t>
  </si>
  <si>
    <t xml:space="preserve"> -- where a user input array of column titles is used the output will be restricted to the number of columns in the combined/stacked data tables </t>
  </si>
  <si>
    <t>first_array,</t>
  </si>
  <si>
    <t>second_array,</t>
  </si>
  <si>
    <t>[first_titles],</t>
  </si>
  <si>
    <t>[second_titles],</t>
  </si>
  <si>
    <t>[output_titles],</t>
  </si>
  <si>
    <t>[simple_stack],</t>
  </si>
  <si>
    <t>[replace_na],</t>
  </si>
  <si>
    <t>_inp1, first_array,</t>
  </si>
  <si>
    <t>_inp2, second_array,</t>
  </si>
  <si>
    <t>_cc1, COLUMNS(_inp1),</t>
  </si>
  <si>
    <t>_cc2, COLUMNS(_inp2),</t>
  </si>
  <si>
    <t>// Deal with optional input parameters and set default values for any omitted parameters</t>
  </si>
  <si>
    <t>//  --&gt; restricts the column titles to a single row, and uses positional numeric values if omitted</t>
  </si>
  <si>
    <t>_ttl1, IF( ISOMITTED(first_titles),</t>
  </si>
  <si>
    <t>SEQUENCE(1, _cc1, 1),</t>
  </si>
  <si>
    <t>TAKE(first_titles, 1)),</t>
  </si>
  <si>
    <t>_ttl2, IF( ISOMITTED(second_titles),</t>
  </si>
  <si>
    <t>SEQUENCE(1, _cc2, _cc1 + 1),</t>
  </si>
  <si>
    <t>TAKE(second_titles, 1)),</t>
  </si>
  <si>
    <t>_hdr, IF( ISOMITTED(output_titles), 0, output_titles),</t>
  </si>
  <si>
    <t>_ccH, COLUMNS(_hdr),</t>
  </si>
  <si>
    <t>_inc, IF( AND(_ccH = 1, OR(ISLOGICAL(_hdr), ISNUMBER(_hdr))),</t>
  </si>
  <si>
    <t>IF(_hdr, 1, 0),</t>
  </si>
  <si>
    <t>-1),</t>
  </si>
  <si>
    <t>_stk, IF( ISOMITTED(simple_stack), FALSE, simple_stack),</t>
  </si>
  <si>
    <t>_rep, IF( ISOMITTED(replace_na),</t>
  </si>
  <si>
    <t>FALSE,</t>
  </si>
  <si>
    <t>IF( AND( ISLOGICAL(replace_na), replace_na = FALSE), FALSE, TRUE)),</t>
  </si>
  <si>
    <t xml:space="preserve">_str, IF( ISOMITTED(replace_na), 0, </t>
  </si>
  <si>
    <t>IF( AND( ISLOGICAL(replace_na), replace_na), "", replace_na)),</t>
  </si>
  <si>
    <t>//  --&gt; ensures that the number of columns in the associated column titles inputs match the number of columns in the data table inputs</t>
  </si>
  <si>
    <t>//  --&gt; ensures if custom output column titles are provided they are restricted to a single row (1D array)</t>
  </si>
  <si>
    <t>//  --&gt; ensures that any replace_na input is a single value (non-array) and is not an error value</t>
  </si>
  <si>
    <t>COLUMNS(_ttl1) &lt;&gt; _cc1,</t>
  </si>
  <si>
    <t>COLUMNS(_ttl2) &lt;&gt; _cc2</t>
  </si>
  <si>
    <t>), 2,</t>
  </si>
  <si>
    <t>ROWS(_hdr) &lt;&gt; 1,</t>
  </si>
  <si>
    <t>ROWS(_str) &lt;&gt; 1, COLUMNS(_str) &lt;&gt; 1, ISERROR(_str),</t>
  </si>
  <si>
    <t>ROWS(_stk) &lt;&gt; 1, COLUMNS(_stk) &lt;&gt; 1,</t>
  </si>
  <si>
    <t>AND(NOT(ISLOGICAL(_stk)), NOT(ISNUMBER(_stk)))</t>
  </si>
  <si>
    <t>), 3,</t>
  </si>
  <si>
    <t>// Starts by attempting to match the second_titles array (_ttl2) to the first_titles array (_ttl1) and constructs a combined titles array (_ttlC)</t>
  </si>
  <si>
    <t>//  --&gt; if a simple stack output is chosen, the combined titles array is as wide as the maximum number of input columns and gives preference to first_titles values</t>
  </si>
  <si>
    <t>_ttlC, IF(_stk,</t>
  </si>
  <si>
    <t>DROP(</t>
  </si>
  <si>
    <t>REDUCE("", SEQUENCE(1, MAX(_cc1, _cc2)), LAMBDA(_acc,_val, HSTACK(_acc, IF(_val &lt;= _cc1, INDEX(_ttl1, , _val), INDEX(_ttl2, , _val))))),</t>
  </si>
  <si>
    <t>REDUCE(_ttl1, _ttl2, LAMBDA(_acc,_val, IF( ISNA( MATCH(_val, _ttl1, 0)), HSTACK(_acc, _val), _acc)))</t>
  </si>
  <si>
    <t>// An array of column index/position values for the second data table is created (_idx)</t>
  </si>
  <si>
    <t>_idx, DROP(</t>
  </si>
  <si>
    <t>REDUCE(0, _ttlC, LAMBDA(_acc,_val, HSTACK(_acc, IFNA(MATCH(_val, _ttl2, 0), 0)))),</t>
  </si>
  <si>
    <t>// Using the second data table index array (_idx) a new second data array is constructed (_arr) which will correctly line up with the first data table when stacked</t>
  </si>
  <si>
    <t>_arr, IF(_stk,</t>
  </si>
  <si>
    <t>_inp2,</t>
  </si>
  <si>
    <t>REDUCE(0, _idx, LAMBDA(_acc,_val, HSTACK(_acc, IF(_val &gt; 0, CHOOSECOLS(_inp2, _val), "¦")))),</t>
  </si>
  <si>
    <t>, 1)</t>
  </si>
  <si>
    <t>_new, IF(_arr = "¦", NA(), _arr),</t>
  </si>
  <si>
    <t>// Stacks the first (_inp1) and updated second (_arr) data tables vertically; second below first</t>
  </si>
  <si>
    <t>_calc, VSTACK(_inp1, _new),</t>
  </si>
  <si>
    <t>// Adds the column titles/headers as the first row of the output array as required</t>
  </si>
  <si>
    <t>//  --&gt; the _inc variables determines whether to add the created combined titles array (1 = _ttlC), the custom user titles (-1 = _hdr), or no titles (0)</t>
  </si>
  <si>
    <t>_out, IF(_inc &lt; 0, VSTACK( TAKE(_hdr, 1, MIN(_ccH, COLUMNS(_calc))), _calc),</t>
  </si>
  <si>
    <t>IF(_inc &gt; 0, VSTACK(_ttlC, _calc), _calc)</t>
  </si>
  <si>
    <t>// If the user has chosen to replace #N/A values (_rep) then do so using the appropriate replacement value (_str)</t>
  </si>
  <si>
    <t>_rtn, IF(_rep,</t>
  </si>
  <si>
    <t>IF(ISNA(_out), _str, _out),</t>
  </si>
  <si>
    <t>_out</t>
  </si>
  <si>
    <t>=LAMBDA(first_array,second_array,[first_titles],[second_titles],[output_titles],[simple_stack],[replace_na],LET(_inp1,first_array,_inp2,second_array,_cc1,COLUMNS(_inp1),_cc2,COLUMNS(_inp2),_ttl1,IF(ISOMITTED(first_titles),SEQUENCE(1,_cc1,1),TAKE(first_titles,1)),_ttl2,IF(ISOMITTED(second_titles),SEQUENCE(1,_cc2,_cc1+1),TAKE(second_titles,1)),_hdr,IF(ISOMITTED(output_titles),0,output_titles),_ccH,COLUMNS(_hdr),_inc,IF(AND(_ccH=1,OR(ISLOGICAL(_hdr),ISNUMBER(_hdr))),IF(_hdr,1,0),-1),_stk,IF(ISOMITTED(simple_stack),FALSE,simple_stack),_rep,IF(ISOMITTED(replace_na),FALSE,IF(AND(ISLOGICAL(replace_na),replace_na=FALSE),FALSE,TRUE)),_str,IF(ISOMITTED(replace_na),0,IF(AND(ISLOGICAL(replace_na),replace_na),"",replace_na)),_inpChk,IFS(OR(COLUMNS(_ttl1)&lt;&gt;_cc1,COLUMNS(_ttl2)&lt;&gt;_cc2),2,OR(ROWS(_hdr)&lt;&gt;1,ROWS(_str)&lt;&gt;1,COLUMNS(_str)&lt;&gt;1,ISERROR(_str),ROWS(_stk)&lt;&gt;1,COLUMNS(_stk)&lt;&gt;1,AND(NOT(ISLOGICAL(_stk)),NOT(ISNUMBER(_stk)))),3,TRUE,1),_ttlC,IF(_stk,DROP(REDUCE("",SEQUENCE(1,MAX(_cc1,_cc2)),LAMBDA(_acc,_val,HSTACK(_acc,IF(_val&lt;=_cc1,INDEX(_ttl1,,_val),INDEX(_ttl2,,_val))))),,1),REDUCE(_ttl1,_ttl2,LAMBDA(_acc,_val,IF(ISNA(MATCH(_val,_ttl1,0)),HSTACK(_acc,_val),_acc)))),_idx,DROP(REDUCE(0,_ttlC,LAMBDA(_acc,_val,HSTACK(_acc,IFNA(MATCH(_val,_ttl2,0),0)))),,1),_arr,IF(_stk,_inp2,DROP(REDUCE(0,_idx,LAMBDA(_acc,_val,HSTACK(_acc,IF(_val&gt;0,CHOOSECOLS(_inp2,_val),"¦")))),,1)),_new,IF(_arr="¦",NA(),_arr),_calc,VSTACK(_inp1,_new),_out,IF(_inc&lt;0,VSTACK(TAKE(_hdr,1,MIN(_ccH,COLUMNS(_calc))),_calc),IF(_inc&gt;0,VSTACK(_ttlC,_calc),_calc)),_rtn,IF(_rep,IF(ISNA(_out),_str,_out),_out),CHOOSE(_inpChk,_rtn,LAMBDA(0),#VALUE!)))</t>
  </si>
  <si>
    <t>TitleList1</t>
  </si>
  <si>
    <t>Values</t>
  </si>
  <si>
    <t>TitleList2</t>
  </si>
  <si>
    <t>Union()</t>
  </si>
  <si>
    <t>https://gist.github.com/r-silk/9d0505a132d0a54b9de63313fdb176a6</t>
  </si>
  <si>
    <t>RXL_Union</t>
  </si>
  <si>
    <t>Stacks two data tables together matching data columns based on column titles/headers; similar to the SQL UNION operation</t>
  </si>
  <si>
    <t>Column titles can be passed as relative positional numbers allowing for custom matching/positioning, otherwise matching is based on the column title/header values</t>
  </si>
  <si>
    <t xml:space="preserve">Function output can optionally include column titles/headers in the output as the first row, either creating a combined array of titles or with a user input array of titles </t>
  </si>
  <si>
    <t>Customer</t>
  </si>
  <si>
    <t>Account</t>
  </si>
  <si>
    <t>Income</t>
  </si>
  <si>
    <t>inc. Tax</t>
  </si>
  <si>
    <t>ABC-001</t>
  </si>
  <si>
    <t>ABC-006</t>
  </si>
  <si>
    <t>ABC-002</t>
  </si>
  <si>
    <t>ABC-007</t>
  </si>
  <si>
    <t>ABC-003</t>
  </si>
  <si>
    <t>ABC-008</t>
  </si>
  <si>
    <t>ABC-004</t>
  </si>
  <si>
    <t>ABC-009</t>
  </si>
  <si>
    <t>ABC-005</t>
  </si>
  <si>
    <t>ABC-010</t>
  </si>
  <si>
    <t>Demonstrating main parameters:</t>
  </si>
  <si>
    <t>Union of data tables without matching</t>
  </si>
  <si>
    <t>(no titles)</t>
  </si>
  <si>
    <t>Union of data tables with matching</t>
  </si>
  <si>
    <t xml:space="preserve"> -&gt; unmatched titles</t>
  </si>
  <si>
    <t xml:space="preserve"> -&gt; matched titles</t>
  </si>
  <si>
    <t>Union of data tables with different numbers of columns</t>
  </si>
  <si>
    <t>Union of data tables with columns in different orders</t>
  </si>
  <si>
    <t xml:space="preserve"> -&gt; matching on titles</t>
  </si>
  <si>
    <t xml:space="preserve"> -&gt; matching on relative position</t>
  </si>
  <si>
    <t>Demonstrating replacing #N/A values:</t>
  </si>
  <si>
    <t xml:space="preserve"> -&gt; not replacing #N/A values</t>
  </si>
  <si>
    <t xml:space="preserve"> -&gt; replacing #N/A values with blanks</t>
  </si>
  <si>
    <t xml:space="preserve"> -&gt; replacing #N/A values with a zero value</t>
  </si>
  <si>
    <t xml:space="preserve"> -&gt; replacing #N/A values with a string</t>
  </si>
  <si>
    <t>Demonstrating use of output title row:</t>
  </si>
  <si>
    <t xml:space="preserve"> -&gt; replacing #N/A values with zero values</t>
  </si>
  <si>
    <t xml:space="preserve"> -&gt; Include titles row? </t>
  </si>
  <si>
    <t xml:space="preserve"> -&gt; referencing output titles array</t>
  </si>
  <si>
    <t xml:space="preserve"> -&gt; adding custom titles row array</t>
  </si>
  <si>
    <t>Join Function</t>
  </si>
  <si>
    <t>A custom Lambda function which replicates the output from a SQL JOIN operation</t>
  </si>
  <si>
    <t xml:space="preserve"> -- Joins two input arrays together, matching rows which share a unique id field/column</t>
  </si>
  <si>
    <t xml:space="preserve"> -- ability to output equivalent of LEFT/RIGHT/INNER/OUTER JOINs</t>
  </si>
  <si>
    <t>Ideally would match the same columns to avoid replication or allow for user to choose which columns to include in output from each input array</t>
  </si>
  <si>
    <r>
      <t xml:space="preserve">Have ability to replace </t>
    </r>
    <r>
      <rPr>
        <sz val="10"/>
        <color rgb="FFC00000"/>
        <rFont val="Consolas"/>
        <family val="3"/>
      </rPr>
      <t>#N/A</t>
    </r>
    <r>
      <rPr>
        <sz val="10"/>
        <color rgb="FF002138"/>
        <rFont val="Calibri"/>
        <family val="2"/>
        <scheme val="minor"/>
      </rPr>
      <t xml:space="preserve"> values which will be produced for blank spaces in the combined output</t>
    </r>
  </si>
  <si>
    <t>ID</t>
  </si>
  <si>
    <t>Col.10</t>
  </si>
  <si>
    <t>Col.20</t>
  </si>
  <si>
    <t>Col.30</t>
  </si>
  <si>
    <t>X-001</t>
  </si>
  <si>
    <t>X-003</t>
  </si>
  <si>
    <t>£££</t>
  </si>
  <si>
    <t>!</t>
  </si>
  <si>
    <t>X-009</t>
  </si>
  <si>
    <t>(</t>
  </si>
  <si>
    <t>nine</t>
  </si>
  <si>
    <t>X-002</t>
  </si>
  <si>
    <t>X-006</t>
  </si>
  <si>
    <t>^^^</t>
  </si>
  <si>
    <t>"</t>
  </si>
  <si>
    <t>X-007</t>
  </si>
  <si>
    <t>&amp;</t>
  </si>
  <si>
    <t>seven</t>
  </si>
  <si>
    <t>X-004</t>
  </si>
  <si>
    <t>$$$</t>
  </si>
  <si>
    <t>£</t>
  </si>
  <si>
    <t>X-010</t>
  </si>
  <si>
    <t>ten</t>
  </si>
  <si>
    <t>&amp;&amp;&amp;</t>
  </si>
  <si>
    <t>$</t>
  </si>
  <si>
    <t>two</t>
  </si>
  <si>
    <t>X-005</t>
  </si>
  <si>
    <t>!!!</t>
  </si>
  <si>
    <t>%</t>
  </si>
  <si>
    <t>four</t>
  </si>
  <si>
    <t>"""</t>
  </si>
  <si>
    <t>^</t>
  </si>
  <si>
    <t>X-008</t>
  </si>
  <si>
    <t>*</t>
  </si>
  <si>
    <t>eight</t>
  </si>
  <si>
    <t>***</t>
  </si>
  <si>
    <t>X-012</t>
  </si>
  <si>
    <t>@</t>
  </si>
  <si>
    <t>twelve</t>
  </si>
  <si>
    <t>%%%</t>
  </si>
  <si>
    <t>one</t>
  </si>
  <si>
    <t>six</t>
  </si>
  <si>
    <t>X-011</t>
  </si>
  <si>
    <t>~</t>
  </si>
  <si>
    <t>eleven</t>
  </si>
  <si>
    <t>Initial Development</t>
  </si>
  <si>
    <t xml:space="preserve"> - Start by attempting to match unique id rows in second array against each row in the first array</t>
  </si>
  <si>
    <t xml:space="preserve">  -- use the unique id row in the first array to filter the second array into matched and unmatched</t>
  </si>
  <si>
    <t xml:space="preserve">  -- create a new array which has the same number of rows as the full first array but uses rows from the second array where the unique id matches</t>
  </si>
  <si>
    <t xml:space="preserve">  -- use HSTACK() to join the first array and the newly created matching array as the output</t>
  </si>
  <si>
    <t>Matching unique id columns and creating an index array for second_array</t>
  </si>
  <si>
    <t xml:space="preserve"> -&gt; [1st data set]  matching number of items, random order in second_array</t>
  </si>
  <si>
    <t>Calculation</t>
  </si>
  <si>
    <t>Proof - second_array using calculated Index</t>
  </si>
  <si>
    <t>Index</t>
  </si>
  <si>
    <t xml:space="preserve"> -&gt; [1st data set]  missing items in second_array + random order</t>
  </si>
  <si>
    <t>Matching ID columns, creating new second_array, and combining with first_array for output</t>
  </si>
  <si>
    <t>Filtering unmatched rows from first_array and second_array to help with forming different Join outputs</t>
  </si>
  <si>
    <t xml:space="preserve"> -&gt; [2nd test data set]  unmatched ID items in both first_array (ordered) and second_array (random order)</t>
  </si>
  <si>
    <t>Left Fltr</t>
  </si>
  <si>
    <t>Right Idx</t>
  </si>
  <si>
    <t>Right Fltr</t>
  </si>
  <si>
    <t>Matching ID columns, creating new second_array + combining with first_array, producing OUTER JOIN / FULL JOIN style output</t>
  </si>
  <si>
    <t>Matching ID columns, creating new second_array + combining with first_array, producing INNER JOIN style output</t>
  </si>
  <si>
    <t>Dealing with output_type input options -- determines type of JOIN style to output</t>
  </si>
  <si>
    <t>Options</t>
  </si>
  <si>
    <t>join_type</t>
  </si>
  <si>
    <t>Number</t>
  </si>
  <si>
    <t>Text</t>
  </si>
  <si>
    <t>left</t>
  </si>
  <si>
    <t>right</t>
  </si>
  <si>
    <t>inner</t>
  </si>
  <si>
    <t>full</t>
  </si>
  <si>
    <t>Combining versions (E), (F), and (G) to allow for user to set output type via input</t>
  </si>
  <si>
    <t xml:space="preserve">join_type: </t>
  </si>
  <si>
    <t>Updating version (H) to cope with empty/null arrays from calculated steps</t>
  </si>
  <si>
    <t>more than one match column</t>
  </si>
  <si>
    <t>Extending Functionality</t>
  </si>
  <si>
    <t>Using an input array of column indexes to set the columns to output</t>
  </si>
  <si>
    <t xml:space="preserve"> -&gt; [1st data set]  developing with single input array</t>
  </si>
  <si>
    <t>match_column</t>
  </si>
  <si>
    <t>Updating version (I) with (J) to provide for setting output columns and order</t>
  </si>
  <si>
    <t xml:space="preserve">first_array_cols: </t>
  </si>
  <si>
    <t xml:space="preserve">second_array_cols: </t>
  </si>
  <si>
    <t>Updating version (K) to allow for sorting of output on match column (unique ID columns)</t>
  </si>
  <si>
    <t xml:space="preserve">sort: </t>
  </si>
  <si>
    <t>Developing options for replacing #N/A values</t>
  </si>
  <si>
    <t xml:space="preserve">Calculation: </t>
  </si>
  <si>
    <t>Updating version (L) with version (M) to allow for replacing #N/A values in the calculated and filtered output</t>
  </si>
  <si>
    <t>Input Checks &amp; Optional Parameters</t>
  </si>
  <si>
    <t>Testing input checks for function inputs</t>
  </si>
  <si>
    <t xml:space="preserve">first_array_index: </t>
  </si>
  <si>
    <t xml:space="preserve">second_array_index: </t>
  </si>
  <si>
    <t>Updating version (N) with version (O) to include input checks + conversion to LAMBDA() function</t>
  </si>
  <si>
    <t>Updated Functionality for Row Matching</t>
  </si>
  <si>
    <t>Allowing for multiple columns provided for the matching columns</t>
  </si>
  <si>
    <t xml:space="preserve">first_match_index: </t>
  </si>
  <si>
    <t xml:space="preserve">second_match_index: </t>
  </si>
  <si>
    <t>Lambda function which provides the ability to replicate a SQL JOIN operation on the worksheet</t>
  </si>
  <si>
    <t>The Join functionality will join/add two data tables together matching rows where possible based on a chosen column in each input array</t>
  </si>
  <si>
    <t>The first or main (primary/left) data array, to which the second (secondary/right) data array will be joined</t>
  </si>
  <si>
    <t>The second (secondary/right) data array, which is joined to the first (primary/left) data array</t>
  </si>
  <si>
    <t>first_match_index</t>
  </si>
  <si>
    <r>
      <t xml:space="preserve">The column number(s) of the column(s) to use for matching in the </t>
    </r>
    <r>
      <rPr>
        <sz val="10"/>
        <color rgb="FF0065A8"/>
        <rFont val="Consolas"/>
        <family val="3"/>
      </rPr>
      <t>first_array</t>
    </r>
    <r>
      <rPr>
        <sz val="10"/>
        <color rgb="FF002138"/>
        <rFont val="Calibri"/>
        <family val="2"/>
        <scheme val="minor"/>
      </rPr>
      <t xml:space="preserve"> (e.g. </t>
    </r>
    <r>
      <rPr>
        <sz val="10"/>
        <color rgb="FF0000FF"/>
        <rFont val="Consolas"/>
        <family val="3"/>
      </rPr>
      <t>1</t>
    </r>
    <r>
      <rPr>
        <sz val="10"/>
        <color rgb="FF002138"/>
        <rFont val="Calibri"/>
        <family val="2"/>
        <scheme val="minor"/>
      </rPr>
      <t xml:space="preserve"> for the 1st column of the array, </t>
    </r>
    <r>
      <rPr>
        <sz val="10"/>
        <color rgb="FF0000FF"/>
        <rFont val="Consolas"/>
        <family val="3"/>
      </rPr>
      <t>2</t>
    </r>
    <r>
      <rPr>
        <sz val="10"/>
        <color rgb="FF002138"/>
        <rFont val="Calibri"/>
        <family val="2"/>
        <scheme val="minor"/>
      </rPr>
      <t xml:space="preserve"> for the 2nd column, etc.)</t>
    </r>
  </si>
  <si>
    <t>second_match_index</t>
  </si>
  <si>
    <r>
      <t xml:space="preserve">The column number(s) of the column(s) to use for matching in the </t>
    </r>
    <r>
      <rPr>
        <sz val="10"/>
        <color rgb="FF0065A8"/>
        <rFont val="Consolas"/>
        <family val="3"/>
      </rPr>
      <t>second_array</t>
    </r>
    <r>
      <rPr>
        <sz val="10"/>
        <color rgb="FF002138"/>
        <rFont val="Calibri"/>
        <family val="2"/>
        <scheme val="minor"/>
      </rPr>
      <t xml:space="preserve"> (e.g. </t>
    </r>
    <r>
      <rPr>
        <sz val="10"/>
        <color rgb="FF0000FF"/>
        <rFont val="Consolas"/>
        <family val="3"/>
      </rPr>
      <t>1</t>
    </r>
    <r>
      <rPr>
        <sz val="10"/>
        <color rgb="FF002138"/>
        <rFont val="Calibri"/>
        <family val="2"/>
        <scheme val="minor"/>
      </rPr>
      <t xml:space="preserve"> for the 1st column of the array, </t>
    </r>
    <r>
      <rPr>
        <sz val="10"/>
        <color rgb="FF0000FF"/>
        <rFont val="Consolas"/>
        <family val="3"/>
      </rPr>
      <t>2</t>
    </r>
    <r>
      <rPr>
        <sz val="10"/>
        <color rgb="FF002138"/>
        <rFont val="Calibri"/>
        <family val="2"/>
        <scheme val="minor"/>
      </rPr>
      <t xml:space="preserve"> for the 2nd column, etc.)</t>
    </r>
  </si>
  <si>
    <t>Determines the type of join output which the function produces</t>
  </si>
  <si>
    <t>Can be input as either a number or text string from the list of options below:</t>
  </si>
  <si>
    <t>"left"</t>
  </si>
  <si>
    <t>= LEFT JOIN</t>
  </si>
  <si>
    <t>= outputs all rows from the primary (left) array, including any unmatched rows</t>
  </si>
  <si>
    <t>"right"</t>
  </si>
  <si>
    <t>= RIGHT JOIN</t>
  </si>
  <si>
    <t>= outputs the matched and joined rows from the primary (left) array followed by any unmatched rows from the secondary (right) array</t>
  </si>
  <si>
    <t>"inner"</t>
  </si>
  <si>
    <t>= INNER JOIN</t>
  </si>
  <si>
    <t>= outputs only the rows from the primary (left) array which are matched and joined to the secondary (right) array</t>
  </si>
  <si>
    <t>"full"</t>
  </si>
  <si>
    <t>= FULL/OUTER JOIN</t>
  </si>
  <si>
    <t>= outputs all rows from the primary (left) array followed by unmatched rows from the secondary (right) array</t>
  </si>
  <si>
    <r>
      <t xml:space="preserve">If no input value is provided, will </t>
    </r>
    <r>
      <rPr>
        <b/>
        <sz val="10"/>
        <color rgb="FF002138"/>
        <rFont val="Calibri"/>
        <family val="2"/>
        <scheme val="minor"/>
      </rPr>
      <t>default</t>
    </r>
    <r>
      <rPr>
        <sz val="10"/>
        <color rgb="FF002138"/>
        <rFont val="Calibri"/>
        <family val="2"/>
        <scheme val="minor"/>
      </rPr>
      <t xml:space="preserve"> to </t>
    </r>
    <r>
      <rPr>
        <sz val="10"/>
        <color rgb="FF0000FF"/>
        <rFont val="Consolas"/>
        <family val="3"/>
      </rPr>
      <t>0</t>
    </r>
    <r>
      <rPr>
        <sz val="10"/>
        <color rgb="FF002138"/>
        <rFont val="Calibri"/>
        <family val="2"/>
        <scheme val="minor"/>
      </rPr>
      <t xml:space="preserve"> (LEFT JOIN)</t>
    </r>
  </si>
  <si>
    <t>first_array_cols</t>
  </si>
  <si>
    <r>
      <t xml:space="preserve">An array of column index values that determines which columns from the </t>
    </r>
    <r>
      <rPr>
        <sz val="10"/>
        <color rgb="FF0065A8"/>
        <rFont val="Consolas"/>
        <family val="3"/>
      </rPr>
      <t>first_array</t>
    </r>
    <r>
      <rPr>
        <sz val="10"/>
        <color rgb="FF002138"/>
        <rFont val="Calibri"/>
        <family val="2"/>
        <scheme val="minor"/>
      </rPr>
      <t xml:space="preserve"> (primary/left array) will be included in the function output</t>
    </r>
  </si>
  <si>
    <r>
      <t xml:space="preserve">The input should be provided as a single row of comma-separated integer values, e.g. </t>
    </r>
    <r>
      <rPr>
        <sz val="10"/>
        <color rgb="FF0000FF"/>
        <rFont val="Consolas"/>
        <family val="3"/>
      </rPr>
      <t>{1,2,3}</t>
    </r>
  </si>
  <si>
    <r>
      <t xml:space="preserve">If no input is provided, will </t>
    </r>
    <r>
      <rPr>
        <b/>
        <sz val="10"/>
        <color rgb="FF002138"/>
        <rFont val="Calibri"/>
        <family val="2"/>
        <scheme val="minor"/>
      </rPr>
      <t>default</t>
    </r>
    <r>
      <rPr>
        <sz val="10"/>
        <color rgb="FF002138"/>
        <rFont val="Calibri"/>
        <family val="2"/>
        <scheme val="minor"/>
      </rPr>
      <t xml:space="preserve"> to including all columns from the </t>
    </r>
    <r>
      <rPr>
        <sz val="10"/>
        <color rgb="FF0065A8"/>
        <rFont val="Consolas"/>
        <family val="3"/>
      </rPr>
      <t>first_array</t>
    </r>
  </si>
  <si>
    <t>second_array_cols</t>
  </si>
  <si>
    <r>
      <t xml:space="preserve">An array of column index values that determines which columns from the </t>
    </r>
    <r>
      <rPr>
        <sz val="10"/>
        <color rgb="FF0065A8"/>
        <rFont val="Consolas"/>
        <family val="3"/>
      </rPr>
      <t>second_array</t>
    </r>
    <r>
      <rPr>
        <sz val="10"/>
        <color rgb="FF002138"/>
        <rFont val="Calibri"/>
        <family val="2"/>
        <scheme val="minor"/>
      </rPr>
      <t xml:space="preserve"> (secondary/right array) will be included in the function output</t>
    </r>
  </si>
  <si>
    <r>
      <t xml:space="preserve">If no input is provided, will </t>
    </r>
    <r>
      <rPr>
        <b/>
        <sz val="10"/>
        <color rgb="FF002138"/>
        <rFont val="Calibri"/>
        <family val="2"/>
        <scheme val="minor"/>
      </rPr>
      <t>default</t>
    </r>
    <r>
      <rPr>
        <sz val="10"/>
        <color rgb="FF002138"/>
        <rFont val="Calibri"/>
        <family val="2"/>
        <scheme val="minor"/>
      </rPr>
      <t xml:space="preserve"> to including all columns from the </t>
    </r>
    <r>
      <rPr>
        <sz val="10"/>
        <color rgb="FF0065A8"/>
        <rFont val="Consolas"/>
        <family val="3"/>
      </rPr>
      <t>second_array</t>
    </r>
  </si>
  <si>
    <t>sort</t>
  </si>
  <si>
    <t>Allows the user to sort the function output based on the match column(s)</t>
  </si>
  <si>
    <t>Can be input as either a number or a logical/Boolean value:</t>
  </si>
  <si>
    <t>= no sorting</t>
  </si>
  <si>
    <t>= function output sorted in ascending order (e.g. A-Z or 1-9)</t>
  </si>
  <si>
    <t>= function output sorted in descending order (e.g. Z-A or 9-1)</t>
  </si>
  <si>
    <r>
      <t xml:space="preserve">If no input is provided, will </t>
    </r>
    <r>
      <rPr>
        <b/>
        <sz val="10"/>
        <color rgb="FF002138"/>
        <rFont val="Calibri"/>
        <family val="2"/>
        <scheme val="minor"/>
      </rPr>
      <t>default</t>
    </r>
    <r>
      <rPr>
        <sz val="10"/>
        <color rgb="FF002138"/>
        <rFont val="Calibri"/>
        <family val="2"/>
        <scheme val="minor"/>
      </rPr>
      <t xml:space="preserve"> to an unsorted output (</t>
    </r>
    <r>
      <rPr>
        <sz val="10"/>
        <color rgb="FF0000FF"/>
        <rFont val="Consolas"/>
        <family val="3"/>
      </rPr>
      <t>0</t>
    </r>
    <r>
      <rPr>
        <sz val="10"/>
        <color rgb="FF002138"/>
        <rFont val="Calibri"/>
        <family val="2"/>
        <scheme val="minor"/>
      </rPr>
      <t>/</t>
    </r>
    <r>
      <rPr>
        <sz val="10"/>
        <color rgb="FF0000FF"/>
        <rFont val="Consolas"/>
        <family val="3"/>
      </rPr>
      <t>FALSE</t>
    </r>
    <r>
      <rPr>
        <sz val="10"/>
        <color rgb="FF002138"/>
        <rFont val="Calibri"/>
        <family val="2"/>
        <scheme val="minor"/>
      </rPr>
      <t>)</t>
    </r>
  </si>
  <si>
    <r>
      <t xml:space="preserve">Allows the user to replace any </t>
    </r>
    <r>
      <rPr>
        <sz val="10"/>
        <color rgb="FFC00000"/>
        <rFont val="Consolas"/>
        <family val="3"/>
      </rPr>
      <t>#N/A</t>
    </r>
    <r>
      <rPr>
        <sz val="10"/>
        <color rgb="FF002138"/>
        <rFont val="Calibri"/>
        <family val="2"/>
        <scheme val="minor"/>
      </rPr>
      <t xml:space="preserve"> values in the function output to be replaced with a provided value or a blank text string (</t>
    </r>
    <r>
      <rPr>
        <sz val="10"/>
        <color rgb="FF002138"/>
        <rFont val="Consolas"/>
        <family val="3"/>
      </rPr>
      <t>""</t>
    </r>
    <r>
      <rPr>
        <sz val="10"/>
        <color rgb="FF002138"/>
        <rFont val="Calibri"/>
        <family val="2"/>
        <scheme val="minor"/>
      </rPr>
      <t>)</t>
    </r>
  </si>
  <si>
    <t>Can be input as either a logical/Boolean value or any other value:</t>
  </si>
  <si>
    <r>
      <t xml:space="preserve">= no replacement of </t>
    </r>
    <r>
      <rPr>
        <sz val="10"/>
        <color rgb="FFC00000"/>
        <rFont val="Consolas"/>
        <family val="3"/>
      </rPr>
      <t>#N/A</t>
    </r>
    <r>
      <rPr>
        <sz val="10"/>
        <color rgb="FF002138"/>
        <rFont val="Calibri"/>
        <family val="2"/>
        <scheme val="minor"/>
      </rPr>
      <t xml:space="preserve"> values</t>
    </r>
  </si>
  <si>
    <r>
      <t xml:space="preserve">= replacing </t>
    </r>
    <r>
      <rPr>
        <sz val="10"/>
        <color rgb="FFC00000"/>
        <rFont val="Consolas"/>
        <family val="3"/>
      </rPr>
      <t>#N/A</t>
    </r>
    <r>
      <rPr>
        <sz val="10"/>
        <color rgb="FF002138"/>
        <rFont val="Calibri"/>
        <family val="2"/>
        <scheme val="minor"/>
      </rPr>
      <t xml:space="preserve"> values with a blank text string (</t>
    </r>
    <r>
      <rPr>
        <sz val="10"/>
        <color rgb="FF002138"/>
        <rFont val="Consolas"/>
        <family val="3"/>
      </rPr>
      <t>""</t>
    </r>
    <r>
      <rPr>
        <sz val="10"/>
        <color rgb="FF002138"/>
        <rFont val="Calibri"/>
        <family val="2"/>
        <scheme val="minor"/>
      </rPr>
      <t>)</t>
    </r>
  </si>
  <si>
    <t>[other]</t>
  </si>
  <si>
    <r>
      <t xml:space="preserve">= replacing </t>
    </r>
    <r>
      <rPr>
        <sz val="10"/>
        <color rgb="FFC00000"/>
        <rFont val="Consolas"/>
        <family val="3"/>
      </rPr>
      <t>#N/A</t>
    </r>
    <r>
      <rPr>
        <sz val="10"/>
        <color rgb="FF002138"/>
        <rFont val="Calibri"/>
        <family val="2"/>
        <scheme val="minor"/>
      </rPr>
      <t xml:space="preserve"> values with the value provided</t>
    </r>
  </si>
  <si>
    <r>
      <t xml:space="preserve">If no input is provided, will </t>
    </r>
    <r>
      <rPr>
        <b/>
        <sz val="10"/>
        <color rgb="FF002138"/>
        <rFont val="Calibri"/>
        <family val="2"/>
        <scheme val="minor"/>
      </rPr>
      <t>default</t>
    </r>
    <r>
      <rPr>
        <sz val="10"/>
        <color rgb="FF002138"/>
        <rFont val="Calibri"/>
        <family val="2"/>
        <scheme val="minor"/>
      </rPr>
      <t xml:space="preserve"> to no replacement (</t>
    </r>
    <r>
      <rPr>
        <sz val="10"/>
        <color rgb="FF0000FF"/>
        <rFont val="Consolas"/>
        <family val="3"/>
      </rPr>
      <t>FALSE</t>
    </r>
    <r>
      <rPr>
        <sz val="10"/>
        <color rgb="FF002138"/>
        <rFont val="Calibri"/>
        <family val="2"/>
        <scheme val="minor"/>
      </rPr>
      <t>)</t>
    </r>
  </si>
  <si>
    <r>
      <t>Required input parameters (</t>
    </r>
    <r>
      <rPr>
        <sz val="10"/>
        <color rgb="FF0065A8"/>
        <rFont val="Consolas"/>
        <family val="3"/>
      </rPr>
      <t>first_array</t>
    </r>
    <r>
      <rPr>
        <sz val="10"/>
        <color rgb="FF002138"/>
        <rFont val="Calibri"/>
        <family val="2"/>
        <scheme val="minor"/>
      </rPr>
      <t xml:space="preserve">, </t>
    </r>
    <r>
      <rPr>
        <sz val="10"/>
        <color rgb="FF0065A8"/>
        <rFont val="Consolas"/>
        <family val="3"/>
      </rPr>
      <t>second_array</t>
    </r>
    <r>
      <rPr>
        <sz val="10"/>
        <color rgb="FF002138"/>
        <rFont val="Calibri"/>
        <family val="2"/>
        <scheme val="minor"/>
      </rPr>
      <t xml:space="preserve">, </t>
    </r>
    <r>
      <rPr>
        <sz val="10"/>
        <color rgb="FF0065A8"/>
        <rFont val="Consolas"/>
        <family val="3"/>
      </rPr>
      <t>first_match_index</t>
    </r>
    <r>
      <rPr>
        <sz val="10"/>
        <color rgb="FF002138"/>
        <rFont val="Calibri"/>
        <family val="2"/>
        <scheme val="minor"/>
      </rPr>
      <t xml:space="preserve">, </t>
    </r>
    <r>
      <rPr>
        <sz val="10"/>
        <color rgb="FF0065A8"/>
        <rFont val="Consolas"/>
        <family val="3"/>
      </rPr>
      <t>second_match_index</t>
    </r>
    <r>
      <rPr>
        <sz val="10"/>
        <color rgb="FF002138"/>
        <rFont val="Calibri"/>
        <family val="2"/>
        <scheme val="minor"/>
      </rPr>
      <t>) have not been provided</t>
    </r>
  </si>
  <si>
    <r>
      <t xml:space="preserve">The value(s) provided for the </t>
    </r>
    <r>
      <rPr>
        <sz val="10"/>
        <color rgb="FF0065A8"/>
        <rFont val="Consolas"/>
        <family val="3"/>
      </rPr>
      <t>first_match_index</t>
    </r>
    <r>
      <rPr>
        <sz val="10"/>
        <color rgb="FF002138"/>
        <rFont val="Calibri"/>
        <family val="2"/>
        <scheme val="minor"/>
      </rPr>
      <t xml:space="preserve"> and/or </t>
    </r>
    <r>
      <rPr>
        <sz val="10"/>
        <color rgb="FF0065A8"/>
        <rFont val="Consolas"/>
        <family val="3"/>
      </rPr>
      <t>second_match_index</t>
    </r>
    <r>
      <rPr>
        <sz val="10"/>
        <color rgb="FF002138"/>
        <rFont val="Calibri"/>
        <family val="2"/>
        <scheme val="minor"/>
      </rPr>
      <t xml:space="preserve"> are invalid (e.g. text or error values) or exceed the corresponding column index ranges</t>
    </r>
  </si>
  <si>
    <r>
      <t xml:space="preserve">e.g. a number less than 1 or a number greater than the number of columns in the </t>
    </r>
    <r>
      <rPr>
        <sz val="10"/>
        <color rgb="FF0065A8"/>
        <rFont val="Consolas"/>
        <family val="3"/>
      </rPr>
      <t>first_array</t>
    </r>
    <r>
      <rPr>
        <sz val="10"/>
        <color rgb="FF002138"/>
        <rFont val="Calibri"/>
        <family val="2"/>
        <scheme val="minor"/>
      </rPr>
      <t xml:space="preserve"> or </t>
    </r>
    <r>
      <rPr>
        <sz val="10"/>
        <color rgb="FF0065A8"/>
        <rFont val="Consolas"/>
        <family val="3"/>
      </rPr>
      <t>second_array</t>
    </r>
  </si>
  <si>
    <r>
      <t xml:space="preserve">The value(s) provided in the </t>
    </r>
    <r>
      <rPr>
        <sz val="10"/>
        <color rgb="FF0065A8"/>
        <rFont val="Consolas"/>
        <family val="3"/>
      </rPr>
      <t>first_array_cols</t>
    </r>
    <r>
      <rPr>
        <sz val="10"/>
        <color rgb="FF002138"/>
        <rFont val="Calibri"/>
        <family val="2"/>
        <scheme val="minor"/>
      </rPr>
      <t xml:space="preserve"> and/or </t>
    </r>
    <r>
      <rPr>
        <sz val="10"/>
        <color rgb="FF0065A8"/>
        <rFont val="Consolas"/>
        <family val="3"/>
      </rPr>
      <t>second_array_cols</t>
    </r>
    <r>
      <rPr>
        <sz val="10"/>
        <color rgb="FF002138"/>
        <rFont val="Calibri"/>
        <family val="2"/>
        <scheme val="minor"/>
      </rPr>
      <t xml:space="preserve"> are invalid (e.g. text or error values) or exceed the corresponding column index ranges</t>
    </r>
  </si>
  <si>
    <r>
      <t xml:space="preserve">Optional input parameters </t>
    </r>
    <r>
      <rPr>
        <sz val="10"/>
        <color rgb="FF0065A8"/>
        <rFont val="Consolas"/>
        <family val="3"/>
      </rPr>
      <t>join_type</t>
    </r>
    <r>
      <rPr>
        <sz val="10"/>
        <color rgb="FF002138"/>
        <rFont val="Calibri"/>
        <family val="2"/>
        <scheme val="minor"/>
      </rPr>
      <t xml:space="preserve"> and </t>
    </r>
    <r>
      <rPr>
        <sz val="10"/>
        <color rgb="FF0065A8"/>
        <rFont val="Consolas"/>
        <family val="3"/>
      </rPr>
      <t>sort</t>
    </r>
    <r>
      <rPr>
        <sz val="10"/>
        <color rgb="FF002138"/>
        <rFont val="Calibri"/>
        <family val="2"/>
        <scheme val="minor"/>
      </rPr>
      <t xml:space="preserve"> have invalid input values provided</t>
    </r>
  </si>
  <si>
    <r>
      <t xml:space="preserve">e.g. for </t>
    </r>
    <r>
      <rPr>
        <sz val="10"/>
        <color rgb="FF0065A8"/>
        <rFont val="Consolas"/>
        <family val="3"/>
      </rPr>
      <t>join_type</t>
    </r>
    <r>
      <rPr>
        <sz val="10"/>
        <color rgb="FF002138"/>
        <rFont val="Calibri"/>
        <family val="2"/>
        <scheme val="minor"/>
      </rPr>
      <t xml:space="preserve"> a number outside of the range </t>
    </r>
    <r>
      <rPr>
        <sz val="10"/>
        <color rgb="FF0000FF"/>
        <rFont val="Consolas"/>
        <family val="3"/>
      </rPr>
      <t>0</t>
    </r>
    <r>
      <rPr>
        <sz val="10"/>
        <color rgb="FF002138"/>
        <rFont val="Calibri"/>
        <family val="2"/>
        <scheme val="minor"/>
      </rPr>
      <t>-to-</t>
    </r>
    <r>
      <rPr>
        <sz val="10"/>
        <color rgb="FF0000FF"/>
        <rFont val="Consolas"/>
        <family val="3"/>
      </rPr>
      <t>3</t>
    </r>
    <r>
      <rPr>
        <sz val="10"/>
        <color rgb="FF002138"/>
        <rFont val="Calibri"/>
        <family val="2"/>
        <scheme val="minor"/>
      </rPr>
      <t xml:space="preserve"> or a text string not from expected options; for </t>
    </r>
    <r>
      <rPr>
        <sz val="10"/>
        <color rgb="FF0065A8"/>
        <rFont val="Consolas"/>
        <family val="3"/>
      </rPr>
      <t>sort</t>
    </r>
    <r>
      <rPr>
        <sz val="10"/>
        <color rgb="FF002138"/>
        <rFont val="Calibri"/>
        <family val="2"/>
        <scheme val="minor"/>
      </rPr>
      <t xml:space="preserve"> a number outside of the range </t>
    </r>
    <r>
      <rPr>
        <sz val="10"/>
        <color rgb="FF0000FF"/>
        <rFont val="Consolas"/>
        <family val="3"/>
      </rPr>
      <t>-1</t>
    </r>
    <r>
      <rPr>
        <sz val="10"/>
        <color rgb="FF002138"/>
        <rFont val="Calibri"/>
        <family val="2"/>
        <scheme val="minor"/>
      </rPr>
      <t>-to-</t>
    </r>
    <r>
      <rPr>
        <sz val="10"/>
        <color rgb="FF0000FF"/>
        <rFont val="Consolas"/>
        <family val="3"/>
      </rPr>
      <t>1</t>
    </r>
    <r>
      <rPr>
        <sz val="10"/>
        <color rgb="FF002138"/>
        <rFont val="Calibri"/>
        <family val="2"/>
        <scheme val="minor"/>
      </rPr>
      <t xml:space="preserve"> or a value other than </t>
    </r>
    <r>
      <rPr>
        <sz val="10"/>
        <color rgb="FF0000FF"/>
        <rFont val="Consolas"/>
        <family val="3"/>
      </rPr>
      <t>TRUE</t>
    </r>
    <r>
      <rPr>
        <sz val="10"/>
        <color rgb="FF002138"/>
        <rFont val="Calibri"/>
        <family val="2"/>
        <scheme val="minor"/>
      </rPr>
      <t>/</t>
    </r>
    <r>
      <rPr>
        <sz val="10"/>
        <color rgb="FF0000FF"/>
        <rFont val="Consolas"/>
        <family val="3"/>
      </rPr>
      <t>FALSE</t>
    </r>
  </si>
  <si>
    <t xml:space="preserve"> - The main/primary (left) array is given preference over the secondary (right) array with the row order of primary (left) being used for the main function output. For example, with the FULL / OUTER JOIN style</t>
  </si>
  <si>
    <t xml:space="preserve">   output, the primary (left) rows are returned in their original row order, followed by any unmatched rows from the secondary (right) array maintaining the original row order of the secondary (right) array.</t>
  </si>
  <si>
    <t xml:space="preserve"> - The matching column indices (first_match_index, second_match_index) can be supplied as either a single number or an array of numbers. Where an array of indices is used the row matching will be based on</t>
  </si>
  <si>
    <t xml:space="preserve">   the combination of values from each of the selected input array columns. The chosen columns can gbe from any position in the correspnding input array and do not have to be adjacent (e.g. selecting the 1st </t>
  </si>
  <si>
    <t xml:space="preserve">   and 3rd columns using {1,3}).</t>
  </si>
  <si>
    <r>
      <t xml:space="preserve"> - If the </t>
    </r>
    <r>
      <rPr>
        <sz val="10"/>
        <color rgb="FF0065A8"/>
        <rFont val="Consolas"/>
        <family val="3"/>
      </rPr>
      <t>sort</t>
    </r>
    <r>
      <rPr>
        <sz val="10"/>
        <color rgb="FF002138"/>
        <rFont val="Calibri"/>
        <family val="2"/>
        <scheme val="minor"/>
      </rPr>
      <t xml:space="preserve"> option is used, sorting is applied after the output has been constructed and filtered as appropriate, so the row order is purely based on sorting of the combined match column(s) values from both</t>
    </r>
  </si>
  <si>
    <r>
      <t xml:space="preserve">   the </t>
    </r>
    <r>
      <rPr>
        <sz val="10"/>
        <color rgb="FF0065A8"/>
        <rFont val="Consolas"/>
        <family val="3"/>
      </rPr>
      <t>first_array</t>
    </r>
    <r>
      <rPr>
        <sz val="10"/>
        <color rgb="FF002138"/>
        <rFont val="Calibri"/>
        <family val="2"/>
        <scheme val="minor"/>
      </rPr>
      <t xml:space="preserve"> and </t>
    </r>
    <r>
      <rPr>
        <sz val="10"/>
        <color rgb="FF0065A8"/>
        <rFont val="Consolas"/>
        <family val="3"/>
      </rPr>
      <t>second_array</t>
    </r>
    <r>
      <rPr>
        <sz val="10"/>
        <color rgb="FF002138"/>
        <rFont val="Calibri"/>
        <family val="2"/>
        <scheme val="minor"/>
      </rPr>
      <t>.</t>
    </r>
  </si>
  <si>
    <r>
      <t xml:space="preserve"> - The array output column index values (</t>
    </r>
    <r>
      <rPr>
        <sz val="10"/>
        <color rgb="FF0065A8"/>
        <rFont val="Consolas"/>
        <family val="3"/>
      </rPr>
      <t>first_array_cols</t>
    </r>
    <r>
      <rPr>
        <sz val="10"/>
        <color rgb="FF002138"/>
        <rFont val="Calibri"/>
        <family val="2"/>
        <scheme val="minor"/>
      </rPr>
      <t xml:space="preserve">, </t>
    </r>
    <r>
      <rPr>
        <sz val="10"/>
        <color rgb="FF0065A8"/>
        <rFont val="Consolas"/>
        <family val="3"/>
      </rPr>
      <t>second_array_cols</t>
    </r>
    <r>
      <rPr>
        <sz val="10"/>
        <color rgb="FF002138"/>
        <rFont val="Calibri"/>
        <family val="2"/>
        <scheme val="minor"/>
      </rPr>
      <t>) can be entered in any order to re-arrange the order that they are output by the function. However, the chosen columns</t>
    </r>
  </si>
  <si>
    <t xml:space="preserve">   from the primary (left) array will be output first followed by the chosen columns from the secondary (right) array. The array column(s) used for row matching do not have to be included in the output but can be.</t>
  </si>
  <si>
    <t>first_match_index,</t>
  </si>
  <si>
    <t>second_match_index,</t>
  </si>
  <si>
    <t>[join_type],</t>
  </si>
  <si>
    <t>[first_array_cols],</t>
  </si>
  <si>
    <t>[second_array_cols],</t>
  </si>
  <si>
    <t>[sort],</t>
  </si>
  <si>
    <t>_arr1, first_array,</t>
  </si>
  <si>
    <t>_arr2, second_array,</t>
  </si>
  <si>
    <t>_col1, first_match_index,</t>
  </si>
  <si>
    <t>_col2, second_match_index,</t>
  </si>
  <si>
    <t>_idx1, IF( ISOMITTED(first_array_cols), SEQUENCE(1, COLUMNS(_arr1)),</t>
  </si>
  <si>
    <t>IF( SUM(--ISERROR(first_array_cols)) &gt; 0, 0, first_array_cols)),</t>
  </si>
  <si>
    <t>_idx2, IF( ISOMITTED(second_array_cols), SEQUENCE(1, COLUMNS(_arr2)),</t>
  </si>
  <si>
    <t>IF( SUM(--ISERROR(second_array_cols)) &gt; 0, 0, second_array_cols)),</t>
  </si>
  <si>
    <t>_inpT, IF( ISOMITTED(join_type), 0, INT(join_type)),</t>
  </si>
  <si>
    <t>_typ, IF( ISNUMBER(_inpT), _inpT + 1,</t>
  </si>
  <si>
    <t>IFNA( MATCH( LOWER(join_type), {"left","right","inner","full"}, 0), -1)</t>
  </si>
  <si>
    <t>_srt, IF( ISOMITTED(sort), 0,</t>
  </si>
  <si>
    <t>IF( ISERROR(sort), "", INT(sort))),</t>
  </si>
  <si>
    <t>_inpR, IF( ISOMITTED(replace_na), FALSE, INDEX(replace_na, 1, 1)),</t>
  </si>
  <si>
    <t>_rep, IF( ISLOGICAL(_inpR),</t>
  </si>
  <si>
    <t>IF(_inpR, "", NA()),</t>
  </si>
  <si>
    <t>_inpR</t>
  </si>
  <si>
    <t>NOT(ISNUMBER(_col1)), NOT(ISNUMBER(_col2)),</t>
  </si>
  <si>
    <t>MIN(_col1) &lt; 1, MAX(_col1) &gt; COLUMNS(_arr1),</t>
  </si>
  <si>
    <t>MIN(_col2) &lt; 1, MAX(_col2) &gt; COLUMNS(_arr2),</t>
  </si>
  <si>
    <t>NOT(ISNUMBER(_idx1)), NOT(ISNUMBER(_idx2)),</t>
  </si>
  <si>
    <t>MIN(_idx1) &lt; 1, MAX(_idx1) &gt; COLUMNS(_arr1),</t>
  </si>
  <si>
    <t>MIN(_idx2) &lt; 1, MAX(_idx2) &gt; COLUMNS(_arr2)</t>
  </si>
  <si>
    <t>IF( OR(</t>
  </si>
  <si>
    <t>_typ &lt; 1, _typ &gt; 4,</t>
  </si>
  <si>
    <t>ISERROR(_srt), _srt &lt; -1, _srt &gt; 1</t>
  </si>
  <si>
    <t>// Creating the matching columns (_uId) and setting the columns for each output array (_out) prior to the JOIN</t>
  </si>
  <si>
    <t>_uId1, SCAN(0, SEQUENCE(ROWS(_arr1)), LAMBDA(_acc,_val, CONCAT(INDEX(_arr1, _val, _col1)))),</t>
  </si>
  <si>
    <t>_uId2, SCAN(0, SEQUENCE(ROWS(_arr2)), LAMBDA(_acc,_val, CONCAT(INDEX(_arr2, _val, _col2)))),</t>
  </si>
  <si>
    <t>_out1, CHOOSECOLS(_arr1, _idx1),</t>
  </si>
  <si>
    <t>_out2, CHOOSECOLS(_arr2, _idx2),</t>
  </si>
  <si>
    <t>// Calculating the number of columns in each of the output arrays (_cc)</t>
  </si>
  <si>
    <t>_cc1, COLUMNS(_out1),</t>
  </si>
  <si>
    <t>_cc2, COLUMNS(_out2),</t>
  </si>
  <si>
    <t>_ccS, _cc1 + IF(_srt &lt;&gt; 0, 1, 0),</t>
  </si>
  <si>
    <t>// Comparing each row of the first_array match column (_uId1) against the second_array match column (_uId2)</t>
  </si>
  <si>
    <t>// and creating an index of matching second_array rows for the first_array row order (_mtch)</t>
  </si>
  <si>
    <t>// An array of matched second_array rows is created (_arrN) in the correct order to match the first_array,</t>
  </si>
  <si>
    <t>// with unmatched rows being filled by a row of blank values</t>
  </si>
  <si>
    <t>_mtch, DROP(REDUCE(0, _uId1, LAMBDA(_acc,_val, VSTACK(_acc, IFNA(MATCH(_val, _uId2, 0), 0)))), 1),</t>
  </si>
  <si>
    <t>_blnk, MAKEARRAY(1, _cc2, LAMBDA(_r,_c, NA())),</t>
  </si>
  <si>
    <t>_arrN, DROP(REDUCE(0, _mtch, LAMBDA(_acc,_val, VSTACK(_acc, IF(_val = 0, _blnk, INDEX(_out2, _val, SEQUENCE(1, _cc2)))))), 1),</t>
  </si>
  <si>
    <t>// The second_array is filtered to leave any unmatched rows (_arrR) to be added to the end of the main</t>
  </si>
  <si>
    <t>// function output</t>
  </si>
  <si>
    <t>_arrR, LET(</t>
  </si>
  <si>
    <t>_fltr, SCAN(0, SEQUENCE( ROWS(_out2), 1), LAMBDA(_acc,_val, IF( ISNA(MATCH(_val, _mtch, 0)), 1, 0))),</t>
  </si>
  <si>
    <t>_arr, FILTER(_out2, _fltr = 1, "#[Empty]"),</t>
  </si>
  <si>
    <t>_mCl, FILTER(_uId2, _fltr = 1, NA()),</t>
  </si>
  <si>
    <t>_blnk, MAKEARRAY( ROWS(_arr), _cc1, LAMBDA(_r,_c, NA())),</t>
  </si>
  <si>
    <t>IF(_srt &lt;&gt; 0,</t>
  </si>
  <si>
    <t>HSTACK(_mCl, _blnk, _arr),</t>
  </si>
  <si>
    <t>HSTACK(_blnk, _arr)</t>
  </si>
  <si>
    <t xml:space="preserve">// The main joined output is created (_arrC) using the first_array output columns (_out1) and the </t>
  </si>
  <si>
    <t>// matched second_array output columns (_arrR)</t>
  </si>
  <si>
    <t>_arrC, IF(_srt &lt;&gt; 0,</t>
  </si>
  <si>
    <t>HSTACK(_uId1, _out1, _arrN),</t>
  </si>
  <si>
    <t>HSTACK(_out1, _arrN)</t>
  </si>
  <si>
    <t>// The full first_array output columns (_out1) to remove any unmatched rows based on the join-type chosen</t>
  </si>
  <si>
    <t>_arrL, IF( OR(_typ = 2, _typ = 3),</t>
  </si>
  <si>
    <t>FILTER(_arrC, _mtch &lt;&gt; 0, "#[Empty]"),</t>
  </si>
  <si>
    <t>_arrC</t>
  </si>
  <si>
    <t>// The function output array is created (_calc) based on the join type chosen (_typ)</t>
  </si>
  <si>
    <t>// Where one of the constructed and filtered arrays is empty it is either replaced with blanks or</t>
  </si>
  <si>
    <t>// not included depending the chosen function output type</t>
  </si>
  <si>
    <t>_calc, CHOOSE(_typ,</t>
  </si>
  <si>
    <t>_arrL,</t>
  </si>
  <si>
    <t>IF( INDEX(_arrL, 1, 1) = "#[Empty]",</t>
  </si>
  <si>
    <t>_arrR,</t>
  </si>
  <si>
    <t>IF( INDEX(_arrR, 1, _ccS + 1) = "#[Empty]",</t>
  </si>
  <si>
    <t>VSTACK(_arrL, _arrR)</t>
  </si>
  <si>
    <t>MAKEARRAY(1, _ccS + _cc2, LAMBDA(_r,_c, NA())),</t>
  </si>
  <si>
    <t>_arrL</t>
  </si>
  <si>
    <t>// If chosen the created and filtered, matched output array is sorted (_srt) based on the combined match columns (_uId)</t>
  </si>
  <si>
    <t>_arrS, IF(_srt &lt;&gt; 0,</t>
  </si>
  <si>
    <t>DROP( SORTBY(_calc, CHOOSECOLS(_calc, 1), _srt), 0, 1),</t>
  </si>
  <si>
    <t>_calc</t>
  </si>
  <si>
    <t>// If required, any #N/A values in the function output array are replaced with the chosen value/text (_rep)</t>
  </si>
  <si>
    <t>_aRep, IF( ISNA(_rep),</t>
  </si>
  <si>
    <t>_arrS,</t>
  </si>
  <si>
    <t>IF( ISNA(_arrS), _rep, _arrS)</t>
  </si>
  <si>
    <t>_aRep</t>
  </si>
  <si>
    <t>// If the input checks (_inpChk) have flagged then the required Excel error code is returned, otherwise the calculated result (_rtn) is returned</t>
  </si>
  <si>
    <t>=LAMBDA(first_array,second_array,first_array_index,second_array_index,[join_type],[first_array_cols],[second_array_cols],[sort],[replace_na],LET(_arr1,first_array,_arr2,second_array,_col1,INDEX(first_array_index,1,1),_col2,INDEX(second_array_index,1,1),_idx1,IF(ISOMITTED(first_array_cols),SEQUENCE(1,COLUMNS(_arr1)),IF(SUM(--ISERROR(first_array_cols))&gt;0,0,first_array_cols)),_idx2,IF(ISOMITTED(second_array_cols),SEQUENCE(1,COLUMNS(_arr2)),IF(SUM(--ISERROR(second_array_cols))&gt;0,0,second_array_cols)),_inpT,IF(ISOMITTED(join_type),0,INT(join_type)),_typ,IF(ISNUMBER(_inpT),_inpT+1,IFNA(MATCH(LOWER(join_type),{"left","right","inner","full"},0),-1)),_srt,IF(ISOMITTED(sort),0,IF(ISERROR(sort),"",INT(sort))),_inpR,IF(ISOMITTED(replace_na),FALSE,INDEX(replace_na,1,1)),_rep,IF(ISLOGICAL(_inpR),IF(_inpR,"",NA()),_inpR),_inpChk,IF(OR(_col1&lt;1,_col1&gt;COLUMNS(_arr1),_col2&lt;1,_col2&gt;COLUMNS(_arr2),MIN(_idx1)&lt;1,MAX(_idx1)&gt;COLUMNS(_arr1),MIN(_idx2)&lt;1,MAX(_idx2)&gt;COLUMNS(_arr2)),2,IF(OR(NOT(ISNUMBER(_col1)),NOT(ISNUMBER(_col2)),_typ&lt;1,_typ&gt;4,ISERROR(_srt),_srt&lt;-1,_srt&gt;1),3,1)),_uId1,CHOOSECOLS(_arr1,_col1),_uId2,CHOOSECOLS(_arr2,_col2),_out1,CHOOSECOLS(_arr1,_idx1),_out2,CHOOSECOLS(_arr2,_idx2),_cc1,COLUMNS(_out1),_cc2,COLUMNS(_out2),_ccS,_cc1+IF(_srt&lt;&gt;0,1,0),_mtch,DROP(REDUCE(0,_uId1,LAMBDA(_acc,_val,VSTACK(_acc,IFNA(MATCH(_val,_uId2,0),0)))),1),_blnk,MAKEARRAY(1,_cc2,LAMBDA(_r,_c,NA())),_arrN,DROP(REDUCE(0,_mtch,LAMBDA(_acc,_val,VSTACK(_acc,IF(_val=0,_blnk,INDEX(_out2,_val,SEQUENCE(1,_cc2)))))),1),_arrR,LET(_fltr,SCAN(0,SEQUENCE(ROWS(_out2),1),LAMBDA(_acc,_val,IF(ISNA(MATCH(_val,_mtch,0)),1,0))),_arr,FILTER(_out2,_fltr=1,"#[Empty]"),_mCl,FILTER(_uId2,_fltr=1,NA()),_blnk,MAKEARRAY(ROWS(_arr),_cc1,LAMBDA(_r,_c,NA())),IF(_srt&lt;&gt;0,HSTACK(_mCl,_blnk,_arr),HSTACK(_blnk,_arr))),_arrC,IF(_srt&lt;&gt;0,HSTACK(_uId1,_out1,_arrN),HSTACK(_out1,_arrN)),_arrL,IF(OR(_typ=2,_typ=3),FILTER(_arrC,_mtch&lt;&gt;0,"#[Empty]"),_arrC),_calc,CHOOSE(_typ,_arrL,IF(INDEX(_arrL,1,1)="#[Empty]",_arrR,IF(INDEX(_arrR,1,_ccS+1)="#[Empty]",_arrL,VSTACK(_arrL,_arrR))),IF(INDEX(_arrL,1,1)="#[Empty]",MAKEARRAY(1,_ccS+_cc2,LAMBDA(_r,_c,NA())),_arrL),IF(INDEX(_arrR,1,_ccS+1)="#[Empty]",_arrL,VSTACK(_arrL,_arrR))),_rtn,LET(_arrS,IF(_srt&lt;&gt;0,DROP(SORTBY(_calc,CHOOSECOLS(_calc,1),_srt),0,1),_calc),_aRep,IF(ISNA(_rep),_arrS,IF(ISNA(_arrS),_rep,_arrS)),_aRep),CHOOSE(_inpChk,_rtn,LAMBDA(0),#VALUE!)))</t>
  </si>
  <si>
    <t>Join()</t>
  </si>
  <si>
    <t>RXL_Join</t>
  </si>
  <si>
    <t>Joins two data tables together matching rows based on chosen columns from each input array; similar to the SQL JOIN operation.</t>
  </si>
  <si>
    <t>One column from each input data table can be chosen using a relative column number to perform the matching and Join operation - values in the chosen columns are compared.</t>
  </si>
  <si>
    <t>The function allows the user to select the preferred JOIN type and therefore output:</t>
  </si>
  <si>
    <t>LEFT join</t>
  </si>
  <si>
    <t>outputs all rows from the primary (left) input including any unmatched rows</t>
  </si>
  <si>
    <t>RIGHT join</t>
  </si>
  <si>
    <t>output the matched and joined rows from the primary (left) input followed by an unmatched rows from the secondary (right) input</t>
  </si>
  <si>
    <t>INNER join</t>
  </si>
  <si>
    <t>outputs only the rows from the primary (left) input which are matched and joined to the secondary (right) input</t>
  </si>
  <si>
    <t>FULL / OUTER join</t>
  </si>
  <si>
    <t>output all rows from primary (left) array followed by any unmatched rows from the secondary (right) input</t>
  </si>
  <si>
    <t>https://gist.github.com/r-silk/a84eaeb12f21fa2487d416f2fd3f99a0</t>
  </si>
  <si>
    <t>Joining two tables with the first column of each table ("ID") used to match rows</t>
  </si>
  <si>
    <r>
      <rPr>
        <b/>
        <i/>
        <sz val="10"/>
        <color rgb="FFFF8225"/>
        <rFont val="Calibri"/>
        <family val="2"/>
        <scheme val="minor"/>
      </rPr>
      <t>Note</t>
    </r>
    <r>
      <rPr>
        <i/>
        <sz val="10"/>
        <color rgb="FFFF8225"/>
        <rFont val="Calibri"/>
        <family val="2"/>
        <scheme val="minor"/>
      </rPr>
      <t>:  applies a LEFT join by default</t>
    </r>
  </si>
  <si>
    <t>Joining two tables using different relative column numbers to match rows (columns containing special characters)</t>
  </si>
  <si>
    <t>Demonstrating join types:</t>
  </si>
  <si>
    <t>Joining two tables with the first column of each table ("ID") used to match rows --&gt; applying a LEFT Join</t>
  </si>
  <si>
    <t>Joining two tables with the first column of each table ("ID") used to match rows --&gt; applying a RIGHT Join</t>
  </si>
  <si>
    <t>Joining two tables with the first column of each table ("ID") used to match rows --&gt; applying an INNER Join</t>
  </si>
  <si>
    <t>Joining two tables with the first column of each table ("ID") used to match rows --&gt; applying a FULL Join</t>
  </si>
  <si>
    <t>Demonstrating output columns parameters:</t>
  </si>
  <si>
    <t xml:space="preserve"> --&gt; outputting all columns from both input tables</t>
  </si>
  <si>
    <t xml:space="preserve"> --&gt; outputting only specified columns from both each input table</t>
  </si>
  <si>
    <t xml:space="preserve"> --&gt; using the output column arrays to re-arrange input tables in the output table</t>
  </si>
  <si>
    <t>Demonstrating sorting output:</t>
  </si>
  <si>
    <t>--&gt; in this case the input tables are reversed so the second input table with an unsorted ID column is used as the Left table</t>
  </si>
  <si>
    <t>--&gt; no output sorting is used</t>
  </si>
  <si>
    <r>
      <rPr>
        <b/>
        <i/>
        <sz val="10"/>
        <color rgb="FFFF8225"/>
        <rFont val="Calibri"/>
        <family val="2"/>
        <scheme val="minor"/>
      </rPr>
      <t>Note</t>
    </r>
    <r>
      <rPr>
        <i/>
        <sz val="10"/>
        <color rgb="FFFF8225"/>
        <rFont val="Calibri"/>
        <family val="2"/>
        <scheme val="minor"/>
      </rPr>
      <t xml:space="preserve">:  the join_type parameter will accept </t>
    </r>
    <r>
      <rPr>
        <i/>
        <sz val="10"/>
        <color rgb="FFFF8225"/>
        <rFont val="Consolas"/>
        <family val="3"/>
      </rPr>
      <t>"right"</t>
    </r>
    <r>
      <rPr>
        <i/>
        <sz val="10"/>
        <color rgb="FFFF8225"/>
        <rFont val="Calibri"/>
        <family val="2"/>
        <scheme val="minor"/>
      </rPr>
      <t xml:space="preserve">, </t>
    </r>
    <r>
      <rPr>
        <i/>
        <sz val="10"/>
        <color rgb="FFFF8225"/>
        <rFont val="Consolas"/>
        <family val="3"/>
      </rPr>
      <t>"RIGHT"</t>
    </r>
    <r>
      <rPr>
        <i/>
        <sz val="10"/>
        <color rgb="FFFF8225"/>
        <rFont val="Calibri"/>
        <family val="2"/>
        <scheme val="minor"/>
      </rPr>
      <t xml:space="preserve"> or </t>
    </r>
    <r>
      <rPr>
        <i/>
        <sz val="10"/>
        <color rgb="FFFF8225"/>
        <rFont val="Consolas"/>
        <family val="3"/>
      </rPr>
      <t>1</t>
    </r>
    <r>
      <rPr>
        <i/>
        <sz val="10"/>
        <color rgb="FFFF8225"/>
        <rFont val="Calibri"/>
        <family val="2"/>
        <scheme val="minor"/>
      </rPr>
      <t xml:space="preserve"> for a RIGHT join</t>
    </r>
  </si>
  <si>
    <r>
      <rPr>
        <b/>
        <i/>
        <sz val="10"/>
        <color rgb="FFFF8225"/>
        <rFont val="Calibri"/>
        <family val="2"/>
        <scheme val="minor"/>
      </rPr>
      <t>Note</t>
    </r>
    <r>
      <rPr>
        <i/>
        <sz val="10"/>
        <color rgb="FFFF8225"/>
        <rFont val="Calibri"/>
        <family val="2"/>
        <scheme val="minor"/>
      </rPr>
      <t xml:space="preserve">:  the join_type parameter will accept </t>
    </r>
    <r>
      <rPr>
        <i/>
        <sz val="10"/>
        <color rgb="FFFF8225"/>
        <rFont val="Consolas"/>
        <family val="3"/>
      </rPr>
      <t>"inner"</t>
    </r>
    <r>
      <rPr>
        <i/>
        <sz val="10"/>
        <color rgb="FFFF8225"/>
        <rFont val="Calibri"/>
        <family val="2"/>
        <scheme val="minor"/>
      </rPr>
      <t xml:space="preserve">, </t>
    </r>
    <r>
      <rPr>
        <i/>
        <sz val="10"/>
        <color rgb="FFFF8225"/>
        <rFont val="Consolas"/>
        <family val="3"/>
      </rPr>
      <t>"INNER"</t>
    </r>
    <r>
      <rPr>
        <i/>
        <sz val="10"/>
        <color rgb="FFFF8225"/>
        <rFont val="Calibri"/>
        <family val="2"/>
        <scheme val="minor"/>
      </rPr>
      <t xml:space="preserve"> or </t>
    </r>
    <r>
      <rPr>
        <i/>
        <sz val="10"/>
        <color rgb="FFFF8225"/>
        <rFont val="Consolas"/>
        <family val="3"/>
      </rPr>
      <t>2</t>
    </r>
    <r>
      <rPr>
        <i/>
        <sz val="10"/>
        <color rgb="FFFF8225"/>
        <rFont val="Calibri"/>
        <family val="2"/>
        <scheme val="minor"/>
      </rPr>
      <t xml:space="preserve"> for an INNER join</t>
    </r>
  </si>
  <si>
    <r>
      <rPr>
        <b/>
        <i/>
        <sz val="10"/>
        <color rgb="FFFF8225"/>
        <rFont val="Calibri"/>
        <family val="2"/>
        <scheme val="minor"/>
      </rPr>
      <t>Note</t>
    </r>
    <r>
      <rPr>
        <i/>
        <sz val="10"/>
        <color rgb="FFFF8225"/>
        <rFont val="Calibri"/>
        <family val="2"/>
        <scheme val="minor"/>
      </rPr>
      <t xml:space="preserve">:  the join_type parameter will accept </t>
    </r>
    <r>
      <rPr>
        <i/>
        <sz val="10"/>
        <color rgb="FFFF8225"/>
        <rFont val="Consolas"/>
        <family val="3"/>
      </rPr>
      <t>"full"</t>
    </r>
    <r>
      <rPr>
        <i/>
        <sz val="10"/>
        <color rgb="FFFF8225"/>
        <rFont val="Calibri"/>
        <family val="2"/>
        <scheme val="minor"/>
      </rPr>
      <t xml:space="preserve">, </t>
    </r>
    <r>
      <rPr>
        <i/>
        <sz val="10"/>
        <color rgb="FFFF8225"/>
        <rFont val="Consolas"/>
        <family val="3"/>
      </rPr>
      <t>"FULL"</t>
    </r>
    <r>
      <rPr>
        <i/>
        <sz val="10"/>
        <color rgb="FFFF8225"/>
        <rFont val="Calibri"/>
        <family val="2"/>
        <scheme val="minor"/>
      </rPr>
      <t xml:space="preserve"> or </t>
    </r>
    <r>
      <rPr>
        <i/>
        <sz val="10"/>
        <color rgb="FFFF8225"/>
        <rFont val="Consolas"/>
        <family val="3"/>
      </rPr>
      <t>3</t>
    </r>
    <r>
      <rPr>
        <i/>
        <sz val="10"/>
        <color rgb="FFFF8225"/>
        <rFont val="Calibri"/>
        <family val="2"/>
        <scheme val="minor"/>
      </rPr>
      <t xml:space="preserve"> for a FULL join</t>
    </r>
  </si>
  <si>
    <r>
      <rPr>
        <b/>
        <i/>
        <sz val="10"/>
        <color rgb="FFFF8225"/>
        <rFont val="Calibri"/>
        <family val="2"/>
        <scheme val="minor"/>
      </rPr>
      <t>Note</t>
    </r>
    <r>
      <rPr>
        <i/>
        <sz val="10"/>
        <color rgb="FFFF8225"/>
        <rFont val="Calibri"/>
        <family val="2"/>
        <scheme val="minor"/>
      </rPr>
      <t xml:space="preserve">:  the join_type parameter will accept </t>
    </r>
    <r>
      <rPr>
        <i/>
        <sz val="10"/>
        <color rgb="FFFF8225"/>
        <rFont val="Consolas"/>
        <family val="3"/>
      </rPr>
      <t>"left"</t>
    </r>
    <r>
      <rPr>
        <i/>
        <sz val="10"/>
        <color rgb="FFFF8225"/>
        <rFont val="Calibri"/>
        <family val="2"/>
        <scheme val="minor"/>
      </rPr>
      <t xml:space="preserve">, </t>
    </r>
    <r>
      <rPr>
        <i/>
        <sz val="10"/>
        <color rgb="FFFF8225"/>
        <rFont val="Consolas"/>
        <family val="3"/>
      </rPr>
      <t>"LEFT"</t>
    </r>
    <r>
      <rPr>
        <i/>
        <sz val="10"/>
        <color rgb="FFFF8225"/>
        <rFont val="Calibri"/>
        <family val="2"/>
        <scheme val="minor"/>
      </rPr>
      <t xml:space="preserve"> or </t>
    </r>
    <r>
      <rPr>
        <i/>
        <sz val="10"/>
        <color rgb="FFFF8225"/>
        <rFont val="Consolas"/>
        <family val="3"/>
      </rPr>
      <t>0</t>
    </r>
    <r>
      <rPr>
        <i/>
        <sz val="10"/>
        <color rgb="FFFF8225"/>
        <rFont val="Calibri"/>
        <family val="2"/>
        <scheme val="minor"/>
      </rPr>
      <t xml:space="preserve"> for a LEFT join</t>
    </r>
  </si>
  <si>
    <r>
      <rPr>
        <b/>
        <i/>
        <sz val="10"/>
        <color rgb="FFFF8225"/>
        <rFont val="Calibri"/>
        <family val="2"/>
        <scheme val="minor"/>
      </rPr>
      <t>Note</t>
    </r>
    <r>
      <rPr>
        <i/>
        <sz val="10"/>
        <color rgb="FFFF8225"/>
        <rFont val="Calibri"/>
        <family val="2"/>
        <scheme val="minor"/>
      </rPr>
      <t xml:space="preserve">:  the sort parameter will accept </t>
    </r>
    <r>
      <rPr>
        <i/>
        <sz val="10"/>
        <color rgb="FFFF8225"/>
        <rFont val="Consolas"/>
        <family val="3"/>
      </rPr>
      <t>FALSE</t>
    </r>
    <r>
      <rPr>
        <i/>
        <sz val="10"/>
        <color rgb="FFFF8225"/>
        <rFont val="Calibri"/>
        <family val="2"/>
        <scheme val="minor"/>
      </rPr>
      <t xml:space="preserve"> or </t>
    </r>
    <r>
      <rPr>
        <i/>
        <sz val="10"/>
        <color rgb="FFFF8225"/>
        <rFont val="Consolas"/>
        <family val="3"/>
      </rPr>
      <t>0</t>
    </r>
    <r>
      <rPr>
        <i/>
        <sz val="10"/>
        <color rgb="FFFF8225"/>
        <rFont val="Calibri"/>
        <family val="2"/>
        <scheme val="minor"/>
      </rPr>
      <t xml:space="preserve"> for no sorting</t>
    </r>
  </si>
  <si>
    <t>--&gt; standard ascending-order sorting is applied to the output</t>
  </si>
  <si>
    <r>
      <rPr>
        <b/>
        <i/>
        <sz val="10"/>
        <color rgb="FFFF8225"/>
        <rFont val="Calibri"/>
        <family val="2"/>
        <scheme val="minor"/>
      </rPr>
      <t>Note</t>
    </r>
    <r>
      <rPr>
        <i/>
        <sz val="10"/>
        <color rgb="FFFF8225"/>
        <rFont val="Calibri"/>
        <family val="2"/>
        <scheme val="minor"/>
      </rPr>
      <t xml:space="preserve">:  the sort parameter will accept </t>
    </r>
    <r>
      <rPr>
        <i/>
        <sz val="10"/>
        <color rgb="FFFF8225"/>
        <rFont val="Consolas"/>
        <family val="3"/>
      </rPr>
      <t>TRUE</t>
    </r>
    <r>
      <rPr>
        <i/>
        <sz val="10"/>
        <color rgb="FFFF8225"/>
        <rFont val="Calibri"/>
        <family val="2"/>
        <scheme val="minor"/>
      </rPr>
      <t xml:space="preserve"> or </t>
    </r>
    <r>
      <rPr>
        <i/>
        <sz val="10"/>
        <color rgb="FFFF8225"/>
        <rFont val="Consolas"/>
        <family val="3"/>
      </rPr>
      <t>1</t>
    </r>
    <r>
      <rPr>
        <i/>
        <sz val="10"/>
        <color rgb="FFFF8225"/>
        <rFont val="Calibri"/>
        <family val="2"/>
        <scheme val="minor"/>
      </rPr>
      <t xml:space="preserve"> for ascending-order sorting</t>
    </r>
  </si>
  <si>
    <t>--&gt; descending-order sorting is applied to the output</t>
  </si>
  <si>
    <r>
      <rPr>
        <b/>
        <i/>
        <sz val="10"/>
        <color rgb="FFFF8225"/>
        <rFont val="Calibri"/>
        <family val="2"/>
        <scheme val="minor"/>
      </rPr>
      <t>Note</t>
    </r>
    <r>
      <rPr>
        <i/>
        <sz val="10"/>
        <color rgb="FFFF8225"/>
        <rFont val="Calibri"/>
        <family val="2"/>
        <scheme val="minor"/>
      </rPr>
      <t xml:space="preserve">:  the sort parameter will only accept </t>
    </r>
    <r>
      <rPr>
        <i/>
        <sz val="10"/>
        <color rgb="FFFF8225"/>
        <rFont val="Consolas"/>
        <family val="3"/>
      </rPr>
      <t>-1</t>
    </r>
    <r>
      <rPr>
        <i/>
        <sz val="10"/>
        <color rgb="FFFF8225"/>
        <rFont val="Calibri"/>
        <family val="2"/>
        <scheme val="minor"/>
      </rPr>
      <t xml:space="preserve"> for descending-order sorting</t>
    </r>
  </si>
  <si>
    <t>--&gt; not replacing any #N/A values (default behaviour)</t>
  </si>
  <si>
    <t>--&gt; replacing any #N/A values with blank strings ("")</t>
  </si>
  <si>
    <t>--&gt; replacing any #N/A values with a custom string</t>
  </si>
  <si>
    <t>--&gt; replacing any #N/A values with zero (0) values</t>
  </si>
  <si>
    <t>Instructions</t>
  </si>
  <si>
    <t>VBA Code</t>
  </si>
  <si>
    <t>A.</t>
  </si>
  <si>
    <t>Start by ensuring that you have this Workbook and the Workbook you wish to copy the function to open in the same Excel instance</t>
  </si>
  <si>
    <t>B.</t>
  </si>
  <si>
    <t>Open the VB Editor window</t>
  </si>
  <si>
    <t>C.</t>
  </si>
  <si>
    <t>D.</t>
  </si>
  <si>
    <t>In the code window which opens for ThisWorkbook, paste the VBA code from below exactly as written</t>
  </si>
  <si>
    <t>E.</t>
  </si>
  <si>
    <t>After copying the VBA code into code window, update line 16 replacing the text "Example.xlsx" with the name of your Excel Workbook/file</t>
  </si>
  <si>
    <t>F.</t>
  </si>
  <si>
    <t>Run the CopyLambda sub routine in ThisWorkbook module and check the Immediate window for the feedback message</t>
  </si>
  <si>
    <t>In order to copy across the RXL_Data() module from this Workbook to your own project you can use the instructions and VBA code below .</t>
  </si>
  <si>
    <t>In the VB Editor Project Explorer window, select this Workbook (RXL_Data(v2).xlsx) and double click on the object named "ThisWorkbook"</t>
  </si>
  <si>
    <r>
      <rPr>
        <sz val="10"/>
        <color rgb="FF1E4FA8"/>
        <rFont val="Consolas"/>
        <family val="3"/>
      </rPr>
      <t>Private Sub</t>
    </r>
    <r>
      <rPr>
        <sz val="10"/>
        <rFont val="Consolas"/>
        <family val="3"/>
      </rPr>
      <t xml:space="preserve"> CopyLambda()</t>
    </r>
  </si>
  <si>
    <r>
      <t xml:space="preserve">    </t>
    </r>
    <r>
      <rPr>
        <sz val="10"/>
        <color rgb="FF1E4FA8"/>
        <rFont val="Consolas"/>
        <family val="3"/>
      </rPr>
      <t>Dim</t>
    </r>
    <r>
      <rPr>
        <sz val="10"/>
        <rFont val="Consolas"/>
        <family val="3"/>
      </rPr>
      <t xml:space="preserve"> wb </t>
    </r>
    <r>
      <rPr>
        <sz val="10"/>
        <color rgb="FF1E4FA8"/>
        <rFont val="Consolas"/>
        <family val="3"/>
      </rPr>
      <t>As</t>
    </r>
    <r>
      <rPr>
        <sz val="10"/>
        <rFont val="Consolas"/>
        <family val="3"/>
      </rPr>
      <t xml:space="preserve"> Workbook, nm </t>
    </r>
    <r>
      <rPr>
        <sz val="10"/>
        <color rgb="FF1E4FA8"/>
        <rFont val="Consolas"/>
        <family val="3"/>
      </rPr>
      <t>As</t>
    </r>
    <r>
      <rPr>
        <sz val="10"/>
        <rFont val="Consolas"/>
        <family val="3"/>
      </rPr>
      <t xml:space="preserve"> Name, fn </t>
    </r>
    <r>
      <rPr>
        <sz val="10"/>
        <color rgb="FF1E4FA8"/>
        <rFont val="Consolas"/>
        <family val="3"/>
      </rPr>
      <t>As</t>
    </r>
    <r>
      <rPr>
        <sz val="10"/>
        <rFont val="Consolas"/>
        <family val="3"/>
      </rPr>
      <t xml:space="preserve"> Name</t>
    </r>
  </si>
  <si>
    <r>
      <t xml:space="preserve">    </t>
    </r>
    <r>
      <rPr>
        <sz val="10"/>
        <color rgb="FF1E4FA8"/>
        <rFont val="Consolas"/>
        <family val="3"/>
      </rPr>
      <t>Dim</t>
    </r>
    <r>
      <rPr>
        <sz val="10"/>
        <rFont val="Consolas"/>
        <family val="3"/>
      </rPr>
      <t xml:space="preserve"> strLambda </t>
    </r>
    <r>
      <rPr>
        <sz val="10"/>
        <color rgb="FF1E4FA8"/>
        <rFont val="Consolas"/>
        <family val="3"/>
      </rPr>
      <t>As String</t>
    </r>
    <r>
      <rPr>
        <sz val="10"/>
        <rFont val="Consolas"/>
        <family val="3"/>
      </rPr>
      <t xml:space="preserve">, arrFuncs() </t>
    </r>
    <r>
      <rPr>
        <sz val="10"/>
        <color rgb="FF1E4FA8"/>
        <rFont val="Consolas"/>
        <family val="3"/>
      </rPr>
      <t>As String</t>
    </r>
  </si>
  <si>
    <r>
      <t xml:space="preserve">    </t>
    </r>
    <r>
      <rPr>
        <sz val="10"/>
        <color rgb="FF1E4FA8"/>
        <rFont val="Consolas"/>
        <family val="3"/>
      </rPr>
      <t>Dim</t>
    </r>
    <r>
      <rPr>
        <sz val="10"/>
        <rFont val="Consolas"/>
        <family val="3"/>
      </rPr>
      <t xml:space="preserve"> i </t>
    </r>
    <r>
      <rPr>
        <sz val="10"/>
        <color rgb="FF1E4FA8"/>
        <rFont val="Consolas"/>
        <family val="3"/>
      </rPr>
      <t>As Long</t>
    </r>
  </si>
  <si>
    <t xml:space="preserve">    ' Defining the module base name and individual function Names</t>
  </si>
  <si>
    <t xml:space="preserve">    ' Creates the list of custom Lambda function to copy</t>
  </si>
  <si>
    <r>
      <t xml:space="preserve">    </t>
    </r>
    <r>
      <rPr>
        <sz val="10"/>
        <color rgb="FF1E4FA8"/>
        <rFont val="Consolas"/>
        <family val="3"/>
      </rPr>
      <t>On Error GoTo</t>
    </r>
    <r>
      <rPr>
        <sz val="10"/>
        <rFont val="Consolas"/>
        <family val="3"/>
      </rPr>
      <t xml:space="preserve"> ErrHndlr</t>
    </r>
  </si>
  <si>
    <t xml:space="preserve">        arrFuncs = Split(STR_FUNC, "|")</t>
  </si>
  <si>
    <t xml:space="preserve">    </t>
  </si>
  <si>
    <t xml:space="preserve">    On Error Resume Next</t>
  </si>
  <si>
    <t xml:space="preserve">        'Update "Example.xlsx" with name of the Workbook you wish to copy the function to</t>
  </si>
  <si>
    <r>
      <t xml:space="preserve">        </t>
    </r>
    <r>
      <rPr>
        <sz val="10"/>
        <color rgb="FF1E4FA8"/>
        <rFont val="Consolas"/>
        <family val="3"/>
      </rPr>
      <t>Set</t>
    </r>
    <r>
      <rPr>
        <sz val="10"/>
        <rFont val="Consolas"/>
        <family val="3"/>
      </rPr>
      <t xml:space="preserve"> wb = Application.Workbooks("Example.xlsx")</t>
    </r>
  </si>
  <si>
    <r>
      <t xml:space="preserve">    </t>
    </r>
    <r>
      <rPr>
        <sz val="10"/>
        <color rgb="FF1E4FA8"/>
        <rFont val="Consolas"/>
        <family val="3"/>
      </rPr>
      <t>On Error GoTo</t>
    </r>
    <r>
      <rPr>
        <sz val="10"/>
        <rFont val="Consolas"/>
        <family val="3"/>
      </rPr>
      <t xml:space="preserve"> 0</t>
    </r>
  </si>
  <si>
    <r>
      <t xml:space="preserve">    </t>
    </r>
    <r>
      <rPr>
        <sz val="10"/>
        <color rgb="FF1E4FA8"/>
        <rFont val="Consolas"/>
        <family val="3"/>
      </rPr>
      <t>If</t>
    </r>
    <r>
      <rPr>
        <sz val="10"/>
        <rFont val="Consolas"/>
        <family val="3"/>
      </rPr>
      <t xml:space="preserve"> wb </t>
    </r>
    <r>
      <rPr>
        <sz val="10"/>
        <color rgb="FF1E4FA8"/>
        <rFont val="Consolas"/>
        <family val="3"/>
      </rPr>
      <t>Is Nothing Then</t>
    </r>
  </si>
  <si>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Destination Workbook not found - please ensure it is open"</t>
    </r>
  </si>
  <si>
    <t xml:space="preserve">        Exit Sub</t>
  </si>
  <si>
    <t xml:space="preserve">    End If</t>
  </si>
  <si>
    <r>
      <t xml:space="preserve">    </t>
    </r>
    <r>
      <rPr>
        <sz val="10"/>
        <color rgb="FF1E4FA8"/>
        <rFont val="Consolas"/>
        <family val="3"/>
      </rPr>
      <t>For</t>
    </r>
    <r>
      <rPr>
        <sz val="10"/>
        <rFont val="Consolas"/>
        <family val="3"/>
      </rPr>
      <t xml:space="preserve"> i = </t>
    </r>
    <r>
      <rPr>
        <sz val="10"/>
        <color rgb="FF1E4FA8"/>
        <rFont val="Consolas"/>
        <family val="3"/>
      </rPr>
      <t>LBound</t>
    </r>
    <r>
      <rPr>
        <sz val="10"/>
        <rFont val="Consolas"/>
        <family val="3"/>
      </rPr>
      <t xml:space="preserve">(arrFuncs) To </t>
    </r>
    <r>
      <rPr>
        <sz val="10"/>
        <color rgb="FF1E4FA8"/>
        <rFont val="Consolas"/>
        <family val="3"/>
      </rPr>
      <t>UBound</t>
    </r>
    <r>
      <rPr>
        <sz val="10"/>
        <rFont val="Consolas"/>
        <family val="3"/>
      </rPr>
      <t>(arrFuncs)</t>
    </r>
  </si>
  <si>
    <t xml:space="preserve">        strLambda = STR_MDL &amp; "." &amp; arrFuncs(i)</t>
  </si>
  <si>
    <t xml:space="preserve">        </t>
  </si>
  <si>
    <t xml:space="preserve">        On Error Resume Next</t>
  </si>
  <si>
    <r>
      <t xml:space="preserve">            </t>
    </r>
    <r>
      <rPr>
        <sz val="10"/>
        <color rgb="FF1E4FA8"/>
        <rFont val="Consolas"/>
        <family val="3"/>
      </rPr>
      <t>Set</t>
    </r>
    <r>
      <rPr>
        <sz val="10"/>
        <rFont val="Consolas"/>
        <family val="3"/>
      </rPr>
      <t xml:space="preserve"> nm = ThisWorkbook.Names(strLambda)</t>
    </r>
  </si>
  <si>
    <r>
      <t xml:space="preserve">        </t>
    </r>
    <r>
      <rPr>
        <sz val="10"/>
        <color rgb="FF1E4FA8"/>
        <rFont val="Consolas"/>
        <family val="3"/>
      </rPr>
      <t>If Not</t>
    </r>
    <r>
      <rPr>
        <sz val="10"/>
        <rFont val="Consolas"/>
        <family val="3"/>
      </rPr>
      <t xml:space="preserve"> nm </t>
    </r>
    <r>
      <rPr>
        <sz val="10"/>
        <color rgb="FF1E4FA8"/>
        <rFont val="Consolas"/>
        <family val="3"/>
      </rPr>
      <t>Is Nothing Then</t>
    </r>
  </si>
  <si>
    <t xml:space="preserve">            Err.Clear</t>
  </si>
  <si>
    <r>
      <t xml:space="preserve">            </t>
    </r>
    <r>
      <rPr>
        <sz val="10"/>
        <color rgb="FF1E4FA8"/>
        <rFont val="Consolas"/>
        <family val="3"/>
      </rPr>
      <t>Set</t>
    </r>
    <r>
      <rPr>
        <sz val="10"/>
        <rFont val="Consolas"/>
        <family val="3"/>
      </rPr>
      <t xml:space="preserve"> fn = wb.Names.Add(Name:=nm.Name, _</t>
    </r>
  </si>
  <si>
    <t xml:space="preserve">                                  RefersTo:=nm.RefersTo, _</t>
  </si>
  <si>
    <t xml:space="preserve">                                  Visible:=nm.Visible)</t>
  </si>
  <si>
    <r>
      <t xml:space="preserve">            </t>
    </r>
    <r>
      <rPr>
        <sz val="10"/>
        <color rgb="FF1E4FA8"/>
        <rFont val="Consolas"/>
        <family val="3"/>
      </rPr>
      <t>If</t>
    </r>
    <r>
      <rPr>
        <sz val="10"/>
        <rFont val="Consolas"/>
        <family val="3"/>
      </rPr>
      <t xml:space="preserve"> Err.Number = 0 </t>
    </r>
    <r>
      <rPr>
        <sz val="10"/>
        <color rgb="FF1E4FA8"/>
        <rFont val="Consolas"/>
        <family val="3"/>
      </rPr>
      <t>Then</t>
    </r>
  </si>
  <si>
    <t xml:space="preserve">                fn.Comment = nm.Comment</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</si>
  <si>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"Success! -&gt; " &amp; strLambda &amp; " copied to " &amp; wb.Name</t>
    </r>
  </si>
  <si>
    <t xml:space="preserve">            Else</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</si>
  <si>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Unable to copy " &amp; strLambda &amp; " to " &amp; wb.Name</t>
    </r>
  </si>
  <si>
    <t xml:space="preserve">            End If</t>
  </si>
  <si>
    <t xml:space="preserve">        Else</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</si>
  <si>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 &amp; strLambda &amp; " not found"</t>
    </r>
  </si>
  <si>
    <t xml:space="preserve">        End If</t>
  </si>
  <si>
    <r>
      <t xml:space="preserve">    </t>
    </r>
    <r>
      <rPr>
        <sz val="10"/>
        <color rgb="FF1E4FA8"/>
        <rFont val="Consolas"/>
        <family val="3"/>
      </rPr>
      <t>Next</t>
    </r>
    <r>
      <rPr>
        <sz val="10"/>
        <rFont val="Consolas"/>
        <family val="3"/>
      </rPr>
      <t xml:space="preserve"> i</t>
    </r>
  </si>
  <si>
    <t xml:space="preserve">    Exit Sub</t>
  </si>
  <si>
    <t>ErrHndlr:</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</si>
  <si>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Unable to correctly handle expected module function names"</t>
    </r>
  </si>
  <si>
    <t>End Sub</t>
  </si>
  <si>
    <r>
      <t xml:space="preserve">    </t>
    </r>
    <r>
      <rPr>
        <sz val="10"/>
        <color rgb="FF1E4FA8"/>
        <rFont val="Consolas"/>
        <family val="3"/>
      </rPr>
      <t>Const</t>
    </r>
    <r>
      <rPr>
        <sz val="10"/>
        <rFont val="Consolas"/>
        <family val="3"/>
      </rPr>
      <t xml:space="preserve"> STR_MDL </t>
    </r>
    <r>
      <rPr>
        <sz val="10"/>
        <color rgb="FF1E4FA8"/>
        <rFont val="Consolas"/>
        <family val="3"/>
      </rPr>
      <t>As String</t>
    </r>
    <r>
      <rPr>
        <sz val="10"/>
        <rFont val="Consolas"/>
        <family val="3"/>
      </rPr>
      <t xml:space="preserve"> = "RXL_Data"</t>
    </r>
  </si>
  <si>
    <r>
      <t xml:space="preserve">    </t>
    </r>
    <r>
      <rPr>
        <sz val="10"/>
        <color rgb="FF1E4FA8"/>
        <rFont val="Consolas"/>
        <family val="3"/>
      </rPr>
      <t>Const</t>
    </r>
    <r>
      <rPr>
        <sz val="10"/>
        <rFont val="Consolas"/>
        <family val="3"/>
      </rPr>
      <t xml:space="preserve"> STR_FUNC </t>
    </r>
    <r>
      <rPr>
        <sz val="10"/>
        <color rgb="FF1E4FA8"/>
        <rFont val="Consolas"/>
        <family val="3"/>
      </rPr>
      <t>As String</t>
    </r>
    <r>
      <rPr>
        <sz val="10"/>
        <rFont val="Consolas"/>
        <family val="3"/>
      </rPr>
      <t xml:space="preserve"> = "About|CrossJoin|FindItem|Join|Union|UnPivot"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</si>
</sst>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_);[Red]\(#,##0\);\ \-_)"/>
    <numFmt numFmtId="165" formatCode="[Red]&quot;CHECK&quot;;[Red]&quot;ERROR&quot;;&quot;OK&quot;"/>
    <numFmt numFmtId="166" formatCode="#,##0_);\(#,##0\);\-_)"/>
    <numFmt numFmtId="167" formatCode="&quot;£&quot;#,##0.0,\ \K_);&quot;£&quot;\(#,##0.0,\ \K\);&quot;£&quot;0_)"/>
    <numFmt numFmtId="168" formatCode="mmm\-yyyy_)"/>
    <numFmt numFmtId="169" formatCode="00\."/>
    <numFmt numFmtId="170" formatCode="&quot;On (1)&quot;;[Red]&quot;Err&quot;;&quot;Off (0)&quot;"/>
    <numFmt numFmtId="171" formatCode="&quot;Yes (1)&quot;;[Red]&quot;Err&quot;;&quot;No (0)&quot;"/>
    <numFmt numFmtId="172" formatCode="0_);\(0\);\-_)"/>
    <numFmt numFmtId="173" formatCode="#,##0_);\(#,##0\);\ \-_)"/>
  </numFmts>
  <fonts count="66" x14ac:knownFonts="1">
    <font>
      <sz val="10"/>
      <color rgb="FF002138"/>
      <name val="Calibri"/>
      <family val="2"/>
      <scheme val="minor"/>
    </font>
    <font>
      <sz val="10"/>
      <color theme="1"/>
      <name val="Calibri"/>
      <family val="2"/>
    </font>
    <font>
      <sz val="10"/>
      <color theme="1"/>
      <name val="Calibri"/>
      <family val="2"/>
    </font>
    <font>
      <sz val="10"/>
      <color theme="1"/>
      <name val="Calibri"/>
      <family val="2"/>
    </font>
    <font>
      <sz val="11"/>
      <color rgb="FF3F3F76"/>
      <name val="Calibri"/>
      <family val="2"/>
      <scheme val="minor"/>
    </font>
    <font>
      <sz val="11"/>
      <color theme="1"/>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b/>
      <sz val="11"/>
      <color theme="1"/>
      <name val="Calibri"/>
      <family val="2"/>
      <scheme val="minor"/>
    </font>
    <font>
      <b/>
      <sz val="10"/>
      <color theme="1"/>
      <name val="Calibri"/>
      <family val="2"/>
      <scheme val="minor"/>
    </font>
    <font>
      <sz val="10"/>
      <color rgb="FF3F9C35"/>
      <name val="Consolas"/>
      <family val="3"/>
    </font>
    <font>
      <b/>
      <i/>
      <sz val="10"/>
      <color theme="1"/>
      <name val="Calibri"/>
      <family val="2"/>
    </font>
    <font>
      <sz val="10"/>
      <color theme="1"/>
      <name val="Calibri"/>
      <family val="2"/>
      <scheme val="minor"/>
    </font>
    <font>
      <sz val="10"/>
      <color rgb="FF9C0006"/>
      <name val="Calibri"/>
      <family val="2"/>
      <scheme val="minor"/>
    </font>
    <font>
      <sz val="10"/>
      <color rgb="FF002138"/>
      <name val="Calibri"/>
      <family val="2"/>
      <scheme val="minor"/>
    </font>
    <font>
      <sz val="10"/>
      <color rgb="FF0000FF"/>
      <name val="Calibri"/>
      <family val="2"/>
      <scheme val="minor"/>
    </font>
    <font>
      <i/>
      <sz val="10"/>
      <color rgb="FF808080"/>
      <name val="Calibri"/>
      <family val="2"/>
      <scheme val="minor"/>
    </font>
    <font>
      <u/>
      <sz val="10"/>
      <color rgb="FF960040"/>
      <name val="Calibri"/>
      <family val="2"/>
      <scheme val="minor"/>
    </font>
    <font>
      <sz val="10"/>
      <color rgb="FF006100"/>
      <name val="Calibri"/>
      <family val="2"/>
      <scheme val="minor"/>
    </font>
    <font>
      <b/>
      <sz val="12"/>
      <color rgb="FFFFFFFF"/>
      <name val="Arial"/>
      <family val="2"/>
      <scheme val="major"/>
    </font>
    <font>
      <b/>
      <sz val="11"/>
      <color rgb="FFFFFFFF"/>
      <name val="Arial"/>
      <family val="2"/>
      <scheme val="major"/>
    </font>
    <font>
      <b/>
      <sz val="10"/>
      <color rgb="FF595959"/>
      <name val="Arial"/>
      <family val="2"/>
      <scheme val="major"/>
    </font>
    <font>
      <u/>
      <sz val="10"/>
      <color rgb="FFB75EE1"/>
      <name val="Calibri"/>
      <family val="2"/>
      <scheme val="minor"/>
    </font>
    <font>
      <sz val="10"/>
      <color theme="0" tint="-0.249977111117893"/>
      <name val="Calibri"/>
      <family val="2"/>
      <scheme val="minor"/>
    </font>
    <font>
      <sz val="10"/>
      <color rgb="FF195C89"/>
      <name val="Calibri"/>
      <family val="2"/>
      <scheme val="minor"/>
    </font>
    <font>
      <sz val="12"/>
      <color rgb="FF195C89"/>
      <name val="Arial"/>
      <family val="2"/>
      <scheme val="major"/>
    </font>
    <font>
      <sz val="10"/>
      <color theme="0"/>
      <name val="Calibri"/>
      <family val="2"/>
      <scheme val="minor"/>
    </font>
    <font>
      <sz val="10"/>
      <color theme="0" tint="-0.34998626667073579"/>
      <name val="Calibri"/>
      <family val="2"/>
      <scheme val="minor"/>
    </font>
    <font>
      <i/>
      <sz val="10"/>
      <color rgb="FF33B9F2"/>
      <name val="Calibri"/>
      <family val="2"/>
      <scheme val="minor"/>
    </font>
    <font>
      <sz val="10"/>
      <color rgb="FF9C5700"/>
      <name val="Calibri"/>
      <family val="2"/>
      <scheme val="minor"/>
    </font>
    <font>
      <i/>
      <sz val="10"/>
      <color rgb="FFFF8225"/>
      <name val="Calibri"/>
      <family val="2"/>
      <scheme val="minor"/>
    </font>
    <font>
      <sz val="10"/>
      <color rgb="FFB400B4"/>
      <name val="Calibri"/>
      <family val="2"/>
      <scheme val="minor"/>
    </font>
    <font>
      <sz val="10"/>
      <color rgb="FF8C0000"/>
      <name val="Calibri"/>
      <family val="2"/>
      <scheme val="minor"/>
    </font>
    <font>
      <b/>
      <sz val="12"/>
      <color rgb="FF195C89"/>
      <name val="Arial"/>
      <family val="2"/>
      <scheme val="major"/>
    </font>
    <font>
      <b/>
      <sz val="16"/>
      <color rgb="FF0E2550"/>
      <name val="Arial"/>
      <family val="2"/>
      <scheme val="major"/>
    </font>
    <font>
      <sz val="10"/>
      <color rgb="FFB4B4B4"/>
      <name val="Calibri"/>
      <family val="2"/>
      <scheme val="minor"/>
    </font>
    <font>
      <sz val="10"/>
      <color rgb="FFFF0000"/>
      <name val="Calibri"/>
      <family val="2"/>
      <scheme val="minor"/>
    </font>
    <font>
      <b/>
      <sz val="14"/>
      <color rgb="FFFFFFFF"/>
      <name val="Arial"/>
      <family val="2"/>
      <scheme val="major"/>
    </font>
    <font>
      <sz val="10"/>
      <color theme="0"/>
      <name val="Calibri"/>
      <family val="2"/>
    </font>
    <font>
      <b/>
      <sz val="10"/>
      <color rgb="FF002138"/>
      <name val="Calibri"/>
      <family val="2"/>
      <scheme val="minor"/>
    </font>
    <font>
      <b/>
      <i/>
      <sz val="10"/>
      <color rgb="FF002138"/>
      <name val="Calibri"/>
      <family val="2"/>
      <scheme val="minor"/>
    </font>
    <font>
      <sz val="10"/>
      <color theme="1" tint="0.249977111117893"/>
      <name val="Consolas"/>
      <family val="3"/>
    </font>
    <font>
      <b/>
      <sz val="10"/>
      <color rgb="FFFC6017"/>
      <name val="Calibri"/>
      <family val="2"/>
      <scheme val="minor"/>
    </font>
    <font>
      <b/>
      <sz val="10"/>
      <color rgb="FFB75EE1"/>
      <name val="Calibri"/>
      <family val="2"/>
      <scheme val="minor"/>
    </font>
    <font>
      <sz val="10"/>
      <color rgb="FFC00000"/>
      <name val="Consolas"/>
      <family val="3"/>
    </font>
    <font>
      <i/>
      <sz val="10"/>
      <color rgb="FF002138"/>
      <name val="Calibri"/>
      <family val="2"/>
      <scheme val="minor"/>
    </font>
    <font>
      <sz val="10"/>
      <color rgb="FF0000FF"/>
      <name val="Consolas"/>
      <family val="3"/>
    </font>
    <font>
      <b/>
      <i/>
      <sz val="10"/>
      <color rgb="FF195C89"/>
      <name val="Calibri"/>
      <family val="2"/>
      <scheme val="minor"/>
    </font>
    <font>
      <b/>
      <sz val="10"/>
      <color theme="0"/>
      <name val="Calibri"/>
      <family val="2"/>
    </font>
    <font>
      <b/>
      <i/>
      <u/>
      <sz val="10"/>
      <color rgb="FFFF8225"/>
      <name val="Calibri"/>
      <family val="2"/>
      <scheme val="minor"/>
    </font>
    <font>
      <sz val="10"/>
      <color rgb="FF0065A8"/>
      <name val="Consolas"/>
      <family val="3"/>
    </font>
    <font>
      <u/>
      <sz val="10"/>
      <color rgb="FF002138"/>
      <name val="Calibri"/>
      <family val="2"/>
      <scheme val="minor"/>
    </font>
    <font>
      <b/>
      <i/>
      <sz val="10"/>
      <color rgb="FFFF8225"/>
      <name val="Calibri"/>
      <family val="2"/>
      <scheme val="minor"/>
    </font>
    <font>
      <i/>
      <u/>
      <sz val="10"/>
      <color rgb="FF0000FF"/>
      <name val="Calibri"/>
      <family val="2"/>
      <scheme val="minor"/>
    </font>
    <font>
      <sz val="10"/>
      <color theme="1" tint="0.499984740745262"/>
      <name val="Calibri"/>
      <family val="2"/>
      <scheme val="minor"/>
    </font>
    <font>
      <b/>
      <sz val="10"/>
      <color rgb="FF9F5CC0"/>
      <name val="Calibri"/>
      <family val="2"/>
      <scheme val="minor"/>
    </font>
    <font>
      <sz val="10"/>
      <color rgb="FF002138"/>
      <name val="Calibri"/>
      <family val="3"/>
      <scheme val="minor"/>
    </font>
    <font>
      <b/>
      <i/>
      <sz val="10"/>
      <color rgb="FF002138"/>
      <name val="Consolas"/>
      <family val="3"/>
    </font>
    <font>
      <sz val="10"/>
      <color theme="1" tint="0.249977111117893"/>
      <name val="Calibri"/>
      <family val="2"/>
      <scheme val="minor"/>
    </font>
    <font>
      <sz val="10"/>
      <name val="Calibri"/>
      <family val="2"/>
      <scheme val="minor"/>
    </font>
    <font>
      <sz val="10"/>
      <name val="Consolas"/>
      <family val="3"/>
    </font>
    <font>
      <sz val="10"/>
      <color rgb="FF002138"/>
      <name val="Consolas"/>
      <family val="3"/>
    </font>
    <font>
      <i/>
      <sz val="10"/>
      <color rgb="FFFF8225"/>
      <name val="Consolas"/>
      <family val="3"/>
    </font>
    <font>
      <sz val="10"/>
      <color rgb="FF1E4FA8"/>
      <name val="Consolas"/>
      <family val="3"/>
    </font>
  </fonts>
  <fills count="45">
    <fill>
      <patternFill patternType="none"/>
    </fill>
    <fill>
      <patternFill patternType="gray125"/>
    </fill>
    <fill>
      <patternFill patternType="solid">
        <fgColor rgb="FFFFCC99"/>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EE6CE"/>
        <bgColor indexed="64"/>
      </patternFill>
    </fill>
    <fill>
      <patternFill patternType="solid">
        <fgColor rgb="FF198B83"/>
        <bgColor indexed="64"/>
      </patternFill>
    </fill>
    <fill>
      <patternFill patternType="solid">
        <fgColor rgb="FF56BAB8"/>
        <bgColor indexed="64"/>
      </patternFill>
    </fill>
    <fill>
      <patternFill patternType="solid">
        <fgColor rgb="FFE6D3B8"/>
        <bgColor indexed="64"/>
      </patternFill>
    </fill>
    <fill>
      <patternFill patternType="solid">
        <fgColor rgb="FFF7ECDD"/>
        <bgColor indexed="64"/>
      </patternFill>
    </fill>
    <fill>
      <patternFill patternType="solid">
        <fgColor rgb="FFFFFFD2"/>
        <bgColor indexed="64"/>
      </patternFill>
    </fill>
    <fill>
      <patternFill patternType="solid">
        <fgColor rgb="FFF9E7FF"/>
        <bgColor indexed="64"/>
      </patternFill>
    </fill>
    <fill>
      <patternFill patternType="solid">
        <fgColor rgb="FFEBFAFA"/>
        <bgColor indexed="64"/>
      </patternFill>
    </fill>
    <fill>
      <patternFill patternType="solid">
        <fgColor rgb="FFFF4F4F"/>
        <bgColor indexed="64"/>
      </patternFill>
    </fill>
    <fill>
      <patternFill patternType="solid">
        <fgColor rgb="FFFFC000"/>
        <bgColor indexed="64"/>
      </patternFill>
    </fill>
    <fill>
      <patternFill patternType="solid">
        <fgColor rgb="FFF8F200"/>
        <bgColor indexed="64"/>
      </patternFill>
    </fill>
    <fill>
      <patternFill patternType="solid">
        <fgColor rgb="FFBEE4E3"/>
        <bgColor indexed="64"/>
      </patternFill>
    </fill>
    <fill>
      <patternFill patternType="lightUp">
        <fgColor theme="0" tint="-0.34998626667073579"/>
        <bgColor auto="1"/>
      </patternFill>
    </fill>
    <fill>
      <patternFill patternType="solid">
        <fgColor rgb="FFE4E6E8"/>
        <bgColor indexed="64"/>
      </patternFill>
    </fill>
    <fill>
      <patternFill patternType="solid">
        <fgColor theme="4"/>
      </patternFill>
    </fill>
    <fill>
      <patternFill patternType="solid">
        <fgColor theme="6"/>
      </patternFill>
    </fill>
    <fill>
      <patternFill patternType="solid">
        <fgColor theme="0" tint="-4.9989318521683403E-2"/>
        <bgColor indexed="64"/>
      </patternFill>
    </fill>
    <fill>
      <patternFill patternType="solid">
        <fgColor theme="7"/>
      </patternFill>
    </fill>
  </fills>
  <borders count="30">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theme="1" tint="0.24994659260841701"/>
      </left>
      <right style="hair">
        <color theme="1" tint="0.24994659260841701"/>
      </right>
      <top style="hair">
        <color theme="1" tint="0.24994659260841701"/>
      </top>
      <bottom style="hair">
        <color theme="1" tint="0.24994659260841701"/>
      </bottom>
      <diagonal/>
    </border>
    <border>
      <left style="hair">
        <color theme="1" tint="0.24994659260841701"/>
      </left>
      <right style="hair">
        <color theme="1" tint="0.24994659260841701"/>
      </right>
      <top style="thin">
        <color theme="1" tint="0.24994659260841701"/>
      </top>
      <bottom style="hair">
        <color theme="1" tint="0.24994659260841701"/>
      </bottom>
      <diagonal/>
    </border>
    <border>
      <left style="hair">
        <color theme="1" tint="0.24994659260841701"/>
      </left>
      <right style="hair">
        <color theme="1" tint="0.24994659260841701"/>
      </right>
      <top style="thin">
        <color theme="1" tint="0.24994659260841701"/>
      </top>
      <bottom style="double">
        <color theme="1" tint="0.24994659260841701"/>
      </bottom>
      <diagonal/>
    </border>
    <border>
      <left/>
      <right/>
      <top style="medium">
        <color theme="5"/>
      </top>
      <bottom/>
      <diagonal/>
    </border>
    <border>
      <left style="thin">
        <color rgb="FF198B83"/>
      </left>
      <right style="thin">
        <color rgb="FF198B83"/>
      </right>
      <top style="thin">
        <color rgb="FF198B83"/>
      </top>
      <bottom style="thin">
        <color rgb="FF198B83"/>
      </bottom>
      <diagonal/>
    </border>
    <border>
      <left style="thin">
        <color rgb="FF56BAB8"/>
      </left>
      <right style="thin">
        <color rgb="FF56BAB8"/>
      </right>
      <top style="thin">
        <color rgb="FF56BAB8"/>
      </top>
      <bottom style="thin">
        <color rgb="FF56BAB8"/>
      </bottom>
      <diagonal/>
    </border>
    <border>
      <left style="thin">
        <color rgb="FFE6D3B8"/>
      </left>
      <right style="thin">
        <color rgb="FFE6D3B8"/>
      </right>
      <top style="thin">
        <color rgb="FFE6D3B8"/>
      </top>
      <bottom style="thin">
        <color rgb="FFE6D3B8"/>
      </bottom>
      <diagonal/>
    </border>
    <border>
      <left style="thin">
        <color rgb="FFF7ECDD"/>
      </left>
      <right style="thin">
        <color rgb="FFF7ECDD"/>
      </right>
      <top style="thin">
        <color rgb="FFF7ECDD"/>
      </top>
      <bottom style="thin">
        <color rgb="FFF7ECDD"/>
      </bottom>
      <diagonal/>
    </border>
    <border>
      <left/>
      <right/>
      <top style="thin">
        <color theme="4"/>
      </top>
      <bottom/>
      <diagonal/>
    </border>
    <border>
      <left/>
      <right/>
      <top/>
      <bottom style="medium">
        <color theme="5"/>
      </bottom>
      <diagonal/>
    </border>
    <border>
      <left style="hair">
        <color rgb="FF0082B3"/>
      </left>
      <right style="hair">
        <color rgb="FF0082B3"/>
      </right>
      <top style="hair">
        <color rgb="FF0082B3"/>
      </top>
      <bottom style="hair">
        <color rgb="FF0082B3"/>
      </bottom>
      <diagonal/>
    </border>
    <border>
      <left/>
      <right/>
      <top/>
      <bottom style="thin">
        <color theme="6" tint="0.39994506668294322"/>
      </bottom>
      <diagonal/>
    </border>
    <border>
      <left/>
      <right/>
      <top style="thin">
        <color theme="6" tint="0.39994506668294322"/>
      </top>
      <bottom style="thin">
        <color theme="6" tint="0.39994506668294322"/>
      </bottom>
      <diagonal/>
    </border>
    <border>
      <left/>
      <right/>
      <top/>
      <bottom style="medium">
        <color theme="4" tint="-0.24994659260841701"/>
      </bottom>
      <diagonal/>
    </border>
    <border>
      <left style="hair">
        <color theme="1" tint="0.24994659260841701"/>
      </left>
      <right style="hair">
        <color theme="1" tint="0.24994659260841701"/>
      </right>
      <top/>
      <bottom style="hair">
        <color theme="1" tint="0.24994659260841701"/>
      </bottom>
      <diagonal/>
    </border>
    <border>
      <left/>
      <right style="medium">
        <color theme="4" tint="-0.24994659260841701"/>
      </right>
      <top/>
      <bottom/>
      <diagonal/>
    </border>
    <border>
      <left/>
      <right style="hair">
        <color theme="1" tint="0.24994659260841701"/>
      </right>
      <top style="hair">
        <color theme="1" tint="0.24994659260841701"/>
      </top>
      <bottom style="hair">
        <color theme="1" tint="0.24994659260841701"/>
      </bottom>
      <diagonal/>
    </border>
    <border>
      <left/>
      <right style="medium">
        <color theme="4" tint="-0.24994659260841701"/>
      </right>
      <top style="medium">
        <color theme="4" tint="-0.24994659260841701"/>
      </top>
      <bottom/>
      <diagonal/>
    </border>
    <border>
      <left/>
      <right style="hair">
        <color theme="1" tint="0.24994659260841701"/>
      </right>
      <top/>
      <bottom style="hair">
        <color theme="1" tint="0.24994659260841701"/>
      </bottom>
      <diagonal/>
    </border>
    <border>
      <left style="hair">
        <color theme="1" tint="0.24994659260841701"/>
      </left>
      <right/>
      <top style="hair">
        <color theme="1" tint="0.24994659260841701"/>
      </top>
      <bottom style="hair">
        <color theme="1" tint="0.24994659260841701"/>
      </bottom>
      <diagonal/>
    </border>
    <border>
      <left style="hair">
        <color theme="1" tint="0.24994659260841701"/>
      </left>
      <right/>
      <top style="medium">
        <color theme="4" tint="-0.24994659260841701"/>
      </top>
      <bottom style="hair">
        <color theme="1" tint="0.24994659260841701"/>
      </bottom>
      <diagonal/>
    </border>
    <border>
      <left/>
      <right style="hair">
        <color theme="1" tint="0.24994659260841701"/>
      </right>
      <top style="medium">
        <color theme="4" tint="-0.24994659260841701"/>
      </top>
      <bottom style="hair">
        <color theme="1" tint="0.24994659260841701"/>
      </bottom>
      <diagonal/>
    </border>
    <border>
      <left/>
      <right/>
      <top/>
      <bottom style="medium">
        <color theme="7" tint="-0.24994659260841701"/>
      </bottom>
      <diagonal/>
    </border>
  </borders>
  <cellStyleXfs count="99">
    <xf numFmtId="0" fontId="0" fillId="0" borderId="0"/>
    <xf numFmtId="0" fontId="4" fillId="2" borderId="1" applyNumberFormat="0" applyAlignment="0" applyProtection="0"/>
    <xf numFmtId="0" fontId="16" fillId="0" borderId="0" applyNumberFormat="0" applyAlignment="0" applyProtection="0"/>
    <xf numFmtId="0" fontId="16" fillId="0" borderId="0" applyNumberFormat="0" applyAlignment="0" applyProtection="0"/>
    <xf numFmtId="167" fontId="3" fillId="0" borderId="0" applyFont="0" applyFill="0" applyBorder="0" applyAlignment="0" applyProtection="0"/>
    <xf numFmtId="9" fontId="16" fillId="0" borderId="0" applyNumberFormat="0" applyAlignment="0" applyProtection="0"/>
    <xf numFmtId="0" fontId="36" fillId="0" borderId="0" applyAlignment="0" applyProtection="0"/>
    <xf numFmtId="0" fontId="21" fillId="28" borderId="11" applyNumberFormat="0" applyAlignment="0" applyProtection="0"/>
    <xf numFmtId="0" fontId="22" fillId="29" borderId="12" applyNumberFormat="0" applyAlignment="0" applyProtection="0"/>
    <xf numFmtId="0" fontId="23" fillId="30" borderId="13" applyNumberFormat="0" applyAlignment="0" applyProtection="0"/>
    <xf numFmtId="0" fontId="23" fillId="31" borderId="14" applyNumberFormat="0" applyAlignment="0" applyProtection="0"/>
    <xf numFmtId="0" fontId="20" fillId="3" borderId="0" applyNumberFormat="0" applyBorder="0" applyAlignment="0" applyProtection="0"/>
    <xf numFmtId="0" fontId="15" fillId="4" borderId="0" applyNumberFormat="0" applyBorder="0" applyAlignment="0" applyProtection="0"/>
    <xf numFmtId="0" fontId="31" fillId="5" borderId="0" applyNumberFormat="0" applyBorder="0" applyAlignment="0" applyProtection="0"/>
    <xf numFmtId="0" fontId="6" fillId="6" borderId="2" applyNumberFormat="0" applyAlignment="0" applyProtection="0"/>
    <xf numFmtId="0" fontId="7" fillId="6" borderId="1" applyNumberFormat="0" applyAlignment="0" applyProtection="0"/>
    <xf numFmtId="0" fontId="8" fillId="0" borderId="3" applyNumberFormat="0" applyFill="0" applyAlignment="0" applyProtection="0"/>
    <xf numFmtId="0" fontId="9" fillId="7" borderId="4" applyNumberFormat="0" applyAlignment="0" applyProtection="0"/>
    <xf numFmtId="166" fontId="38" fillId="0" borderId="0" applyNumberFormat="0" applyFill="0" applyBorder="0" applyAlignment="0" applyProtection="0"/>
    <xf numFmtId="0" fontId="5" fillId="8" borderId="5" applyNumberFormat="0" applyFont="0" applyAlignment="0" applyProtection="0"/>
    <xf numFmtId="166" fontId="18" fillId="0" borderId="0" applyNumberFormat="0" applyFill="0" applyBorder="0" applyAlignment="0" applyProtection="0"/>
    <xf numFmtId="0" fontId="10" fillId="0" borderId="6" applyNumberFormat="0" applyFill="0" applyAlignment="0" applyProtection="0"/>
    <xf numFmtId="165" fontId="25" fillId="0" borderId="0" applyFill="0">
      <alignment horizontal="center"/>
    </xf>
    <xf numFmtId="0" fontId="17" fillId="34" borderId="7" applyAlignment="0"/>
    <xf numFmtId="166" fontId="28" fillId="35" borderId="0">
      <alignment horizontal="center"/>
    </xf>
    <xf numFmtId="0" fontId="30" fillId="0" borderId="0"/>
    <xf numFmtId="0" fontId="32" fillId="0" borderId="0" applyNumberFormat="0" applyFill="0" applyBorder="0" applyAlignment="0"/>
    <xf numFmtId="0" fontId="29" fillId="39" borderId="17" applyNumberFormat="0" applyBorder="0" applyAlignment="0" applyProtection="0"/>
    <xf numFmtId="166" fontId="14" fillId="40" borderId="7"/>
    <xf numFmtId="166" fontId="14" fillId="40" borderId="9" applyNumberFormat="0"/>
    <xf numFmtId="0" fontId="12" fillId="0" borderId="0" applyFill="0" applyBorder="0" applyAlignment="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166" fontId="14" fillId="0" borderId="7" applyAlignment="0"/>
    <xf numFmtId="0" fontId="14" fillId="0" borderId="7" applyAlignment="0"/>
    <xf numFmtId="0" fontId="14" fillId="0" borderId="7" applyAlignment="0"/>
    <xf numFmtId="166" fontId="14" fillId="0" borderId="8" applyNumberFormat="0" applyAlignment="0"/>
    <xf numFmtId="166" fontId="11" fillId="0" borderId="9" applyNumberFormat="0" applyAlignment="0"/>
    <xf numFmtId="0" fontId="17" fillId="27" borderId="7" applyAlignment="0">
      <protection locked="0"/>
    </xf>
    <xf numFmtId="0" fontId="17" fillId="27" borderId="7" applyAlignment="0">
      <protection locked="0"/>
    </xf>
    <xf numFmtId="0" fontId="17" fillId="27" borderId="7" applyAlignment="0">
      <protection locked="0"/>
    </xf>
    <xf numFmtId="0" fontId="17" fillId="27" borderId="7" applyAlignment="0">
      <protection locked="0"/>
    </xf>
    <xf numFmtId="0" fontId="49" fillId="0" borderId="10" applyFill="0">
      <alignment vertical="center"/>
    </xf>
    <xf numFmtId="164" fontId="17" fillId="32" borderId="7" applyAlignment="0">
      <protection locked="0"/>
    </xf>
    <xf numFmtId="0" fontId="17" fillId="32" borderId="7" applyAlignment="0">
      <protection locked="0"/>
    </xf>
    <xf numFmtId="0" fontId="17" fillId="32" borderId="7" applyAlignment="0">
      <protection locked="0"/>
    </xf>
    <xf numFmtId="0" fontId="17" fillId="32" borderId="7" applyAlignment="0">
      <protection locked="0"/>
    </xf>
    <xf numFmtId="0" fontId="27" fillId="0" borderId="0">
      <alignment vertical="center"/>
    </xf>
    <xf numFmtId="166" fontId="29" fillId="37" borderId="0">
      <alignment horizontal="center"/>
    </xf>
    <xf numFmtId="164" fontId="14" fillId="0" borderId="0" applyFill="0" applyAlignment="0"/>
    <xf numFmtId="0" fontId="14" fillId="0" borderId="0" applyFill="0" applyAlignment="0"/>
    <xf numFmtId="168" fontId="14" fillId="0" borderId="0" applyFill="0" applyAlignment="0"/>
    <xf numFmtId="166" fontId="11" fillId="0" borderId="15" applyNumberFormat="0" applyFill="0" applyAlignment="0"/>
    <xf numFmtId="0" fontId="14" fillId="0" borderId="0" applyFill="0" applyAlignment="0"/>
    <xf numFmtId="166" fontId="11" fillId="0" borderId="6" applyNumberFormat="0" applyFill="0" applyAlignment="0"/>
    <xf numFmtId="0" fontId="35" fillId="0" borderId="16"/>
    <xf numFmtId="0" fontId="14" fillId="40" borderId="7"/>
    <xf numFmtId="0" fontId="24" fillId="0" borderId="0" applyNumberFormat="0" applyFill="0" applyBorder="0" applyAlignment="0" applyProtection="0"/>
    <xf numFmtId="0" fontId="19" fillId="0" borderId="0" applyNumberFormat="0" applyFill="0" applyBorder="0" applyAlignment="0" applyProtection="0"/>
    <xf numFmtId="166" fontId="26" fillId="33" borderId="7" applyAlignment="0">
      <protection locked="0"/>
    </xf>
    <xf numFmtId="166" fontId="28" fillId="36" borderId="0">
      <alignment horizontal="center"/>
    </xf>
    <xf numFmtId="0" fontId="26" fillId="0" borderId="0" applyNumberFormat="0" applyFill="0" applyBorder="0" applyAlignment="0"/>
    <xf numFmtId="0" fontId="33" fillId="0" borderId="7" applyAlignment="0"/>
    <xf numFmtId="0" fontId="33" fillId="0" borderId="7" applyAlignment="0"/>
    <xf numFmtId="0" fontId="33" fillId="0" borderId="7" applyAlignment="0"/>
    <xf numFmtId="0" fontId="33" fillId="0" borderId="8" applyNumberFormat="0" applyAlignment="0"/>
    <xf numFmtId="0" fontId="33" fillId="0" borderId="7" applyAlignment="0"/>
    <xf numFmtId="0" fontId="34" fillId="0" borderId="7" applyAlignment="0"/>
    <xf numFmtId="0" fontId="34" fillId="0" borderId="7" applyAlignment="0"/>
    <xf numFmtId="0" fontId="34" fillId="0" borderId="7" applyAlignment="0"/>
    <xf numFmtId="0" fontId="34" fillId="0" borderId="8" applyNumberFormat="0" applyAlignment="0"/>
    <xf numFmtId="0" fontId="34" fillId="0" borderId="7" applyAlignment="0"/>
    <xf numFmtId="0" fontId="14" fillId="38" borderId="0" applyAlignment="0" applyProtection="0"/>
    <xf numFmtId="0" fontId="37" fillId="0" borderId="0" applyNumberFormat="0" applyFill="0" applyBorder="0">
      <alignment horizontal="center"/>
    </xf>
    <xf numFmtId="166" fontId="14" fillId="40" borderId="8" applyNumberFormat="0"/>
    <xf numFmtId="0" fontId="40" fillId="41" borderId="0" applyNumberFormat="0" applyBorder="0" applyAlignment="0" applyProtection="0"/>
    <xf numFmtId="0" fontId="40" fillId="42" borderId="0" applyNumberFormat="0" applyBorder="0" applyAlignment="0" applyProtection="0"/>
    <xf numFmtId="0" fontId="40" fillId="44" borderId="0" applyNumberFormat="0" applyBorder="0" applyAlignment="0" applyProtection="0"/>
    <xf numFmtId="172" fontId="17" fillId="32" borderId="7" applyAlignment="0">
      <protection locked="0"/>
    </xf>
    <xf numFmtId="173" fontId="17" fillId="32" borderId="7" applyAlignment="0">
      <protection locked="0"/>
    </xf>
    <xf numFmtId="173" fontId="33" fillId="0" borderId="7" applyAlignment="0"/>
    <xf numFmtId="172" fontId="33" fillId="0" borderId="7" applyAlignment="0"/>
    <xf numFmtId="173" fontId="17" fillId="34" borderId="7" applyAlignment="0"/>
  </cellStyleXfs>
  <cellXfs count="164">
    <xf numFmtId="0" fontId="0" fillId="0" borderId="0" xfId="0"/>
    <xf numFmtId="164" fontId="17" fillId="32" borderId="7" xfId="59" applyAlignment="1">
      <alignment horizontal="center"/>
      <protection locked="0"/>
    </xf>
    <xf numFmtId="0" fontId="39" fillId="28" borderId="11" xfId="7" applyFont="1" applyAlignment="1">
      <alignment horizontal="left" vertical="center" indent="1"/>
    </xf>
    <xf numFmtId="0" fontId="37" fillId="0" borderId="0" xfId="89" applyAlignment="1"/>
    <xf numFmtId="0" fontId="21" fillId="28" borderId="11" xfId="7" applyAlignment="1">
      <alignment vertical="center"/>
    </xf>
    <xf numFmtId="0" fontId="49" fillId="0" borderId="10" xfId="58">
      <alignment vertical="center"/>
    </xf>
    <xf numFmtId="0" fontId="13" fillId="0" borderId="0" xfId="0" applyFont="1"/>
    <xf numFmtId="0" fontId="30" fillId="0" borderId="0" xfId="25"/>
    <xf numFmtId="0" fontId="35" fillId="0" borderId="16" xfId="71"/>
    <xf numFmtId="169" fontId="35" fillId="0" borderId="16" xfId="71" applyNumberFormat="1"/>
    <xf numFmtId="170" fontId="17" fillId="34" borderId="7" xfId="23" applyNumberFormat="1"/>
    <xf numFmtId="171" fontId="17" fillId="34" borderId="7" xfId="23" applyNumberFormat="1"/>
    <xf numFmtId="0" fontId="21" fillId="28" borderId="11" xfId="7" applyNumberFormat="1" applyAlignment="1">
      <alignment vertical="center"/>
    </xf>
    <xf numFmtId="0" fontId="41" fillId="0" borderId="0" xfId="0" applyFont="1"/>
    <xf numFmtId="0" fontId="42" fillId="0" borderId="0" xfId="0" applyFont="1"/>
    <xf numFmtId="0" fontId="40" fillId="42" borderId="0" xfId="92" applyAlignment="1">
      <alignment horizontal="right"/>
    </xf>
    <xf numFmtId="0" fontId="3" fillId="16" borderId="0" xfId="38"/>
    <xf numFmtId="0" fontId="0" fillId="0" borderId="18" xfId="0" applyBorder="1"/>
    <xf numFmtId="0" fontId="0" fillId="0" borderId="19" xfId="0" applyBorder="1"/>
    <xf numFmtId="0" fontId="3" fillId="16" borderId="0" xfId="38" applyAlignment="1">
      <alignment horizontal="center"/>
    </xf>
    <xf numFmtId="166" fontId="14" fillId="0" borderId="7" xfId="49"/>
    <xf numFmtId="0" fontId="40" fillId="41" borderId="20" xfId="91" applyBorder="1"/>
    <xf numFmtId="166" fontId="14" fillId="0" borderId="23" xfId="49" applyBorder="1"/>
    <xf numFmtId="0" fontId="40" fillId="41" borderId="22" xfId="91" applyBorder="1"/>
    <xf numFmtId="0" fontId="0" fillId="0" borderId="0" xfId="0" applyAlignment="1">
      <alignment horizontal="right"/>
    </xf>
    <xf numFmtId="0" fontId="17" fillId="32" borderId="7" xfId="62">
      <protection locked="0"/>
    </xf>
    <xf numFmtId="171" fontId="17" fillId="32" borderId="7" xfId="59" applyNumberFormat="1" applyAlignment="1">
      <alignment horizontal="center"/>
      <protection locked="0"/>
    </xf>
    <xf numFmtId="0" fontId="23" fillId="31" borderId="14" xfId="10"/>
    <xf numFmtId="0" fontId="23" fillId="31" borderId="14" xfId="10" applyAlignment="1">
      <alignment horizontal="left" indent="1"/>
    </xf>
    <xf numFmtId="0" fontId="43" fillId="0" borderId="0" xfId="30" applyFont="1"/>
    <xf numFmtId="0" fontId="0" fillId="0" borderId="0" xfId="0" quotePrefix="1"/>
    <xf numFmtId="0" fontId="43" fillId="0" borderId="0" xfId="30" applyFont="1" applyAlignment="1">
      <alignment horizontal="left" indent="2"/>
    </xf>
    <xf numFmtId="0" fontId="43" fillId="0" borderId="0" xfId="30" applyFont="1" applyAlignment="1">
      <alignment horizontal="left" indent="4"/>
    </xf>
    <xf numFmtId="0" fontId="43" fillId="0" borderId="0" xfId="30" applyFont="1" applyAlignment="1">
      <alignment horizontal="left" indent="6"/>
    </xf>
    <xf numFmtId="0" fontId="43" fillId="0" borderId="0" xfId="30" quotePrefix="1" applyFont="1"/>
    <xf numFmtId="0" fontId="12" fillId="0" borderId="0" xfId="30" quotePrefix="1" applyAlignment="1">
      <alignment horizontal="left" indent="2"/>
    </xf>
    <xf numFmtId="0" fontId="12" fillId="0" borderId="0" xfId="30" quotePrefix="1" applyAlignment="1">
      <alignment horizontal="left" indent="4"/>
    </xf>
    <xf numFmtId="0" fontId="12" fillId="0" borderId="0" xfId="30" quotePrefix="1" applyAlignment="1">
      <alignment horizontal="left" indent="6"/>
    </xf>
    <xf numFmtId="0" fontId="46" fillId="0" borderId="0" xfId="30" applyFont="1" applyAlignment="1">
      <alignment horizontal="centerContinuous"/>
    </xf>
    <xf numFmtId="0" fontId="0" fillId="0" borderId="0" xfId="0" applyAlignment="1">
      <alignment horizontal="left" indent="2"/>
    </xf>
    <xf numFmtId="0" fontId="47" fillId="0" borderId="0" xfId="0" applyFont="1"/>
    <xf numFmtId="0" fontId="48" fillId="0" borderId="0" xfId="0" applyFont="1" applyAlignment="1">
      <alignment horizontal="right"/>
    </xf>
    <xf numFmtId="0" fontId="0" fillId="0" borderId="0" xfId="0" applyAlignment="1">
      <alignment horizontal="left"/>
    </xf>
    <xf numFmtId="0" fontId="43" fillId="0" borderId="0" xfId="30" applyFont="1" applyAlignment="1">
      <alignment horizontal="left" indent="8"/>
    </xf>
    <xf numFmtId="0" fontId="41" fillId="0" borderId="0" xfId="0" applyFont="1" applyAlignment="1">
      <alignment horizontal="right"/>
    </xf>
    <xf numFmtId="0" fontId="40" fillId="41" borderId="0" xfId="91"/>
    <xf numFmtId="164" fontId="17" fillId="32" borderId="7" xfId="59">
      <protection locked="0"/>
    </xf>
    <xf numFmtId="164" fontId="17" fillId="32" borderId="21" xfId="59" applyBorder="1">
      <protection locked="0"/>
    </xf>
    <xf numFmtId="0" fontId="50" fillId="41" borderId="0" xfId="91" applyFont="1" applyBorder="1"/>
    <xf numFmtId="0" fontId="50" fillId="41" borderId="20" xfId="91" applyFont="1" applyBorder="1"/>
    <xf numFmtId="0" fontId="50" fillId="41" borderId="0" xfId="91" applyFont="1" applyBorder="1" applyAlignment="1">
      <alignment horizontal="center"/>
    </xf>
    <xf numFmtId="0" fontId="50" fillId="41" borderId="20" xfId="91" applyFont="1" applyBorder="1" applyAlignment="1">
      <alignment horizontal="center"/>
    </xf>
    <xf numFmtId="0" fontId="12" fillId="0" borderId="0" xfId="30"/>
    <xf numFmtId="0" fontId="50" fillId="41" borderId="22" xfId="91" applyFont="1" applyBorder="1"/>
    <xf numFmtId="0" fontId="0" fillId="0" borderId="0" xfId="0" applyAlignment="1">
      <alignment horizontal="left" indent="1"/>
    </xf>
    <xf numFmtId="0" fontId="32" fillId="0" borderId="0" xfId="26"/>
    <xf numFmtId="0" fontId="51" fillId="0" borderId="0" xfId="26" applyFont="1" applyAlignment="1">
      <alignment horizontal="right"/>
    </xf>
    <xf numFmtId="0" fontId="48" fillId="0" borderId="0" xfId="0" quotePrefix="1" applyFont="1" applyAlignment="1">
      <alignment horizontal="center"/>
    </xf>
    <xf numFmtId="0" fontId="48" fillId="0" borderId="0" xfId="0" applyFont="1" applyAlignment="1">
      <alignment horizontal="center"/>
    </xf>
    <xf numFmtId="0" fontId="48" fillId="0" borderId="0" xfId="0" applyFont="1"/>
    <xf numFmtId="0" fontId="2" fillId="16" borderId="0" xfId="38" applyFont="1" applyAlignment="1">
      <alignment horizontal="center"/>
    </xf>
    <xf numFmtId="0" fontId="43" fillId="0" borderId="0" xfId="30" applyFont="1" applyAlignment="1">
      <alignment horizontal="left"/>
    </xf>
    <xf numFmtId="0" fontId="45" fillId="0" borderId="0" xfId="0" applyFont="1"/>
    <xf numFmtId="0" fontId="44" fillId="0" borderId="0" xfId="0" applyFont="1"/>
    <xf numFmtId="0" fontId="43" fillId="0" borderId="0" xfId="30" applyFont="1" applyAlignment="1">
      <alignment horizontal="left" indent="10"/>
    </xf>
    <xf numFmtId="0" fontId="43" fillId="0" borderId="0" xfId="30" applyFont="1" applyAlignment="1">
      <alignment horizontal="left" indent="12"/>
    </xf>
    <xf numFmtId="0" fontId="52" fillId="0" borderId="0" xfId="30" applyFont="1"/>
    <xf numFmtId="0" fontId="29" fillId="39" borderId="7" xfId="27" applyBorder="1" applyProtection="1">
      <protection locked="0"/>
    </xf>
    <xf numFmtId="166" fontId="14" fillId="43" borderId="7" xfId="49" applyFill="1"/>
    <xf numFmtId="0" fontId="53" fillId="0" borderId="0" xfId="0" applyFont="1"/>
    <xf numFmtId="166" fontId="17" fillId="32" borderId="7" xfId="59" applyNumberFormat="1" applyAlignment="1">
      <alignment horizontal="center"/>
      <protection locked="0"/>
    </xf>
    <xf numFmtId="0" fontId="37" fillId="0" borderId="0" xfId="89">
      <alignment horizontal="center"/>
    </xf>
    <xf numFmtId="0" fontId="12" fillId="0" borderId="0" xfId="30" applyAlignment="1">
      <alignment horizontal="left" indent="2"/>
    </xf>
    <xf numFmtId="0" fontId="12" fillId="0" borderId="0" xfId="30" applyAlignment="1">
      <alignment horizontal="left" indent="4"/>
    </xf>
    <xf numFmtId="0" fontId="41" fillId="0" borderId="0" xfId="0" applyFont="1" applyAlignment="1">
      <alignment horizontal="center"/>
    </xf>
    <xf numFmtId="0" fontId="17" fillId="32" borderId="7" xfId="62" applyAlignment="1">
      <alignment horizontal="center"/>
      <protection locked="0"/>
    </xf>
    <xf numFmtId="0" fontId="17" fillId="27" borderId="7" xfId="57">
      <protection locked="0"/>
    </xf>
    <xf numFmtId="0" fontId="12" fillId="0" borderId="0" xfId="30" quotePrefix="1"/>
    <xf numFmtId="0" fontId="0" fillId="0" borderId="0" xfId="0" applyAlignment="1">
      <alignment horizontal="centerContinuous"/>
    </xf>
    <xf numFmtId="0" fontId="12" fillId="0" borderId="0" xfId="30" applyAlignment="1">
      <alignment horizontal="centerContinuous"/>
    </xf>
    <xf numFmtId="0" fontId="43" fillId="0" borderId="0" xfId="30" quotePrefix="1" applyFont="1" applyAlignment="1">
      <alignment horizontal="left" indent="2"/>
    </xf>
    <xf numFmtId="0" fontId="32" fillId="0" borderId="0" xfId="26" quotePrefix="1"/>
    <xf numFmtId="166" fontId="14" fillId="43" borderId="21" xfId="49" applyFill="1" applyBorder="1"/>
    <xf numFmtId="166" fontId="14" fillId="43" borderId="23" xfId="49" applyFill="1" applyBorder="1"/>
    <xf numFmtId="0" fontId="40" fillId="41" borderId="20" xfId="91" applyBorder="1" applyAlignment="1">
      <alignment horizontal="center"/>
    </xf>
    <xf numFmtId="0" fontId="40" fillId="41" borderId="24" xfId="91" applyBorder="1" applyAlignment="1">
      <alignment horizontal="center"/>
    </xf>
    <xf numFmtId="164" fontId="17" fillId="32" borderId="25" xfId="59" applyBorder="1">
      <protection locked="0"/>
    </xf>
    <xf numFmtId="0" fontId="40" fillId="41" borderId="22" xfId="91" applyBorder="1" applyAlignment="1">
      <alignment horizontal="center"/>
    </xf>
    <xf numFmtId="164" fontId="17" fillId="32" borderId="23" xfId="59" applyBorder="1">
      <protection locked="0"/>
    </xf>
    <xf numFmtId="166" fontId="14" fillId="0" borderId="26" xfId="49" applyBorder="1"/>
    <xf numFmtId="0" fontId="17" fillId="32" borderId="26" xfId="62" applyBorder="1">
      <protection locked="0"/>
    </xf>
    <xf numFmtId="0" fontId="17" fillId="32" borderId="23" xfId="62" applyBorder="1">
      <protection locked="0"/>
    </xf>
    <xf numFmtId="0" fontId="17" fillId="32" borderId="7" xfId="62" applyAlignment="1">
      <protection locked="0"/>
    </xf>
    <xf numFmtId="0" fontId="55" fillId="0" borderId="0" xfId="89" applyFont="1" applyAlignment="1"/>
    <xf numFmtId="0" fontId="17" fillId="0" borderId="0" xfId="0" applyFont="1"/>
    <xf numFmtId="0" fontId="17" fillId="0" borderId="0" xfId="89" applyFont="1">
      <alignment horizontal="center"/>
    </xf>
    <xf numFmtId="0" fontId="17" fillId="0" borderId="0" xfId="89" applyFont="1" applyAlignment="1"/>
    <xf numFmtId="0" fontId="56" fillId="0" borderId="0" xfId="89" applyFont="1" applyAlignment="1"/>
    <xf numFmtId="0" fontId="43" fillId="0" borderId="0" xfId="0" applyFont="1"/>
    <xf numFmtId="0" fontId="46" fillId="0" borderId="0" xfId="0" quotePrefix="1" applyFont="1" applyAlignment="1">
      <alignment horizontal="centerContinuous"/>
    </xf>
    <xf numFmtId="0" fontId="58" fillId="0" borderId="0" xfId="0" applyFont="1"/>
    <xf numFmtId="0" fontId="43" fillId="0" borderId="0" xfId="30" applyFont="1" applyAlignment="1">
      <alignment horizontal="left" indent="7"/>
    </xf>
    <xf numFmtId="166" fontId="14" fillId="43" borderId="26" xfId="49" applyFill="1" applyBorder="1"/>
    <xf numFmtId="0" fontId="24" fillId="0" borderId="0" xfId="73"/>
    <xf numFmtId="0" fontId="50" fillId="41" borderId="0" xfId="91" applyFont="1"/>
    <xf numFmtId="0" fontId="50" fillId="41" borderId="20" xfId="91" applyFont="1" applyBorder="1" applyAlignment="1"/>
    <xf numFmtId="0" fontId="17" fillId="32" borderId="27" xfId="62" applyBorder="1">
      <protection locked="0"/>
    </xf>
    <xf numFmtId="0" fontId="17" fillId="32" borderId="28" xfId="62" applyBorder="1">
      <protection locked="0"/>
    </xf>
    <xf numFmtId="0" fontId="50" fillId="41" borderId="20" xfId="91" applyFont="1" applyBorder="1" applyAlignment="1">
      <alignment horizontal="right"/>
    </xf>
    <xf numFmtId="0" fontId="3" fillId="10" borderId="0" xfId="32"/>
    <xf numFmtId="0" fontId="1" fillId="10" borderId="0" xfId="32" applyFont="1"/>
    <xf numFmtId="172" fontId="14" fillId="0" borderId="7" xfId="49" applyNumberFormat="1"/>
    <xf numFmtId="166" fontId="14" fillId="0" borderId="7" xfId="49" applyAlignment="1">
      <alignment horizontal="right"/>
    </xf>
    <xf numFmtId="0" fontId="21" fillId="28" borderId="11" xfId="7"/>
    <xf numFmtId="166" fontId="14" fillId="43" borderId="7" xfId="49" applyFill="1" applyAlignment="1">
      <alignment horizontal="center"/>
    </xf>
    <xf numFmtId="166" fontId="14" fillId="0" borderId="7" xfId="49" applyAlignment="1">
      <alignment horizontal="center"/>
    </xf>
    <xf numFmtId="0" fontId="0" fillId="0" borderId="0" xfId="0" applyAlignment="1">
      <alignment horizontal="center"/>
    </xf>
    <xf numFmtId="0" fontId="60" fillId="0" borderId="0" xfId="0" applyFont="1"/>
    <xf numFmtId="166" fontId="29" fillId="39" borderId="7" xfId="27" applyNumberFormat="1" applyBorder="1"/>
    <xf numFmtId="0" fontId="52" fillId="0" borderId="0" xfId="0" applyFont="1"/>
    <xf numFmtId="0" fontId="46" fillId="0" borderId="0" xfId="0" applyFont="1"/>
    <xf numFmtId="0" fontId="52" fillId="0" borderId="0" xfId="30" quotePrefix="1" applyFont="1"/>
    <xf numFmtId="0" fontId="52" fillId="0" borderId="0" xfId="30" quotePrefix="1" applyFont="1" applyAlignment="1">
      <alignment horizontal="left" indent="2"/>
    </xf>
    <xf numFmtId="0" fontId="52" fillId="0" borderId="0" xfId="30" applyFont="1" applyAlignment="1">
      <alignment horizontal="left" indent="2"/>
    </xf>
    <xf numFmtId="0" fontId="52" fillId="0" borderId="0" xfId="30" applyFont="1" applyAlignment="1">
      <alignment horizontal="left" indent="4"/>
    </xf>
    <xf numFmtId="0" fontId="52" fillId="0" borderId="0" xfId="30" applyFont="1" applyAlignment="1">
      <alignment horizontal="left" indent="6"/>
    </xf>
    <xf numFmtId="0" fontId="52" fillId="0" borderId="0" xfId="30" applyFont="1" applyAlignment="1">
      <alignment horizontal="left" indent="8"/>
    </xf>
    <xf numFmtId="0" fontId="17" fillId="34" borderId="7" xfId="23"/>
    <xf numFmtId="0" fontId="17" fillId="27" borderId="7" xfId="57" applyAlignment="1">
      <alignment horizontal="center"/>
      <protection locked="0"/>
    </xf>
    <xf numFmtId="164" fontId="17" fillId="32" borderId="7" xfId="59" quotePrefix="1" applyAlignment="1">
      <alignment horizontal="center"/>
      <protection locked="0"/>
    </xf>
    <xf numFmtId="164" fontId="17" fillId="32" borderId="7" xfId="59" applyAlignment="1">
      <protection locked="0"/>
    </xf>
    <xf numFmtId="166" fontId="14" fillId="0" borderId="26" xfId="49" applyBorder="1" applyAlignment="1">
      <alignment horizontal="center"/>
    </xf>
    <xf numFmtId="166" fontId="14" fillId="0" borderId="23" xfId="49" applyBorder="1" applyAlignment="1">
      <alignment horizontal="center"/>
    </xf>
    <xf numFmtId="0" fontId="17" fillId="32" borderId="26" xfId="62" applyBorder="1">
      <protection locked="0"/>
    </xf>
    <xf numFmtId="0" fontId="17" fillId="32" borderId="23" xfId="62" applyBorder="1">
      <protection locked="0"/>
    </xf>
    <xf numFmtId="171" fontId="17" fillId="32" borderId="26" xfId="62" applyNumberFormat="1" applyBorder="1" applyAlignment="1">
      <alignment horizontal="center"/>
      <protection locked="0"/>
    </xf>
    <xf numFmtId="171" fontId="17" fillId="32" borderId="23" xfId="62" applyNumberFormat="1" applyBorder="1" applyAlignment="1">
      <alignment horizontal="center"/>
      <protection locked="0"/>
    </xf>
    <xf numFmtId="172" fontId="17" fillId="32" borderId="21" xfId="94" applyBorder="1" applyAlignment="1">
      <alignment horizontal="center"/>
      <protection locked="0"/>
    </xf>
    <xf numFmtId="173" fontId="17" fillId="32" borderId="21" xfId="95" applyBorder="1" applyAlignment="1">
      <alignment horizontal="center"/>
      <protection locked="0"/>
    </xf>
    <xf numFmtId="173" fontId="17" fillId="32" borderId="7" xfId="95" applyAlignment="1">
      <alignment horizontal="center"/>
      <protection locked="0"/>
    </xf>
    <xf numFmtId="172" fontId="17" fillId="32" borderId="7" xfId="94" applyAlignment="1">
      <alignment horizontal="center"/>
      <protection locked="0"/>
    </xf>
    <xf numFmtId="172" fontId="17" fillId="32" borderId="7" xfId="94" quotePrefix="1" applyAlignment="1">
      <alignment horizontal="center"/>
      <protection locked="0"/>
    </xf>
    <xf numFmtId="0" fontId="30" fillId="0" borderId="0" xfId="25" applyAlignment="1">
      <alignment horizontal="center"/>
    </xf>
    <xf numFmtId="173" fontId="33" fillId="0" borderId="7" xfId="96" applyAlignment="1">
      <alignment horizontal="center"/>
    </xf>
    <xf numFmtId="0" fontId="25" fillId="0" borderId="0" xfId="0" applyFont="1"/>
    <xf numFmtId="173" fontId="29" fillId="39" borderId="7" xfId="27" applyNumberFormat="1" applyBorder="1" applyAlignment="1">
      <alignment horizontal="center"/>
    </xf>
    <xf numFmtId="172" fontId="33" fillId="0" borderId="7" xfId="97" applyAlignment="1">
      <alignment horizontal="center"/>
    </xf>
    <xf numFmtId="0" fontId="50" fillId="44" borderId="29" xfId="93" applyFont="1" applyBorder="1" applyAlignment="1">
      <alignment horizontal="center"/>
    </xf>
    <xf numFmtId="172" fontId="17" fillId="32" borderId="7" xfId="94" quotePrefix="1">
      <protection locked="0"/>
    </xf>
    <xf numFmtId="0" fontId="17" fillId="34" borderId="21" xfId="98" applyNumberFormat="1" applyBorder="1" applyAlignment="1">
      <alignment horizontal="center"/>
    </xf>
    <xf numFmtId="0" fontId="17" fillId="34" borderId="7" xfId="98" applyNumberFormat="1" applyAlignment="1">
      <alignment horizontal="center"/>
    </xf>
    <xf numFmtId="0" fontId="30" fillId="0" borderId="0" xfId="25" applyAlignment="1">
      <alignment horizontal="right"/>
    </xf>
    <xf numFmtId="172" fontId="17" fillId="32" borderId="7" xfId="94">
      <protection locked="0"/>
    </xf>
    <xf numFmtId="172" fontId="29" fillId="39" borderId="7" xfId="27" applyNumberFormat="1" applyBorder="1" applyAlignment="1">
      <alignment horizontal="center"/>
    </xf>
    <xf numFmtId="173" fontId="17" fillId="32" borderId="7" xfId="95">
      <protection locked="0"/>
    </xf>
    <xf numFmtId="173" fontId="33" fillId="0" borderId="26" xfId="96" applyBorder="1"/>
    <xf numFmtId="173" fontId="33" fillId="0" borderId="23" xfId="96" applyBorder="1"/>
    <xf numFmtId="173" fontId="0" fillId="0" borderId="0" xfId="0" applyNumberFormat="1"/>
    <xf numFmtId="0" fontId="52" fillId="0" borderId="0" xfId="30" applyFont="1" applyAlignment="1">
      <alignment horizontal="left" indent="10"/>
    </xf>
    <xf numFmtId="0" fontId="32" fillId="0" borderId="0" xfId="26" applyAlignment="1">
      <alignment horizontal="left" indent="2"/>
    </xf>
    <xf numFmtId="0" fontId="0" fillId="43" borderId="0" xfId="0" applyFill="1"/>
    <xf numFmtId="0" fontId="62" fillId="0" borderId="0" xfId="0" applyFont="1"/>
    <xf numFmtId="0" fontId="12" fillId="0" borderId="0" xfId="0" applyFont="1"/>
    <xf numFmtId="0" fontId="65" fillId="0" borderId="0" xfId="0" applyFont="1"/>
  </cellXfs>
  <cellStyles count="99">
    <cellStyle name="20% - Accent1" xfId="31" builtinId="30" customBuiltin="1"/>
    <cellStyle name="20% - Accent2" xfId="34" builtinId="34" customBuiltin="1"/>
    <cellStyle name="20% - Accent3" xfId="37" builtinId="38" customBuiltin="1"/>
    <cellStyle name="20% - Accent4" xfId="40" builtinId="42" customBuiltin="1"/>
    <cellStyle name="20% - Accent5" xfId="43" builtinId="46" customBuiltin="1"/>
    <cellStyle name="20% - Accent6" xfId="46" builtinId="50" customBuiltin="1"/>
    <cellStyle name="40% - Accent1" xfId="32" builtinId="31" customBuiltin="1"/>
    <cellStyle name="40% - Accent2" xfId="35" builtinId="35" customBuiltin="1"/>
    <cellStyle name="40% - Accent3" xfId="38" builtinId="39" customBuiltin="1"/>
    <cellStyle name="40% - Accent4" xfId="41" builtinId="43" customBuiltin="1"/>
    <cellStyle name="40% - Accent5" xfId="44" builtinId="47" customBuiltin="1"/>
    <cellStyle name="40% - Accent6" xfId="47" builtinId="51" customBuiltin="1"/>
    <cellStyle name="60% - Accent1" xfId="33" builtinId="32" customBuiltin="1"/>
    <cellStyle name="60% - Accent2" xfId="36" builtinId="36" customBuiltin="1"/>
    <cellStyle name="60% - Accent3" xfId="39" builtinId="40" customBuiltin="1"/>
    <cellStyle name="60% - Accent4" xfId="42" builtinId="44" customBuiltin="1"/>
    <cellStyle name="60% - Accent5" xfId="45" builtinId="48" customBuiltin="1"/>
    <cellStyle name="60% - Accent6" xfId="48" builtinId="52" customBuiltin="1"/>
    <cellStyle name="Accent1" xfId="91" builtinId="29"/>
    <cellStyle name="Accent3" xfId="92" builtinId="37"/>
    <cellStyle name="Accent4" xfId="93" builtinId="41"/>
    <cellStyle name="Bad" xfId="12" builtinId="27" customBuiltin="1"/>
    <cellStyle name="Calc - #" xfId="49" xr:uid="{2495CDAB-90FF-4C3D-BA81-740AFFEAE34F}"/>
    <cellStyle name="Calc - %" xfId="50" xr:uid="{3071A072-FD64-4371-A892-8083BC06D80E}"/>
    <cellStyle name="Calc - Date" xfId="51" xr:uid="{8C138BAE-026B-464A-A8F7-0959008204C5}"/>
    <cellStyle name="Calc - SubTotal" xfId="52" xr:uid="{03F67E89-A370-4CA2-8ED5-E04EED92D31A}"/>
    <cellStyle name="Calc - Total" xfId="53" xr:uid="{66EDCBE4-B269-4428-9460-4A665606A11C}"/>
    <cellStyle name="Calculation" xfId="15" builtinId="22" hidden="1"/>
    <cellStyle name="Check Cell" xfId="17" builtinId="23" hidden="1"/>
    <cellStyle name="Code" xfId="30" xr:uid="{B8FCD659-3DFB-42D6-8526-A2BCC03606B5}"/>
    <cellStyle name="Comma" xfId="2" builtinId="3" customBuiltin="1"/>
    <cellStyle name="Const - #" xfId="54" xr:uid="{FC61DC0C-5CE2-4480-A5B9-156C1F382B6D}"/>
    <cellStyle name="Const - %" xfId="55" xr:uid="{FD8D9826-1E51-49FC-BCBE-58EBB480029D}"/>
    <cellStyle name="Const - Date" xfId="56" xr:uid="{21ED30E5-899D-4676-981F-49908B1827B4}"/>
    <cellStyle name="Const - Text" xfId="57" xr:uid="{DB0E7607-F53D-41E5-B4DA-A2761ECD479C}"/>
    <cellStyle name="Currency" xfId="3" builtinId="4" customBuiltin="1"/>
    <cellStyle name="Currency [0]" xfId="4" builtinId="7" customBuiltin="1"/>
    <cellStyle name="Explanatory Text" xfId="20" builtinId="53" customBuiltin="1"/>
    <cellStyle name="Followed Hyperlink" xfId="74" builtinId="9" customBuiltin="1"/>
    <cellStyle name="Footer" xfId="58" xr:uid="{79781C6A-EB78-482F-AF81-80226C3882E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73" builtinId="8" customBuiltin="1"/>
    <cellStyle name="Inline Check" xfId="22" xr:uid="{E7FD4D4C-BE0C-4C66-90EF-C5205204C60E}"/>
    <cellStyle name="Input" xfId="1" builtinId="20" hidden="1"/>
    <cellStyle name="Input - #" xfId="59" xr:uid="{B8E537EE-A566-440F-A007-AA2FB5F9A9FB}"/>
    <cellStyle name="Input - # 2" xfId="95" xr:uid="{96CCFA81-6470-40E0-BF93-C956337AA403}"/>
    <cellStyle name="Input - %" xfId="60" xr:uid="{976D63A3-80C6-4567-AE8F-0D3E16350EF8}"/>
    <cellStyle name="Input - Date" xfId="61" xr:uid="{61CD4EAE-32D8-4878-9CCC-BC4A561495C9}"/>
    <cellStyle name="Input - Text" xfId="62" xr:uid="{9BAD8F5A-8782-4831-9E5C-ADE825F5200E}"/>
    <cellStyle name="Input - Text 2" xfId="94" xr:uid="{7A1CF5AB-DBCB-4131-92D2-6FE1C510C7C9}"/>
    <cellStyle name="Linked Cell" xfId="16" builtinId="24" hidden="1"/>
    <cellStyle name="Macro Paste" xfId="75" xr:uid="{B7031408-8270-4CF6-9EF6-C95730554BFB}"/>
    <cellStyle name="Message Bar" xfId="63" xr:uid="{3B0D17CD-633D-4591-9C53-704178FD419A}"/>
    <cellStyle name="Model Author Input" xfId="23" xr:uid="{22313D04-CEE3-4C6D-A73A-0922D389E627}"/>
    <cellStyle name="Model Author Input 2" xfId="98" xr:uid="{9307D866-1D20-4EB2-BBE9-D3810C57F4CD}"/>
    <cellStyle name="Model Error" xfId="24" xr:uid="{7DF8A411-A2F6-49EF-86E9-1FBCD7E034D7}"/>
    <cellStyle name="Model Input Error" xfId="76" xr:uid="{B8ED4A64-BC78-4F21-B321-D7A218A214B5}"/>
    <cellStyle name="Model Warning" xfId="64" xr:uid="{84E6CA98-0C35-47A7-A1AA-48EE78A8551D}"/>
    <cellStyle name="Named Range" xfId="25" xr:uid="{E1999A07-DF06-4E2D-9D12-B5FF5AB39725}"/>
    <cellStyle name="Neutral" xfId="13" builtinId="28" customBuiltin="1"/>
    <cellStyle name="Normal" xfId="0" builtinId="0" customBuiltin="1"/>
    <cellStyle name="Note" xfId="19" builtinId="10" hidden="1"/>
    <cellStyle name="Notes" xfId="26" xr:uid="{A5B30873-7290-4B84-88CF-F6942C7113B4}"/>
    <cellStyle name="Notes - Alt Text" xfId="77" xr:uid="{C3BD8E38-560D-4E7C-B626-49A71273E491}"/>
    <cellStyle name="Output" xfId="14" builtinId="21" hidden="1"/>
    <cellStyle name="Output - #" xfId="65" xr:uid="{7370FC14-4D4E-4017-ABB2-53D819BCD0F2}"/>
    <cellStyle name="Output - %" xfId="66" xr:uid="{6C044CA3-3915-4D8A-BEF7-C461B38069AA}"/>
    <cellStyle name="Output - Date" xfId="67" xr:uid="{0DAFC17A-95FB-4984-99CB-3F1F041A33E4}"/>
    <cellStyle name="Output - SubTotal" xfId="68" xr:uid="{3944BA35-D861-48C8-BF5E-3B5A261E1A76}"/>
    <cellStyle name="Output - Text" xfId="69" xr:uid="{D8AED5B9-3D8F-49BF-8E7D-B2C435B0B345}"/>
    <cellStyle name="Output - Total" xfId="70" xr:uid="{4535EB24-0E67-4CEB-99CB-25A662CC9E57}"/>
    <cellStyle name="Per cent" xfId="5" builtinId="5" customBuiltin="1"/>
    <cellStyle name="Ref.In - #" xfId="78" xr:uid="{7AC7FA44-CE33-4D97-A9FF-6DB2BE2FBF7C}"/>
    <cellStyle name="Ref.In - # 2" xfId="96" xr:uid="{A091F120-D0E5-4379-A6BA-BF47857879B5}"/>
    <cellStyle name="Ref.In - %" xfId="79" xr:uid="{BE627C07-1DF5-42CE-90A7-95B617354C42}"/>
    <cellStyle name="Ref.In - Date" xfId="80" xr:uid="{70FB18BE-2731-4B77-8479-BF1A1A35C14E}"/>
    <cellStyle name="Ref.In - SubTotal" xfId="81" xr:uid="{1BCBE048-F1DD-4438-B851-47640116EDC4}"/>
    <cellStyle name="Ref.In - Text" xfId="82" xr:uid="{76DDEE21-CB3B-4B3F-A682-B80A16F240B7}"/>
    <cellStyle name="Ref.In - Text 2" xfId="97" xr:uid="{FA3F8D77-8F4A-4D46-8F74-73A61B1ECA7F}"/>
    <cellStyle name="Ref.Out - #" xfId="83" xr:uid="{5FC54B47-478F-4591-AD7F-336E1608C747}"/>
    <cellStyle name="Ref.Out - %" xfId="84" xr:uid="{9FA89097-514A-441E-B0A0-94BBD3524816}"/>
    <cellStyle name="Ref.Out - Date" xfId="85" xr:uid="{8B20E3B4-706B-41CE-864E-E775C3D3E39B}"/>
    <cellStyle name="Ref.Out - SubTotal" xfId="86" xr:uid="{11BF8659-80CF-4C13-9B69-58CDA4FF5B64}"/>
    <cellStyle name="Ref.Out - Text" xfId="87" xr:uid="{D6E2D691-99EC-4F06-9B51-7814062DE643}"/>
    <cellStyle name="SubTitle" xfId="71" xr:uid="{81F4C8C1-EA43-481A-9676-DC23C4FA3B53}"/>
    <cellStyle name="Time Line" xfId="88" xr:uid="{E03B2099-5F54-4B36-B917-7B8C5089334B}"/>
    <cellStyle name="Title" xfId="6" builtinId="15" customBuiltin="1"/>
    <cellStyle name="Total" xfId="21" builtinId="25" hidden="1"/>
    <cellStyle name="Units Label" xfId="89" xr:uid="{30F76D94-6F5D-4005-AA68-53AB799EC6FC}"/>
    <cellStyle name="Unused" xfId="27" xr:uid="{41FDAA62-0CFA-4ECE-8536-2FE4DDCF7B47}"/>
    <cellStyle name="Variance - #" xfId="28" xr:uid="{C6E31070-8FD9-44FE-9156-8DC91AE2C02C}"/>
    <cellStyle name="Variance - %" xfId="72" xr:uid="{0B45C513-E93C-425C-9EA0-C12C16E6E00D}"/>
    <cellStyle name="Variance - SubTotal" xfId="90" xr:uid="{EA38576B-A343-4751-923A-790D33FCBF99}"/>
    <cellStyle name="Variance - Total" xfId="29" xr:uid="{4F69F40F-674C-4CBD-B34C-2FD1E42EDEB8}"/>
    <cellStyle name="Warning Text" xfId="18" builtinId="11" customBuiltin="1"/>
  </cellStyles>
  <dxfs count="31">
    <dxf>
      <font>
        <color theme="0" tint="-0.24994659260841701"/>
      </font>
    </dxf>
    <dxf>
      <font>
        <b/>
        <i val="0"/>
        <color theme="0"/>
      </font>
      <fill>
        <patternFill>
          <bgColor theme="4"/>
        </patternFill>
      </fill>
      <border>
        <left/>
        <right/>
        <top/>
        <bottom style="thin">
          <color theme="4" tint="-0.24994659260841701"/>
        </bottom>
        <vertical/>
        <horizontal/>
      </border>
    </dxf>
    <dxf>
      <font>
        <b/>
        <i val="0"/>
        <color theme="0"/>
      </font>
      <fill>
        <patternFill>
          <bgColor theme="4"/>
        </patternFill>
      </fill>
      <border>
        <left/>
        <right/>
        <top/>
        <bottom style="thin">
          <color theme="4" tint="-0.24994659260841701"/>
        </bottom>
        <vertical/>
        <horizontal/>
      </border>
    </dxf>
    <dxf>
      <font>
        <b/>
        <i val="0"/>
        <color theme="0"/>
      </font>
      <fill>
        <patternFill>
          <bgColor theme="4"/>
        </patternFill>
      </fill>
      <border>
        <left/>
        <right/>
        <top/>
        <bottom style="thin">
          <color theme="4" tint="-0.24994659260841701"/>
        </bottom>
        <vertical/>
        <horizontal/>
      </border>
    </dxf>
    <dxf>
      <numFmt numFmtId="164" formatCode="#,##0_);[Red]\(#,##0\);\ \-_)"/>
      <border>
        <left style="hair">
          <color rgb="FF0065A8"/>
        </left>
        <right style="hair">
          <color rgb="FF0065A8"/>
        </right>
        <top style="hair">
          <color rgb="FF0065A8"/>
        </top>
        <bottom style="hair">
          <color rgb="FF0065A8"/>
        </bottom>
        <vertical/>
        <horizontal/>
      </border>
    </dxf>
    <dxf>
      <font>
        <color theme="0" tint="-0.24994659260841701"/>
      </font>
    </dxf>
    <dxf>
      <font>
        <color theme="0" tint="-0.24994659260841701"/>
      </font>
    </dxf>
    <dxf>
      <font>
        <b/>
        <i val="0"/>
        <color theme="0"/>
      </font>
      <fill>
        <patternFill>
          <bgColor theme="4"/>
        </patternFill>
      </fill>
      <border>
        <left/>
        <right/>
        <top/>
        <bottom style="thin">
          <color theme="4" tint="-0.24994659260841701"/>
        </bottom>
        <vertical/>
        <horizontal/>
      </border>
    </dxf>
    <dxf>
      <numFmt numFmtId="166" formatCode="#,##0_);\(#,##0\);\-_)"/>
      <border>
        <left style="hair">
          <color rgb="FF0065A8"/>
        </left>
        <right style="hair">
          <color rgb="FF0065A8"/>
        </right>
        <top style="hair">
          <color rgb="FF0065A8"/>
        </top>
        <bottom style="hair">
          <color rgb="FF0065A8"/>
        </bottom>
        <vertical/>
        <horizontal/>
      </border>
    </dxf>
    <dxf>
      <font>
        <color rgb="FFB4B4B4"/>
      </font>
    </dxf>
    <dxf>
      <font>
        <color theme="0"/>
      </font>
      <fill>
        <patternFill>
          <bgColor theme="4"/>
        </patternFill>
      </fill>
      <border>
        <left/>
        <right/>
        <top/>
        <bottom style="thin">
          <color theme="4" tint="-0.24994659260841701"/>
        </bottom>
      </border>
    </dxf>
    <dxf>
      <numFmt numFmtId="166" formatCode="#,##0_);\(#,##0\);\-_)"/>
      <border>
        <left style="hair">
          <color rgb="FF0065A8"/>
        </left>
        <right style="hair">
          <color rgb="FF0065A8"/>
        </right>
        <top style="hair">
          <color rgb="FF0065A8"/>
        </top>
        <bottom style="hair">
          <color rgb="FF0065A8"/>
        </bottom>
        <vertical/>
        <horizontal/>
      </border>
    </dxf>
    <dxf>
      <font>
        <color rgb="FFB4B4B4"/>
      </font>
    </dxf>
    <dxf>
      <font>
        <color theme="0"/>
      </font>
      <fill>
        <patternFill>
          <bgColor theme="4"/>
        </patternFill>
      </fill>
      <border>
        <left/>
        <right/>
        <top/>
        <bottom style="thin">
          <color theme="4" tint="-0.24994659260841701"/>
        </bottom>
      </border>
    </dxf>
    <dxf>
      <numFmt numFmtId="166" formatCode="#,##0_);\(#,##0\);\-_)"/>
      <border>
        <left style="hair">
          <color rgb="FF0065A8"/>
        </left>
        <right style="hair">
          <color rgb="FF0065A8"/>
        </right>
        <top style="hair">
          <color rgb="FF0065A8"/>
        </top>
        <bottom style="hair">
          <color rgb="FF0065A8"/>
        </bottom>
        <vertical/>
        <horizontal/>
      </border>
    </dxf>
    <dxf>
      <font>
        <color rgb="FFB4B4B4"/>
      </font>
    </dxf>
    <dxf>
      <font>
        <color theme="0"/>
      </font>
      <fill>
        <patternFill>
          <bgColor theme="4"/>
        </patternFill>
      </fill>
      <border>
        <left/>
        <right/>
        <top/>
        <bottom style="thin">
          <color theme="4" tint="-0.24994659260841701"/>
        </bottom>
      </border>
    </dxf>
    <dxf>
      <font>
        <color theme="0"/>
      </font>
      <fill>
        <patternFill>
          <bgColor theme="4"/>
        </patternFill>
      </fill>
      <border>
        <left/>
        <right/>
        <top/>
        <bottom style="thin">
          <color theme="4" tint="-0.24994659260841701"/>
        </bottom>
      </border>
    </dxf>
    <dxf>
      <numFmt numFmtId="166" formatCode="#,##0_);\(#,##0\);\-_)"/>
      <border>
        <left style="hair">
          <color rgb="FF0065A8"/>
        </left>
        <right style="hair">
          <color rgb="FF0065A8"/>
        </right>
        <top style="hair">
          <color rgb="FF0065A8"/>
        </top>
        <bottom style="hair">
          <color rgb="FF0065A8"/>
        </bottom>
        <vertical/>
        <horizontal/>
      </border>
    </dxf>
    <dxf>
      <font>
        <color rgb="FFB4B4B4"/>
      </font>
    </dxf>
    <dxf>
      <font>
        <color theme="0"/>
      </font>
      <fill>
        <patternFill>
          <bgColor theme="4"/>
        </patternFill>
      </fill>
      <border>
        <left/>
        <right/>
        <top/>
        <bottom style="thin">
          <color theme="4" tint="-0.24994659260841701"/>
        </bottom>
      </border>
    </dxf>
    <dxf>
      <font>
        <color theme="0"/>
      </font>
      <fill>
        <patternFill>
          <bgColor theme="4"/>
        </patternFill>
      </fill>
      <border>
        <left/>
        <right/>
        <top/>
        <bottom style="thin">
          <color theme="4" tint="-0.24994659260841701"/>
        </bottom>
      </border>
    </dxf>
    <dxf>
      <font>
        <color theme="0"/>
      </font>
      <fill>
        <patternFill>
          <bgColor theme="4"/>
        </patternFill>
      </fill>
      <border>
        <left/>
        <right/>
        <top/>
        <bottom style="thin">
          <color theme="4" tint="-0.24994659260841701"/>
        </bottom>
      </border>
    </dxf>
    <dxf>
      <font>
        <color theme="0"/>
      </font>
      <fill>
        <patternFill>
          <bgColor theme="4"/>
        </patternFill>
      </fill>
      <border>
        <left/>
        <right/>
        <top/>
        <bottom style="thin">
          <color theme="4" tint="-0.24994659260841701"/>
        </bottom>
      </border>
    </dxf>
    <dxf>
      <numFmt numFmtId="166" formatCode="#,##0_);\(#,##0\);\-_)"/>
      <border>
        <left style="hair">
          <color rgb="FF0065A8"/>
        </left>
        <right style="hair">
          <color rgb="FF0065A8"/>
        </right>
        <top style="hair">
          <color rgb="FF0065A8"/>
        </top>
        <bottom style="hair">
          <color rgb="FF0065A8"/>
        </bottom>
        <vertical/>
        <horizontal/>
      </border>
    </dxf>
    <dxf>
      <font>
        <color rgb="FFB4B4B4"/>
      </font>
    </dxf>
    <dxf>
      <font>
        <color theme="0" tint="-0.24994659260841701"/>
      </font>
    </dxf>
    <dxf>
      <font>
        <color theme="0"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65A8"/>
      <color rgb="FF0000FF"/>
      <color rgb="FFB75EE1"/>
      <color rgb="FFFC6017"/>
      <color rgb="FF1E4FA8"/>
      <color rgb="FF00153D"/>
      <color rgb="FF009C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3E2B0867-BD5D-43A5-BBA7-7B09111CE7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586740" cy="3174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2</xdr:col>
      <xdr:colOff>43815</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F7B17EAE-615C-46E9-ACA3-86A1343D54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38100"/>
          <a:ext cx="609600" cy="3174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5A16B619-5877-44E1-A219-C6E654C051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586740" cy="3174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2</xdr:col>
      <xdr:colOff>43815</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4AC4DDD8-49D1-4B8B-8D88-E5700DE8FF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38100"/>
          <a:ext cx="609600" cy="3174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62CA0371-A16F-4060-9238-16E0B1457A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594360" cy="3174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709AC7ED-E041-4214-BFB9-09F91186E2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586740" cy="31744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4C634F94-F994-4C78-90F2-0216C77071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609600" cy="317442"/>
        </a:xfrm>
        <a:prstGeom prst="rect">
          <a:avLst/>
        </a:prstGeom>
      </xdr:spPr>
    </xdr:pic>
    <xdr:clientData/>
  </xdr:twoCellAnchor>
  <xdr:twoCellAnchor editAs="oneCell">
    <xdr:from>
      <xdr:col>2</xdr:col>
      <xdr:colOff>0</xdr:colOff>
      <xdr:row>7</xdr:row>
      <xdr:rowOff>53340</xdr:rowOff>
    </xdr:from>
    <xdr:to>
      <xdr:col>10</xdr:col>
      <xdr:colOff>555206</xdr:colOff>
      <xdr:row>15</xdr:row>
      <xdr:rowOff>53462</xdr:rowOff>
    </xdr:to>
    <xdr:pic>
      <xdr:nvPicPr>
        <xdr:cNvPr id="3" name="Picture 2">
          <a:extLst>
            <a:ext uri="{FF2B5EF4-FFF2-40B4-BE49-F238E27FC236}">
              <a16:creationId xmlns:a16="http://schemas.microsoft.com/office/drawing/2014/main" id="{145991A2-53E6-6F44-504C-B6D4BFB3CB61}"/>
            </a:ext>
          </a:extLst>
        </xdr:cNvPr>
        <xdr:cNvPicPr>
          <a:picLocks noChangeAspect="1"/>
        </xdr:cNvPicPr>
      </xdr:nvPicPr>
      <xdr:blipFill>
        <a:blip xmlns:r="http://schemas.openxmlformats.org/officeDocument/2006/relationships" r:embed="rId2"/>
        <a:stretch>
          <a:fillRect/>
        </a:stretch>
      </xdr:blipFill>
      <xdr:spPr>
        <a:xfrm>
          <a:off x="594360" y="1516380"/>
          <a:ext cx="5432006" cy="1402202"/>
        </a:xfrm>
        <a:prstGeom prst="rect">
          <a:avLst/>
        </a:prstGeom>
      </xdr:spPr>
    </xdr:pic>
    <xdr:clientData/>
  </xdr:twoCellAnchor>
  <xdr:twoCellAnchor editAs="oneCell">
    <xdr:from>
      <xdr:col>2</xdr:col>
      <xdr:colOff>0</xdr:colOff>
      <xdr:row>17</xdr:row>
      <xdr:rowOff>45721</xdr:rowOff>
    </xdr:from>
    <xdr:to>
      <xdr:col>8</xdr:col>
      <xdr:colOff>511122</xdr:colOff>
      <xdr:row>36</xdr:row>
      <xdr:rowOff>46186</xdr:rowOff>
    </xdr:to>
    <xdr:pic>
      <xdr:nvPicPr>
        <xdr:cNvPr id="4" name="Picture 3">
          <a:extLst>
            <a:ext uri="{FF2B5EF4-FFF2-40B4-BE49-F238E27FC236}">
              <a16:creationId xmlns:a16="http://schemas.microsoft.com/office/drawing/2014/main" id="{909DFC03-1C20-2D89-06D1-2773ED8FB788}"/>
            </a:ext>
          </a:extLst>
        </xdr:cNvPr>
        <xdr:cNvPicPr>
          <a:picLocks noChangeAspect="1"/>
        </xdr:cNvPicPr>
      </xdr:nvPicPr>
      <xdr:blipFill>
        <a:blip xmlns:r="http://schemas.openxmlformats.org/officeDocument/2006/relationships" r:embed="rId3"/>
        <a:stretch>
          <a:fillRect/>
        </a:stretch>
      </xdr:blipFill>
      <xdr:spPr>
        <a:xfrm>
          <a:off x="594360" y="3261361"/>
          <a:ext cx="4168722" cy="3330405"/>
        </a:xfrm>
        <a:prstGeom prst="rect">
          <a:avLst/>
        </a:prstGeom>
      </xdr:spPr>
    </xdr:pic>
    <xdr:clientData/>
  </xdr:twoCellAnchor>
  <xdr:twoCellAnchor editAs="oneCell">
    <xdr:from>
      <xdr:col>2</xdr:col>
      <xdr:colOff>1</xdr:colOff>
      <xdr:row>39</xdr:row>
      <xdr:rowOff>53341</xdr:rowOff>
    </xdr:from>
    <xdr:to>
      <xdr:col>17</xdr:col>
      <xdr:colOff>435678</xdr:colOff>
      <xdr:row>61</xdr:row>
      <xdr:rowOff>46258</xdr:rowOff>
    </xdr:to>
    <xdr:pic>
      <xdr:nvPicPr>
        <xdr:cNvPr id="5" name="Picture 4">
          <a:extLst>
            <a:ext uri="{FF2B5EF4-FFF2-40B4-BE49-F238E27FC236}">
              <a16:creationId xmlns:a16="http://schemas.microsoft.com/office/drawing/2014/main" id="{10B67445-74C9-39AF-A396-7D69883A1984}"/>
            </a:ext>
          </a:extLst>
        </xdr:cNvPr>
        <xdr:cNvPicPr>
          <a:picLocks noChangeAspect="1"/>
        </xdr:cNvPicPr>
      </xdr:nvPicPr>
      <xdr:blipFill>
        <a:blip xmlns:r="http://schemas.openxmlformats.org/officeDocument/2006/relationships" r:embed="rId4"/>
        <a:stretch>
          <a:fillRect/>
        </a:stretch>
      </xdr:blipFill>
      <xdr:spPr>
        <a:xfrm>
          <a:off x="594361" y="7124701"/>
          <a:ext cx="9579677" cy="3848637"/>
        </a:xfrm>
        <a:prstGeom prst="rect">
          <a:avLst/>
        </a:prstGeom>
      </xdr:spPr>
    </xdr:pic>
    <xdr:clientData/>
  </xdr:twoCellAnchor>
  <xdr:twoCellAnchor editAs="oneCell">
    <xdr:from>
      <xdr:col>2</xdr:col>
      <xdr:colOff>0</xdr:colOff>
      <xdr:row>63</xdr:row>
      <xdr:rowOff>45720</xdr:rowOff>
    </xdr:from>
    <xdr:to>
      <xdr:col>9</xdr:col>
      <xdr:colOff>183266</xdr:colOff>
      <xdr:row>71</xdr:row>
      <xdr:rowOff>7738</xdr:rowOff>
    </xdr:to>
    <xdr:pic>
      <xdr:nvPicPr>
        <xdr:cNvPr id="7" name="Picture 6">
          <a:extLst>
            <a:ext uri="{FF2B5EF4-FFF2-40B4-BE49-F238E27FC236}">
              <a16:creationId xmlns:a16="http://schemas.microsoft.com/office/drawing/2014/main" id="{A897633E-0F25-0602-B99E-BC707D2F0BA0}"/>
            </a:ext>
          </a:extLst>
        </xdr:cNvPr>
        <xdr:cNvPicPr>
          <a:picLocks noChangeAspect="1"/>
        </xdr:cNvPicPr>
      </xdr:nvPicPr>
      <xdr:blipFill>
        <a:blip xmlns:r="http://schemas.openxmlformats.org/officeDocument/2006/relationships" r:embed="rId5"/>
        <a:stretch>
          <a:fillRect/>
        </a:stretch>
      </xdr:blipFill>
      <xdr:spPr>
        <a:xfrm>
          <a:off x="594360" y="11323320"/>
          <a:ext cx="4450466" cy="136409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0A24780F-62EA-45A8-A36A-9DC3BD8912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594360" cy="317442"/>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0</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RXL Custom Theme">
  <a:themeElements>
    <a:clrScheme name="RXL Custom Theme">
      <a:dk1>
        <a:srgbClr val="002138"/>
      </a:dk1>
      <a:lt1>
        <a:sysClr val="window" lastClr="FFFFFF"/>
      </a:lt1>
      <a:dk2>
        <a:srgbClr val="002138"/>
      </a:dk2>
      <a:lt2>
        <a:srgbClr val="F8F8F8"/>
      </a:lt2>
      <a:accent1>
        <a:srgbClr val="198B83"/>
      </a:accent1>
      <a:accent2>
        <a:srgbClr val="56BAB8"/>
      </a:accent2>
      <a:accent3>
        <a:srgbClr val="FC6017"/>
      </a:accent3>
      <a:accent4>
        <a:srgbClr val="F88D24"/>
      </a:accent4>
      <a:accent5>
        <a:srgbClr val="E6D3B8"/>
      </a:accent5>
      <a:accent6>
        <a:srgbClr val="B75EE1"/>
      </a:accent6>
      <a:hlink>
        <a:srgbClr val="467886"/>
      </a:hlink>
      <a:folHlink>
        <a:srgbClr val="96607D"/>
      </a:folHlink>
    </a:clrScheme>
    <a:fontScheme name="RXL Custom Them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3"/>
        </a:solidFill>
        <a:ln w="28575">
          <a:solidFill>
            <a:schemeClr val="accent3">
              <a:lumMod val="75000"/>
            </a:schemeClr>
          </a:solidFill>
        </a:ln>
        <a:effectLst>
          <a:outerShdw blurRad="50800" dist="38100" dir="5400000" algn="t" rotWithShape="0">
            <a:prstClr val="black">
              <a:alpha val="40000"/>
            </a:prstClr>
          </a:outerShdw>
        </a:effectLst>
      </a:spPr>
      <a:bodyPr vertOverflow="clip" horzOverflow="clip" rtlCol="0" anchor="ctr"/>
      <a:lstStyle>
        <a:defPPr algn="ctr">
          <a:defRPr sz="1200" kern="1200">
            <a:solidFill>
              <a:schemeClr val="bg1"/>
            </a:solidFill>
            <a:latin typeface="+mj-lt"/>
            <a:cs typeface="Arial" panose="020B0604020202020204" pitchFamily="34" charset="0"/>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36"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898898-00B4-4C03-BA06-A0F23E263CD4}">
  <we:reference id="wa200003696" version="1.3.0.0" store="en-GB" storeType="OMEX"/>
  <we:alternateReferences>
    <we:reference id="wa200003696" version="1.3.0.0" store="" storeType="OMEX"/>
  </we:alternateReferences>
  <we:properties>
    <we:property name="projectV0_1-56c6e055-265e-4713-816e-a646dbb708de" value="{&quot;kind&quot;:&quot;AFEJSONBlobNode&quot;,&quot;id&quot;:&quot;{E868B07E-8E73-453F-8EDC-C5D00DFF7CD9}&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gist.github.com/r-silk/c31faf1e9de8d01687447bede455f8cc" TargetMode="External"/><Relationship Id="rId2" Type="http://schemas.openxmlformats.org/officeDocument/2006/relationships/hyperlink" Target="https://gist.github.com/r-silk/1203fd946f4096f3744083040668dbae" TargetMode="External"/><Relationship Id="rId1" Type="http://schemas.openxmlformats.org/officeDocument/2006/relationships/hyperlink" Target="https://gist.github.com/r-silk/ad8fa1536830e6fbfbf91953fa4efc3a" TargetMode="External"/><Relationship Id="rId6" Type="http://schemas.openxmlformats.org/officeDocument/2006/relationships/drawing" Target="../drawings/drawing6.xml"/><Relationship Id="rId5" Type="http://schemas.openxmlformats.org/officeDocument/2006/relationships/hyperlink" Target="https://gist.github.com/r-silk/a84eaeb12f21fa2487d416f2fd3f99a0" TargetMode="External"/><Relationship Id="rId4" Type="http://schemas.openxmlformats.org/officeDocument/2006/relationships/hyperlink" Target="https://gist.github.com/r-silk/9d0505a132d0a54b9de63313fdb176a6"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655EA-C7C0-468B-85CE-461F1FAAA998}">
  <sheetPr codeName="Sheet3"/>
  <dimension ref="A1:BD788"/>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1:17" s="4" customFormat="1" ht="30" customHeight="1" x14ac:dyDescent="0.3">
      <c r="A1" s="12"/>
      <c r="C1" s="2" t="s">
        <v>328</v>
      </c>
    </row>
    <row r="3" spans="1:17" x14ac:dyDescent="0.3">
      <c r="B3" s="6" t="s">
        <v>1</v>
      </c>
    </row>
    <row r="4" spans="1:17" x14ac:dyDescent="0.3">
      <c r="C4" t="s">
        <v>329</v>
      </c>
    </row>
    <row r="5" spans="1:17" x14ac:dyDescent="0.3">
      <c r="C5" t="s">
        <v>330</v>
      </c>
    </row>
    <row r="6" spans="1:17" x14ac:dyDescent="0.3">
      <c r="C6" t="s">
        <v>331</v>
      </c>
    </row>
    <row r="7" spans="1:17" x14ac:dyDescent="0.3">
      <c r="C7" t="s">
        <v>332</v>
      </c>
    </row>
    <row r="9" spans="1:17" x14ac:dyDescent="0.3">
      <c r="B9" s="14" t="s">
        <v>333</v>
      </c>
    </row>
    <row r="10" spans="1:17" ht="14.4" thickBot="1" x14ac:dyDescent="0.35">
      <c r="C10" s="21" t="s">
        <v>334</v>
      </c>
      <c r="D10" s="21"/>
      <c r="F10" s="21" t="s">
        <v>335</v>
      </c>
      <c r="H10" s="21" t="s">
        <v>336</v>
      </c>
      <c r="I10" s="21"/>
      <c r="K10" s="23" t="s">
        <v>337</v>
      </c>
      <c r="L10" s="25" t="s">
        <v>338</v>
      </c>
      <c r="M10" s="25" t="s">
        <v>339</v>
      </c>
      <c r="N10" s="25" t="s">
        <v>340</v>
      </c>
      <c r="O10" s="25" t="s">
        <v>341</v>
      </c>
      <c r="P10" s="25"/>
      <c r="Q10" s="67"/>
    </row>
    <row r="11" spans="1:17" x14ac:dyDescent="0.3">
      <c r="C11" s="25" t="s">
        <v>338</v>
      </c>
      <c r="D11" s="25" t="s">
        <v>195</v>
      </c>
      <c r="F11" s="25" t="s">
        <v>342</v>
      </c>
      <c r="H11" s="25" t="s">
        <v>342</v>
      </c>
      <c r="I11" s="25" t="s">
        <v>343</v>
      </c>
      <c r="K11" s="23"/>
      <c r="L11" s="25" t="s">
        <v>195</v>
      </c>
      <c r="M11" s="25" t="s">
        <v>196</v>
      </c>
      <c r="N11" s="25" t="s">
        <v>197</v>
      </c>
      <c r="O11" s="25" t="s">
        <v>344</v>
      </c>
      <c r="P11" s="25"/>
      <c r="Q11" s="67"/>
    </row>
    <row r="12" spans="1:17" x14ac:dyDescent="0.3">
      <c r="C12" s="25" t="s">
        <v>339</v>
      </c>
      <c r="D12" s="25" t="s">
        <v>196</v>
      </c>
      <c r="F12" s="25" t="s">
        <v>345</v>
      </c>
      <c r="H12" s="25" t="s">
        <v>345</v>
      </c>
      <c r="I12" s="25" t="s">
        <v>346</v>
      </c>
    </row>
    <row r="13" spans="1:17" x14ac:dyDescent="0.3">
      <c r="C13" s="25" t="s">
        <v>340</v>
      </c>
      <c r="D13" s="25" t="s">
        <v>197</v>
      </c>
      <c r="F13" s="25" t="s">
        <v>347</v>
      </c>
      <c r="H13" s="25" t="s">
        <v>347</v>
      </c>
      <c r="I13" s="25" t="s">
        <v>348</v>
      </c>
      <c r="K13" s="23" t="s">
        <v>349</v>
      </c>
      <c r="L13" s="25" t="s">
        <v>342</v>
      </c>
      <c r="M13" s="25" t="s">
        <v>345</v>
      </c>
      <c r="N13" s="25" t="s">
        <v>347</v>
      </c>
      <c r="O13" s="25" t="s">
        <v>350</v>
      </c>
      <c r="P13" s="25" t="s">
        <v>351</v>
      </c>
      <c r="Q13" s="25"/>
    </row>
    <row r="14" spans="1:17" x14ac:dyDescent="0.3">
      <c r="C14" s="25"/>
      <c r="D14" s="25"/>
      <c r="F14" s="25" t="s">
        <v>350</v>
      </c>
      <c r="H14" s="25" t="s">
        <v>342</v>
      </c>
      <c r="I14" s="25" t="s">
        <v>343</v>
      </c>
    </row>
    <row r="15" spans="1:17" x14ac:dyDescent="0.3">
      <c r="C15" s="25" t="e">
        <v>#N/A</v>
      </c>
      <c r="D15" s="25"/>
      <c r="F15" s="25" t="s">
        <v>351</v>
      </c>
      <c r="H15" s="25" t="s">
        <v>345</v>
      </c>
      <c r="I15" s="25" t="s">
        <v>346</v>
      </c>
    </row>
    <row r="16" spans="1:17" x14ac:dyDescent="0.3">
      <c r="C16" s="67"/>
      <c r="D16" s="67"/>
      <c r="F16" s="25"/>
      <c r="H16" s="67"/>
      <c r="I16" s="67"/>
    </row>
    <row r="19" spans="2:21" s="8" customFormat="1" ht="16.2" thickBot="1" x14ac:dyDescent="0.35">
      <c r="B19" s="9">
        <f xml:space="preserve"> MAX(B$1:B1) + 1</f>
        <v>1</v>
      </c>
      <c r="C19" s="8" t="s">
        <v>4</v>
      </c>
    </row>
    <row r="21" spans="2:21" x14ac:dyDescent="0.3">
      <c r="B21" s="28" t="s">
        <v>352</v>
      </c>
      <c r="C21" s="27"/>
      <c r="D21" s="27"/>
      <c r="E21" s="27"/>
      <c r="F21" s="27"/>
      <c r="G21" s="27"/>
      <c r="H21" s="27"/>
      <c r="I21" s="27"/>
      <c r="J21" s="27"/>
      <c r="K21" s="27"/>
      <c r="L21" s="27"/>
      <c r="M21" s="27"/>
      <c r="N21" s="27"/>
      <c r="O21" s="27"/>
      <c r="P21" s="27"/>
      <c r="Q21" s="27"/>
      <c r="R21" s="27"/>
      <c r="S21" s="27"/>
      <c r="T21" s="27"/>
      <c r="U21" s="27"/>
    </row>
    <row r="23" spans="2:21" x14ac:dyDescent="0.3">
      <c r="C23" t="s">
        <v>353</v>
      </c>
    </row>
    <row r="24" spans="2:21" x14ac:dyDescent="0.3">
      <c r="C24" t="s">
        <v>354</v>
      </c>
    </row>
    <row r="25" spans="2:21" x14ac:dyDescent="0.3">
      <c r="C25" t="s">
        <v>355</v>
      </c>
    </row>
    <row r="26" spans="2:21" x14ac:dyDescent="0.3">
      <c r="C26" t="s">
        <v>356</v>
      </c>
    </row>
    <row r="27" spans="2:21" x14ac:dyDescent="0.3">
      <c r="C27" t="s">
        <v>357</v>
      </c>
    </row>
    <row r="29" spans="2:21" x14ac:dyDescent="0.3">
      <c r="C29" s="13" t="s">
        <v>358</v>
      </c>
      <c r="F29" s="13" t="s">
        <v>359</v>
      </c>
      <c r="J29" s="13" t="s">
        <v>360</v>
      </c>
    </row>
    <row r="30" spans="2:21" x14ac:dyDescent="0.3">
      <c r="C30" s="68" t="str" cm="1">
        <f t="array" ref="C30:D54" xml:space="preserve"> _xlfn.LAMBDA(_xlpm.list_one,_xlpm.list_two,
  _xlfn.LET(
    _xlpm._list1, _xlfn.TOCOL(_xlpm.list_one),
    _xlpm._list2, _xlfn.TOCOL(_xlpm.list_two),
    _xlpm._len, ROWS(_xlpm._list2),
    _xlpm._idx0, _xlfn.SEQUENCE(_xlpm._len * ROWS(_xlpm._list1), 1),
    _xlpm._idx1, _xlfn.CEILING.MATH(_xlpm._idx0 / _xlpm._len),
    _xlpm._idx2, MOD(_xlpm._idx0 - 1, _xlpm._len) + 1,
    _xlfn.HSTACK( INDEX(_xlpm._list1, _xlpm._idx1), INDEX(_xlpm._list2, _xlpm._idx2))
  )
)(C11:C15, F11:F15)</f>
        <v>One</v>
      </c>
      <c r="D30" s="20" t="str">
        <v>AAAA</v>
      </c>
      <c r="F30" s="68" t="str" cm="1">
        <f t="array" ref="F30:G54" xml:space="preserve"> _xlfn.LAMBDA(_xlpm.list_one,_xlpm.list_two,
  _xlfn.LET(
    _xlpm._list1, IF(
      AND(COLUMNS(_xlpm.list_one) &gt; 1, ROWS(_xlpm.list_one) &gt; 1),
      IF(
        COLUMNS(_xlpm.list_one) &gt; ROWS(_xlpm.list_one),
        _xlfn.CHOOSEROWS(_xlpm.list_one, 1),
        _xlfn.CHOOSECOLS(_xlpm.list_one, 1)
        ),
      _xlpm.list_one
      ),
    _xlpm._list2, IF(
      AND(COLUMNS(_xlpm.list_two) &gt; 1, ROWS(_xlpm.list_two) &gt; 1),
      IF(
        COLUMNS(_xlpm.list_two) &gt; ROWS(_xlpm.list_two),
        _xlfn.CHOOSEROWS(_xlpm.list_two, 1),
        _xlfn.CHOOSECOLS(_xlpm.list_two, 1)
        ),
      _xlpm.list_two
      ),
    _xlpm._col1, _xlfn.TOCOL(_xlpm._list1),
    _xlpm._col2, _xlfn.TOCOL(_xlpm._list2),
    _xlpm._len, ROWS(_xlpm._col2),
    _xlpm._idx0, _xlfn.SEQUENCE(_xlpm._len * ROWS(_xlpm._col1), 1),
    _xlpm._idx1, _xlfn.CEILING.MATH(_xlpm._idx0 / _xlpm._len),
    _xlpm._idx2, MOD(_xlpm._idx0 - 1, _xlpm._len) + 1,
    _xlfn.HSTACK( INDEX(_xlpm._col1, _xlpm._idx1), INDEX(_xlpm._col2, _xlpm._idx2))
  )
)(C11:D15, F11:G15)</f>
        <v>One</v>
      </c>
      <c r="G30" s="20" t="str">
        <v>AAAA</v>
      </c>
      <c r="J30" s="68" t="str" cm="1">
        <f t="array" ref="J30:K49" xml:space="preserve"> _xlfn.LAMBDA(_xlpm.list_one,_xlpm.list_two,
  _xlfn.LET(
    _xlpm._list1, IF(
      AND(COLUMNS(_xlpm.list_one) &gt; 1, ROWS(_xlpm.list_one) &gt; 1),
      IF(
        COLUMNS(_xlpm.list_one) &gt; ROWS(_xlpm.list_one),
        _xlfn.CHOOSEROWS(_xlpm.list_one, 1),
        _xlfn.CHOOSECOLS(_xlpm.list_one, 1)
        ),
      _xlpm.list_one
      ),
    _xlpm._list2, IF(
      AND(COLUMNS(_xlpm.list_two) &gt; 1, ROWS(_xlpm.list_two) &gt; 1),
      IF(
        COLUMNS(_xlpm.list_two) &gt; ROWS(_xlpm.list_two),
        _xlfn.CHOOSEROWS(_xlpm.list_two, 1),
        _xlfn.CHOOSECOLS(_xlpm.list_two, 1)
        ),
      _xlpm.list_two
      ),
    _xlpm._col1, _xlfn.TOCOL(_xlpm._list1),
    _xlpm._col2, _xlfn.TOCOL(_xlpm._list2),
    _xlpm._len, ROWS(_xlpm._col2),
    _xlpm._idx0, _xlfn.SEQUENCE(_xlpm._len * ROWS(_xlpm._col1), 1),
    _xlpm._idx1, _xlfn.CEILING.MATH(_xlpm._idx0 / _xlpm._len),
    _xlpm._idx2, MOD(_xlpm._idx0 - 1, _xlpm._len) + 1,
    _xlfn.HSTACK( INDEX(_xlpm._col1, _xlpm._idx1), INDEX(_xlpm._col2, _xlpm._idx2))
  )
)(L10:O11, L13:P13)</f>
        <v>One</v>
      </c>
      <c r="K30" s="20" t="str">
        <v>AAAA</v>
      </c>
    </row>
    <row r="31" spans="2:21" x14ac:dyDescent="0.3">
      <c r="C31" s="20" t="str">
        <v>One</v>
      </c>
      <c r="D31" s="20" t="str">
        <v>BBBB</v>
      </c>
      <c r="F31" s="20" t="str">
        <v>One</v>
      </c>
      <c r="G31" s="20" t="str">
        <v>BBBB</v>
      </c>
      <c r="J31" s="20" t="str">
        <v>One</v>
      </c>
      <c r="K31" s="20" t="str">
        <v>BBBB</v>
      </c>
    </row>
    <row r="32" spans="2:21" x14ac:dyDescent="0.3">
      <c r="C32" s="20" t="str">
        <v>One</v>
      </c>
      <c r="D32" s="20" t="str">
        <v>CCCC</v>
      </c>
      <c r="F32" s="20" t="str">
        <v>One</v>
      </c>
      <c r="G32" s="20" t="str">
        <v>CCCC</v>
      </c>
      <c r="J32" s="20" t="str">
        <v>One</v>
      </c>
      <c r="K32" s="20" t="str">
        <v>CCCC</v>
      </c>
    </row>
    <row r="33" spans="3:11" x14ac:dyDescent="0.3">
      <c r="C33" s="20" t="str">
        <v>One</v>
      </c>
      <c r="D33" s="20" t="str">
        <v>DDDD</v>
      </c>
      <c r="F33" s="20" t="str">
        <v>One</v>
      </c>
      <c r="G33" s="20" t="str">
        <v>DDDD</v>
      </c>
      <c r="J33" s="20" t="str">
        <v>One</v>
      </c>
      <c r="K33" s="20" t="str">
        <v>DDDD</v>
      </c>
    </row>
    <row r="34" spans="3:11" x14ac:dyDescent="0.3">
      <c r="C34" s="20" t="str">
        <v>One</v>
      </c>
      <c r="D34" s="20" t="str">
        <v>EEEE</v>
      </c>
      <c r="F34" s="20" t="str">
        <v>One</v>
      </c>
      <c r="G34" s="20" t="str">
        <v>EEEE</v>
      </c>
      <c r="J34" s="20" t="str">
        <v>One</v>
      </c>
      <c r="K34" s="20" t="str">
        <v>EEEE</v>
      </c>
    </row>
    <row r="35" spans="3:11" x14ac:dyDescent="0.3">
      <c r="C35" s="20" t="str">
        <v>Two</v>
      </c>
      <c r="D35" s="20" t="str">
        <v>AAAA</v>
      </c>
      <c r="F35" s="20" t="str">
        <v>Two</v>
      </c>
      <c r="G35" s="20" t="str">
        <v>AAAA</v>
      </c>
      <c r="J35" s="20" t="str">
        <v>Two</v>
      </c>
      <c r="K35" s="20" t="str">
        <v>AAAA</v>
      </c>
    </row>
    <row r="36" spans="3:11" x14ac:dyDescent="0.3">
      <c r="C36" s="20" t="str">
        <v>Two</v>
      </c>
      <c r="D36" s="20" t="str">
        <v>BBBB</v>
      </c>
      <c r="F36" s="20" t="str">
        <v>Two</v>
      </c>
      <c r="G36" s="20" t="str">
        <v>BBBB</v>
      </c>
      <c r="J36" s="20" t="str">
        <v>Two</v>
      </c>
      <c r="K36" s="20" t="str">
        <v>BBBB</v>
      </c>
    </row>
    <row r="37" spans="3:11" x14ac:dyDescent="0.3">
      <c r="C37" s="20" t="str">
        <v>Two</v>
      </c>
      <c r="D37" s="20" t="str">
        <v>CCCC</v>
      </c>
      <c r="F37" s="20" t="str">
        <v>Two</v>
      </c>
      <c r="G37" s="20" t="str">
        <v>CCCC</v>
      </c>
      <c r="J37" s="20" t="str">
        <v>Two</v>
      </c>
      <c r="K37" s="20" t="str">
        <v>CCCC</v>
      </c>
    </row>
    <row r="38" spans="3:11" x14ac:dyDescent="0.3">
      <c r="C38" s="20" t="str">
        <v>Two</v>
      </c>
      <c r="D38" s="20" t="str">
        <v>DDDD</v>
      </c>
      <c r="F38" s="20" t="str">
        <v>Two</v>
      </c>
      <c r="G38" s="20" t="str">
        <v>DDDD</v>
      </c>
      <c r="J38" s="20" t="str">
        <v>Two</v>
      </c>
      <c r="K38" s="20" t="str">
        <v>DDDD</v>
      </c>
    </row>
    <row r="39" spans="3:11" x14ac:dyDescent="0.3">
      <c r="C39" s="20" t="str">
        <v>Two</v>
      </c>
      <c r="D39" s="20" t="str">
        <v>EEEE</v>
      </c>
      <c r="F39" s="20" t="str">
        <v>Two</v>
      </c>
      <c r="G39" s="20" t="str">
        <v>EEEE</v>
      </c>
      <c r="J39" s="20" t="str">
        <v>Two</v>
      </c>
      <c r="K39" s="20" t="str">
        <v>EEEE</v>
      </c>
    </row>
    <row r="40" spans="3:11" x14ac:dyDescent="0.3">
      <c r="C40" s="20" t="str">
        <v>Three</v>
      </c>
      <c r="D40" s="20" t="str">
        <v>AAAA</v>
      </c>
      <c r="F40" s="20" t="str">
        <v>Three</v>
      </c>
      <c r="G40" s="20" t="str">
        <v>AAAA</v>
      </c>
      <c r="J40" s="20" t="str">
        <v>Three</v>
      </c>
      <c r="K40" s="20" t="str">
        <v>AAAA</v>
      </c>
    </row>
    <row r="41" spans="3:11" x14ac:dyDescent="0.3">
      <c r="C41" s="20" t="str">
        <v>Three</v>
      </c>
      <c r="D41" s="20" t="str">
        <v>BBBB</v>
      </c>
      <c r="F41" s="20" t="str">
        <v>Three</v>
      </c>
      <c r="G41" s="20" t="str">
        <v>BBBB</v>
      </c>
      <c r="J41" s="20" t="str">
        <v>Three</v>
      </c>
      <c r="K41" s="20" t="str">
        <v>BBBB</v>
      </c>
    </row>
    <row r="42" spans="3:11" x14ac:dyDescent="0.3">
      <c r="C42" s="20" t="str">
        <v>Three</v>
      </c>
      <c r="D42" s="20" t="str">
        <v>CCCC</v>
      </c>
      <c r="F42" s="20" t="str">
        <v>Three</v>
      </c>
      <c r="G42" s="20" t="str">
        <v>CCCC</v>
      </c>
      <c r="J42" s="20" t="str">
        <v>Three</v>
      </c>
      <c r="K42" s="20" t="str">
        <v>CCCC</v>
      </c>
    </row>
    <row r="43" spans="3:11" x14ac:dyDescent="0.3">
      <c r="C43" s="20" t="str">
        <v>Three</v>
      </c>
      <c r="D43" s="20" t="str">
        <v>DDDD</v>
      </c>
      <c r="F43" s="20" t="str">
        <v>Three</v>
      </c>
      <c r="G43" s="20" t="str">
        <v>DDDD</v>
      </c>
      <c r="J43" s="20" t="str">
        <v>Three</v>
      </c>
      <c r="K43" s="20" t="str">
        <v>DDDD</v>
      </c>
    </row>
    <row r="44" spans="3:11" x14ac:dyDescent="0.3">
      <c r="C44" s="20" t="str">
        <v>Three</v>
      </c>
      <c r="D44" s="20" t="str">
        <v>EEEE</v>
      </c>
      <c r="F44" s="20" t="str">
        <v>Three</v>
      </c>
      <c r="G44" s="20" t="str">
        <v>EEEE</v>
      </c>
      <c r="J44" s="20" t="str">
        <v>Three</v>
      </c>
      <c r="K44" s="20" t="str">
        <v>EEEE</v>
      </c>
    </row>
    <row r="45" spans="3:11" x14ac:dyDescent="0.3">
      <c r="C45" s="20">
        <v>0</v>
      </c>
      <c r="D45" s="20" t="str">
        <v>AAAA</v>
      </c>
      <c r="F45" s="20">
        <v>0</v>
      </c>
      <c r="G45" s="20" t="str">
        <v>AAAA</v>
      </c>
      <c r="J45" s="20" t="str">
        <v>Four</v>
      </c>
      <c r="K45" s="20" t="str">
        <v>AAAA</v>
      </c>
    </row>
    <row r="46" spans="3:11" x14ac:dyDescent="0.3">
      <c r="C46" s="20">
        <v>0</v>
      </c>
      <c r="D46" s="20" t="str">
        <v>BBBB</v>
      </c>
      <c r="F46" s="20">
        <v>0</v>
      </c>
      <c r="G46" s="20" t="str">
        <v>BBBB</v>
      </c>
      <c r="J46" s="20" t="str">
        <v>Four</v>
      </c>
      <c r="K46" s="20" t="str">
        <v>BBBB</v>
      </c>
    </row>
    <row r="47" spans="3:11" x14ac:dyDescent="0.3">
      <c r="C47" s="20">
        <v>0</v>
      </c>
      <c r="D47" s="20" t="str">
        <v>CCCC</v>
      </c>
      <c r="F47" s="20">
        <v>0</v>
      </c>
      <c r="G47" s="20" t="str">
        <v>CCCC</v>
      </c>
      <c r="J47" s="20" t="str">
        <v>Four</v>
      </c>
      <c r="K47" s="20" t="str">
        <v>CCCC</v>
      </c>
    </row>
    <row r="48" spans="3:11" x14ac:dyDescent="0.3">
      <c r="C48" s="20">
        <v>0</v>
      </c>
      <c r="D48" s="20" t="str">
        <v>DDDD</v>
      </c>
      <c r="F48" s="20">
        <v>0</v>
      </c>
      <c r="G48" s="20" t="str">
        <v>DDDD</v>
      </c>
      <c r="J48" s="20" t="str">
        <v>Four</v>
      </c>
      <c r="K48" s="20" t="str">
        <v>DDDD</v>
      </c>
    </row>
    <row r="49" spans="2:21" x14ac:dyDescent="0.3">
      <c r="C49" s="20">
        <v>0</v>
      </c>
      <c r="D49" s="20" t="str">
        <v>EEEE</v>
      </c>
      <c r="F49" s="20">
        <v>0</v>
      </c>
      <c r="G49" s="20" t="str">
        <v>EEEE</v>
      </c>
      <c r="J49" s="20" t="str">
        <v>Four</v>
      </c>
      <c r="K49" s="20" t="str">
        <v>EEEE</v>
      </c>
    </row>
    <row r="50" spans="2:21" x14ac:dyDescent="0.3">
      <c r="C50" s="20" t="e">
        <v>#N/A</v>
      </c>
      <c r="D50" s="20" t="str">
        <v>AAAA</v>
      </c>
      <c r="F50" s="20" t="e">
        <v>#N/A</v>
      </c>
      <c r="G50" s="20" t="str">
        <v>AAAA</v>
      </c>
    </row>
    <row r="51" spans="2:21" x14ac:dyDescent="0.3">
      <c r="C51" s="20" t="e">
        <v>#N/A</v>
      </c>
      <c r="D51" s="20" t="str">
        <v>BBBB</v>
      </c>
      <c r="F51" s="20" t="e">
        <v>#N/A</v>
      </c>
      <c r="G51" s="20" t="str">
        <v>BBBB</v>
      </c>
    </row>
    <row r="52" spans="2:21" x14ac:dyDescent="0.3">
      <c r="C52" s="20" t="e">
        <v>#N/A</v>
      </c>
      <c r="D52" s="20" t="str">
        <v>CCCC</v>
      </c>
      <c r="F52" s="20" t="e">
        <v>#N/A</v>
      </c>
      <c r="G52" s="20" t="str">
        <v>CCCC</v>
      </c>
    </row>
    <row r="53" spans="2:21" x14ac:dyDescent="0.3">
      <c r="C53" s="20" t="e">
        <v>#N/A</v>
      </c>
      <c r="D53" s="20" t="str">
        <v>DDDD</v>
      </c>
      <c r="F53" s="20" t="e">
        <v>#N/A</v>
      </c>
      <c r="G53" s="20" t="str">
        <v>DDDD</v>
      </c>
    </row>
    <row r="54" spans="2:21" x14ac:dyDescent="0.3">
      <c r="C54" s="20" t="e">
        <v>#N/A</v>
      </c>
      <c r="D54" s="20" t="str">
        <v>EEEE</v>
      </c>
      <c r="F54" s="20" t="e">
        <v>#N/A</v>
      </c>
      <c r="G54" s="20" t="str">
        <v>EEEE</v>
      </c>
    </row>
    <row r="57" spans="2:21" x14ac:dyDescent="0.3">
      <c r="B57" s="28" t="s">
        <v>361</v>
      </c>
      <c r="C57" s="27"/>
      <c r="D57" s="27"/>
      <c r="E57" s="27"/>
      <c r="F57" s="27"/>
      <c r="G57" s="27"/>
      <c r="H57" s="27"/>
      <c r="I57" s="27"/>
      <c r="J57" s="27"/>
      <c r="K57" s="27"/>
      <c r="L57" s="27"/>
      <c r="M57" s="27"/>
      <c r="N57" s="27"/>
      <c r="O57" s="27"/>
      <c r="P57" s="27"/>
      <c r="Q57" s="27"/>
      <c r="R57" s="27"/>
      <c r="S57" s="27"/>
      <c r="T57" s="27"/>
      <c r="U57" s="27"/>
    </row>
    <row r="59" spans="2:21" x14ac:dyDescent="0.3">
      <c r="C59" t="s">
        <v>353</v>
      </c>
    </row>
    <row r="60" spans="2:21" x14ac:dyDescent="0.3">
      <c r="C60" t="s">
        <v>362</v>
      </c>
    </row>
    <row r="61" spans="2:21" x14ac:dyDescent="0.3">
      <c r="C61" t="s">
        <v>363</v>
      </c>
    </row>
    <row r="62" spans="2:21" x14ac:dyDescent="0.3">
      <c r="C62" t="s">
        <v>364</v>
      </c>
    </row>
    <row r="63" spans="2:21" x14ac:dyDescent="0.3">
      <c r="K63" s="13" t="s">
        <v>365</v>
      </c>
      <c r="N63" s="13" t="s">
        <v>365</v>
      </c>
    </row>
    <row r="64" spans="2:21" x14ac:dyDescent="0.3">
      <c r="C64" s="13" t="s">
        <v>366</v>
      </c>
      <c r="G64" s="13" t="s">
        <v>367</v>
      </c>
      <c r="K64" s="13" t="s">
        <v>368</v>
      </c>
      <c r="N64" s="13" t="s">
        <v>369</v>
      </c>
    </row>
    <row r="65" spans="3:15" x14ac:dyDescent="0.3">
      <c r="G65" s="24" t="s">
        <v>370</v>
      </c>
      <c r="H65" s="25"/>
      <c r="K65" s="24" t="s">
        <v>370</v>
      </c>
      <c r="L65" s="25"/>
      <c r="N65" s="24" t="s">
        <v>370</v>
      </c>
      <c r="O65" s="25"/>
    </row>
    <row r="66" spans="3:15" x14ac:dyDescent="0.3">
      <c r="C66" s="24" t="s">
        <v>63</v>
      </c>
      <c r="D66" s="26">
        <v>0</v>
      </c>
      <c r="G66" s="24" t="s">
        <v>63</v>
      </c>
      <c r="H66" s="26">
        <v>1</v>
      </c>
      <c r="K66" s="24" t="s">
        <v>63</v>
      </c>
      <c r="L66" s="26">
        <v>0</v>
      </c>
      <c r="N66" s="24" t="s">
        <v>63</v>
      </c>
      <c r="O66" s="26">
        <v>0</v>
      </c>
    </row>
    <row r="67" spans="3:15" x14ac:dyDescent="0.3">
      <c r="C67" s="24" t="s">
        <v>70</v>
      </c>
      <c r="D67" s="26">
        <v>0</v>
      </c>
      <c r="G67" s="24" t="s">
        <v>70</v>
      </c>
      <c r="H67" s="26">
        <v>1</v>
      </c>
      <c r="K67" s="24" t="s">
        <v>70</v>
      </c>
      <c r="L67" s="26">
        <v>0</v>
      </c>
      <c r="N67" s="24" t="s">
        <v>70</v>
      </c>
      <c r="O67" s="26">
        <v>0</v>
      </c>
    </row>
    <row r="68" spans="3:15" x14ac:dyDescent="0.3">
      <c r="C68" s="68" t="str" cm="1">
        <f t="array" ref="C68:D92" xml:space="preserve"> _xlfn.LAMBDA(_xlpm.list_one,_xlpm.list_two,_xlop.filter_blanks,_xlop.filter_errors,
  _xlfn.LET(
    _xlpm._list1, IF(
      AND(COLUMNS(_xlpm.list_one) &gt; 1, ROWS(_xlpm.list_one) &gt; 1),
      IF(
        COLUMNS(_xlpm.list_one) &gt; ROWS(_xlpm.list_one),
        _xlfn.CHOOSEROWS(_xlpm.list_one, 1),
        _xlfn.CHOOSECOLS(_xlpm.list_one, 1)
        ),
      _xlpm.list_one
      ),
    _xlpm._list2, IF(
      AND(COLUMNS(_xlpm.list_two) &gt; 1, ROWS(_xlpm.list_two) &gt; 1),
      IF(
        COLUMNS(_xlpm.list_two) &gt; ROWS(_xlpm.list_two),
        _xlfn.CHOOSEROWS(_xlpm.list_two, 1),
        _xlfn.CHOOSECOLS(_xlpm.list_two, 1)
        ),
      _xlpm.list_two
      ),
    _xlpm._ignore,
      IF( OR( _xlfn.ISOMITTED(_xlpm.filter_blanks), NOT(_xlpm.filter_blanks)), 0, 1) +
      IF( OR( _xlfn.ISOMITTED(_xlpm.filter_errors), NOT(_xlpm.filter_errors)), 0, 2),
    _xlpm._col1, _xlfn.TOCOL(_xlpm._list1, _xlpm._ignore),
    _xlpm._col2, _xlfn.TOCOL(_xlpm._list2, _xlpm._ignore),
    _xlpm._len, ROWS(_xlpm._col2),
    _xlpm._idx0, _xlfn.SEQUENCE(_xlpm._len * ROWS(_xlpm._col1), 1),
    _xlpm._idx1, _xlfn.CEILING.MATH(_xlpm._idx0 / _xlpm._len),
    _xlpm._idx2, MOD(_xlpm._idx0 - 1, _xlpm._len) + 1,
    _xlfn.HSTACK( INDEX(_xlpm._col1, _xlpm._idx1), INDEX(_xlpm._col2, _xlpm._idx2))
  )
)(C11:C15, F11:F15, D66, D67)</f>
        <v>One</v>
      </c>
      <c r="D68" s="20" t="str">
        <v>AAAA</v>
      </c>
      <c r="G68" s="68" t="str" cm="1">
        <f t="array" ref="G68:H82" xml:space="preserve"> _xlfn.LAMBDA(_xlpm.list_one,_xlpm.list_two,_xlop.filter_blanks,_xlop.filter_errors,_xlop.replace_blanks,
  _xlfn.LET(
    _xlpm._list1, IF(
      AND(COLUMNS(_xlpm.list_one) &gt; 1, ROWS(_xlpm.list_one) &gt; 1),
      IF(COLUMNS(_xlpm.list_one) &gt; ROWS(_xlpm.list_one), _xlfn.CHOOSEROWS(_xlpm.list_one, 1), _xlfn.CHOOSECOLS(_xlpm.list_one, 1)),
      _xlpm.list_one
      ),
    _xlpm._list2, IF(
      AND(COLUMNS(_xlpm.list_two) &gt; 1, ROWS(_xlpm.list_two) &gt; 1),
      IF(COLUMNS(_xlpm.list_two) &gt; ROWS(_xlpm.list_two), _xlfn.CHOOSEROWS(_xlpm.list_two, 1), _xlfn.CHOOSECOLS(_xlpm.list_two, 1)),
      _xlpm.list_two
      ),
    _xlpm._fltr1, IF(
      NOT(ISBLANK(_xlpm.replace_blanks)),
      IF( ISBLANK(_xlpm._list1), _xlpm.replace_blanks, _xlpm._list1),
      _xlpm._list1
      ),
    _xlpm._fltr2, IF(
      NOT(ISBLANK(_xlpm.replace_blanks)),
      IF( ISBLANK(_xlpm._list2), _xlpm.replace_blanks, _xlpm._list2),
      _xlpm._list2
      ),
    _xlpm._ignore,
      IF( OR( _xlfn.ISOMITTED(_xlpm.filter_blanks), NOT(_xlpm.filter_blanks)), 0, 1) +
      IF( OR( _xlfn.ISOMITTED(_xlpm.filter_errors), NOT(_xlpm.filter_errors)), 0, 2),
    _xlpm._col1, _xlfn.TOCOL(_xlpm._fltr1, _xlpm._ignore),
    _xlpm._col2, _xlfn.TOCOL(_xlpm._fltr2, _xlpm._ignore),
    _xlpm._len, ROWS(_xlpm._col2),
    _xlpm._idx0, _xlfn.SEQUENCE(_xlpm._len * ROWS(_xlpm._col1), 1),
    _xlpm._idx1, _xlfn.CEILING.MATH(_xlpm._idx0 / _xlpm._len),
    _xlpm._idx2, MOD(_xlpm._idx0 - 1, _xlpm._len) + 1,
    _xlfn.HSTACK( INDEX(_xlpm._col1, _xlpm._idx1), INDEX(_xlpm._col2, _xlpm._idx2))
  )
)(C11:C15, F11:F16, H66, H67, H65)</f>
        <v>One</v>
      </c>
      <c r="H68" s="20" t="str">
        <v>AAAA</v>
      </c>
      <c r="K68" s="68" t="str" cm="1">
        <f t="array" ref="K68:L97" xml:space="preserve"> _xlfn.LAMBDA(_xlpm.list_one,_xlpm.list_two,_xlop.filter_blanks,_xlop.filter_errors,_xlop.replace_blanks,
  _xlfn.LET(
    _xlpm._ignore,
      IF( OR( _xlfn.ISOMITTED(_xlpm.filter_blanks), NOT(_xlpm.filter_blanks)), 0, 1) +
      IF( OR( _xlfn.ISOMITTED(_xlpm.filter_errors), NOT(_xlpm.filter_errors)), 0, 2),
    _xlpm._inpChk, IF(
      OR( NOT(ISREF(_xlpm.list_one)), NOT(ISREF(_xlpm.list_two))),#REF!,
      IF(
        OR( AND( NOT(ISLOGICAL(
      _xlpm.filter_blanks)), NOT(ISNUMBER(_xlpm.filter_blanks))), AND( NOT(ISLOGICAL(_xlpm.filter_errors)), NOT(ISNUMBER(_xlpm.filter_errors)))),
        #VALUE!,
        ""
      )
    ),
    _xlpm._list1, IF(
      AND(COLUMNS(_xlpm.list_one) &gt; 1, ROWS(_xlpm.list_one) &gt; 1),
      IF(COLUMNS(_xlpm.list_one) &gt; ROWS(_xlpm.list_one),
        _xlfn.CHOOSEROWS(_xlpm.list_one, 1),
        _xlfn.CHOOSECOLS(_xlpm.list_one, 1)
      ),
      _xlpm.list_one
    ),
    _xlpm._list2, IF(
      AND(COLUMNS(_xlpm.list_two) &gt; 1, ROWS(_xlpm.list_two) &gt; 1),
      IF(COLUMNS(_xlpm.list_two) &gt; ROWS(_xlpm.list_two),
        _xlfn.CHOOSEROWS(_xlpm.list_two, 1),
        _xlfn.CHOOSECOLS(_xlpm.list_two, 1)
      ),
      _xlpm.list_two
    ),
    _xlpm._fltr1, IF(
      NOT(ISBLANK(_xlpm.replace_blanks)),
      IF( ISBLANK(_xlpm._list1), _xlpm.replace_blanks, _xlpm._list1),
      _xlpm._list1
    ),
    _xlpm._fltr2, IF(
      NOT(ISBLANK(_xlpm.replace_blanks)),
      IF( ISBLANK(_xlpm._list2), _xlpm.replace_blanks, _xlpm._list2),
      _xlpm._list2
    ),
    _xlpm._col1, _xlfn.TOCOL(_xlpm._fltr1, _xlpm._ignore),
    _xlpm._col2, _xlfn.TOCOL(_xlpm._fltr2, _xlpm._ignore),
    _xlpm._len, ROWS(_xlpm._col2),
    _xlpm._idx0, _xlfn.SEQUENCE(_xlpm._len * ROWS(_xlpm._col1), 1),
    _xlpm._idx1, _xlfn.CEILING.MATH(_xlpm._idx0 / _xlpm._len),
    _xlpm._idx2, MOD(_xlpm._idx0 - 1, _xlpm._len) + 1,
    _xlpm._rtn, _xlfn.HSTACK(
      INDEX(_xlpm._col1, _xlpm._idx1),
      INDEX(_xlpm._col2, _xlpm._idx2)
    ),
    IF(_xlpm._inpChk &lt;&gt; "", _xlpm._inpChk, _xlpm._rtn)
  )
)(C11:C15, F11:F16, L66, L67, L65)</f>
        <v>One</v>
      </c>
      <c r="L68" s="20" t="str">
        <v>AAAA</v>
      </c>
      <c r="N68" s="68" t="str" cm="1">
        <f t="array" ref="N68:O97" xml:space="preserve"> _xlfn.LAMBDA(_xlpm.list_one,_xlpm.list_two,_xlop.filter_blanks,_xlop.filter_errors,_xlop.replace_blanks,
  _xlfn.LET(
    _xlpm._ignore,
      IF( OR( _xlfn.ISOMITTED(_xlpm.filter_blanks), NOT(_xlpm.filter_blanks)), 0, 1) +
      IF( OR( _xlfn.ISOMITTED(_xlpm.filter_errors), NOT(_xlpm.filter_errors)), 0, 2),
    _xlpm._inpChk, IF(
      OR( NOT(ISREF(_xlpm.list_one)), NOT(ISREF(_xlpm.list_two))),
      "#[Error: invalid input cell references]",
      IF(
        OR( AND( NOT(ISLOGICAL(_xlpm.filter_blanks)), NOT(ISNUMBER(_xlpm.filter_blanks))), AND( NOT(ISLOGICAL(_xlpm.filter_errors)), NOT(ISNUMBER(_xlpm.filter_errors)))),
        "#[Error: invalid optional inputs]",
        ""
      )
    ),
    _xlpm._list1, IF(
      AND(COLUMNS(_xlpm.list_one) &gt; 1, ROWS(_xlpm.list_one) &gt; 1),
      IF(COLUMNS(_xlpm.list_one) &gt; ROWS(_xlpm.list_one),
        _xlfn.CHOOSEROWS(_xlpm.list_one, 1),
        _xlfn.CHOOSECOLS(_xlpm.list_one, 1)
      ),
      _xlpm.list_one
    ),
    _xlpm._list2, IF(
      AND(COLUMNS(_xlpm.list_two) &gt; 1, ROWS(_xlpm.list_two) &gt; 1),
      IF(COLUMNS(_xlpm.list_two) &gt; ROWS(_xlpm.list_two),
        _xlfn.CHOOSEROWS(_xlpm.list_two, 1),
        _xlfn.CHOOSECOLS(_xlpm.list_two, 1)
      ),
      _xlpm.list_two
    ),
    _xlpm._fltr1, IF(
      NOT(ISBLANK(_xlpm.replace_blanks)),
      IF( ISBLANK(_xlpm._list1), _xlpm.replace_blanks, _xlpm._list1),
      _xlpm._list1
    ),
    _xlpm._fltr2, IF(
      NOT(ISBLANK(_xlpm.replace_blanks)),
      IF( ISBLANK(_xlpm._list2), _xlpm.replace_blanks, _xlpm._list2),
      _xlpm._list2
    ),
    _xlpm._col1, _xlfn.TOCOL(_xlpm._fltr1, _xlpm._ignore),
    _xlpm._col2, _xlfn.TOCOL(_xlpm._fltr2, _xlpm._ignore),
    _xlpm._len, ROWS(_xlpm._col2),
    _xlpm._idx0, _xlfn.SEQUENCE(_xlpm._len * ROWS(_xlpm._col1), 1),
    _xlpm._idx1, _xlfn.CEILING.MATH(_xlpm._idx0 / _xlpm._len),
    _xlpm._idx2, MOD(_xlpm._idx0 - 1, _xlpm._len) + 1,
    _xlpm._rtn, _xlfn.HSTACK(
      INDEX(_xlpm._col1, _xlpm._idx1),
      INDEX(_xlpm._col2, _xlpm._idx2)
    ),
    IF(_xlpm._inpChk &lt;&gt; "", _xlpm._inpChk, _xlpm._rtn)
  )
)(C11:C15, F11:F16, O66, O67, O65)</f>
        <v>One</v>
      </c>
      <c r="O68" s="20" t="str">
        <v>AAAA</v>
      </c>
    </row>
    <row r="69" spans="3:15" x14ac:dyDescent="0.3">
      <c r="C69" s="20" t="str">
        <v>One</v>
      </c>
      <c r="D69" s="20" t="str">
        <v>BBBB</v>
      </c>
      <c r="G69" s="20" t="str">
        <v>One</v>
      </c>
      <c r="H69" s="20" t="str">
        <v>BBBB</v>
      </c>
      <c r="K69" s="20" t="str">
        <v>One</v>
      </c>
      <c r="L69" s="20" t="str">
        <v>BBBB</v>
      </c>
      <c r="N69" s="20" t="str">
        <v>One</v>
      </c>
      <c r="O69" s="20" t="str">
        <v>BBBB</v>
      </c>
    </row>
    <row r="70" spans="3:15" x14ac:dyDescent="0.3">
      <c r="C70" s="20" t="str">
        <v>One</v>
      </c>
      <c r="D70" s="20" t="str">
        <v>CCCC</v>
      </c>
      <c r="G70" s="20" t="str">
        <v>One</v>
      </c>
      <c r="H70" s="20" t="str">
        <v>CCCC</v>
      </c>
      <c r="K70" s="20" t="str">
        <v>One</v>
      </c>
      <c r="L70" s="20" t="str">
        <v>CCCC</v>
      </c>
      <c r="N70" s="20" t="str">
        <v>One</v>
      </c>
      <c r="O70" s="20" t="str">
        <v>CCCC</v>
      </c>
    </row>
    <row r="71" spans="3:15" x14ac:dyDescent="0.3">
      <c r="C71" s="20" t="str">
        <v>One</v>
      </c>
      <c r="D71" s="20" t="str">
        <v>DDDD</v>
      </c>
      <c r="G71" s="20" t="str">
        <v>One</v>
      </c>
      <c r="H71" s="20" t="str">
        <v>DDDD</v>
      </c>
      <c r="K71" s="20" t="str">
        <v>One</v>
      </c>
      <c r="L71" s="20" t="str">
        <v>DDDD</v>
      </c>
      <c r="N71" s="20" t="str">
        <v>One</v>
      </c>
      <c r="O71" s="20" t="str">
        <v>DDDD</v>
      </c>
    </row>
    <row r="72" spans="3:15" x14ac:dyDescent="0.3">
      <c r="C72" s="20" t="str">
        <v>One</v>
      </c>
      <c r="D72" s="20" t="str">
        <v>EEEE</v>
      </c>
      <c r="G72" s="20" t="str">
        <v>One</v>
      </c>
      <c r="H72" s="20" t="str">
        <v>EEEE</v>
      </c>
      <c r="K72" s="20" t="str">
        <v>One</v>
      </c>
      <c r="L72" s="20" t="str">
        <v>EEEE</v>
      </c>
      <c r="N72" s="20" t="str">
        <v>One</v>
      </c>
      <c r="O72" s="20" t="str">
        <v>EEEE</v>
      </c>
    </row>
    <row r="73" spans="3:15" x14ac:dyDescent="0.3">
      <c r="C73" s="20" t="str">
        <v>Two</v>
      </c>
      <c r="D73" s="20" t="str">
        <v>AAAA</v>
      </c>
      <c r="G73" s="20" t="str">
        <v>Two</v>
      </c>
      <c r="H73" s="20" t="str">
        <v>AAAA</v>
      </c>
      <c r="K73" s="20" t="str">
        <v>One</v>
      </c>
      <c r="L73" s="20">
        <v>0</v>
      </c>
      <c r="N73" s="20" t="str">
        <v>One</v>
      </c>
      <c r="O73" s="20">
        <v>0</v>
      </c>
    </row>
    <row r="74" spans="3:15" x14ac:dyDescent="0.3">
      <c r="C74" s="20" t="str">
        <v>Two</v>
      </c>
      <c r="D74" s="20" t="str">
        <v>BBBB</v>
      </c>
      <c r="G74" s="20" t="str">
        <v>Two</v>
      </c>
      <c r="H74" s="20" t="str">
        <v>BBBB</v>
      </c>
      <c r="K74" s="20" t="str">
        <v>Two</v>
      </c>
      <c r="L74" s="20" t="str">
        <v>AAAA</v>
      </c>
      <c r="N74" s="20" t="str">
        <v>Two</v>
      </c>
      <c r="O74" s="20" t="str">
        <v>AAAA</v>
      </c>
    </row>
    <row r="75" spans="3:15" x14ac:dyDescent="0.3">
      <c r="C75" s="20" t="str">
        <v>Two</v>
      </c>
      <c r="D75" s="20" t="str">
        <v>CCCC</v>
      </c>
      <c r="G75" s="20" t="str">
        <v>Two</v>
      </c>
      <c r="H75" s="20" t="str">
        <v>CCCC</v>
      </c>
      <c r="K75" s="20" t="str">
        <v>Two</v>
      </c>
      <c r="L75" s="20" t="str">
        <v>BBBB</v>
      </c>
      <c r="N75" s="20" t="str">
        <v>Two</v>
      </c>
      <c r="O75" s="20" t="str">
        <v>BBBB</v>
      </c>
    </row>
    <row r="76" spans="3:15" x14ac:dyDescent="0.3">
      <c r="C76" s="20" t="str">
        <v>Two</v>
      </c>
      <c r="D76" s="20" t="str">
        <v>DDDD</v>
      </c>
      <c r="G76" s="20" t="str">
        <v>Two</v>
      </c>
      <c r="H76" s="20" t="str">
        <v>DDDD</v>
      </c>
      <c r="K76" s="20" t="str">
        <v>Two</v>
      </c>
      <c r="L76" s="20" t="str">
        <v>CCCC</v>
      </c>
      <c r="N76" s="20" t="str">
        <v>Two</v>
      </c>
      <c r="O76" s="20" t="str">
        <v>CCCC</v>
      </c>
    </row>
    <row r="77" spans="3:15" x14ac:dyDescent="0.3">
      <c r="C77" s="20" t="str">
        <v>Two</v>
      </c>
      <c r="D77" s="20" t="str">
        <v>EEEE</v>
      </c>
      <c r="G77" s="20" t="str">
        <v>Two</v>
      </c>
      <c r="H77" s="20" t="str">
        <v>EEEE</v>
      </c>
      <c r="K77" s="20" t="str">
        <v>Two</v>
      </c>
      <c r="L77" s="20" t="str">
        <v>DDDD</v>
      </c>
      <c r="N77" s="20" t="str">
        <v>Two</v>
      </c>
      <c r="O77" s="20" t="str">
        <v>DDDD</v>
      </c>
    </row>
    <row r="78" spans="3:15" x14ac:dyDescent="0.3">
      <c r="C78" s="20" t="str">
        <v>Three</v>
      </c>
      <c r="D78" s="20" t="str">
        <v>AAAA</v>
      </c>
      <c r="G78" s="20" t="str">
        <v>Three</v>
      </c>
      <c r="H78" s="20" t="str">
        <v>AAAA</v>
      </c>
      <c r="K78" s="20" t="str">
        <v>Two</v>
      </c>
      <c r="L78" s="20" t="str">
        <v>EEEE</v>
      </c>
      <c r="N78" s="20" t="str">
        <v>Two</v>
      </c>
      <c r="O78" s="20" t="str">
        <v>EEEE</v>
      </c>
    </row>
    <row r="79" spans="3:15" x14ac:dyDescent="0.3">
      <c r="C79" s="20" t="str">
        <v>Three</v>
      </c>
      <c r="D79" s="20" t="str">
        <v>BBBB</v>
      </c>
      <c r="G79" s="20" t="str">
        <v>Three</v>
      </c>
      <c r="H79" s="20" t="str">
        <v>BBBB</v>
      </c>
      <c r="K79" s="20" t="str">
        <v>Two</v>
      </c>
      <c r="L79" s="20">
        <v>0</v>
      </c>
      <c r="N79" s="20" t="str">
        <v>Two</v>
      </c>
      <c r="O79" s="20">
        <v>0</v>
      </c>
    </row>
    <row r="80" spans="3:15" x14ac:dyDescent="0.3">
      <c r="C80" s="20" t="str">
        <v>Three</v>
      </c>
      <c r="D80" s="20" t="str">
        <v>CCCC</v>
      </c>
      <c r="G80" s="20" t="str">
        <v>Three</v>
      </c>
      <c r="H80" s="20" t="str">
        <v>CCCC</v>
      </c>
      <c r="K80" s="20" t="str">
        <v>Three</v>
      </c>
      <c r="L80" s="20" t="str">
        <v>AAAA</v>
      </c>
      <c r="N80" s="20" t="str">
        <v>Three</v>
      </c>
      <c r="O80" s="20" t="str">
        <v>AAAA</v>
      </c>
    </row>
    <row r="81" spans="3:15" x14ac:dyDescent="0.3">
      <c r="C81" s="20" t="str">
        <v>Three</v>
      </c>
      <c r="D81" s="20" t="str">
        <v>DDDD</v>
      </c>
      <c r="G81" s="20" t="str">
        <v>Three</v>
      </c>
      <c r="H81" s="20" t="str">
        <v>DDDD</v>
      </c>
      <c r="K81" s="20" t="str">
        <v>Three</v>
      </c>
      <c r="L81" s="20" t="str">
        <v>BBBB</v>
      </c>
      <c r="N81" s="20" t="str">
        <v>Three</v>
      </c>
      <c r="O81" s="20" t="str">
        <v>BBBB</v>
      </c>
    </row>
    <row r="82" spans="3:15" x14ac:dyDescent="0.3">
      <c r="C82" s="20" t="str">
        <v>Three</v>
      </c>
      <c r="D82" s="20" t="str">
        <v>EEEE</v>
      </c>
      <c r="G82" s="20" t="str">
        <v>Three</v>
      </c>
      <c r="H82" s="20" t="str">
        <v>EEEE</v>
      </c>
      <c r="K82" s="20" t="str">
        <v>Three</v>
      </c>
      <c r="L82" s="20" t="str">
        <v>CCCC</v>
      </c>
      <c r="N82" s="20" t="str">
        <v>Three</v>
      </c>
      <c r="O82" s="20" t="str">
        <v>CCCC</v>
      </c>
    </row>
    <row r="83" spans="3:15" x14ac:dyDescent="0.3">
      <c r="C83" s="20">
        <v>0</v>
      </c>
      <c r="D83" s="20" t="str">
        <v>AAAA</v>
      </c>
      <c r="G83" s="20"/>
      <c r="H83" s="20"/>
      <c r="K83" s="20" t="str">
        <v>Three</v>
      </c>
      <c r="L83" s="20" t="str">
        <v>DDDD</v>
      </c>
      <c r="N83" s="20" t="str">
        <v>Three</v>
      </c>
      <c r="O83" s="20" t="str">
        <v>DDDD</v>
      </c>
    </row>
    <row r="84" spans="3:15" x14ac:dyDescent="0.3">
      <c r="C84" s="20">
        <v>0</v>
      </c>
      <c r="D84" s="20" t="str">
        <v>BBBB</v>
      </c>
      <c r="G84" s="20"/>
      <c r="H84" s="20"/>
      <c r="K84" s="20" t="str">
        <v>Three</v>
      </c>
      <c r="L84" s="20" t="str">
        <v>EEEE</v>
      </c>
      <c r="N84" s="20" t="str">
        <v>Three</v>
      </c>
      <c r="O84" s="20" t="str">
        <v>EEEE</v>
      </c>
    </row>
    <row r="85" spans="3:15" x14ac:dyDescent="0.3">
      <c r="C85" s="20">
        <v>0</v>
      </c>
      <c r="D85" s="20" t="str">
        <v>CCCC</v>
      </c>
      <c r="G85" s="20"/>
      <c r="H85" s="20"/>
      <c r="K85" s="20" t="str">
        <v>Three</v>
      </c>
      <c r="L85" s="20">
        <v>0</v>
      </c>
      <c r="N85" s="20" t="str">
        <v>Three</v>
      </c>
      <c r="O85" s="20">
        <v>0</v>
      </c>
    </row>
    <row r="86" spans="3:15" x14ac:dyDescent="0.3">
      <c r="C86" s="20">
        <v>0</v>
      </c>
      <c r="D86" s="20" t="str">
        <v>DDDD</v>
      </c>
      <c r="G86" s="20"/>
      <c r="H86" s="20"/>
      <c r="K86" s="20">
        <v>0</v>
      </c>
      <c r="L86" s="20" t="str">
        <v>AAAA</v>
      </c>
      <c r="N86" s="20">
        <v>0</v>
      </c>
      <c r="O86" s="20" t="str">
        <v>AAAA</v>
      </c>
    </row>
    <row r="87" spans="3:15" x14ac:dyDescent="0.3">
      <c r="C87" s="20">
        <v>0</v>
      </c>
      <c r="D87" s="20" t="str">
        <v>EEEE</v>
      </c>
      <c r="G87" s="20"/>
      <c r="H87" s="20"/>
      <c r="K87" s="20">
        <v>0</v>
      </c>
      <c r="L87" s="20" t="str">
        <v>BBBB</v>
      </c>
      <c r="N87" s="20">
        <v>0</v>
      </c>
      <c r="O87" s="20" t="str">
        <v>BBBB</v>
      </c>
    </row>
    <row r="88" spans="3:15" x14ac:dyDescent="0.3">
      <c r="C88" s="20" t="e">
        <v>#N/A</v>
      </c>
      <c r="D88" s="20" t="str">
        <v>AAAA</v>
      </c>
      <c r="G88" s="20"/>
      <c r="H88" s="20"/>
      <c r="K88" s="20">
        <v>0</v>
      </c>
      <c r="L88" s="20" t="str">
        <v>CCCC</v>
      </c>
      <c r="N88" s="20">
        <v>0</v>
      </c>
      <c r="O88" s="20" t="str">
        <v>CCCC</v>
      </c>
    </row>
    <row r="89" spans="3:15" x14ac:dyDescent="0.3">
      <c r="C89" s="20" t="e">
        <v>#N/A</v>
      </c>
      <c r="D89" s="20" t="str">
        <v>BBBB</v>
      </c>
      <c r="G89" s="20"/>
      <c r="H89" s="20"/>
      <c r="K89" s="20">
        <v>0</v>
      </c>
      <c r="L89" s="20" t="str">
        <v>DDDD</v>
      </c>
      <c r="N89" s="20">
        <v>0</v>
      </c>
      <c r="O89" s="20" t="str">
        <v>DDDD</v>
      </c>
    </row>
    <row r="90" spans="3:15" x14ac:dyDescent="0.3">
      <c r="C90" s="20" t="e">
        <v>#N/A</v>
      </c>
      <c r="D90" s="20" t="str">
        <v>CCCC</v>
      </c>
      <c r="G90" s="20"/>
      <c r="H90" s="20"/>
      <c r="K90" s="20">
        <v>0</v>
      </c>
      <c r="L90" s="20" t="str">
        <v>EEEE</v>
      </c>
      <c r="N90" s="20">
        <v>0</v>
      </c>
      <c r="O90" s="20" t="str">
        <v>EEEE</v>
      </c>
    </row>
    <row r="91" spans="3:15" x14ac:dyDescent="0.3">
      <c r="C91" s="20" t="e">
        <v>#N/A</v>
      </c>
      <c r="D91" s="20" t="str">
        <v>DDDD</v>
      </c>
      <c r="G91" s="20"/>
      <c r="H91" s="20"/>
      <c r="K91" s="20">
        <v>0</v>
      </c>
      <c r="L91" s="20">
        <v>0</v>
      </c>
      <c r="N91" s="20">
        <v>0</v>
      </c>
      <c r="O91" s="20">
        <v>0</v>
      </c>
    </row>
    <row r="92" spans="3:15" x14ac:dyDescent="0.3">
      <c r="C92" s="20" t="e">
        <v>#N/A</v>
      </c>
      <c r="D92" s="20" t="str">
        <v>EEEE</v>
      </c>
      <c r="G92" s="20"/>
      <c r="H92" s="20"/>
      <c r="K92" s="20" t="e">
        <v>#N/A</v>
      </c>
      <c r="L92" s="20" t="str">
        <v>AAAA</v>
      </c>
      <c r="N92" s="20" t="e">
        <v>#N/A</v>
      </c>
      <c r="O92" s="20" t="str">
        <v>AAAA</v>
      </c>
    </row>
    <row r="93" spans="3:15" x14ac:dyDescent="0.3">
      <c r="G93" s="20"/>
      <c r="H93" s="20"/>
      <c r="K93" s="20" t="e">
        <v>#N/A</v>
      </c>
      <c r="L93" s="20" t="str">
        <v>BBBB</v>
      </c>
      <c r="N93" s="20" t="e">
        <v>#N/A</v>
      </c>
      <c r="O93" s="20" t="str">
        <v>BBBB</v>
      </c>
    </row>
    <row r="94" spans="3:15" x14ac:dyDescent="0.3">
      <c r="G94" s="20"/>
      <c r="H94" s="20"/>
      <c r="K94" s="20" t="e">
        <v>#N/A</v>
      </c>
      <c r="L94" s="20" t="str">
        <v>CCCC</v>
      </c>
      <c r="N94" s="20" t="e">
        <v>#N/A</v>
      </c>
      <c r="O94" s="20" t="str">
        <v>CCCC</v>
      </c>
    </row>
    <row r="95" spans="3:15" x14ac:dyDescent="0.3">
      <c r="G95" s="20"/>
      <c r="H95" s="20"/>
      <c r="K95" s="20" t="e">
        <v>#N/A</v>
      </c>
      <c r="L95" s="20" t="str">
        <v>DDDD</v>
      </c>
      <c r="N95" s="20" t="e">
        <v>#N/A</v>
      </c>
      <c r="O95" s="20" t="str">
        <v>DDDD</v>
      </c>
    </row>
    <row r="96" spans="3:15" x14ac:dyDescent="0.3">
      <c r="G96" s="20"/>
      <c r="H96" s="20"/>
      <c r="K96" s="20" t="e">
        <v>#N/A</v>
      </c>
      <c r="L96" s="20" t="str">
        <v>EEEE</v>
      </c>
      <c r="N96" s="20" t="e">
        <v>#N/A</v>
      </c>
      <c r="O96" s="20" t="str">
        <v>EEEE</v>
      </c>
    </row>
    <row r="97" spans="2:21" x14ac:dyDescent="0.3">
      <c r="G97" s="20"/>
      <c r="H97" s="20"/>
      <c r="K97" s="20" t="e">
        <v>#N/A</v>
      </c>
      <c r="L97" s="20">
        <v>0</v>
      </c>
      <c r="N97" s="20" t="e">
        <v>#N/A</v>
      </c>
      <c r="O97" s="20">
        <v>0</v>
      </c>
    </row>
    <row r="100" spans="2:21" x14ac:dyDescent="0.3">
      <c r="B100" s="28" t="s">
        <v>371</v>
      </c>
      <c r="C100" s="27"/>
      <c r="D100" s="27"/>
      <c r="E100" s="27"/>
      <c r="F100" s="27"/>
      <c r="G100" s="27"/>
      <c r="H100" s="27"/>
      <c r="I100" s="27"/>
      <c r="J100" s="27"/>
      <c r="K100" s="27"/>
      <c r="L100" s="27"/>
      <c r="M100" s="27"/>
      <c r="N100" s="27"/>
      <c r="O100" s="27"/>
      <c r="P100" s="27"/>
      <c r="Q100" s="27"/>
      <c r="R100" s="27"/>
      <c r="S100" s="27"/>
      <c r="T100" s="27"/>
      <c r="U100" s="27"/>
    </row>
    <row r="102" spans="2:21" x14ac:dyDescent="0.3">
      <c r="C102" t="s">
        <v>372</v>
      </c>
    </row>
    <row r="103" spans="2:21" x14ac:dyDescent="0.3">
      <c r="C103" t="s">
        <v>373</v>
      </c>
    </row>
    <row r="105" spans="2:21" x14ac:dyDescent="0.3">
      <c r="C105" s="69" t="s">
        <v>374</v>
      </c>
    </row>
    <row r="106" spans="2:21" x14ac:dyDescent="0.3">
      <c r="C106" s="54" t="s">
        <v>375</v>
      </c>
    </row>
    <row r="107" spans="2:21" x14ac:dyDescent="0.3">
      <c r="C107" s="54" t="s">
        <v>376</v>
      </c>
    </row>
    <row r="108" spans="2:21" x14ac:dyDescent="0.3">
      <c r="C108" s="39" t="s">
        <v>377</v>
      </c>
    </row>
    <row r="109" spans="2:21" x14ac:dyDescent="0.3">
      <c r="C109" s="54" t="s">
        <v>378</v>
      </c>
    </row>
    <row r="111" spans="2:21" x14ac:dyDescent="0.3">
      <c r="C111" s="13" t="s">
        <v>379</v>
      </c>
      <c r="G111" s="13" t="s">
        <v>380</v>
      </c>
    </row>
    <row r="112" spans="2:21" x14ac:dyDescent="0.3">
      <c r="C112" s="13" t="s">
        <v>381</v>
      </c>
    </row>
    <row r="114" spans="3:8" x14ac:dyDescent="0.3">
      <c r="C114" s="24" t="s">
        <v>382</v>
      </c>
      <c r="D114" s="26">
        <v>0</v>
      </c>
      <c r="G114" s="24" t="s">
        <v>382</v>
      </c>
      <c r="H114" s="26">
        <v>0</v>
      </c>
    </row>
    <row r="115" spans="3:8" x14ac:dyDescent="0.3">
      <c r="C115" s="24" t="s">
        <v>69</v>
      </c>
      <c r="D115" s="26">
        <v>1</v>
      </c>
      <c r="G115" s="24" t="s">
        <v>69</v>
      </c>
      <c r="H115" s="26">
        <v>0</v>
      </c>
    </row>
    <row r="117" spans="3:8" x14ac:dyDescent="0.3">
      <c r="C117" s="68" t="str" cm="1">
        <f t="array" ref="C117:D121" xml:space="preserve"> _xlfn.LAMBDA(_xlpm.list_one,_xlop.convert_list_one,_xlop.list_one_by_column,
  _xlfn.LET(
    _xlpm._cvrt1, IF( _xlfn.ISOMITTED(_xlpm.convert_list_one), FALSE, _xlpm.convert_list_one),
    _xlpm._byCol1, IF( _xlfn.ISOMITTED(_xlpm.list_one_by_column), TRUE, _xlpm.list_one_by_column),
    _xlpm._list1, _xlpm.list_one,
    _xlpm._hrz1, (COLUMNS(_xlpm._list1) &gt; ROWS(_xlpm._list1)),
    _xlpm._tbl1, IF(_xlpm._cvrt1,
      _xlfn.TOCOL(_xlpm._list1, , _xlpm._byCol1),
      IF(_xlpm._hrz1, TRANSPOSE(_xlpm._list1), _xlpm._list1)
      ),
    _xlpm._tbl1
  )
)(C11:D15, D114, D115)</f>
        <v>One</v>
      </c>
      <c r="D117" s="20" t="str">
        <v>Cat.1</v>
      </c>
      <c r="G117" s="68" t="str" cm="1">
        <f t="array" ref="G117:H121" xml:space="preserve"> _xlfn.LAMBDA(_xlpm.list_one,_xlop.convert_list_one,_xlop.list_one_by_column,
  _xlfn.LET(
    _xlpm._cvrt1, IF( _xlfn.ISOMITTED(_xlpm.convert_list_one), FALSE, _xlpm.convert_list_one),
    _xlpm._byCol1, IF( _xlfn.ISOMITTED(_xlpm.list_one_by_column), TRUE, _xlpm.list_one_by_column),
    _xlpm._list1, _xlpm.list_one,
    _xlpm._hrz1, (COLUMNS(_xlpm._list1) &gt; ROWS(_xlpm._list1)),
    _xlpm._tbl1, IF(_xlpm._cvrt1,
      _xlfn.TOCOL(_xlpm._list1, , _xlpm._byCol1),
      IF(_xlpm._hrz1, TRANSPOSE(_xlpm._list1), _xlpm._list1)
      ),
    _xlpm._tbl1
  )
)(L10:P11, H114, H115)</f>
        <v>One</v>
      </c>
      <c r="H117" s="20" t="str">
        <v>Cat.1</v>
      </c>
    </row>
    <row r="118" spans="3:8" x14ac:dyDescent="0.3">
      <c r="C118" s="20" t="str">
        <v>Two</v>
      </c>
      <c r="D118" s="20" t="str">
        <v>Cat.2</v>
      </c>
      <c r="G118" s="20" t="str">
        <v>Two</v>
      </c>
      <c r="H118" s="20" t="str">
        <v>Cat.2</v>
      </c>
    </row>
    <row r="119" spans="3:8" x14ac:dyDescent="0.3">
      <c r="C119" s="20" t="str">
        <v>Three</v>
      </c>
      <c r="D119" s="20" t="str">
        <v>Cat.3</v>
      </c>
      <c r="G119" s="20" t="str">
        <v>Three</v>
      </c>
      <c r="H119" s="20" t="str">
        <v>Cat.3</v>
      </c>
    </row>
    <row r="120" spans="3:8" x14ac:dyDescent="0.3">
      <c r="C120" s="20">
        <v>0</v>
      </c>
      <c r="D120" s="20">
        <v>0</v>
      </c>
      <c r="G120" s="20" t="str">
        <v>Four</v>
      </c>
      <c r="H120" s="20" t="str">
        <v>Cat.4</v>
      </c>
    </row>
    <row r="121" spans="3:8" x14ac:dyDescent="0.3">
      <c r="C121" s="20" t="e">
        <v>#N/A</v>
      </c>
      <c r="D121" s="20">
        <v>0</v>
      </c>
      <c r="G121" s="20">
        <v>0</v>
      </c>
      <c r="H121" s="20">
        <v>0</v>
      </c>
    </row>
    <row r="122" spans="3:8" x14ac:dyDescent="0.3">
      <c r="C122" s="20"/>
      <c r="D122" s="20"/>
      <c r="G122" s="20"/>
      <c r="H122" s="20"/>
    </row>
    <row r="123" spans="3:8" x14ac:dyDescent="0.3">
      <c r="C123" s="20"/>
      <c r="D123" s="20"/>
      <c r="G123" s="20"/>
      <c r="H123" s="20"/>
    </row>
    <row r="124" spans="3:8" x14ac:dyDescent="0.3">
      <c r="C124" s="20"/>
      <c r="D124" s="20"/>
      <c r="G124" s="20"/>
      <c r="H124" s="20"/>
    </row>
    <row r="125" spans="3:8" x14ac:dyDescent="0.3">
      <c r="C125" s="20"/>
      <c r="D125" s="20"/>
      <c r="G125" s="20"/>
      <c r="H125" s="20"/>
    </row>
    <row r="126" spans="3:8" x14ac:dyDescent="0.3">
      <c r="C126" s="20"/>
      <c r="D126" s="20"/>
      <c r="G126" s="20"/>
      <c r="H126" s="20"/>
    </row>
    <row r="129" spans="3:18" x14ac:dyDescent="0.3">
      <c r="C129" s="13" t="s">
        <v>383</v>
      </c>
      <c r="G129" s="13" t="s">
        <v>384</v>
      </c>
      <c r="K129" s="13" t="s">
        <v>385</v>
      </c>
      <c r="O129" s="13" t="s">
        <v>386</v>
      </c>
    </row>
    <row r="130" spans="3:18" x14ac:dyDescent="0.3">
      <c r="C130" s="13" t="s">
        <v>387</v>
      </c>
      <c r="O130" s="13" t="s">
        <v>388</v>
      </c>
    </row>
    <row r="131" spans="3:18" x14ac:dyDescent="0.3">
      <c r="C131" s="24" t="s">
        <v>382</v>
      </c>
      <c r="D131" s="26">
        <v>0</v>
      </c>
      <c r="G131" s="24" t="s">
        <v>382</v>
      </c>
      <c r="H131" s="26">
        <v>0</v>
      </c>
      <c r="K131" s="24" t="s">
        <v>382</v>
      </c>
      <c r="L131" s="26">
        <v>0</v>
      </c>
      <c r="O131" s="24" t="s">
        <v>382</v>
      </c>
      <c r="P131" s="26">
        <v>0</v>
      </c>
      <c r="Q131" s="26">
        <v>0</v>
      </c>
    </row>
    <row r="132" spans="3:18" x14ac:dyDescent="0.3">
      <c r="C132" s="24" t="s">
        <v>69</v>
      </c>
      <c r="D132" s="26">
        <v>1</v>
      </c>
      <c r="G132" s="24" t="s">
        <v>69</v>
      </c>
      <c r="H132" s="26">
        <v>1</v>
      </c>
      <c r="K132" s="24" t="s">
        <v>69</v>
      </c>
      <c r="L132" s="26">
        <v>0</v>
      </c>
      <c r="O132" s="24" t="s">
        <v>69</v>
      </c>
      <c r="P132" s="26">
        <v>1</v>
      </c>
      <c r="Q132" s="26">
        <v>0</v>
      </c>
    </row>
    <row r="133" spans="3:18" x14ac:dyDescent="0.3">
      <c r="C133" s="24" t="s">
        <v>370</v>
      </c>
      <c r="D133" s="25"/>
      <c r="G133" s="24" t="s">
        <v>370</v>
      </c>
      <c r="H133" s="25"/>
      <c r="K133" s="24" t="s">
        <v>370</v>
      </c>
      <c r="L133" s="25"/>
      <c r="O133" s="24" t="s">
        <v>370</v>
      </c>
      <c r="P133" s="25"/>
    </row>
    <row r="134" spans="3:18" x14ac:dyDescent="0.3">
      <c r="G134" s="24" t="s">
        <v>63</v>
      </c>
      <c r="H134" s="26">
        <v>0</v>
      </c>
      <c r="K134" s="24" t="s">
        <v>63</v>
      </c>
      <c r="L134" s="26">
        <v>0</v>
      </c>
      <c r="O134" s="24" t="s">
        <v>63</v>
      </c>
      <c r="P134" s="26">
        <v>0</v>
      </c>
    </row>
    <row r="135" spans="3:18" x14ac:dyDescent="0.3">
      <c r="G135" s="24" t="s">
        <v>70</v>
      </c>
      <c r="H135" s="26">
        <v>0</v>
      </c>
      <c r="K135" s="24" t="s">
        <v>70</v>
      </c>
      <c r="L135" s="26">
        <v>0</v>
      </c>
      <c r="O135" s="24" t="s">
        <v>70</v>
      </c>
      <c r="P135" s="26">
        <v>0</v>
      </c>
    </row>
    <row r="137" spans="3:18" x14ac:dyDescent="0.3">
      <c r="C137" s="68" t="str" cm="1">
        <f t="array" ref="C137:D141" xml:space="preserve"> _xlfn.LAMBDA(_xlpm.list_one,_xlop.convert_list_one,_xlop.list_one_by_column,_xlop.replace_blanks,
  _xlfn.LET(
    _xlpm._cvrt1, IF( _xlfn.ISOMITTED(_xlpm.convert_list_one), FALSE, _xlpm.convert_list_one),
    _xlpm._byCol1, IF( _xlfn.ISOMITTED(_xlpm.list_one_by_column), TRUE, _xlpm.list_one_by_column),
    _xlpm._hrz1, (COLUMNS(_xlpm.list_one) &gt; ROWS(_xlpm.list_one)),
    _xlpm._list1, IF(
      NOT(ISBLANK(_xlpm.replace_blanks)),
      IF( ISBLANK(_xlpm.list_one), _xlpm.replace_blanks, _xlpm.list_one),
      _xlpm.list_one
      ),
    _xlpm._tbl1, IF(_xlpm._cvrt1,
      _xlfn.TOCOL(_xlpm._list1, , _xlpm._byCol1),
      IF(_xlpm._hrz1, TRANSPOSE(_xlpm._list1), _xlpm._list1)
      ),
    _xlpm._tbl1
  )
)(C11:D15, D131, D132, D133)</f>
        <v>One</v>
      </c>
      <c r="D137" s="20" t="str">
        <v>Cat.1</v>
      </c>
      <c r="G137" s="68" t="str" cm="1">
        <f t="array" ref="G137:H141" xml:space="preserve"> _xlfn.LAMBDA(_xlpm.list_one,_xlop.convert_list_one,_xlop.list_one_by_column,_xlop.filter_blanks,_xlop.filter_errors,_xlop.replace_blanks,
  _xlfn.LET(
    _xlpm._cvrt1, IF( _xlfn.ISOMITTED(_xlpm.convert_list_one), FALSE, _xlpm.convert_list_one),
    _xlpm._byCol1, IF( _xlfn.ISOMITTED(_xlpm.list_one_by_column), TRUE, _xlpm.list_one_by_column),
    _xlpm._hrz1, (COLUMNS(_xlpm.list_one) &gt; ROWS(_xlpm.list_one)),
    _xlpm._ignore,
      IF( OR( _xlfn.ISOMITTED(_xlpm.filter_blanks), NOT(_xlpm.filter_blanks)), 0, 1) +
      IF( OR( _xlfn.ISOMITTED(_xlpm.filter_errors), NOT(_xlpm.filter_errors)), 0, 2),
    _xlpm._list1, IF(
      NOT(ISBLANK(_xlpm.replace_blanks)),
      IF( ISBLANK(_xlpm.list_one), _xlpm.replace_blanks, _xlpm.list_one),
      _xlpm.list_one
      ),
    _xlpm._fltr1, IF(_xlpm._cvrt1, _xlfn.TOCOL(_xlpm._list1, _xlpm._ignore, _xlpm._byCol1),
      _xlfn._xlws.FILTER(_xlpm._list1, _xlfn.BYROW(_xlpm._list1, _xlfn.LAMBDA(_xlpm._row, IF(_xlpm.filter_blanks, COUNTA(_xlpm._row) &gt; 0, 1) * IF(_xlpm.filter_errors, NOT(ISERROR(SUM(_xlpm._row))), 1))))
      ),
    _xlpm._tbl1, IF( AND(NOT(_xlpm._cvrt1), _xlpm._hrz1), TRANSPOSE(_xlpm._fltr1), _xlpm._fltr1),
    _xlpm._tbl1
  )
)(C11:D15, H131, H132, H134, H135, H133)</f>
        <v>One</v>
      </c>
      <c r="H137" s="20" t="str">
        <v>Cat.1</v>
      </c>
      <c r="K137" s="68" t="str" cm="1">
        <f t="array" ref="K137:L141" xml:space="preserve"> _xlfn.LAMBDA(_xlpm.list_one,_xlop.convert_list_one,_xlop.list_one_by_column,_xlop.filter_blanks,_xlop.filter_errors,_xlop.replace_blanks,
  _xlfn.LET(
    _xlpm._cvrt1, IF( _xlfn.ISOMITTED(_xlpm.convert_list_one), FALSE, _xlpm.convert_list_one),
    _xlpm._byCol1, IF( _xlfn.ISOMITTED(_xlpm.list_one_by_column), TRUE, _xlpm.list_one_by_column),
    _xlpm._hrz1, (COLUMNS(_xlpm.list_one) &gt; ROWS(_xlpm.list_one)),
    _xlpm._ignore,
      IF( OR( _xlfn.ISOMITTED(_xlpm.filter_blanks), NOT(_xlpm.filter_blanks)), 0, 1) +
      IF( OR( _xlfn.ISOMITTED(_xlpm.filter_errors), NOT(_xlpm.filter_errors)), 0, 2),
    _xlpm._list1, IF(
      NOT(ISBLANK(_xlpm.replace_blanks)),
      IF( ISBLANK(_xlpm.list_one), _xlpm.replace_blanks, _xlpm.list_one),
      _xlpm.list_one
      ),
    _xlpm._inc1, IF(_xlpm._hrz1,
      _xlfn.BYCOL(_xlpm._list1, _xlfn.LAMBDA(_xlpm._col, IF(_xlpm.filter_blanks, COUNTA(_xlpm._col) &gt; 0, 1) * IF(_xlpm.filter_errors, NOT(ISERROR(SUM(_xlpm._col))), 1))),
      _xlfn.BYROW(_xlpm._list1, _xlfn.LAMBDA(_xlpm._row, IF(_xlpm.filter_blanks, COUNTA(_xlpm._row) &gt; 0, 1) * IF(_xlpm.filter_errors, NOT(ISERROR(SUM(_xlpm._row))), 1)))
      ),
    _xlpm._fltr1, IF(_xlpm._cvrt1,
      _xlfn.TOCOL(_xlpm._list1, _xlpm._ignore, _xlpm._byCol1),
      _xlfn._xlws.FILTER(_xlpm._list1, _xlpm._inc1)
      ),
    _xlpm._tbl1, IF( AND(NOT(_xlpm._cvrt1), _xlpm._hrz1), TRANSPOSE(_xlpm._fltr1), _xlpm._fltr1),
    _xlpm._tbl1
  )
)(L10:P11, L131, L132, L134, L135, L133)</f>
        <v>One</v>
      </c>
      <c r="L137" s="20" t="str">
        <v>Cat.1</v>
      </c>
      <c r="O137" s="68" t="str" cm="1">
        <f t="array" ref="O137:R141" xml:space="preserve"> _xlfn.LAMBDA(_xlpm.list_one,_xlpm.list_two,_xlop.convert_list_one,_xlop.list_one_by_column,_xlop.convert_list_two,_xlop.list_two_by_column,_xlop.filter_blanks,_xlop.filter_errors,_xlop.replace_blanks,
  _xlfn.LET(
    _xlpm._cvrt1, IF( _xlfn.ISOMITTED(_xlpm.convert_list_one), FALSE, _xlpm.convert_list_one),
    _xlpm._byCol1, IF( _xlfn.ISOMITTED(_xlpm.list_one_by_column), TRUE, _xlpm.list_one_by_column),
    _xlpm._cvrt2, IF( _xlfn.ISOMITTED(_xlpm.convert_list_two), FALSE, _xlpm.convert_list_two),
    _xlpm._byCol2, IF( _xlfn.ISOMITTED(_xlpm.list_two_by_column), TRUE, _xlpm.list_two_by_column),
    _xlpm._hrz1, (COLUMNS(_xlpm.list_one) &gt; ROWS(_xlpm.list_one)),
    _xlpm._hrz2, (COLUMNS(_xlpm.list_two) &gt; ROWS(_xlpm.list_two)),
    _xlpm._ignore,
      IF( OR( _xlfn.ISOMITTED(_xlpm.filter_blanks), NOT(_xlpm.filter_blanks)), 0, 1) +
      IF( OR( _xlfn.ISOMITTED(_xlpm.filter_errors), NOT(_xlpm.filter_errors)), 0, 2),
    _xlpm._list1, IF(
      NOT(ISBLANK(_xlpm.replace_blanks)),
      IF( ISBLANK(_xlpm.list_one), _xlpm.replace_blanks, _xlpm.list_one),
      _xlpm.list_one
      ),
    _xlpm._list2, IF(
      NOT(ISBLANK(_xlpm.replace_blanks)),
      IF( ISBLANK(_xlpm.list_two), _xlpm.replace_blanks, _xlpm.list_two),
      _xlpm.list_two
      ),
    _xlpm._inc1, IF(_xlpm._hrz1,
      _xlfn.BYCOL(_xlpm._list1, _xlfn.LAMBDA(_xlpm._col, IF(_xlpm.filter_blanks, COUNTA(_xlpm._col) &gt; 0, 1) * IF(_xlpm.filter_errors, NOT(ISERROR(SUM(_xlpm._col))), 1))),
      _xlfn.BYROW(_xlpm._list1, _xlfn.LAMBDA(_xlpm._row, IF(_xlpm.filter_blanks, COUNTA(_xlpm._row) &gt; 0, 1) * IF(_xlpm.filter_errors, NOT(ISERROR(SUM(_xlpm._row))), 1)))
      ),
    _xlpm._inc2, IF(_xlpm._hrz2,
      _xlfn.BYCOL(_xlpm._list2, _xlfn.LAMBDA(_xlpm._col, IF(_xlpm.filter_blanks, COUNTA(_xlpm._col) &gt; 0, 1) * IF(_xlpm.filter_errors, NOT(ISERROR(SUM(_xlpm._col))), 1))),
      _xlfn.BYROW(_xlpm._list2, _xlfn.LAMBDA(_xlpm._row, IF(_xlpm.filter_blanks, COUNTA(_xlpm._row) &gt; 0, 1) * IF(_xlpm.filter_errors, NOT(ISERROR(SUM(_xlpm._row))), 1)))
      ),
    _xlpm._fltr1, IF(_xlpm._cvrt1,
      _xlfn.TOCOL(_xlpm._list1, _xlpm._ignore, _xlpm._byCol1),
      _xlfn._xlws.FILTER(_xlpm._list1, _xlpm._inc1)
      ),
    _xlpm._fltr2, IF(_xlpm._cvrt2,
      _xlfn.TOCOL(_xlpm._list2, _xlpm._ignore, _xlpm._byCol2),
      _xlfn._xlws.FILTER(_xlpm._list2, _xlpm._inc2)
      ),
    _xlpm._tbl1, IF( AND(NOT(_xlpm._cvrt1), _xlpm._hrz1), TRANSPOSE(_xlpm._fltr1), _xlpm._fltr1),
    _xlpm._tbl2, IF( AND(NOT(_xlpm._cvrt2), _xlpm._hrz2), TRANSPOSE(_xlpm._fltr2), _xlpm._fltr2),
    _xlfn.HSTACK(_xlpm._tbl1, _xlpm._tbl2)
  )
)(C11:D15, L10:P11, P131, P132, Q131, Q132, P134, P135, P133)</f>
        <v>One</v>
      </c>
      <c r="P137" s="20" t="str">
        <v>Cat.1</v>
      </c>
      <c r="Q137" s="20" t="str">
        <v>One</v>
      </c>
      <c r="R137" s="20" t="str">
        <v>Cat.1</v>
      </c>
    </row>
    <row r="138" spans="3:18" x14ac:dyDescent="0.3">
      <c r="C138" s="20" t="str">
        <v>Two</v>
      </c>
      <c r="D138" s="20" t="str">
        <v>Cat.2</v>
      </c>
      <c r="G138" s="20" t="str">
        <v>Two</v>
      </c>
      <c r="H138" s="20" t="str">
        <v>Cat.2</v>
      </c>
      <c r="K138" s="20" t="str">
        <v>Two</v>
      </c>
      <c r="L138" s="20" t="str">
        <v>Cat.2</v>
      </c>
      <c r="O138" s="20" t="str">
        <v>Two</v>
      </c>
      <c r="P138" s="20" t="str">
        <v>Cat.2</v>
      </c>
      <c r="Q138" s="20" t="str">
        <v>Two</v>
      </c>
      <c r="R138" s="20" t="str">
        <v>Cat.2</v>
      </c>
    </row>
    <row r="139" spans="3:18" x14ac:dyDescent="0.3">
      <c r="C139" s="20" t="str">
        <v>Three</v>
      </c>
      <c r="D139" s="20" t="str">
        <v>Cat.3</v>
      </c>
      <c r="G139" s="20" t="str">
        <v>Three</v>
      </c>
      <c r="H139" s="20" t="str">
        <v>Cat.3</v>
      </c>
      <c r="K139" s="20" t="str">
        <v>Three</v>
      </c>
      <c r="L139" s="20" t="str">
        <v>Cat.3</v>
      </c>
      <c r="O139" s="20" t="str">
        <v>Three</v>
      </c>
      <c r="P139" s="20" t="str">
        <v>Cat.3</v>
      </c>
      <c r="Q139" s="20" t="str">
        <v>Three</v>
      </c>
      <c r="R139" s="20" t="str">
        <v>Cat.3</v>
      </c>
    </row>
    <row r="140" spans="3:18" x14ac:dyDescent="0.3">
      <c r="C140" s="20">
        <v>0</v>
      </c>
      <c r="D140" s="20">
        <v>0</v>
      </c>
      <c r="G140" s="20">
        <v>0</v>
      </c>
      <c r="H140" s="20">
        <v>0</v>
      </c>
      <c r="K140" s="20" t="str">
        <v>Four</v>
      </c>
      <c r="L140" s="20" t="str">
        <v>Cat.4</v>
      </c>
      <c r="O140" s="20">
        <v>0</v>
      </c>
      <c r="P140" s="20">
        <v>0</v>
      </c>
      <c r="Q140" s="20" t="str">
        <v>Four</v>
      </c>
      <c r="R140" s="20" t="str">
        <v>Cat.4</v>
      </c>
    </row>
    <row r="141" spans="3:18" x14ac:dyDescent="0.3">
      <c r="C141" s="20" t="e">
        <v>#N/A</v>
      </c>
      <c r="D141" s="20">
        <v>0</v>
      </c>
      <c r="G141" s="20" t="e">
        <v>#N/A</v>
      </c>
      <c r="H141" s="20">
        <v>0</v>
      </c>
      <c r="K141" s="20">
        <v>0</v>
      </c>
      <c r="L141" s="20">
        <v>0</v>
      </c>
      <c r="O141" s="20" t="e">
        <v>#N/A</v>
      </c>
      <c r="P141" s="20">
        <v>0</v>
      </c>
      <c r="Q141" s="20">
        <v>0</v>
      </c>
      <c r="R141" s="20">
        <v>0</v>
      </c>
    </row>
    <row r="142" spans="3:18" x14ac:dyDescent="0.3">
      <c r="C142" s="20"/>
      <c r="D142" s="20"/>
      <c r="G142" s="20"/>
      <c r="H142" s="20"/>
      <c r="K142" s="20"/>
      <c r="L142" s="20"/>
      <c r="O142" s="20"/>
      <c r="P142" s="20"/>
      <c r="Q142" s="20"/>
      <c r="R142" s="20"/>
    </row>
    <row r="143" spans="3:18" x14ac:dyDescent="0.3">
      <c r="C143" s="20"/>
      <c r="D143" s="20"/>
      <c r="G143" s="20"/>
      <c r="H143" s="20"/>
      <c r="K143" s="20"/>
      <c r="L143" s="20"/>
      <c r="O143" s="20"/>
      <c r="P143" s="20"/>
      <c r="Q143" s="20"/>
      <c r="R143" s="20"/>
    </row>
    <row r="144" spans="3:18" x14ac:dyDescent="0.3">
      <c r="C144" s="20"/>
      <c r="D144" s="20"/>
      <c r="G144" s="20"/>
      <c r="H144" s="20"/>
      <c r="K144" s="20"/>
      <c r="L144" s="20"/>
      <c r="O144" s="20"/>
      <c r="P144" s="20"/>
      <c r="Q144" s="20"/>
      <c r="R144" s="20"/>
    </row>
    <row r="145" spans="2:21" x14ac:dyDescent="0.3">
      <c r="C145" s="20"/>
      <c r="D145" s="20"/>
      <c r="G145" s="20"/>
      <c r="H145" s="20"/>
      <c r="K145" s="20"/>
      <c r="L145" s="20"/>
      <c r="O145" s="20"/>
      <c r="P145" s="20"/>
      <c r="Q145" s="20"/>
      <c r="R145" s="20"/>
    </row>
    <row r="146" spans="2:21" x14ac:dyDescent="0.3">
      <c r="C146" s="20"/>
      <c r="D146" s="20"/>
      <c r="G146" s="20"/>
      <c r="H146" s="20"/>
      <c r="K146" s="20"/>
      <c r="L146" s="20"/>
      <c r="O146" s="20"/>
      <c r="P146" s="20"/>
      <c r="Q146" s="20"/>
      <c r="R146" s="20"/>
    </row>
    <row r="149" spans="2:21" x14ac:dyDescent="0.3">
      <c r="B149" s="28" t="s">
        <v>389</v>
      </c>
      <c r="C149" s="27"/>
      <c r="D149" s="27"/>
      <c r="E149" s="27"/>
      <c r="F149" s="27"/>
      <c r="G149" s="27"/>
      <c r="H149" s="27"/>
      <c r="I149" s="27"/>
      <c r="J149" s="27"/>
      <c r="K149" s="27"/>
      <c r="L149" s="27"/>
      <c r="M149" s="27"/>
      <c r="N149" s="27"/>
      <c r="O149" s="27"/>
      <c r="P149" s="27"/>
      <c r="Q149" s="27"/>
      <c r="R149" s="27"/>
      <c r="S149" s="27"/>
      <c r="T149" s="27"/>
      <c r="U149" s="27"/>
    </row>
    <row r="151" spans="2:21" x14ac:dyDescent="0.3">
      <c r="C151" t="s">
        <v>390</v>
      </c>
    </row>
    <row r="152" spans="2:21" x14ac:dyDescent="0.3">
      <c r="C152" t="s">
        <v>391</v>
      </c>
    </row>
    <row r="154" spans="2:21" x14ac:dyDescent="0.3">
      <c r="C154" s="13" t="s">
        <v>392</v>
      </c>
      <c r="G154" s="13" t="s">
        <v>393</v>
      </c>
    </row>
    <row r="155" spans="2:21" x14ac:dyDescent="0.3">
      <c r="C155" s="13" t="s">
        <v>394</v>
      </c>
    </row>
    <row r="156" spans="2:21" x14ac:dyDescent="0.3">
      <c r="C156" s="24" t="s">
        <v>382</v>
      </c>
      <c r="D156" s="26">
        <v>0</v>
      </c>
      <c r="E156" s="26">
        <v>0</v>
      </c>
      <c r="G156" s="24" t="s">
        <v>382</v>
      </c>
      <c r="H156" s="26">
        <v>0</v>
      </c>
      <c r="I156" s="26">
        <v>0</v>
      </c>
    </row>
    <row r="157" spans="2:21" x14ac:dyDescent="0.3">
      <c r="C157" s="24" t="s">
        <v>69</v>
      </c>
      <c r="D157" s="26">
        <v>1</v>
      </c>
      <c r="E157" s="26">
        <v>1</v>
      </c>
      <c r="G157" s="24" t="s">
        <v>69</v>
      </c>
      <c r="H157" s="26">
        <v>0</v>
      </c>
      <c r="I157" s="26">
        <v>0</v>
      </c>
    </row>
    <row r="158" spans="2:21" x14ac:dyDescent="0.3">
      <c r="C158" s="24" t="s">
        <v>370</v>
      </c>
      <c r="D158" s="25"/>
      <c r="G158" s="24" t="s">
        <v>370</v>
      </c>
      <c r="H158" s="25"/>
    </row>
    <row r="159" spans="2:21" x14ac:dyDescent="0.3">
      <c r="C159" s="24" t="s">
        <v>63</v>
      </c>
      <c r="D159" s="26">
        <v>0</v>
      </c>
      <c r="G159" s="24" t="s">
        <v>63</v>
      </c>
      <c r="H159" s="26">
        <v>0</v>
      </c>
    </row>
    <row r="160" spans="2:21" x14ac:dyDescent="0.3">
      <c r="C160" s="24" t="s">
        <v>70</v>
      </c>
      <c r="D160" s="26">
        <v>0</v>
      </c>
      <c r="G160" s="24" t="s">
        <v>70</v>
      </c>
      <c r="H160" s="26">
        <v>0</v>
      </c>
    </row>
    <row r="162" spans="3:9" x14ac:dyDescent="0.3">
      <c r="C162" s="68" t="str" cm="1">
        <f t="array" ref="C162:E191" xml:space="preserve"> _xlfn.LAMBDA(_xlpm.list_one,_xlpm.list_two,_xlop.convert_list_one,_xlop.list_one_by_column,_xlop.convert_list_two,_xlop.list_two_by_column,_xlop.filter_blanks,_xlop.filter_errors,_xlop.replace_blanks,
  _xlfn.LET(
    _xlpm._cvrt1, IF( _xlfn.ISOMITTED(_xlpm.convert_list_one), FALSE, _xlpm.convert_list_one),
    _xlpm._byCol1, IF( _xlfn.ISOMITTED(_xlpm.list_one_by_column), TRUE, _xlpm.list_one_by_column),
    _xlpm._cvrt2, IF( _xlfn.ISOMITTED(_xlpm.convert_list_two), FALSE, _xlpm.convert_list_two),
    _xlpm._byCol2, IF( _xlfn.ISOMITTED(_xlpm.list_two_by_column), TRUE, _xlpm.list_two_by_column),
    _xlpm._hrz1, (COLUMNS(_xlpm.list_one) &gt; ROWS(_xlpm.list_one)),
    _xlpm._hrz2, (COLUMNS(_xlpm.list_two) &gt; ROWS(_xlpm.list_two)),
    _xlpm._ignore,
      IF( OR( _xlfn.ISOMITTED(_xlpm.filter_blanks), NOT(_xlpm.filter_blanks)), 0, 1) +
      IF( OR( _xlfn.ISOMITTED(_xlpm.filter_errors), NOT(_xlpm.filter_errors)), 0, 2),
    _xlpm._list1, IF(
      NOT(ISBLANK(_xlpm.replace_blanks)),
      IF( ISBLANK(_xlpm.list_one), _xlpm.replace_blanks, _xlpm.list_one),
      _xlpm.list_one
      ),
    _xlpm._list2, IF(
      NOT(ISBLANK(_xlpm.replace_blanks)),
      IF( ISBLANK(_xlpm.list_two), _xlpm.replace_blanks, _xlpm.list_two),
      _xlpm.list_two
      ),
    _xlpm._inc1, IF(_xlpm._hrz1,
      _xlfn.BYCOL(_xlpm._list1, _xlfn.LAMBDA(_xlpm._col, IF(_xlpm.filter_blanks, COUNTA(_xlpm._col) &gt; 0, 1) * IF(_xlpm.filter_errors, NOT(ISERROR(SUM(_xlpm._col))), 1))),
      _xlfn.BYROW(_xlpm._list1, _xlfn.LAMBDA(_xlpm._row, IF(_xlpm.filter_blanks, COUNTA(_xlpm._row) &gt; 0, 1) * IF(_xlpm.filter_errors, NOT(ISERROR(SUM(_xlpm._row))), 1)))
      ),
    _xlpm._inc2, IF(_xlpm._hrz2,
      _xlfn.BYCOL(_xlpm._list2, _xlfn.LAMBDA(_xlpm._col, IF(_xlpm.filter_blanks, COUNTA(_xlpm._col) &gt; 0, 1) * IF(_xlpm.filter_errors, NOT(ISERROR(SUM(_xlpm._col))), 1))),
      _xlfn.BYROW(_xlpm._list2, _xlfn.LAMBDA(_xlpm._row, IF(_xlpm.filter_blanks, COUNTA(_xlpm._row) &gt; 0, 1) * IF(_xlpm.filter_errors, NOT(ISERROR(SUM(_xlpm._row))), 1)))
      ),
    _xlpm._fltr1, IF(_xlpm._cvrt1,
      _xlfn.TOCOL(_xlpm._list1, _xlpm._ignore, _xlpm._byCol1),
      _xlfn._xlws.FILTER(_xlpm._list1, _xlpm._inc1)
      ),
    _xlpm._fltr2, IF(_xlpm._cvrt2,
      _xlfn.TOCOL(_xlpm._list2, _xlpm._ignore, _xlpm._byCol2),
      _xlfn._xlws.FILTER(_xlpm._list2, _xlpm._inc2)
      ),
    _xlpm._tbl1, IF( AND(NOT(_xlpm._cvrt1), _xlpm._hrz1), TRANSPOSE(_xlpm._fltr1), _xlpm._fltr1),
    _xlpm._tbl2, IF( AND(NOT(_xlpm._cvrt2), _xlpm._hrz2), TRANSPOSE(_xlpm._fltr2), _xlpm._fltr2),
    _xlpm._rr1, ROWS(_xlpm._tbl1),
    _xlpm._rr2, ROWS(_xlpm._tbl2),
    _xlpm._cc1, COLUMNS(_xlpm._tbl1),
    _xlpm._cc2, COLUMNS(_xlpm._tbl2),
    _xlpm._rtnTbl, _xlfn.HSTACK(
      _xlfn.MAKEARRAY(_xlpm._rr1 * _xlpm._rr2, _xlpm._cc1, _xlfn.LAMBDA(_xlpm._row,_xlpm._col, INDEX(_xlpm._tbl1, _xlfn.CEILING.MATH(_xlpm._row / _xlpm._rr2), _xlpm._col))),
      _xlfn.MAKEARRAY(_xlpm._rr1 * _xlpm._rr2, _xlpm._cc2, _xlfn.LAMBDA(_xlpm._row,_xlpm._col, INDEX(_xlpm._tbl2, MOD(_xlpm._row - 1, _xlpm._rr2) + 1, _xlpm._col)))
      ),
    _xlpm._rtnTbl
  )
)(C11:D15, F11:F16, D156, D157, E156, E157, D159, D160, D158)</f>
        <v>One</v>
      </c>
      <c r="D162" s="20" t="str">
        <v>Cat.1</v>
      </c>
      <c r="E162" s="20" t="str">
        <v>AAAA</v>
      </c>
      <c r="G162" s="68" t="str" cm="1">
        <f t="array" ref="G162:I191" xml:space="preserve"> _xlfn.LAMBDA(_xlpm.list_one,_xlpm.list_two,_xlop.convert_list_one,_xlop.list_one_by_column,_xlop.convert_list_two,_xlop.list_two_by_column,_xlop.filter_blanks,_xlop.filter_errors,_xlop.replace_blanks,
  _xlfn.LET(
    _xlpm._cvrt1, IF( _xlfn.ISOMITTED(_xlpm.convert_list_one), FALSE, _xlpm.convert_list_one),
    _xlpm._byCol1, IF( _xlfn.ISOMITTED(_xlpm.list_one_by_column), TRUE, _xlpm.list_one_by_column),
    _xlpm._cvrt2, IF( _xlfn.ISOMITTED(_xlpm.convert_list_two), FALSE, _xlpm.convert_list_two),
    _xlpm._byCol2, IF( _xlfn.ISOMITTED(_xlpm.list_two_by_column), TRUE, _xlpm.list_two_by_column),
    _xlpm._hrz1, (COLUMNS(_xlpm.list_one) &gt; ROWS(_xlpm.list_one)),
    _xlpm._hrz2, (COLUMNS(_xlpm.list_two) &gt; ROWS(_xlpm.list_two)),
    _xlpm._ignore,
      IF( OR( _xlfn.ISOMITTED(_xlpm.filter_blanks), NOT(_xlpm.filter_blanks)), 0, 1) +
      IF( OR( _xlfn.ISOMITTED(_xlpm.filter_errors), NOT(_xlpm.filter_errors)), 0, 2),
    _xlpm._list1, IF(
      NOT(ISBLANK(_xlpm.replace_blanks)),
      IF( ISBLANK(_xlpm.list_one), _xlpm.replace_blanks, _xlpm.list_one),
      _xlpm.list_one
      ),
    _xlpm._list2, IF(
      NOT(ISBLANK(_xlpm.replace_blanks)),
      IF( ISBLANK(_xlpm.list_two), _xlpm.replace_blanks, _xlpm.list_two),
      _xlpm.list_two
      ),
    _xlpm._inc1, IF(_xlpm._hrz1,
      _xlfn.BYCOL(_xlpm._list1, _xlfn.LAMBDA(_xlpm._col, IF(_xlpm.filter_blanks, COUNTA(_xlpm._col) &gt; 0, 1) * IF(_xlpm.filter_errors, NOT(ISERROR(SUM(_xlpm._col))), 1))),
      _xlfn.BYROW(_xlpm._list1, _xlfn.LAMBDA(_xlpm._row, IF(_xlpm.filter_blanks, COUNTA(_xlpm._row) &gt; 0, 1) * IF(_xlpm.filter_errors, NOT(ISERROR(SUM(_xlpm._row))), 1)))
      ),
    _xlpm._inc2, IF(_xlpm._hrz2,
      _xlfn.BYCOL(_xlpm._list2, _xlfn.LAMBDA(_xlpm._col, IF(_xlpm.filter_blanks, COUNTA(_xlpm._col) &gt; 0, 1) * IF(_xlpm.filter_errors, NOT(ISERROR(SUM(_xlpm._col))), 1))),
      _xlfn.BYROW(_xlpm._list2, _xlfn.LAMBDA(_xlpm._row, IF(_xlpm.filter_blanks, COUNTA(_xlpm._row) &gt; 0, 1) * IF(_xlpm.filter_errors, NOT(ISERROR(SUM(_xlpm._row))), 1)))
      ),
    _xlpm._fltr1, IF(_xlpm._cvrt1,
      _xlfn.TOCOL(_xlpm._list1, _xlpm._ignore, _xlpm._byCol1),
      _xlfn._xlws.FILTER(_xlpm._list1, _xlpm._inc1)
      ),
    _xlpm._fltr2, IF(_xlpm._cvrt2,
      _xlfn.TOCOL(_xlpm._list2, _xlpm._ignore, _xlpm._byCol2),
      _xlfn._xlws.FILTER(_xlpm._list2, _xlpm._inc2)
      ),
    _xlpm._tbl1, IF( AND(NOT(_xlpm._cvrt1), _xlpm._hrz1), TRANSPOSE(_xlpm._fltr1), _xlpm._fltr1),
    _xlpm._tbl2, IF( AND(NOT(_xlpm._cvrt2), _xlpm._hrz2), TRANSPOSE(_xlpm._fltr2), _xlpm._fltr2),
    _xlpm._rr1, ROWS(_xlpm._tbl1),
    _xlpm._rr2, ROWS(_xlpm._tbl2),
    _xlpm._cc1, COLUMNS(_xlpm._tbl1),
    _xlpm._cc2, COLUMNS(_xlpm._tbl2),
    _xlpm._rtnTbl, _xlfn.HSTACK(
      _xlfn.MAKEARRAY(_xlpm._rr1 * _xlpm._rr2, _xlpm._cc1, _xlfn.LAMBDA(_xlpm._row,_xlpm._col, INDEX(_xlpm._tbl1, _xlfn.CEILING.MATH(_xlpm._row / _xlpm._rr2), _xlpm._col))),
      _xlfn.MAKEARRAY(_xlpm._rr1 * _xlpm._rr2, _xlpm._cc2, _xlfn.LAMBDA(_xlpm._row,_xlpm._col, INDEX(_xlpm._tbl2, MOD(_xlpm._row - 1, _xlpm._rr2) + 1, _xlpm._col)))
      ),
    _xlpm._rtnTbl
  )
)(L10:P11, L13:Q13, H156, H157, I156, I157, H159, H160, H158)</f>
        <v>One</v>
      </c>
      <c r="H162" s="20" t="str">
        <v>Cat.1</v>
      </c>
      <c r="I162" s="20" t="str">
        <v>AAAA</v>
      </c>
    </row>
    <row r="163" spans="3:9" x14ac:dyDescent="0.3">
      <c r="C163" s="20" t="str">
        <v>One</v>
      </c>
      <c r="D163" s="20" t="str">
        <v>Cat.1</v>
      </c>
      <c r="E163" s="20" t="str">
        <v>BBBB</v>
      </c>
      <c r="G163" s="20" t="str">
        <v>One</v>
      </c>
      <c r="H163" s="20" t="str">
        <v>Cat.1</v>
      </c>
      <c r="I163" s="20" t="str">
        <v>BBBB</v>
      </c>
    </row>
    <row r="164" spans="3:9" x14ac:dyDescent="0.3">
      <c r="C164" s="20" t="str">
        <v>One</v>
      </c>
      <c r="D164" s="20" t="str">
        <v>Cat.1</v>
      </c>
      <c r="E164" s="20" t="str">
        <v>CCCC</v>
      </c>
      <c r="G164" s="20" t="str">
        <v>One</v>
      </c>
      <c r="H164" s="20" t="str">
        <v>Cat.1</v>
      </c>
      <c r="I164" s="20" t="str">
        <v>CCCC</v>
      </c>
    </row>
    <row r="165" spans="3:9" x14ac:dyDescent="0.3">
      <c r="C165" s="20" t="str">
        <v>One</v>
      </c>
      <c r="D165" s="20" t="str">
        <v>Cat.1</v>
      </c>
      <c r="E165" s="20" t="str">
        <v>DDDD</v>
      </c>
      <c r="G165" s="20" t="str">
        <v>One</v>
      </c>
      <c r="H165" s="20" t="str">
        <v>Cat.1</v>
      </c>
      <c r="I165" s="20" t="str">
        <v>DDDD</v>
      </c>
    </row>
    <row r="166" spans="3:9" x14ac:dyDescent="0.3">
      <c r="C166" s="20" t="str">
        <v>One</v>
      </c>
      <c r="D166" s="20" t="str">
        <v>Cat.1</v>
      </c>
      <c r="E166" s="20" t="str">
        <v>EEEE</v>
      </c>
      <c r="G166" s="20" t="str">
        <v>One</v>
      </c>
      <c r="H166" s="20" t="str">
        <v>Cat.1</v>
      </c>
      <c r="I166" s="20" t="str">
        <v>EEEE</v>
      </c>
    </row>
    <row r="167" spans="3:9" x14ac:dyDescent="0.3">
      <c r="C167" s="20" t="str">
        <v>One</v>
      </c>
      <c r="D167" s="20" t="str">
        <v>Cat.1</v>
      </c>
      <c r="E167" s="20">
        <v>0</v>
      </c>
      <c r="G167" s="20" t="str">
        <v>One</v>
      </c>
      <c r="H167" s="20" t="str">
        <v>Cat.1</v>
      </c>
      <c r="I167" s="20">
        <v>0</v>
      </c>
    </row>
    <row r="168" spans="3:9" x14ac:dyDescent="0.3">
      <c r="C168" s="20" t="str">
        <v>Two</v>
      </c>
      <c r="D168" s="20" t="str">
        <v>Cat.2</v>
      </c>
      <c r="E168" s="20" t="str">
        <v>AAAA</v>
      </c>
      <c r="G168" s="20" t="str">
        <v>Two</v>
      </c>
      <c r="H168" s="20" t="str">
        <v>Cat.2</v>
      </c>
      <c r="I168" s="20" t="str">
        <v>AAAA</v>
      </c>
    </row>
    <row r="169" spans="3:9" x14ac:dyDescent="0.3">
      <c r="C169" s="20" t="str">
        <v>Two</v>
      </c>
      <c r="D169" s="20" t="str">
        <v>Cat.2</v>
      </c>
      <c r="E169" s="20" t="str">
        <v>BBBB</v>
      </c>
      <c r="G169" s="20" t="str">
        <v>Two</v>
      </c>
      <c r="H169" s="20" t="str">
        <v>Cat.2</v>
      </c>
      <c r="I169" s="20" t="str">
        <v>BBBB</v>
      </c>
    </row>
    <row r="170" spans="3:9" x14ac:dyDescent="0.3">
      <c r="C170" s="20" t="str">
        <v>Two</v>
      </c>
      <c r="D170" s="20" t="str">
        <v>Cat.2</v>
      </c>
      <c r="E170" s="20" t="str">
        <v>CCCC</v>
      </c>
      <c r="G170" s="20" t="str">
        <v>Two</v>
      </c>
      <c r="H170" s="20" t="str">
        <v>Cat.2</v>
      </c>
      <c r="I170" s="20" t="str">
        <v>CCCC</v>
      </c>
    </row>
    <row r="171" spans="3:9" x14ac:dyDescent="0.3">
      <c r="C171" s="20" t="str">
        <v>Two</v>
      </c>
      <c r="D171" s="20" t="str">
        <v>Cat.2</v>
      </c>
      <c r="E171" s="20" t="str">
        <v>DDDD</v>
      </c>
      <c r="G171" s="20" t="str">
        <v>Two</v>
      </c>
      <c r="H171" s="20" t="str">
        <v>Cat.2</v>
      </c>
      <c r="I171" s="20" t="str">
        <v>DDDD</v>
      </c>
    </row>
    <row r="172" spans="3:9" x14ac:dyDescent="0.3">
      <c r="C172" s="20" t="str">
        <v>Two</v>
      </c>
      <c r="D172" s="20" t="str">
        <v>Cat.2</v>
      </c>
      <c r="E172" s="20" t="str">
        <v>EEEE</v>
      </c>
      <c r="G172" s="20" t="str">
        <v>Two</v>
      </c>
      <c r="H172" s="20" t="str">
        <v>Cat.2</v>
      </c>
      <c r="I172" s="20" t="str">
        <v>EEEE</v>
      </c>
    </row>
    <row r="173" spans="3:9" x14ac:dyDescent="0.3">
      <c r="C173" s="20" t="str">
        <v>Two</v>
      </c>
      <c r="D173" s="20" t="str">
        <v>Cat.2</v>
      </c>
      <c r="E173" s="20">
        <v>0</v>
      </c>
      <c r="G173" s="20" t="str">
        <v>Two</v>
      </c>
      <c r="H173" s="20" t="str">
        <v>Cat.2</v>
      </c>
      <c r="I173" s="20">
        <v>0</v>
      </c>
    </row>
    <row r="174" spans="3:9" x14ac:dyDescent="0.3">
      <c r="C174" s="20" t="str">
        <v>Three</v>
      </c>
      <c r="D174" s="20" t="str">
        <v>Cat.3</v>
      </c>
      <c r="E174" s="20" t="str">
        <v>AAAA</v>
      </c>
      <c r="G174" s="20" t="str">
        <v>Three</v>
      </c>
      <c r="H174" s="20" t="str">
        <v>Cat.3</v>
      </c>
      <c r="I174" s="20" t="str">
        <v>AAAA</v>
      </c>
    </row>
    <row r="175" spans="3:9" x14ac:dyDescent="0.3">
      <c r="C175" s="20" t="str">
        <v>Three</v>
      </c>
      <c r="D175" s="20" t="str">
        <v>Cat.3</v>
      </c>
      <c r="E175" s="20" t="str">
        <v>BBBB</v>
      </c>
      <c r="G175" s="20" t="str">
        <v>Three</v>
      </c>
      <c r="H175" s="20" t="str">
        <v>Cat.3</v>
      </c>
      <c r="I175" s="20" t="str">
        <v>BBBB</v>
      </c>
    </row>
    <row r="176" spans="3:9" x14ac:dyDescent="0.3">
      <c r="C176" s="20" t="str">
        <v>Three</v>
      </c>
      <c r="D176" s="20" t="str">
        <v>Cat.3</v>
      </c>
      <c r="E176" s="20" t="str">
        <v>CCCC</v>
      </c>
      <c r="G176" s="20" t="str">
        <v>Three</v>
      </c>
      <c r="H176" s="20" t="str">
        <v>Cat.3</v>
      </c>
      <c r="I176" s="20" t="str">
        <v>CCCC</v>
      </c>
    </row>
    <row r="177" spans="3:9" x14ac:dyDescent="0.3">
      <c r="C177" s="20" t="str">
        <v>Three</v>
      </c>
      <c r="D177" s="20" t="str">
        <v>Cat.3</v>
      </c>
      <c r="E177" s="20" t="str">
        <v>DDDD</v>
      </c>
      <c r="G177" s="20" t="str">
        <v>Three</v>
      </c>
      <c r="H177" s="20" t="str">
        <v>Cat.3</v>
      </c>
      <c r="I177" s="20" t="str">
        <v>DDDD</v>
      </c>
    </row>
    <row r="178" spans="3:9" x14ac:dyDescent="0.3">
      <c r="C178" s="20" t="str">
        <v>Three</v>
      </c>
      <c r="D178" s="20" t="str">
        <v>Cat.3</v>
      </c>
      <c r="E178" s="20" t="str">
        <v>EEEE</v>
      </c>
      <c r="G178" s="20" t="str">
        <v>Three</v>
      </c>
      <c r="H178" s="20" t="str">
        <v>Cat.3</v>
      </c>
      <c r="I178" s="20" t="str">
        <v>EEEE</v>
      </c>
    </row>
    <row r="179" spans="3:9" x14ac:dyDescent="0.3">
      <c r="C179" s="20" t="str">
        <v>Three</v>
      </c>
      <c r="D179" s="20" t="str">
        <v>Cat.3</v>
      </c>
      <c r="E179" s="20">
        <v>0</v>
      </c>
      <c r="G179" s="20" t="str">
        <v>Three</v>
      </c>
      <c r="H179" s="20" t="str">
        <v>Cat.3</v>
      </c>
      <c r="I179" s="20">
        <v>0</v>
      </c>
    </row>
    <row r="180" spans="3:9" x14ac:dyDescent="0.3">
      <c r="C180" s="20">
        <v>0</v>
      </c>
      <c r="D180" s="20">
        <v>0</v>
      </c>
      <c r="E180" s="20" t="str">
        <v>AAAA</v>
      </c>
      <c r="G180" s="20" t="str">
        <v>Four</v>
      </c>
      <c r="H180" s="20" t="str">
        <v>Cat.4</v>
      </c>
      <c r="I180" s="20" t="str">
        <v>AAAA</v>
      </c>
    </row>
    <row r="181" spans="3:9" x14ac:dyDescent="0.3">
      <c r="C181" s="20">
        <v>0</v>
      </c>
      <c r="D181" s="20">
        <v>0</v>
      </c>
      <c r="E181" s="20" t="str">
        <v>BBBB</v>
      </c>
      <c r="G181" s="20" t="str">
        <v>Four</v>
      </c>
      <c r="H181" s="20" t="str">
        <v>Cat.4</v>
      </c>
      <c r="I181" s="20" t="str">
        <v>BBBB</v>
      </c>
    </row>
    <row r="182" spans="3:9" x14ac:dyDescent="0.3">
      <c r="C182" s="20">
        <v>0</v>
      </c>
      <c r="D182" s="20">
        <v>0</v>
      </c>
      <c r="E182" s="20" t="str">
        <v>CCCC</v>
      </c>
      <c r="G182" s="20" t="str">
        <v>Four</v>
      </c>
      <c r="H182" s="20" t="str">
        <v>Cat.4</v>
      </c>
      <c r="I182" s="20" t="str">
        <v>CCCC</v>
      </c>
    </row>
    <row r="183" spans="3:9" x14ac:dyDescent="0.3">
      <c r="C183" s="20">
        <v>0</v>
      </c>
      <c r="D183" s="20">
        <v>0</v>
      </c>
      <c r="E183" s="20" t="str">
        <v>DDDD</v>
      </c>
      <c r="G183" s="20" t="str">
        <v>Four</v>
      </c>
      <c r="H183" s="20" t="str">
        <v>Cat.4</v>
      </c>
      <c r="I183" s="20" t="str">
        <v>DDDD</v>
      </c>
    </row>
    <row r="184" spans="3:9" x14ac:dyDescent="0.3">
      <c r="C184" s="20">
        <v>0</v>
      </c>
      <c r="D184" s="20">
        <v>0</v>
      </c>
      <c r="E184" s="20" t="str">
        <v>EEEE</v>
      </c>
      <c r="G184" s="20" t="str">
        <v>Four</v>
      </c>
      <c r="H184" s="20" t="str">
        <v>Cat.4</v>
      </c>
      <c r="I184" s="20" t="str">
        <v>EEEE</v>
      </c>
    </row>
    <row r="185" spans="3:9" x14ac:dyDescent="0.3">
      <c r="C185" s="20">
        <v>0</v>
      </c>
      <c r="D185" s="20">
        <v>0</v>
      </c>
      <c r="E185" s="20">
        <v>0</v>
      </c>
      <c r="G185" s="20" t="str">
        <v>Four</v>
      </c>
      <c r="H185" s="20" t="str">
        <v>Cat.4</v>
      </c>
      <c r="I185" s="20">
        <v>0</v>
      </c>
    </row>
    <row r="186" spans="3:9" x14ac:dyDescent="0.3">
      <c r="C186" s="20" t="e">
        <v>#N/A</v>
      </c>
      <c r="D186" s="20">
        <v>0</v>
      </c>
      <c r="E186" s="20" t="str">
        <v>AAAA</v>
      </c>
      <c r="G186" s="20">
        <v>0</v>
      </c>
      <c r="H186" s="20">
        <v>0</v>
      </c>
      <c r="I186" s="20" t="str">
        <v>AAAA</v>
      </c>
    </row>
    <row r="187" spans="3:9" x14ac:dyDescent="0.3">
      <c r="C187" s="20" t="e">
        <v>#N/A</v>
      </c>
      <c r="D187" s="20">
        <v>0</v>
      </c>
      <c r="E187" s="20" t="str">
        <v>BBBB</v>
      </c>
      <c r="G187" s="20">
        <v>0</v>
      </c>
      <c r="H187" s="20">
        <v>0</v>
      </c>
      <c r="I187" s="20" t="str">
        <v>BBBB</v>
      </c>
    </row>
    <row r="188" spans="3:9" x14ac:dyDescent="0.3">
      <c r="C188" s="20" t="e">
        <v>#N/A</v>
      </c>
      <c r="D188" s="20">
        <v>0</v>
      </c>
      <c r="E188" s="20" t="str">
        <v>CCCC</v>
      </c>
      <c r="G188" s="20">
        <v>0</v>
      </c>
      <c r="H188" s="20">
        <v>0</v>
      </c>
      <c r="I188" s="20" t="str">
        <v>CCCC</v>
      </c>
    </row>
    <row r="189" spans="3:9" x14ac:dyDescent="0.3">
      <c r="C189" s="20" t="e">
        <v>#N/A</v>
      </c>
      <c r="D189" s="20">
        <v>0</v>
      </c>
      <c r="E189" s="20" t="str">
        <v>DDDD</v>
      </c>
      <c r="G189" s="20">
        <v>0</v>
      </c>
      <c r="H189" s="20">
        <v>0</v>
      </c>
      <c r="I189" s="20" t="str">
        <v>DDDD</v>
      </c>
    </row>
    <row r="190" spans="3:9" x14ac:dyDescent="0.3">
      <c r="C190" s="20" t="e">
        <v>#N/A</v>
      </c>
      <c r="D190" s="20">
        <v>0</v>
      </c>
      <c r="E190" s="20" t="str">
        <v>EEEE</v>
      </c>
      <c r="G190" s="20">
        <v>0</v>
      </c>
      <c r="H190" s="20">
        <v>0</v>
      </c>
      <c r="I190" s="20" t="str">
        <v>EEEE</v>
      </c>
    </row>
    <row r="191" spans="3:9" x14ac:dyDescent="0.3">
      <c r="C191" s="20" t="e">
        <v>#N/A</v>
      </c>
      <c r="D191" s="20">
        <v>0</v>
      </c>
      <c r="E191" s="20">
        <v>0</v>
      </c>
      <c r="G191" s="20">
        <v>0</v>
      </c>
      <c r="H191" s="20">
        <v>0</v>
      </c>
      <c r="I191" s="20">
        <v>0</v>
      </c>
    </row>
    <row r="192" spans="3:9" x14ac:dyDescent="0.3">
      <c r="C192" s="20"/>
      <c r="D192" s="20"/>
      <c r="G192" s="20"/>
      <c r="H192" s="20"/>
    </row>
    <row r="193" spans="3:8" x14ac:dyDescent="0.3">
      <c r="C193" s="20"/>
      <c r="D193" s="20"/>
      <c r="G193" s="20"/>
      <c r="H193" s="20"/>
    </row>
    <row r="194" spans="3:8" x14ac:dyDescent="0.3">
      <c r="C194" s="20"/>
      <c r="D194" s="20"/>
      <c r="G194" s="20"/>
      <c r="H194" s="20"/>
    </row>
    <row r="195" spans="3:8" x14ac:dyDescent="0.3">
      <c r="C195" s="20"/>
      <c r="D195" s="20"/>
      <c r="G195" s="20"/>
      <c r="H195" s="20"/>
    </row>
    <row r="196" spans="3:8" x14ac:dyDescent="0.3">
      <c r="C196" s="20"/>
      <c r="D196" s="20"/>
      <c r="G196" s="20"/>
      <c r="H196" s="20"/>
    </row>
    <row r="197" spans="3:8" x14ac:dyDescent="0.3">
      <c r="C197" s="20"/>
      <c r="D197" s="20"/>
      <c r="G197" s="20"/>
      <c r="H197" s="20"/>
    </row>
    <row r="198" spans="3:8" x14ac:dyDescent="0.3">
      <c r="C198" s="20"/>
      <c r="D198" s="20"/>
      <c r="G198" s="20"/>
      <c r="H198" s="20"/>
    </row>
    <row r="199" spans="3:8" x14ac:dyDescent="0.3">
      <c r="C199" s="20"/>
      <c r="D199" s="20"/>
      <c r="G199" s="20"/>
      <c r="H199" s="20"/>
    </row>
    <row r="200" spans="3:8" x14ac:dyDescent="0.3">
      <c r="C200" s="20"/>
      <c r="D200" s="20"/>
      <c r="G200" s="20"/>
      <c r="H200" s="20"/>
    </row>
    <row r="201" spans="3:8" x14ac:dyDescent="0.3">
      <c r="C201" s="20"/>
      <c r="D201" s="20"/>
      <c r="G201" s="20"/>
      <c r="H201" s="20"/>
    </row>
    <row r="202" spans="3:8" x14ac:dyDescent="0.3">
      <c r="C202" s="20"/>
      <c r="D202" s="20"/>
      <c r="G202" s="20"/>
      <c r="H202" s="20"/>
    </row>
    <row r="203" spans="3:8" x14ac:dyDescent="0.3">
      <c r="C203" s="20"/>
      <c r="D203" s="20"/>
      <c r="G203" s="20"/>
      <c r="H203" s="20"/>
    </row>
    <row r="204" spans="3:8" x14ac:dyDescent="0.3">
      <c r="C204" s="20"/>
      <c r="D204" s="20"/>
      <c r="G204" s="20"/>
      <c r="H204" s="20"/>
    </row>
    <row r="205" spans="3:8" x14ac:dyDescent="0.3">
      <c r="C205" s="20"/>
      <c r="D205" s="20"/>
      <c r="G205" s="20"/>
      <c r="H205" s="20"/>
    </row>
    <row r="206" spans="3:8" x14ac:dyDescent="0.3">
      <c r="C206" s="20"/>
      <c r="D206" s="20"/>
      <c r="G206" s="20"/>
      <c r="H206" s="20"/>
    </row>
    <row r="207" spans="3:8" x14ac:dyDescent="0.3">
      <c r="C207" s="20"/>
      <c r="D207" s="20"/>
      <c r="G207" s="20"/>
      <c r="H207" s="20"/>
    </row>
    <row r="208" spans="3:8" x14ac:dyDescent="0.3">
      <c r="C208" s="20"/>
      <c r="D208" s="20"/>
      <c r="G208" s="20"/>
      <c r="H208" s="20"/>
    </row>
    <row r="209" spans="2:21" x14ac:dyDescent="0.3">
      <c r="C209" s="20"/>
      <c r="D209" s="20"/>
      <c r="G209" s="20"/>
      <c r="H209" s="20"/>
    </row>
    <row r="210" spans="2:21" x14ac:dyDescent="0.3">
      <c r="C210" s="20"/>
      <c r="D210" s="20"/>
      <c r="G210" s="20"/>
      <c r="H210" s="20"/>
    </row>
    <row r="211" spans="2:21" x14ac:dyDescent="0.3">
      <c r="C211" s="20"/>
      <c r="D211" s="20"/>
      <c r="G211" s="20"/>
      <c r="H211" s="20"/>
    </row>
    <row r="212" spans="2:21" x14ac:dyDescent="0.3">
      <c r="C212" s="20"/>
      <c r="D212" s="20"/>
      <c r="G212" s="20"/>
      <c r="H212" s="20"/>
    </row>
    <row r="213" spans="2:21" x14ac:dyDescent="0.3">
      <c r="C213" s="20"/>
      <c r="D213" s="20"/>
      <c r="G213" s="20"/>
      <c r="H213" s="20"/>
    </row>
    <row r="214" spans="2:21" x14ac:dyDescent="0.3">
      <c r="C214" s="20"/>
      <c r="D214" s="20"/>
      <c r="G214" s="20"/>
      <c r="H214" s="20"/>
    </row>
    <row r="215" spans="2:21" x14ac:dyDescent="0.3">
      <c r="C215" s="20"/>
      <c r="D215" s="20"/>
      <c r="G215" s="20"/>
      <c r="H215" s="20"/>
    </row>
    <row r="216" spans="2:21" x14ac:dyDescent="0.3">
      <c r="C216" s="20"/>
      <c r="D216" s="20"/>
      <c r="G216" s="20"/>
      <c r="H216" s="20"/>
    </row>
    <row r="217" spans="2:21" x14ac:dyDescent="0.3">
      <c r="C217" s="20"/>
      <c r="D217" s="20"/>
      <c r="G217" s="20"/>
      <c r="H217" s="20"/>
    </row>
    <row r="218" spans="2:21" x14ac:dyDescent="0.3">
      <c r="C218" s="20"/>
      <c r="D218" s="20"/>
      <c r="G218" s="20"/>
      <c r="H218" s="20"/>
    </row>
    <row r="219" spans="2:21" x14ac:dyDescent="0.3">
      <c r="C219" s="20"/>
      <c r="D219" s="20"/>
      <c r="G219" s="20"/>
      <c r="H219" s="20"/>
    </row>
    <row r="220" spans="2:21" x14ac:dyDescent="0.3">
      <c r="C220" s="20"/>
      <c r="D220" s="20"/>
      <c r="G220" s="20"/>
      <c r="H220" s="20"/>
    </row>
    <row r="221" spans="2:21" x14ac:dyDescent="0.3">
      <c r="C221" s="20"/>
      <c r="D221" s="20"/>
      <c r="G221" s="20"/>
      <c r="H221" s="20"/>
    </row>
    <row r="224" spans="2:21" x14ac:dyDescent="0.3">
      <c r="B224" s="28" t="s">
        <v>395</v>
      </c>
      <c r="C224" s="27"/>
      <c r="D224" s="27"/>
      <c r="E224" s="27"/>
      <c r="F224" s="27"/>
      <c r="G224" s="27"/>
      <c r="H224" s="27"/>
      <c r="I224" s="27"/>
      <c r="J224" s="27"/>
      <c r="K224" s="27"/>
      <c r="L224" s="27"/>
      <c r="M224" s="27"/>
      <c r="N224" s="27"/>
      <c r="O224" s="27"/>
      <c r="P224" s="27"/>
      <c r="Q224" s="27"/>
      <c r="R224" s="27"/>
      <c r="S224" s="27"/>
      <c r="T224" s="27"/>
      <c r="U224" s="27"/>
    </row>
    <row r="226" spans="3:9" x14ac:dyDescent="0.3">
      <c r="C226" t="s">
        <v>390</v>
      </c>
    </row>
    <row r="227" spans="3:9" x14ac:dyDescent="0.3">
      <c r="C227" t="s">
        <v>391</v>
      </c>
    </row>
    <row r="228" spans="3:9" x14ac:dyDescent="0.3">
      <c r="C228" t="s">
        <v>396</v>
      </c>
    </row>
    <row r="229" spans="3:9" x14ac:dyDescent="0.3">
      <c r="C229" t="s">
        <v>397</v>
      </c>
    </row>
    <row r="230" spans="3:9" x14ac:dyDescent="0.3">
      <c r="C230" t="s">
        <v>398</v>
      </c>
    </row>
    <row r="232" spans="3:9" x14ac:dyDescent="0.3">
      <c r="C232" s="13" t="s">
        <v>399</v>
      </c>
      <c r="G232" s="13" t="s">
        <v>400</v>
      </c>
    </row>
    <row r="234" spans="3:9" x14ac:dyDescent="0.3">
      <c r="C234" s="24" t="s">
        <v>382</v>
      </c>
      <c r="D234" s="26">
        <v>0</v>
      </c>
      <c r="E234" s="26">
        <v>0</v>
      </c>
      <c r="G234" s="24" t="s">
        <v>382</v>
      </c>
      <c r="H234" s="26">
        <v>0</v>
      </c>
      <c r="I234" s="26">
        <v>0</v>
      </c>
    </row>
    <row r="235" spans="3:9" x14ac:dyDescent="0.3">
      <c r="C235" s="24" t="s">
        <v>69</v>
      </c>
      <c r="D235" s="26">
        <v>1</v>
      </c>
      <c r="E235" s="26">
        <v>1</v>
      </c>
      <c r="G235" s="24" t="s">
        <v>69</v>
      </c>
      <c r="H235" s="26">
        <v>1</v>
      </c>
      <c r="I235" s="26">
        <v>1</v>
      </c>
    </row>
    <row r="236" spans="3:9" x14ac:dyDescent="0.3">
      <c r="C236" s="24" t="s">
        <v>370</v>
      </c>
      <c r="D236" s="25"/>
      <c r="G236" s="24" t="s">
        <v>370</v>
      </c>
      <c r="H236" s="25"/>
    </row>
    <row r="237" spans="3:9" x14ac:dyDescent="0.3">
      <c r="C237" s="24" t="s">
        <v>63</v>
      </c>
      <c r="D237" s="26">
        <v>0</v>
      </c>
      <c r="G237" s="24" t="s">
        <v>63</v>
      </c>
      <c r="H237" s="26">
        <v>0</v>
      </c>
    </row>
    <row r="238" spans="3:9" x14ac:dyDescent="0.3">
      <c r="C238" s="24" t="s">
        <v>70</v>
      </c>
      <c r="D238" s="26">
        <v>0</v>
      </c>
      <c r="G238" s="24" t="s">
        <v>70</v>
      </c>
      <c r="H238" s="26">
        <v>0</v>
      </c>
    </row>
    <row r="239" spans="3:9" x14ac:dyDescent="0.3">
      <c r="C239" s="24" t="s">
        <v>401</v>
      </c>
      <c r="D239" s="26">
        <v>0</v>
      </c>
      <c r="G239" s="24" t="s">
        <v>401</v>
      </c>
      <c r="H239" s="26">
        <v>0</v>
      </c>
    </row>
    <row r="240" spans="3:9" x14ac:dyDescent="0.3">
      <c r="G240" s="24" t="s">
        <v>402</v>
      </c>
      <c r="H240" s="26">
        <v>1</v>
      </c>
    </row>
    <row r="242" spans="3:56" x14ac:dyDescent="0.3">
      <c r="C242" s="68" t="str" cm="1">
        <f t="array" ref="C242:E266" xml:space="preserve"> _xlfn.LAMBDA(_xlpm.list_one,_xlpm.list_two,_xlop.convert_list_one,_xlop.list_one_by_column,_xlop.convert_list_two,_xlop.list_two_by_column,_xlop.filter_blanks,_xlop.filter_errors,_xlop.replace_blanks,_xlop.distinct_rows,
  _xlfn.LET(
    _xlpm._cvrt1, IF( _xlfn.ISOMITTED(_xlpm.convert_list_one), FALSE, _xlpm.convert_list_one),
    _xlpm._byCol1, IF( _xlfn.ISOMITTED(_xlpm.list_one_by_column), TRUE, _xlpm.list_one_by_column),
    _xlpm._cvrt2, IF( _xlfn.ISOMITTED(_xlpm.convert_list_two), FALSE, _xlpm.convert_list_two),
    _xlpm._byCol2, IF( _xlfn.ISOMITTED(_xlpm.list_two_by_column), TRUE, _xlpm.list_two_by_column),
    _xlpm._hrz1, (COLUMNS(_xlpm.list_one) &gt; ROWS(_xlpm.list_one)),
    _xlpm._hrz2, (COLUMNS(_xlpm.list_two) &gt; ROWS(_xlpm.list_two)),
    _xlpm._ignore,
      IF( OR( _xlfn.ISOMITTED(_xlpm.filter_blanks), NOT(_xlpm.filter_blanks)), 0, 1) +
      IF( OR( _xlfn.ISOMITTED(_xlpm.filter_errors), NOT(_xlpm.filter_errors)), 0, 2),
    _xlpm._distinct, IF( _xlfn.ISOMITTED(_xlpm.distinct_rows), FALSE, _xlpm.distinct_rows),
    _xlpm._list1, IF(
      NOT(ISBLANK(_xlpm.replace_blanks)),
      IF( ISBLANK(_xlpm.list_one), _xlpm.replace_blanks, _xlpm.list_one),
      _xlpm.list_one
      ),
    _xlpm._list2, IF(
      NOT(ISBLANK(_xlpm.replace_blanks)),
      IF( ISBLANK(_xlpm.list_two), _xlpm.replace_blanks, _xlpm.list_two),
      _xlpm.list_two
      ),
    _xlpm._inc1, IF(_xlpm._hrz1,
      _xlfn.BYCOL(_xlpm._list1, _xlfn.LAMBDA(_xlpm._col, IF(_xlpm.filter_blanks, COUNTA(_xlpm._col) &gt; 0, 1) * IF(_xlpm.filter_errors, NOT(ISERROR(SUM(_xlpm._col))), 1))),
      _xlfn.BYROW(_xlpm._list1, _xlfn.LAMBDA(_xlpm._row, IF(_xlpm.filter_blanks, COUNTA(_xlpm._row) &gt; 0, 1) * IF(_xlpm.filter_errors, NOT(ISERROR(SUM(_xlpm._row))), 1)))
      ),
    _xlpm._inc2, IF(_xlpm._hrz2,
      _xlfn.BYCOL(_xlpm._list2, _xlfn.LAMBDA(_xlpm._col, IF(_xlpm.filter_blanks, COUNTA(_xlpm._col) &gt; 0, 1) * IF(_xlpm.filter_errors, NOT(ISERROR(SUM(_xlpm._col))), 1))),
      _xlfn.BYROW(_xlpm._list2, _xlfn.LAMBDA(_xlpm._row, IF(_xlpm.filter_blanks, COUNTA(_xlpm._row) &gt; 0, 1) * IF(_xlpm.filter_errors, NOT(ISERROR(SUM(_xlpm._row))), 1)))
      ),
    _xlpm._fltr1, IF(_xlpm._cvrt1,
      _xlfn.TOCOL(_xlpm._list1, _xlpm._ignore, _xlpm._byCol1),
      _xlfn._xlws.FILTER(_xlpm._list1, _xlpm._inc1)
      ),
    _xlpm._fltr2, IF(_xlpm._cvrt2,
      _xlfn.TOCOL(_xlpm._list2, _xlpm._ignore, _xlpm._byCol2),
      _xlfn._xlws.FILTER(_xlpm._list2, _xlpm._inc2)
      ),
    _xlpm._tbl1, IF( AND(NOT(_xlpm._cvrt1), _xlpm._hrz1), TRANSPOSE(_xlpm._fltr1), _xlpm._fltr1),
    _xlpm._tbl2, IF( AND(NOT(_xlpm._cvrt2), _xlpm._hrz2), TRANSPOSE(_xlpm._fltr2), _xlpm._fltr2),
    _xlpm._rr1, ROWS(_xlpm._tbl1),
    _xlpm._rr2, ROWS(_xlpm._tbl2),
    _xlpm._cc1, COLUMNS(_xlpm._tbl1),
    _xlpm._cc2, COLUMNS(_xlpm._tbl2),
    _xlpm._cmbTbl, _xlfn.HSTACK(
      _xlfn.MAKEARRAY(_xlpm._rr1 * _xlpm._rr2, _xlpm._cc1, _xlfn.LAMBDA(_xlpm._row,_xlpm._col, INDEX(_xlpm._tbl1, _xlfn.CEILING.MATH(_xlpm._row / _xlpm._rr2), _xlpm._col))),
      _xlfn.MAKEARRAY(_xlpm._rr1 * _xlpm._rr2, _xlpm._cc2, _xlfn.LAMBDA(_xlpm._row,_xlpm._col, INDEX(_xlpm._tbl2, MOD(_xlpm._row - 1, _xlpm._rr2) + 1, _xlpm._col)))
      ),
    _xlpm._rtnTbl, IF(_xlpm._distinct,
      _xlfn.UNIQUE(_xlpm._cmbTbl),
      _xlpm._cmbTbl
      ),
    _xlpm._rtnTbl
  )
)(C11:D15, H11:H15, D234, D235, E234, E235, D237, D238, D236, D239)</f>
        <v>One</v>
      </c>
      <c r="D242" s="20" t="str">
        <v>Cat.1</v>
      </c>
      <c r="E242" s="20" t="str">
        <v>AAAA</v>
      </c>
      <c r="G242" s="68" t="str" cm="1">
        <f t="array" ref="G242:I266" xml:space="preserve"> _xlfn.LAMBDA(_xlpm.list_one,_xlpm.list_two,_xlop.convert_list_one,_xlop.list_one_by_column,_xlop.convert_list_two,_xlop.list_two_by_column,_xlop.filter_blanks,_xlop.filter_errors,_xlop.replace_blanks,_xlop.distinct_rows,_xlop.vertical_output,
  _xlfn.LET(
    _xlpm._cvrt1, IF( _xlfn.ISOMITTED(_xlpm.convert_list_one), FALSE, _xlpm.convert_list_one),
    _xlpm._byCol1, IF( _xlfn.ISOMITTED(_xlpm.list_one_by_column), TRUE, _xlpm.list_one_by_column),
    _xlpm._cvrt2, IF( _xlfn.ISOMITTED(_xlpm.convert_list_two), FALSE, _xlpm.convert_list_two),
    _xlpm._byCol2, IF( _xlfn.ISOMITTED(_xlpm.list_two_by_column), TRUE, _xlpm.list_two_by_column),
    _xlpm._hrz1, (COLUMNS(_xlpm.list_one) &gt; ROWS(_xlpm.list_one)),
    _xlpm._hrz2, (COLUMNS(_xlpm.list_two) &gt; ROWS(_xlpm.list_two)),
    _xlpm._ignore,
      IF( OR( _xlfn.ISOMITTED(_xlpm.filter_blanks), NOT(_xlpm.filter_blanks)), 0, 1) +
      IF( OR( _xlfn.ISOMITTED(_xlpm.filter_errors), NOT(_xlpm.filter_errors)), 0, 2),
    _xlpm._distinct, IF( _xlfn.ISOMITTED(_xlpm.distinct_rows), FALSE, _xlpm.distinct_rows),
    _xlpm._vertical, IF( _xlfn.ISOMITTED(_xlpm.vertical_output), TRUE, _xlpm.vertical_output),
    _xlpm._list1, IF(
      NOT(ISBLANK(_xlpm.replace_blanks)),
      IF( ISBLANK(_xlpm.list_one), _xlpm.replace_blanks, _xlpm.list_one),
      _xlpm.list_one
      ),
    _xlpm._list2, IF(
      NOT(ISBLANK(_xlpm.replace_blanks)),
      IF( ISBLANK(_xlpm.list_two), _xlpm.replace_blanks, _xlpm.list_two),
      _xlpm.list_two
      ),
    _xlpm._inc1, IF(_xlpm._hrz1,
      _xlfn.BYCOL(_xlpm._list1, _xlfn.LAMBDA(_xlpm._col, IF(_xlpm.filter_blanks, COUNTA(_xlpm._col) &gt; 0, 1) * IF(_xlpm.filter_errors, NOT(ISERROR(SUM(_xlpm._col))), 1))),
      _xlfn.BYROW(_xlpm._list1, _xlfn.LAMBDA(_xlpm._row, IF(_xlpm.filter_blanks, COUNTA(_xlpm._row) &gt; 0, 1) * IF(_xlpm.filter_errors, NOT(ISERROR(SUM(_xlpm._row))), 1)))
      ),
    _xlpm._inc2, IF(_xlpm._hrz2,
      _xlfn.BYCOL(_xlpm._list2, _xlfn.LAMBDA(_xlpm._col, IF(_xlpm.filter_blanks, COUNTA(_xlpm._col) &gt; 0, 1) * IF(_xlpm.filter_errors, NOT(ISERROR(SUM(_xlpm._col))), 1))),
      _xlfn.BYROW(_xlpm._list2, _xlfn.LAMBDA(_xlpm._row, IF(_xlpm.filter_blanks, COUNTA(_xlpm._row) &gt; 0, 1) * IF(_xlpm.filter_errors, NOT(ISERROR(SUM(_xlpm._row))), 1)))
      ),
    _xlpm._fltr1, IF(_xlpm._cvrt1,
      _xlfn.TOCOL(_xlpm._list1, _xlpm._ignore, _xlpm._byCol1),
      _xlfn._xlws.FILTER(_xlpm._list1, _xlpm._inc1)
      ),
    _xlpm._fltr2, IF(_xlpm._cvrt2,
      _xlfn.TOCOL(_xlpm._list2, _xlpm._ignore, _xlpm._byCol2),
      _xlfn._xlws.FILTER(_xlpm._list2, _xlpm._inc2)
      ),
    _xlpm._tbl1, IF( AND(NOT(_xlpm._cvrt1), _xlpm._hrz1), TRANSPOSE(_xlpm._fltr1), _xlpm._fltr1),
    _xlpm._tbl2, IF( AND(NOT(_xlpm._cvrt2), _xlpm._hrz2), TRANSPOSE(_xlpm._fltr2), _xlpm._fltr2),
    _xlpm._rr1, ROWS(_xlpm._tbl1),
    _xlpm._rr2, ROWS(_xlpm._tbl2),
    _xlpm._cc1, COLUMNS(_xlpm._tbl1),
    _xlpm._cc2, COLUMNS(_xlpm._tbl2),
    _xlpm._cmbTbl, _xlfn.HSTACK(
      _xlfn.MAKEARRAY(_xlpm._rr1 * _xlpm._rr2, _xlpm._cc1, _xlfn.LAMBDA(_xlpm._row,_xlpm._col, INDEX(_xlpm._tbl1, _xlfn.CEILING.MATH(_xlpm._row / _xlpm._rr2), _xlpm._col))),
      _xlfn.MAKEARRAY(_xlpm._rr1 * _xlpm._rr2, _xlpm._cc2, _xlfn.LAMBDA(_xlpm._row,_xlpm._col, INDEX(_xlpm._tbl2, MOD(_xlpm._row - 1, _xlpm._rr2) + 1, _xlpm._col)))
      ),
    _xlpm._rtnTbl, IF(_xlpm._distinct,
      _xlfn.UNIQUE(_xlpm._cmbTbl),
      _xlpm._cmbTbl
      ),
    _xlpm._rtn, IF(NOT(_xlpm._vertical),
      TRANSPOSE(_xlpm._rtnTbl),
      _xlpm._rtnTbl
      ),
    _xlpm._rtn
  )
)(C11:D15, H11:H15, H234, H235, I234, I235, H237, H238, H236, H239, H240)</f>
        <v>One</v>
      </c>
      <c r="H242" s="20" t="str">
        <v>Cat.1</v>
      </c>
      <c r="I242" s="20" t="str">
        <v>AAAA</v>
      </c>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row>
    <row r="243" spans="3:56" x14ac:dyDescent="0.3">
      <c r="C243" s="20" t="str">
        <v>One</v>
      </c>
      <c r="D243" s="20" t="str">
        <v>Cat.1</v>
      </c>
      <c r="E243" s="20" t="str">
        <v>BBBB</v>
      </c>
      <c r="G243" s="20" t="str">
        <v>One</v>
      </c>
      <c r="H243" s="20" t="str">
        <v>Cat.1</v>
      </c>
      <c r="I243" s="20" t="str">
        <v>BBBB</v>
      </c>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row>
    <row r="244" spans="3:56" x14ac:dyDescent="0.3">
      <c r="C244" s="20" t="str">
        <v>One</v>
      </c>
      <c r="D244" s="20" t="str">
        <v>Cat.1</v>
      </c>
      <c r="E244" s="20" t="str">
        <v>CCCC</v>
      </c>
      <c r="G244" s="20" t="str">
        <v>One</v>
      </c>
      <c r="H244" s="20" t="str">
        <v>Cat.1</v>
      </c>
      <c r="I244" s="20" t="str">
        <v>CCCC</v>
      </c>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spans="3:56" x14ac:dyDescent="0.3">
      <c r="C245" s="20" t="str">
        <v>One</v>
      </c>
      <c r="D245" s="20" t="str">
        <v>Cat.1</v>
      </c>
      <c r="E245" s="20" t="str">
        <v>AAAA</v>
      </c>
      <c r="G245" s="20" t="str">
        <v>One</v>
      </c>
      <c r="H245" s="20" t="str">
        <v>Cat.1</v>
      </c>
      <c r="I245" s="20" t="str">
        <v>AAAA</v>
      </c>
    </row>
    <row r="246" spans="3:56" x14ac:dyDescent="0.3">
      <c r="C246" s="20" t="str">
        <v>One</v>
      </c>
      <c r="D246" s="20" t="str">
        <v>Cat.1</v>
      </c>
      <c r="E246" s="20" t="str">
        <v>BBBB</v>
      </c>
      <c r="G246" s="20" t="str">
        <v>One</v>
      </c>
      <c r="H246" s="20" t="str">
        <v>Cat.1</v>
      </c>
      <c r="I246" s="20" t="str">
        <v>BBBB</v>
      </c>
    </row>
    <row r="247" spans="3:56" x14ac:dyDescent="0.3">
      <c r="C247" s="20" t="str">
        <v>Two</v>
      </c>
      <c r="D247" s="20" t="str">
        <v>Cat.2</v>
      </c>
      <c r="E247" s="20" t="str">
        <v>AAAA</v>
      </c>
      <c r="G247" s="20" t="str">
        <v>Two</v>
      </c>
      <c r="H247" s="20" t="str">
        <v>Cat.2</v>
      </c>
      <c r="I247" s="20" t="str">
        <v>AAAA</v>
      </c>
    </row>
    <row r="248" spans="3:56" x14ac:dyDescent="0.3">
      <c r="C248" s="20" t="str">
        <v>Two</v>
      </c>
      <c r="D248" s="20" t="str">
        <v>Cat.2</v>
      </c>
      <c r="E248" s="20" t="str">
        <v>BBBB</v>
      </c>
      <c r="G248" s="20" t="str">
        <v>Two</v>
      </c>
      <c r="H248" s="20" t="str">
        <v>Cat.2</v>
      </c>
      <c r="I248" s="20" t="str">
        <v>BBBB</v>
      </c>
    </row>
    <row r="249" spans="3:56" x14ac:dyDescent="0.3">
      <c r="C249" s="20" t="str">
        <v>Two</v>
      </c>
      <c r="D249" s="20" t="str">
        <v>Cat.2</v>
      </c>
      <c r="E249" s="20" t="str">
        <v>CCCC</v>
      </c>
      <c r="G249" s="20" t="str">
        <v>Two</v>
      </c>
      <c r="H249" s="20" t="str">
        <v>Cat.2</v>
      </c>
      <c r="I249" s="20" t="str">
        <v>CCCC</v>
      </c>
    </row>
    <row r="250" spans="3:56" x14ac:dyDescent="0.3">
      <c r="C250" s="20" t="str">
        <v>Two</v>
      </c>
      <c r="D250" s="20" t="str">
        <v>Cat.2</v>
      </c>
      <c r="E250" s="20" t="str">
        <v>AAAA</v>
      </c>
      <c r="G250" s="20" t="str">
        <v>Two</v>
      </c>
      <c r="H250" s="20" t="str">
        <v>Cat.2</v>
      </c>
      <c r="I250" s="20" t="str">
        <v>AAAA</v>
      </c>
    </row>
    <row r="251" spans="3:56" x14ac:dyDescent="0.3">
      <c r="C251" s="20" t="str">
        <v>Two</v>
      </c>
      <c r="D251" s="20" t="str">
        <v>Cat.2</v>
      </c>
      <c r="E251" s="20" t="str">
        <v>BBBB</v>
      </c>
      <c r="G251" s="20" t="str">
        <v>Two</v>
      </c>
      <c r="H251" s="20" t="str">
        <v>Cat.2</v>
      </c>
      <c r="I251" s="20" t="str">
        <v>BBBB</v>
      </c>
    </row>
    <row r="252" spans="3:56" x14ac:dyDescent="0.3">
      <c r="C252" s="20" t="str">
        <v>Three</v>
      </c>
      <c r="D252" s="20" t="str">
        <v>Cat.3</v>
      </c>
      <c r="E252" s="20" t="str">
        <v>AAAA</v>
      </c>
      <c r="G252" s="20" t="str">
        <v>Three</v>
      </c>
      <c r="H252" s="20" t="str">
        <v>Cat.3</v>
      </c>
      <c r="I252" s="20" t="str">
        <v>AAAA</v>
      </c>
    </row>
    <row r="253" spans="3:56" x14ac:dyDescent="0.3">
      <c r="C253" s="20" t="str">
        <v>Three</v>
      </c>
      <c r="D253" s="20" t="str">
        <v>Cat.3</v>
      </c>
      <c r="E253" s="20" t="str">
        <v>BBBB</v>
      </c>
      <c r="G253" s="20" t="str">
        <v>Three</v>
      </c>
      <c r="H253" s="20" t="str">
        <v>Cat.3</v>
      </c>
      <c r="I253" s="20" t="str">
        <v>BBBB</v>
      </c>
    </row>
    <row r="254" spans="3:56" x14ac:dyDescent="0.3">
      <c r="C254" s="20" t="str">
        <v>Three</v>
      </c>
      <c r="D254" s="20" t="str">
        <v>Cat.3</v>
      </c>
      <c r="E254" s="20" t="str">
        <v>CCCC</v>
      </c>
      <c r="G254" s="20" t="str">
        <v>Three</v>
      </c>
      <c r="H254" s="20" t="str">
        <v>Cat.3</v>
      </c>
      <c r="I254" s="20" t="str">
        <v>CCCC</v>
      </c>
    </row>
    <row r="255" spans="3:56" x14ac:dyDescent="0.3">
      <c r="C255" s="20" t="str">
        <v>Three</v>
      </c>
      <c r="D255" s="20" t="str">
        <v>Cat.3</v>
      </c>
      <c r="E255" s="20" t="str">
        <v>AAAA</v>
      </c>
      <c r="G255" s="20" t="str">
        <v>Three</v>
      </c>
      <c r="H255" s="20" t="str">
        <v>Cat.3</v>
      </c>
      <c r="I255" s="20" t="str">
        <v>AAAA</v>
      </c>
    </row>
    <row r="256" spans="3:56" x14ac:dyDescent="0.3">
      <c r="C256" s="20" t="str">
        <v>Three</v>
      </c>
      <c r="D256" s="20" t="str">
        <v>Cat.3</v>
      </c>
      <c r="E256" s="20" t="str">
        <v>BBBB</v>
      </c>
      <c r="G256" s="20" t="str">
        <v>Three</v>
      </c>
      <c r="H256" s="20" t="str">
        <v>Cat.3</v>
      </c>
      <c r="I256" s="20" t="str">
        <v>BBBB</v>
      </c>
    </row>
    <row r="257" spans="3:9" x14ac:dyDescent="0.3">
      <c r="C257" s="20">
        <v>0</v>
      </c>
      <c r="D257" s="20">
        <v>0</v>
      </c>
      <c r="E257" s="20" t="str">
        <v>AAAA</v>
      </c>
      <c r="G257" s="20">
        <v>0</v>
      </c>
      <c r="H257" s="20">
        <v>0</v>
      </c>
      <c r="I257" s="20" t="str">
        <v>AAAA</v>
      </c>
    </row>
    <row r="258" spans="3:9" x14ac:dyDescent="0.3">
      <c r="C258" s="20">
        <v>0</v>
      </c>
      <c r="D258" s="20">
        <v>0</v>
      </c>
      <c r="E258" s="20" t="str">
        <v>BBBB</v>
      </c>
      <c r="G258" s="20">
        <v>0</v>
      </c>
      <c r="H258" s="20">
        <v>0</v>
      </c>
      <c r="I258" s="20" t="str">
        <v>BBBB</v>
      </c>
    </row>
    <row r="259" spans="3:9" x14ac:dyDescent="0.3">
      <c r="C259" s="20">
        <v>0</v>
      </c>
      <c r="D259" s="20">
        <v>0</v>
      </c>
      <c r="E259" s="20" t="str">
        <v>CCCC</v>
      </c>
      <c r="G259" s="20">
        <v>0</v>
      </c>
      <c r="H259" s="20">
        <v>0</v>
      </c>
      <c r="I259" s="20" t="str">
        <v>CCCC</v>
      </c>
    </row>
    <row r="260" spans="3:9" x14ac:dyDescent="0.3">
      <c r="C260" s="20">
        <v>0</v>
      </c>
      <c r="D260" s="20">
        <v>0</v>
      </c>
      <c r="E260" s="20" t="str">
        <v>AAAA</v>
      </c>
      <c r="G260" s="20">
        <v>0</v>
      </c>
      <c r="H260" s="20">
        <v>0</v>
      </c>
      <c r="I260" s="20" t="str">
        <v>AAAA</v>
      </c>
    </row>
    <row r="261" spans="3:9" x14ac:dyDescent="0.3">
      <c r="C261" s="20">
        <v>0</v>
      </c>
      <c r="D261" s="20">
        <v>0</v>
      </c>
      <c r="E261" s="20" t="str">
        <v>BBBB</v>
      </c>
      <c r="G261" s="20">
        <v>0</v>
      </c>
      <c r="H261" s="20">
        <v>0</v>
      </c>
      <c r="I261" s="20" t="str">
        <v>BBBB</v>
      </c>
    </row>
    <row r="262" spans="3:9" x14ac:dyDescent="0.3">
      <c r="C262" s="20" t="e">
        <v>#N/A</v>
      </c>
      <c r="D262" s="20">
        <v>0</v>
      </c>
      <c r="E262" s="20" t="str">
        <v>AAAA</v>
      </c>
      <c r="G262" s="20" t="e">
        <v>#N/A</v>
      </c>
      <c r="H262" s="20">
        <v>0</v>
      </c>
      <c r="I262" s="20" t="str">
        <v>AAAA</v>
      </c>
    </row>
    <row r="263" spans="3:9" x14ac:dyDescent="0.3">
      <c r="C263" s="20" t="e">
        <v>#N/A</v>
      </c>
      <c r="D263" s="20">
        <v>0</v>
      </c>
      <c r="E263" s="20" t="str">
        <v>BBBB</v>
      </c>
      <c r="G263" s="20" t="e">
        <v>#N/A</v>
      </c>
      <c r="H263" s="20">
        <v>0</v>
      </c>
      <c r="I263" s="20" t="str">
        <v>BBBB</v>
      </c>
    </row>
    <row r="264" spans="3:9" x14ac:dyDescent="0.3">
      <c r="C264" s="20" t="e">
        <v>#N/A</v>
      </c>
      <c r="D264" s="20">
        <v>0</v>
      </c>
      <c r="E264" s="20" t="str">
        <v>CCCC</v>
      </c>
      <c r="G264" s="20" t="e">
        <v>#N/A</v>
      </c>
      <c r="H264" s="20">
        <v>0</v>
      </c>
      <c r="I264" s="20" t="str">
        <v>CCCC</v>
      </c>
    </row>
    <row r="265" spans="3:9" x14ac:dyDescent="0.3">
      <c r="C265" s="20" t="e">
        <v>#N/A</v>
      </c>
      <c r="D265" s="20">
        <v>0</v>
      </c>
      <c r="E265" s="20" t="str">
        <v>AAAA</v>
      </c>
      <c r="G265" s="20" t="e">
        <v>#N/A</v>
      </c>
      <c r="H265" s="20">
        <v>0</v>
      </c>
      <c r="I265" s="20" t="str">
        <v>AAAA</v>
      </c>
    </row>
    <row r="266" spans="3:9" x14ac:dyDescent="0.3">
      <c r="C266" s="20" t="e">
        <v>#N/A</v>
      </c>
      <c r="D266" s="20">
        <v>0</v>
      </c>
      <c r="E266" s="20" t="str">
        <v>BBBB</v>
      </c>
      <c r="G266" s="20" t="e">
        <v>#N/A</v>
      </c>
      <c r="H266" s="20">
        <v>0</v>
      </c>
      <c r="I266" s="20" t="str">
        <v>BBBB</v>
      </c>
    </row>
    <row r="267" spans="3:9" x14ac:dyDescent="0.3">
      <c r="C267" s="20"/>
      <c r="D267" s="20"/>
      <c r="G267" s="20"/>
      <c r="H267" s="20"/>
    </row>
    <row r="268" spans="3:9" x14ac:dyDescent="0.3">
      <c r="C268" s="20"/>
      <c r="D268" s="20"/>
      <c r="G268" s="20"/>
      <c r="H268" s="20"/>
    </row>
    <row r="269" spans="3:9" x14ac:dyDescent="0.3">
      <c r="C269" s="20"/>
      <c r="D269" s="20"/>
      <c r="G269" s="20"/>
      <c r="H269" s="20"/>
    </row>
    <row r="270" spans="3:9" x14ac:dyDescent="0.3">
      <c r="C270" s="20"/>
      <c r="D270" s="20"/>
      <c r="G270" s="20"/>
      <c r="H270" s="20"/>
    </row>
    <row r="271" spans="3:9" x14ac:dyDescent="0.3">
      <c r="C271" s="20"/>
      <c r="D271" s="20"/>
      <c r="G271" s="20"/>
      <c r="H271" s="20"/>
    </row>
    <row r="272" spans="3:9" x14ac:dyDescent="0.3">
      <c r="C272" s="20"/>
      <c r="D272" s="20"/>
      <c r="G272" s="20"/>
      <c r="H272" s="20"/>
    </row>
    <row r="273" spans="3:8" x14ac:dyDescent="0.3">
      <c r="C273" s="20"/>
      <c r="D273" s="20"/>
      <c r="G273" s="20"/>
      <c r="H273" s="20"/>
    </row>
    <row r="274" spans="3:8" x14ac:dyDescent="0.3">
      <c r="C274" s="20"/>
      <c r="D274" s="20"/>
      <c r="G274" s="20"/>
      <c r="H274" s="20"/>
    </row>
    <row r="275" spans="3:8" x14ac:dyDescent="0.3">
      <c r="C275" s="20"/>
      <c r="D275" s="20"/>
      <c r="G275" s="20"/>
      <c r="H275" s="20"/>
    </row>
    <row r="276" spans="3:8" x14ac:dyDescent="0.3">
      <c r="C276" s="20"/>
      <c r="D276" s="20"/>
      <c r="G276" s="20"/>
      <c r="H276" s="20"/>
    </row>
    <row r="277" spans="3:8" x14ac:dyDescent="0.3">
      <c r="C277" s="20"/>
      <c r="D277" s="20"/>
      <c r="G277" s="20"/>
      <c r="H277" s="20"/>
    </row>
    <row r="278" spans="3:8" x14ac:dyDescent="0.3">
      <c r="C278" s="20"/>
      <c r="D278" s="20"/>
      <c r="G278" s="20"/>
      <c r="H278" s="20"/>
    </row>
    <row r="279" spans="3:8" x14ac:dyDescent="0.3">
      <c r="C279" s="20"/>
      <c r="D279" s="20"/>
      <c r="G279" s="20"/>
      <c r="H279" s="20"/>
    </row>
    <row r="280" spans="3:8" x14ac:dyDescent="0.3">
      <c r="C280" s="20"/>
      <c r="D280" s="20"/>
      <c r="G280" s="20"/>
      <c r="H280" s="20"/>
    </row>
    <row r="281" spans="3:8" x14ac:dyDescent="0.3">
      <c r="C281" s="20"/>
      <c r="D281" s="20"/>
      <c r="G281" s="20"/>
      <c r="H281" s="20"/>
    </row>
    <row r="282" spans="3:8" x14ac:dyDescent="0.3">
      <c r="C282" s="20"/>
      <c r="D282" s="20"/>
      <c r="G282" s="20"/>
      <c r="H282" s="20"/>
    </row>
    <row r="283" spans="3:8" x14ac:dyDescent="0.3">
      <c r="C283" s="20"/>
      <c r="D283" s="20"/>
      <c r="G283" s="20"/>
      <c r="H283" s="20"/>
    </row>
    <row r="284" spans="3:8" x14ac:dyDescent="0.3">
      <c r="C284" s="20"/>
      <c r="D284" s="20"/>
      <c r="G284" s="20"/>
      <c r="H284" s="20"/>
    </row>
    <row r="285" spans="3:8" x14ac:dyDescent="0.3">
      <c r="C285" s="20"/>
      <c r="D285" s="20"/>
      <c r="G285" s="20"/>
      <c r="H285" s="20"/>
    </row>
    <row r="286" spans="3:8" x14ac:dyDescent="0.3">
      <c r="C286" s="20"/>
      <c r="D286" s="20"/>
      <c r="G286" s="20"/>
      <c r="H286" s="20"/>
    </row>
    <row r="287" spans="3:8" x14ac:dyDescent="0.3">
      <c r="C287" s="20"/>
      <c r="D287" s="20"/>
      <c r="G287" s="20"/>
      <c r="H287" s="20"/>
    </row>
    <row r="288" spans="3:8" x14ac:dyDescent="0.3">
      <c r="C288" s="20"/>
      <c r="D288" s="20"/>
      <c r="G288" s="20"/>
      <c r="H288" s="20"/>
    </row>
    <row r="289" spans="2:21" x14ac:dyDescent="0.3">
      <c r="C289" s="20"/>
      <c r="D289" s="20"/>
      <c r="G289" s="20"/>
      <c r="H289" s="20"/>
    </row>
    <row r="290" spans="2:21" x14ac:dyDescent="0.3">
      <c r="C290" s="20"/>
      <c r="D290" s="20"/>
      <c r="G290" s="20"/>
      <c r="H290" s="20"/>
    </row>
    <row r="291" spans="2:21" x14ac:dyDescent="0.3">
      <c r="C291" s="20"/>
      <c r="D291" s="20"/>
      <c r="G291" s="20"/>
      <c r="H291" s="20"/>
    </row>
    <row r="294" spans="2:21" x14ac:dyDescent="0.3">
      <c r="B294" s="28" t="s">
        <v>365</v>
      </c>
      <c r="C294" s="27"/>
      <c r="D294" s="27"/>
      <c r="E294" s="27"/>
      <c r="F294" s="27"/>
      <c r="G294" s="27"/>
      <c r="H294" s="27"/>
      <c r="I294" s="27"/>
      <c r="J294" s="27"/>
      <c r="K294" s="27"/>
      <c r="L294" s="27"/>
      <c r="M294" s="27"/>
      <c r="N294" s="27"/>
      <c r="O294" s="27"/>
      <c r="P294" s="27"/>
      <c r="Q294" s="27"/>
      <c r="R294" s="27"/>
      <c r="S294" s="27"/>
      <c r="T294" s="27"/>
      <c r="U294" s="27"/>
    </row>
    <row r="296" spans="2:21" x14ac:dyDescent="0.3">
      <c r="C296" t="s">
        <v>403</v>
      </c>
    </row>
    <row r="297" spans="2:21" x14ac:dyDescent="0.3">
      <c r="C297" t="s">
        <v>404</v>
      </c>
    </row>
    <row r="299" spans="2:21" x14ac:dyDescent="0.3">
      <c r="C299" s="13" t="s">
        <v>405</v>
      </c>
      <c r="H299" s="13" t="s">
        <v>405</v>
      </c>
    </row>
    <row r="300" spans="2:21" x14ac:dyDescent="0.3">
      <c r="C300" s="13" t="s">
        <v>406</v>
      </c>
      <c r="H300" s="13" t="s">
        <v>407</v>
      </c>
    </row>
    <row r="301" spans="2:21" x14ac:dyDescent="0.3">
      <c r="C301" s="24" t="s">
        <v>382</v>
      </c>
      <c r="D301" s="70">
        <v>0</v>
      </c>
      <c r="E301" s="70">
        <v>0</v>
      </c>
      <c r="F301" s="71" t="s">
        <v>408</v>
      </c>
      <c r="H301" s="24" t="s">
        <v>382</v>
      </c>
      <c r="I301" s="70">
        <v>0</v>
      </c>
      <c r="J301" s="70">
        <v>0</v>
      </c>
      <c r="K301" s="71" t="s">
        <v>408</v>
      </c>
    </row>
    <row r="302" spans="2:21" x14ac:dyDescent="0.3">
      <c r="C302" s="24" t="s">
        <v>69</v>
      </c>
      <c r="D302" s="70">
        <v>1</v>
      </c>
      <c r="E302" s="70">
        <v>1</v>
      </c>
      <c r="F302" s="71" t="s">
        <v>408</v>
      </c>
      <c r="H302" s="24" t="s">
        <v>69</v>
      </c>
      <c r="I302" s="70">
        <v>1</v>
      </c>
      <c r="J302" s="70">
        <v>1</v>
      </c>
      <c r="K302" s="71" t="s">
        <v>408</v>
      </c>
    </row>
    <row r="303" spans="2:21" x14ac:dyDescent="0.3">
      <c r="C303" s="24" t="s">
        <v>370</v>
      </c>
      <c r="D303" s="25"/>
      <c r="E303" s="71" t="s">
        <v>409</v>
      </c>
      <c r="H303" s="24" t="s">
        <v>370</v>
      </c>
      <c r="I303" s="25"/>
      <c r="J303" s="71" t="s">
        <v>409</v>
      </c>
    </row>
    <row r="304" spans="2:21" x14ac:dyDescent="0.3">
      <c r="C304" s="24" t="s">
        <v>63</v>
      </c>
      <c r="D304" s="70">
        <v>0</v>
      </c>
      <c r="E304" s="71" t="s">
        <v>408</v>
      </c>
      <c r="H304" s="24" t="s">
        <v>63</v>
      </c>
      <c r="I304" s="70">
        <v>0</v>
      </c>
      <c r="J304" s="71" t="s">
        <v>408</v>
      </c>
    </row>
    <row r="305" spans="3:10" x14ac:dyDescent="0.3">
      <c r="C305" s="24" t="s">
        <v>70</v>
      </c>
      <c r="D305" s="70">
        <v>0</v>
      </c>
      <c r="E305" s="71" t="s">
        <v>408</v>
      </c>
      <c r="H305" s="24" t="s">
        <v>70</v>
      </c>
      <c r="I305" s="70">
        <v>0</v>
      </c>
      <c r="J305" s="71" t="s">
        <v>408</v>
      </c>
    </row>
    <row r="306" spans="3:10" x14ac:dyDescent="0.3">
      <c r="C306" s="24" t="s">
        <v>401</v>
      </c>
      <c r="D306" s="70">
        <v>0</v>
      </c>
      <c r="E306" s="71" t="s">
        <v>408</v>
      </c>
      <c r="H306" s="24" t="s">
        <v>401</v>
      </c>
      <c r="I306" s="70">
        <v>0</v>
      </c>
      <c r="J306" s="71" t="s">
        <v>408</v>
      </c>
    </row>
    <row r="307" spans="3:10" x14ac:dyDescent="0.3">
      <c r="C307" s="24" t="s">
        <v>402</v>
      </c>
      <c r="D307" s="70">
        <v>1</v>
      </c>
      <c r="E307" s="71" t="s">
        <v>408</v>
      </c>
      <c r="H307" s="24" t="s">
        <v>402</v>
      </c>
      <c r="I307" s="70">
        <v>1</v>
      </c>
      <c r="J307" s="71" t="s">
        <v>408</v>
      </c>
    </row>
    <row r="309" spans="3:10" x14ac:dyDescent="0.3">
      <c r="C309" s="68" t="str" cm="1">
        <f t="array" ref="C309:E333" xml:space="preserve"> _xlfn.LAMBDA(_xlpm.list_one,_xlpm.list_two,_xlop.convert_list_one,_xlop.list_one_by_column,_xlop.convert_list_two,_xlop.list_two_by_column,_xlop.filter_blanks,_xlop.filter_errors,_xlop.replace_blanks,_xlop.distinct_rows,_xlop.vertical_output,
  _xlfn.LET(
    _xlpm._cvrt1, IF( _xlfn.ISOMITTED(_xlpm.convert_list_one), FALSE, _xlpm.convert_list_one),
    _xlpm._byCol1, IF( _xlfn.ISOMITTED(_xlpm.list_one_by_column), TRUE, _xlpm.list_one_by_column),
    _xlpm._cvrt2, IF( _xlfn.ISOMITTED(_xlpm.convert_list_two), FALSE, _xlpm.convert_list_two),
    _xlpm._byCol2, IF( _xlfn.ISOMITTED(_xlpm.list_two_by_column), TRUE, _xlpm.list_two_by_column),
    _xlpm._ignore,
      IF( OR( _xlfn.ISOMITTED(_xlpm.filter_blanks), NOT(_xlpm.filter_blanks)), 0, 1) +
      IF( OR( _xlfn.ISOMITTED(_xlpm.filter_errors), NOT(_xlpm.filter_errors)), 0, 2),
    _xlpm._distinct, IF( _xlfn.ISOMITTED(_xlpm.distinct_rows), FALSE, _xlpm.distinct_rows),
    _xlpm._vertical, IF( _xlfn.ISOMITTED(_xlpm.vertical_output), TRUE, _xlpm.vertical_output),
    _xlpm._inps, _xlfn.VSTACK(_xlpm._cvrt1, _xlpm._byCol1, _xlpm._cvrt2, _xlpm._byCol2, _xlpm.filter_blanks, _xlpm.filter_errors, _xlpm._distinct, _xlpm._vertical),
    _xlpm._chk, _xlfn.REDUCE(0, _xlpm._inps, _xlfn.LAMBDA(_xlpm._acc,_xlpm._val, _xlpm._acc + AND( NOT(ISLOGICAL(_xlpm._val)), NOT(ISNUMBER(_xlpm._val))))),
    _xlpm._inpChk, IF(
      OR( NOT(ISREF(_xlpm.list_one)), NOT(ISREF(_xlpm.list_two))),#REF!,
      IF(
        _xlpm._chk &gt; 0,
        #VALUE!,
        ""
      )
    ),
    _xlpm._hrz1, (COLUMNS(_xlpm.list_one) &gt; ROWS(_xlpm.list_one)),
    _xlpm._hrz2, (COLUMNS(_xlpm.list_two) &gt; ROWS(_xlpm.list_two)),
    _xlpm._list1, IF(
      NOT(ISBLANK(_xlpm.replace_blanks)),
      IF( ISBLANK(_xlpm.list_one), _xlpm.replace_blanks, _xlpm.list_one),
      _xlpm.list_one
    ),
    _xlpm._list2, IF(
      NOT(ISBLANK(_xlpm.replace_blanks)),
      IF( ISBLANK(_xlpm.list_two), _xlpm.replace_blanks, _xlpm.list_two),
      _xlpm.list_two
    ),
    _xlpm._inc1, IF(_xlpm._hrz1,
      _xlfn.BYCOL(_xlpm._list1, _xlfn.LAMBDA(_xlpm._col, IF(_xlpm.filter_blanks, COUNTA(_xlpm._col) &gt; 0, 1) * IF(_xlpm.filter_errors, NOT(ISERROR(SUM(_xlpm._col))), 1))),
      _xlfn.BYROW(_xlpm._list1, _xlfn.LAMBDA(_xlpm._row, IF(_xlpm.filter_blanks, COUNTA(_xlpm._row) &gt; 0, 1) * IF(_xlpm.filter_errors, NOT(ISERROR(SUM(_xlpm._row))), 1)))
    ),
    _xlpm._inc2, IF(_xlpm._hrz2,
      _xlfn.BYCOL(_xlpm._list2, _xlfn.LAMBDA(_xlpm._col, IF(_xlpm.filter_blanks, COUNTA(_xlpm._col) &gt; 0, 1) * IF(_xlpm.filter_errors, NOT(ISERROR(SUM(_xlpm._col))), 1))),
      _xlfn.BYROW(_xlpm._list2, _xlfn.LAMBDA(_xlpm._row, IF(_xlpm.filter_blanks, COUNTA(_xlpm._row) &gt; 0, 1) * IF(_xlpm.filter_errors, NOT(ISERROR(SUM(_xlpm._row))), 1)))
    ),
    _xlpm._fltr1, IF(_xlpm._cvrt1,
      _xlfn.TOCOL(_xlpm._list1, _xlpm._ignore, _xlpm._byCol1),
      _xlfn._xlws.FILTER(_xlpm._list1, _xlpm._inc1)
    ),
    _xlpm._fltr2, IF(_xlpm._cvrt2,
      _xlfn.TOCOL(_xlpm._list2, _xlpm._ignore, _xlpm._byCol2),
      _xlfn._xlws.FILTER(_xlpm._list2, _xlpm._inc2)
    ),
    _xlpm._tbl1, IF( AND(NOT(_xlpm._cvrt1), _xlpm._hrz1), TRANSPOSE(_xlpm._fltr1), _xlpm._fltr1),
    _xlpm._tbl2, IF( AND(NOT(_xlpm._cvrt2), _xlpm._hrz2), TRANSPOSE(_xlpm._fltr2), _xlpm._fltr2),
    _xlpm._rr1, ROWS(_xlpm._tbl1),
    _xlpm._rr2, ROWS(_xlpm._tbl2),
    _xlpm._cc1, COLUMNS(_xlpm._tbl1),
    _xlpm._cc2, COLUMNS(_xlpm._tbl2),
    _xlpm._cmbTbl, _xlfn.HSTACK(
      _xlfn.MAKEARRAY(_xlpm._rr1 * _xlpm._rr2, _xlpm._cc1, _xlfn.LAMBDA(_xlpm._row,_xlpm._col, INDEX(_xlpm._tbl1, _xlfn.CEILING.MATH(_xlpm._row / _xlpm._rr2), _xlpm._col))),
      _xlfn.MAKEARRAY(_xlpm._rr1 * _xlpm._rr2, _xlpm._cc2, _xlfn.LAMBDA(_xlpm._row,_xlpm._col, INDEX(_xlpm._tbl2, MOD(_xlpm._row - 1, _xlpm._rr2) + 1, _xlpm._col)))
    ),
    _xlpm._rtnTbl, IF(_xlpm._distinct,
      _xlfn.UNIQUE(_xlpm._cmbTbl),
      _xlpm._cmbTbl
    ),
    _xlpm._rtn, IF(NOT(_xlpm._vertical),
      TRANSPOSE(_xlpm._rtnTbl),
      _xlpm._rtnTbl
    ),
    IF(_xlpm._inpChk &lt;&gt; "", _xlpm._inpChk, _xlpm._rtn)
  )
)(C11:D15, H11:H15, D301, D302, E301, E302, D304, D305, D303, D306, D307)</f>
        <v>One</v>
      </c>
      <c r="D309" s="20" t="str">
        <v>Cat.1</v>
      </c>
      <c r="E309" s="20" t="str">
        <v>AAAA</v>
      </c>
      <c r="H309" s="68" t="str" cm="1">
        <f t="array" ref="H309:J333" xml:space="preserve"> _xlfn.LAMBDA(_xlpm.list_one,_xlpm.list_two,_xlop.convert_list_one,_xlop.list_one_by_column,_xlop.convert_list_two,_xlop.list_two_by_column,_xlop.filter_blanks,_xlop.filter_errors,_xlop.replace_blanks,_xlop.distinct_rows,_xlop.vertical_output,
  _xlfn.LET(
    _xlpm._cvrt1, IF( _xlfn.ISOMITTED(_xlpm.convert_list_one), FALSE, _xlpm.convert_list_one),
    _xlpm._byCol1, IF( _xlfn.ISOMITTED(_xlpm.list_one_by_column), TRUE, _xlpm.list_one_by_column),
    _xlpm._cvrt2, IF( _xlfn.ISOMITTED(_xlpm.convert_list_two), FALSE, _xlpm.convert_list_two),
    _xlpm._byCol2, IF( _xlfn.ISOMITTED(_xlpm.list_two_by_column), TRUE, _xlpm.list_two_by_column),
    _xlpm._ignore,
      IF( OR( _xlfn.ISOMITTED(_xlpm.filter_blanks), NOT(_xlpm.filter_blanks)), 0, 1) +
      IF( OR( _xlfn.ISOMITTED(_xlpm.filter_errors), NOT(_xlpm.filter_errors)), 0, 2),
    _xlpm._distinct, IF( _xlfn.ISOMITTED(_xlpm.distinct_rows), FALSE, _xlpm.distinct_rows),
    _xlpm._vertical, IF( _xlfn.ISOMITTED(_xlpm.vertical_output), TRUE, _xlpm.vertical_output),
    _xlpm._inps, _xlfn.VSTACK(_xlpm._cvrt1, _xlpm._byCol1, _xlpm._cvrt2, _xlpm._byCol2, _xlpm.filter_blanks, _xlpm.filter_errors, _xlpm._distinct, _xlpm._vertical),
    _xlpm._chk, _xlfn.REDUCE(0, _xlpm._inps, _xlfn.LAMBDA(_xlpm._acc,_xlpm._val, _xlpm._acc + AND( NOT(ISLOGICAL(_xlpm._val)), NOT(ISNUMBER(_xlpm._val))))),
    _xlpm._inpChk, IF(
      OR( NOT(ISREF(_xlpm.list_one)), NOT(ISREF(_xlpm.list_two))),
      "#[Error: invalid input cell references]",
      IF(
        _xlpm._chk &gt; 0,
        "#[Error: invalid optional inputs]",
        ""
      )
    ),
    _xlpm._hrz1, (COLUMNS(_xlpm.list_one) &gt; ROWS(_xlpm.list_one)),
    _xlpm._hrz2, (COLUMNS(_xlpm.list_two) &gt; ROWS(_xlpm.list_two)),
    _xlpm._list1, IF(
      NOT(ISBLANK(_xlpm.replace_blanks)),
      IF( ISBLANK(_xlpm.list_one), _xlpm.replace_blanks, _xlpm.list_one),
      _xlpm.list_one
    ),
    _xlpm._list2, IF(
      NOT(ISBLANK(_xlpm.replace_blanks)),
      IF( ISBLANK(_xlpm.list_two), _xlpm.replace_blanks, _xlpm.list_two),
      _xlpm.list_two
    ),
    _xlpm._inc1, IF(_xlpm._hrz1,
      _xlfn.BYCOL(_xlpm._list1, _xlfn.LAMBDA(_xlpm._col, IF(_xlpm.filter_blanks, COUNTA(_xlpm._col) &gt; 0, 1) * IF(_xlpm.filter_errors, NOT(ISERROR(SUM(_xlpm._col))), 1))),
      _xlfn.BYROW(_xlpm._list1, _xlfn.LAMBDA(_xlpm._row, IF(_xlpm.filter_blanks, COUNTA(_xlpm._row) &gt; 0, 1) * IF(_xlpm.filter_errors, NOT(ISERROR(SUM(_xlpm._row))), 1)))
    ),
    _xlpm._inc2, IF(_xlpm._hrz2,
      _xlfn.BYCOL(_xlpm._list2, _xlfn.LAMBDA(_xlpm._col, IF(_xlpm.filter_blanks, COUNTA(_xlpm._col) &gt; 0, 1) * IF(_xlpm.filter_errors, NOT(ISERROR(SUM(_xlpm._col))), 1))),
      _xlfn.BYROW(_xlpm._list2, _xlfn.LAMBDA(_xlpm._row, IF(_xlpm.filter_blanks, COUNTA(_xlpm._row) &gt; 0, 1) * IF(_xlpm.filter_errors, NOT(ISERROR(SUM(_xlpm._row))), 1)))
    ),
    _xlpm._fltr1, IF(_xlpm._cvrt1,
      _xlfn.TOCOL(_xlpm._list1, _xlpm._ignore, _xlpm._byCol1),
      _xlfn._xlws.FILTER(_xlpm._list1, _xlpm._inc1)
    ),
    _xlpm._fltr2, IF(_xlpm._cvrt2,
      _xlfn.TOCOL(_xlpm._list2, _xlpm._ignore, _xlpm._byCol2),
      _xlfn._xlws.FILTER(_xlpm._list2, _xlpm._inc2)
    ),
    _xlpm._tbl1, IF( AND(NOT(_xlpm._cvrt1), _xlpm._hrz1), TRANSPOSE(_xlpm._fltr1), _xlpm._fltr1),
    _xlpm._tbl2, IF( AND(NOT(_xlpm._cvrt2), _xlpm._hrz2), TRANSPOSE(_xlpm._fltr2), _xlpm._fltr2),
    _xlpm._rr1, ROWS(_xlpm._tbl1),
    _xlpm._rr2, ROWS(_xlpm._tbl2),
    _xlpm._cc1, COLUMNS(_xlpm._tbl1),
    _xlpm._cc2, COLUMNS(_xlpm._tbl2),
    _xlpm._cmbTbl, _xlfn.HSTACK(
      _xlfn.MAKEARRAY(_xlpm._rr1 * _xlpm._rr2, _xlpm._cc1, _xlfn.LAMBDA(_xlpm._row,_xlpm._col, INDEX(_xlpm._tbl1, _xlfn.CEILING.MATH(_xlpm._row / _xlpm._rr2), _xlpm._col))),
      _xlfn.MAKEARRAY(_xlpm._rr1 * _xlpm._rr2, _xlpm._cc2, _xlfn.LAMBDA(_xlpm._row,_xlpm._col, INDEX(_xlpm._tbl2, MOD(_xlpm._row - 1, _xlpm._rr2) + 1, _xlpm._col)))
    ),
    _xlpm._rtnTbl, IF(_xlpm._distinct,
      _xlfn.UNIQUE(_xlpm._cmbTbl),
      _xlpm._cmbTbl
    ),
    _xlpm._rtn, IF(NOT(_xlpm._vertical),
      TRANSPOSE(_xlpm._rtnTbl),
      _xlpm._rtnTbl
    ),
    IF(_xlpm._inpChk &lt;&gt; "", _xlpm._inpChk, _xlpm._rtn)
  )
)(C11:D15, H11:H15, I301, I302, J301, J302, I304, I305, I303, I306, I307)</f>
        <v>One</v>
      </c>
      <c r="I309" s="20" t="str">
        <v>Cat.1</v>
      </c>
      <c r="J309" s="20" t="str">
        <v>AAAA</v>
      </c>
    </row>
    <row r="310" spans="3:10" x14ac:dyDescent="0.3">
      <c r="C310" s="20" t="str">
        <v>One</v>
      </c>
      <c r="D310" s="20" t="str">
        <v>Cat.1</v>
      </c>
      <c r="E310" s="20" t="str">
        <v>BBBB</v>
      </c>
      <c r="H310" s="20" t="str">
        <v>One</v>
      </c>
      <c r="I310" s="20" t="str">
        <v>Cat.1</v>
      </c>
      <c r="J310" s="20" t="str">
        <v>BBBB</v>
      </c>
    </row>
    <row r="311" spans="3:10" x14ac:dyDescent="0.3">
      <c r="C311" s="20" t="str">
        <v>One</v>
      </c>
      <c r="D311" s="20" t="str">
        <v>Cat.1</v>
      </c>
      <c r="E311" s="20" t="str">
        <v>CCCC</v>
      </c>
      <c r="H311" s="20" t="str">
        <v>One</v>
      </c>
      <c r="I311" s="20" t="str">
        <v>Cat.1</v>
      </c>
      <c r="J311" s="20" t="str">
        <v>CCCC</v>
      </c>
    </row>
    <row r="312" spans="3:10" x14ac:dyDescent="0.3">
      <c r="C312" s="20" t="str">
        <v>One</v>
      </c>
      <c r="D312" s="20" t="str">
        <v>Cat.1</v>
      </c>
      <c r="E312" s="20" t="str">
        <v>AAAA</v>
      </c>
      <c r="H312" s="20" t="str">
        <v>One</v>
      </c>
      <c r="I312" s="20" t="str">
        <v>Cat.1</v>
      </c>
      <c r="J312" s="20" t="str">
        <v>AAAA</v>
      </c>
    </row>
    <row r="313" spans="3:10" x14ac:dyDescent="0.3">
      <c r="C313" s="20" t="str">
        <v>One</v>
      </c>
      <c r="D313" s="20" t="str">
        <v>Cat.1</v>
      </c>
      <c r="E313" s="20" t="str">
        <v>BBBB</v>
      </c>
      <c r="H313" s="20" t="str">
        <v>One</v>
      </c>
      <c r="I313" s="20" t="str">
        <v>Cat.1</v>
      </c>
      <c r="J313" s="20" t="str">
        <v>BBBB</v>
      </c>
    </row>
    <row r="314" spans="3:10" x14ac:dyDescent="0.3">
      <c r="C314" s="20" t="str">
        <v>Two</v>
      </c>
      <c r="D314" s="20" t="str">
        <v>Cat.2</v>
      </c>
      <c r="E314" s="20" t="str">
        <v>AAAA</v>
      </c>
      <c r="H314" s="20" t="str">
        <v>Two</v>
      </c>
      <c r="I314" s="20" t="str">
        <v>Cat.2</v>
      </c>
      <c r="J314" s="20" t="str">
        <v>AAAA</v>
      </c>
    </row>
    <row r="315" spans="3:10" x14ac:dyDescent="0.3">
      <c r="C315" s="20" t="str">
        <v>Two</v>
      </c>
      <c r="D315" s="20" t="str">
        <v>Cat.2</v>
      </c>
      <c r="E315" s="20" t="str">
        <v>BBBB</v>
      </c>
      <c r="H315" s="20" t="str">
        <v>Two</v>
      </c>
      <c r="I315" s="20" t="str">
        <v>Cat.2</v>
      </c>
      <c r="J315" s="20" t="str">
        <v>BBBB</v>
      </c>
    </row>
    <row r="316" spans="3:10" x14ac:dyDescent="0.3">
      <c r="C316" s="20" t="str">
        <v>Two</v>
      </c>
      <c r="D316" s="20" t="str">
        <v>Cat.2</v>
      </c>
      <c r="E316" s="20" t="str">
        <v>CCCC</v>
      </c>
      <c r="H316" s="20" t="str">
        <v>Two</v>
      </c>
      <c r="I316" s="20" t="str">
        <v>Cat.2</v>
      </c>
      <c r="J316" s="20" t="str">
        <v>CCCC</v>
      </c>
    </row>
    <row r="317" spans="3:10" x14ac:dyDescent="0.3">
      <c r="C317" s="20" t="str">
        <v>Two</v>
      </c>
      <c r="D317" s="20" t="str">
        <v>Cat.2</v>
      </c>
      <c r="E317" s="20" t="str">
        <v>AAAA</v>
      </c>
      <c r="H317" s="20" t="str">
        <v>Two</v>
      </c>
      <c r="I317" s="20" t="str">
        <v>Cat.2</v>
      </c>
      <c r="J317" s="20" t="str">
        <v>AAAA</v>
      </c>
    </row>
    <row r="318" spans="3:10" x14ac:dyDescent="0.3">
      <c r="C318" s="20" t="str">
        <v>Two</v>
      </c>
      <c r="D318" s="20" t="str">
        <v>Cat.2</v>
      </c>
      <c r="E318" s="20" t="str">
        <v>BBBB</v>
      </c>
      <c r="H318" s="20" t="str">
        <v>Two</v>
      </c>
      <c r="I318" s="20" t="str">
        <v>Cat.2</v>
      </c>
      <c r="J318" s="20" t="str">
        <v>BBBB</v>
      </c>
    </row>
    <row r="319" spans="3:10" x14ac:dyDescent="0.3">
      <c r="C319" s="20" t="str">
        <v>Three</v>
      </c>
      <c r="D319" s="20" t="str">
        <v>Cat.3</v>
      </c>
      <c r="E319" s="20" t="str">
        <v>AAAA</v>
      </c>
      <c r="H319" s="20" t="str">
        <v>Three</v>
      </c>
      <c r="I319" s="20" t="str">
        <v>Cat.3</v>
      </c>
      <c r="J319" s="20" t="str">
        <v>AAAA</v>
      </c>
    </row>
    <row r="320" spans="3:10" x14ac:dyDescent="0.3">
      <c r="C320" s="20" t="str">
        <v>Three</v>
      </c>
      <c r="D320" s="20" t="str">
        <v>Cat.3</v>
      </c>
      <c r="E320" s="20" t="str">
        <v>BBBB</v>
      </c>
      <c r="H320" s="20" t="str">
        <v>Three</v>
      </c>
      <c r="I320" s="20" t="str">
        <v>Cat.3</v>
      </c>
      <c r="J320" s="20" t="str">
        <v>BBBB</v>
      </c>
    </row>
    <row r="321" spans="3:10" x14ac:dyDescent="0.3">
      <c r="C321" s="20" t="str">
        <v>Three</v>
      </c>
      <c r="D321" s="20" t="str">
        <v>Cat.3</v>
      </c>
      <c r="E321" s="20" t="str">
        <v>CCCC</v>
      </c>
      <c r="H321" s="20" t="str">
        <v>Three</v>
      </c>
      <c r="I321" s="20" t="str">
        <v>Cat.3</v>
      </c>
      <c r="J321" s="20" t="str">
        <v>CCCC</v>
      </c>
    </row>
    <row r="322" spans="3:10" x14ac:dyDescent="0.3">
      <c r="C322" s="20" t="str">
        <v>Three</v>
      </c>
      <c r="D322" s="20" t="str">
        <v>Cat.3</v>
      </c>
      <c r="E322" s="20" t="str">
        <v>AAAA</v>
      </c>
      <c r="H322" s="20" t="str">
        <v>Three</v>
      </c>
      <c r="I322" s="20" t="str">
        <v>Cat.3</v>
      </c>
      <c r="J322" s="20" t="str">
        <v>AAAA</v>
      </c>
    </row>
    <row r="323" spans="3:10" x14ac:dyDescent="0.3">
      <c r="C323" s="20" t="str">
        <v>Three</v>
      </c>
      <c r="D323" s="20" t="str">
        <v>Cat.3</v>
      </c>
      <c r="E323" s="20" t="str">
        <v>BBBB</v>
      </c>
      <c r="H323" s="20" t="str">
        <v>Three</v>
      </c>
      <c r="I323" s="20" t="str">
        <v>Cat.3</v>
      </c>
      <c r="J323" s="20" t="str">
        <v>BBBB</v>
      </c>
    </row>
    <row r="324" spans="3:10" x14ac:dyDescent="0.3">
      <c r="C324" s="20">
        <v>0</v>
      </c>
      <c r="D324" s="20">
        <v>0</v>
      </c>
      <c r="E324" s="20" t="str">
        <v>AAAA</v>
      </c>
      <c r="H324" s="20">
        <v>0</v>
      </c>
      <c r="I324" s="20">
        <v>0</v>
      </c>
      <c r="J324" s="20" t="str">
        <v>AAAA</v>
      </c>
    </row>
    <row r="325" spans="3:10" x14ac:dyDescent="0.3">
      <c r="C325" s="20">
        <v>0</v>
      </c>
      <c r="D325" s="20">
        <v>0</v>
      </c>
      <c r="E325" s="20" t="str">
        <v>BBBB</v>
      </c>
      <c r="H325" s="20">
        <v>0</v>
      </c>
      <c r="I325" s="20">
        <v>0</v>
      </c>
      <c r="J325" s="20" t="str">
        <v>BBBB</v>
      </c>
    </row>
    <row r="326" spans="3:10" x14ac:dyDescent="0.3">
      <c r="C326" s="20">
        <v>0</v>
      </c>
      <c r="D326" s="20">
        <v>0</v>
      </c>
      <c r="E326" s="20" t="str">
        <v>CCCC</v>
      </c>
      <c r="H326" s="20">
        <v>0</v>
      </c>
      <c r="I326" s="20">
        <v>0</v>
      </c>
      <c r="J326" s="20" t="str">
        <v>CCCC</v>
      </c>
    </row>
    <row r="327" spans="3:10" x14ac:dyDescent="0.3">
      <c r="C327" s="20">
        <v>0</v>
      </c>
      <c r="D327" s="20">
        <v>0</v>
      </c>
      <c r="E327" s="20" t="str">
        <v>AAAA</v>
      </c>
      <c r="H327" s="20">
        <v>0</v>
      </c>
      <c r="I327" s="20">
        <v>0</v>
      </c>
      <c r="J327" s="20" t="str">
        <v>AAAA</v>
      </c>
    </row>
    <row r="328" spans="3:10" x14ac:dyDescent="0.3">
      <c r="C328" s="20">
        <v>0</v>
      </c>
      <c r="D328" s="20">
        <v>0</v>
      </c>
      <c r="E328" s="20" t="str">
        <v>BBBB</v>
      </c>
      <c r="H328" s="20">
        <v>0</v>
      </c>
      <c r="I328" s="20">
        <v>0</v>
      </c>
      <c r="J328" s="20" t="str">
        <v>BBBB</v>
      </c>
    </row>
    <row r="329" spans="3:10" x14ac:dyDescent="0.3">
      <c r="C329" s="20" t="e">
        <v>#N/A</v>
      </c>
      <c r="D329" s="20">
        <v>0</v>
      </c>
      <c r="E329" s="20" t="str">
        <v>AAAA</v>
      </c>
      <c r="H329" s="20" t="e">
        <v>#N/A</v>
      </c>
      <c r="I329" s="20">
        <v>0</v>
      </c>
      <c r="J329" s="20" t="str">
        <v>AAAA</v>
      </c>
    </row>
    <row r="330" spans="3:10" x14ac:dyDescent="0.3">
      <c r="C330" s="20" t="e">
        <v>#N/A</v>
      </c>
      <c r="D330" s="20">
        <v>0</v>
      </c>
      <c r="E330" s="20" t="str">
        <v>BBBB</v>
      </c>
      <c r="H330" s="20" t="e">
        <v>#N/A</v>
      </c>
      <c r="I330" s="20">
        <v>0</v>
      </c>
      <c r="J330" s="20" t="str">
        <v>BBBB</v>
      </c>
    </row>
    <row r="331" spans="3:10" x14ac:dyDescent="0.3">
      <c r="C331" s="20" t="e">
        <v>#N/A</v>
      </c>
      <c r="D331" s="20">
        <v>0</v>
      </c>
      <c r="E331" s="20" t="str">
        <v>CCCC</v>
      </c>
      <c r="H331" s="20" t="e">
        <v>#N/A</v>
      </c>
      <c r="I331" s="20">
        <v>0</v>
      </c>
      <c r="J331" s="20" t="str">
        <v>CCCC</v>
      </c>
    </row>
    <row r="332" spans="3:10" x14ac:dyDescent="0.3">
      <c r="C332" s="20" t="e">
        <v>#N/A</v>
      </c>
      <c r="D332" s="20">
        <v>0</v>
      </c>
      <c r="E332" s="20" t="str">
        <v>AAAA</v>
      </c>
      <c r="H332" s="20" t="e">
        <v>#N/A</v>
      </c>
      <c r="I332" s="20">
        <v>0</v>
      </c>
      <c r="J332" s="20" t="str">
        <v>AAAA</v>
      </c>
    </row>
    <row r="333" spans="3:10" x14ac:dyDescent="0.3">
      <c r="C333" s="20" t="e">
        <v>#N/A</v>
      </c>
      <c r="D333" s="20">
        <v>0</v>
      </c>
      <c r="E333" s="20" t="str">
        <v>BBBB</v>
      </c>
      <c r="H333" s="20" t="e">
        <v>#N/A</v>
      </c>
      <c r="I333" s="20">
        <v>0</v>
      </c>
      <c r="J333" s="20" t="str">
        <v>BBBB</v>
      </c>
    </row>
    <row r="334" spans="3:10" x14ac:dyDescent="0.3">
      <c r="C334" s="20"/>
      <c r="D334" s="20"/>
      <c r="H334" s="20"/>
      <c r="I334" s="20"/>
    </row>
    <row r="335" spans="3:10" x14ac:dyDescent="0.3">
      <c r="C335" s="20"/>
      <c r="D335" s="20"/>
      <c r="H335" s="20"/>
      <c r="I335" s="20"/>
    </row>
    <row r="336" spans="3:10" x14ac:dyDescent="0.3">
      <c r="C336" s="20"/>
      <c r="D336" s="20"/>
      <c r="H336" s="20"/>
      <c r="I336" s="20"/>
    </row>
    <row r="337" spans="3:9" x14ac:dyDescent="0.3">
      <c r="C337" s="20"/>
      <c r="D337" s="20"/>
      <c r="H337" s="20"/>
      <c r="I337" s="20"/>
    </row>
    <row r="338" spans="3:9" x14ac:dyDescent="0.3">
      <c r="C338" s="20"/>
      <c r="D338" s="20"/>
      <c r="H338" s="20"/>
      <c r="I338" s="20"/>
    </row>
    <row r="339" spans="3:9" x14ac:dyDescent="0.3">
      <c r="C339" s="20"/>
      <c r="D339" s="20"/>
      <c r="H339" s="20"/>
      <c r="I339" s="20"/>
    </row>
    <row r="340" spans="3:9" x14ac:dyDescent="0.3">
      <c r="C340" s="20"/>
      <c r="D340" s="20"/>
      <c r="H340" s="20"/>
      <c r="I340" s="20"/>
    </row>
    <row r="341" spans="3:9" x14ac:dyDescent="0.3">
      <c r="C341" s="20"/>
      <c r="D341" s="20"/>
      <c r="H341" s="20"/>
      <c r="I341" s="20"/>
    </row>
    <row r="342" spans="3:9" x14ac:dyDescent="0.3">
      <c r="C342" s="20"/>
      <c r="D342" s="20"/>
      <c r="H342" s="20"/>
      <c r="I342" s="20"/>
    </row>
    <row r="343" spans="3:9" x14ac:dyDescent="0.3">
      <c r="C343" s="20"/>
      <c r="D343" s="20"/>
      <c r="H343" s="20"/>
      <c r="I343" s="20"/>
    </row>
    <row r="344" spans="3:9" x14ac:dyDescent="0.3">
      <c r="C344" s="20"/>
      <c r="D344" s="20"/>
      <c r="H344" s="20"/>
      <c r="I344" s="20"/>
    </row>
    <row r="345" spans="3:9" x14ac:dyDescent="0.3">
      <c r="C345" s="20"/>
      <c r="D345" s="20"/>
      <c r="H345" s="20"/>
      <c r="I345" s="20"/>
    </row>
    <row r="346" spans="3:9" x14ac:dyDescent="0.3">
      <c r="C346" s="20"/>
      <c r="D346" s="20"/>
      <c r="H346" s="20"/>
      <c r="I346" s="20"/>
    </row>
    <row r="347" spans="3:9" x14ac:dyDescent="0.3">
      <c r="C347" s="20"/>
      <c r="D347" s="20"/>
      <c r="H347" s="20"/>
      <c r="I347" s="20"/>
    </row>
    <row r="348" spans="3:9" x14ac:dyDescent="0.3">
      <c r="C348" s="20"/>
      <c r="D348" s="20"/>
      <c r="H348" s="20"/>
      <c r="I348" s="20"/>
    </row>
    <row r="349" spans="3:9" x14ac:dyDescent="0.3">
      <c r="C349" s="20"/>
      <c r="D349" s="20"/>
      <c r="H349" s="20"/>
      <c r="I349" s="20"/>
    </row>
    <row r="350" spans="3:9" x14ac:dyDescent="0.3">
      <c r="C350" s="20"/>
      <c r="D350" s="20"/>
      <c r="H350" s="20"/>
      <c r="I350" s="20"/>
    </row>
    <row r="351" spans="3:9" x14ac:dyDescent="0.3">
      <c r="C351" s="20"/>
      <c r="D351" s="20"/>
      <c r="H351" s="20"/>
      <c r="I351" s="20"/>
    </row>
    <row r="352" spans="3:9" x14ac:dyDescent="0.3">
      <c r="C352" s="20"/>
      <c r="D352" s="20"/>
      <c r="H352" s="20"/>
      <c r="I352" s="20"/>
    </row>
    <row r="353" spans="2:21" x14ac:dyDescent="0.3">
      <c r="C353" s="20"/>
      <c r="D353" s="20"/>
      <c r="H353" s="20"/>
      <c r="I353" s="20"/>
    </row>
    <row r="354" spans="2:21" x14ac:dyDescent="0.3">
      <c r="C354" s="20"/>
      <c r="D354" s="20"/>
      <c r="H354" s="20"/>
      <c r="I354" s="20"/>
    </row>
    <row r="355" spans="2:21" x14ac:dyDescent="0.3">
      <c r="C355" s="20"/>
      <c r="D355" s="20"/>
      <c r="H355" s="20"/>
      <c r="I355" s="20"/>
    </row>
    <row r="356" spans="2:21" x14ac:dyDescent="0.3">
      <c r="C356" s="20"/>
      <c r="D356" s="20"/>
      <c r="H356" s="20"/>
      <c r="I356" s="20"/>
    </row>
    <row r="357" spans="2:21" x14ac:dyDescent="0.3">
      <c r="C357" s="20"/>
      <c r="D357" s="20"/>
      <c r="H357" s="20"/>
      <c r="I357" s="20"/>
    </row>
    <row r="358" spans="2:21" x14ac:dyDescent="0.3">
      <c r="C358" s="20"/>
      <c r="D358" s="20"/>
      <c r="H358" s="20"/>
      <c r="I358" s="20"/>
    </row>
    <row r="361" spans="2:21" s="8" customFormat="1" ht="16.2" thickBot="1" x14ac:dyDescent="0.35">
      <c r="B361" s="9">
        <f xml:space="preserve"> MAX(B$1:B47) + 1</f>
        <v>2</v>
      </c>
      <c r="C361" s="8" t="s">
        <v>410</v>
      </c>
    </row>
    <row r="363" spans="2:21" x14ac:dyDescent="0.3">
      <c r="B363" s="28" t="s">
        <v>411</v>
      </c>
      <c r="C363" s="27"/>
      <c r="D363" s="27"/>
      <c r="E363" s="27"/>
      <c r="F363" s="27"/>
      <c r="G363" s="27"/>
      <c r="H363" s="27"/>
      <c r="I363" s="27"/>
      <c r="J363" s="27"/>
      <c r="K363" s="27"/>
      <c r="L363" s="27"/>
      <c r="M363" s="27"/>
      <c r="N363" s="27"/>
      <c r="O363" s="27"/>
      <c r="P363" s="27"/>
      <c r="Q363" s="27"/>
      <c r="R363" s="27"/>
      <c r="S363" s="27"/>
      <c r="T363" s="27"/>
      <c r="U363" s="27"/>
    </row>
    <row r="365" spans="2:21" x14ac:dyDescent="0.3">
      <c r="C365" s="29" t="s">
        <v>107</v>
      </c>
    </row>
    <row r="366" spans="2:21" x14ac:dyDescent="0.3">
      <c r="C366" s="72" t="s">
        <v>126</v>
      </c>
    </row>
    <row r="367" spans="2:21" x14ac:dyDescent="0.3">
      <c r="C367" s="31" t="s">
        <v>412</v>
      </c>
    </row>
    <row r="368" spans="2:21" x14ac:dyDescent="0.3">
      <c r="C368" s="31" t="s">
        <v>413</v>
      </c>
    </row>
    <row r="369" spans="3:3" x14ac:dyDescent="0.3">
      <c r="C369" s="72" t="s">
        <v>127</v>
      </c>
    </row>
    <row r="370" spans="3:3" x14ac:dyDescent="0.3">
      <c r="C370" s="31" t="s">
        <v>80</v>
      </c>
    </row>
    <row r="371" spans="3:3" x14ac:dyDescent="0.3">
      <c r="C371" s="73" t="s">
        <v>414</v>
      </c>
    </row>
    <row r="372" spans="3:3" x14ac:dyDescent="0.3">
      <c r="C372" s="32" t="s">
        <v>415</v>
      </c>
    </row>
    <row r="373" spans="3:3" x14ac:dyDescent="0.3">
      <c r="C373" s="33" t="s">
        <v>416</v>
      </c>
    </row>
    <row r="374" spans="3:3" x14ac:dyDescent="0.3">
      <c r="C374" s="33" t="s">
        <v>417</v>
      </c>
    </row>
    <row r="375" spans="3:3" x14ac:dyDescent="0.3">
      <c r="C375" s="73" t="s">
        <v>418</v>
      </c>
    </row>
    <row r="376" spans="3:3" x14ac:dyDescent="0.3">
      <c r="C376" s="73" t="s">
        <v>419</v>
      </c>
    </row>
    <row r="377" spans="3:3" x14ac:dyDescent="0.3">
      <c r="C377" s="32" t="s">
        <v>420</v>
      </c>
    </row>
    <row r="378" spans="3:3" x14ac:dyDescent="0.3">
      <c r="C378" s="33" t="s">
        <v>421</v>
      </c>
    </row>
    <row r="379" spans="3:3" x14ac:dyDescent="0.3">
      <c r="C379" s="33" t="s">
        <v>422</v>
      </c>
    </row>
    <row r="380" spans="3:3" x14ac:dyDescent="0.3">
      <c r="C380" s="33" t="s">
        <v>423</v>
      </c>
    </row>
    <row r="381" spans="3:3" x14ac:dyDescent="0.3">
      <c r="C381" s="43" t="s">
        <v>424</v>
      </c>
    </row>
    <row r="382" spans="3:3" x14ac:dyDescent="0.3">
      <c r="C382" s="43" t="s">
        <v>425</v>
      </c>
    </row>
    <row r="383" spans="3:3" x14ac:dyDescent="0.3">
      <c r="C383" s="43" t="s">
        <v>426</v>
      </c>
    </row>
    <row r="384" spans="3:3" x14ac:dyDescent="0.3">
      <c r="C384" s="33" t="s">
        <v>106</v>
      </c>
    </row>
    <row r="385" spans="3:3" x14ac:dyDescent="0.3">
      <c r="C385" s="32" t="s">
        <v>88</v>
      </c>
    </row>
    <row r="386" spans="3:3" x14ac:dyDescent="0.3">
      <c r="C386" s="73" t="s">
        <v>427</v>
      </c>
    </row>
    <row r="387" spans="3:3" x14ac:dyDescent="0.3">
      <c r="C387" s="73" t="s">
        <v>428</v>
      </c>
    </row>
    <row r="388" spans="3:3" x14ac:dyDescent="0.3">
      <c r="C388" s="32" t="s">
        <v>429</v>
      </c>
    </row>
    <row r="389" spans="3:3" x14ac:dyDescent="0.3">
      <c r="C389" s="33" t="s">
        <v>430</v>
      </c>
    </row>
    <row r="390" spans="3:3" x14ac:dyDescent="0.3">
      <c r="C390" s="33" t="s">
        <v>431</v>
      </c>
    </row>
    <row r="391" spans="3:3" x14ac:dyDescent="0.3">
      <c r="C391" s="43" t="s">
        <v>432</v>
      </c>
    </row>
    <row r="392" spans="3:3" x14ac:dyDescent="0.3">
      <c r="C392" s="43" t="s">
        <v>433</v>
      </c>
    </row>
    <row r="393" spans="3:3" x14ac:dyDescent="0.3">
      <c r="C393" s="33" t="s">
        <v>88</v>
      </c>
    </row>
    <row r="394" spans="3:3" x14ac:dyDescent="0.3">
      <c r="C394" s="33" t="s">
        <v>434</v>
      </c>
    </row>
    <row r="395" spans="3:3" x14ac:dyDescent="0.3">
      <c r="C395" s="32" t="s">
        <v>88</v>
      </c>
    </row>
    <row r="396" spans="3:3" x14ac:dyDescent="0.3">
      <c r="C396" s="32" t="s">
        <v>435</v>
      </c>
    </row>
    <row r="397" spans="3:3" x14ac:dyDescent="0.3">
      <c r="C397" s="33" t="s">
        <v>436</v>
      </c>
    </row>
    <row r="398" spans="3:3" x14ac:dyDescent="0.3">
      <c r="C398" s="33" t="s">
        <v>437</v>
      </c>
    </row>
    <row r="399" spans="3:3" x14ac:dyDescent="0.3">
      <c r="C399" s="43" t="s">
        <v>438</v>
      </c>
    </row>
    <row r="400" spans="3:3" x14ac:dyDescent="0.3">
      <c r="C400" s="43" t="s">
        <v>439</v>
      </c>
    </row>
    <row r="401" spans="3:3" x14ac:dyDescent="0.3">
      <c r="C401" s="33" t="s">
        <v>88</v>
      </c>
    </row>
    <row r="402" spans="3:3" x14ac:dyDescent="0.3">
      <c r="C402" s="33" t="s">
        <v>440</v>
      </c>
    </row>
    <row r="403" spans="3:3" x14ac:dyDescent="0.3">
      <c r="C403" s="32" t="s">
        <v>88</v>
      </c>
    </row>
    <row r="404" spans="3:3" x14ac:dyDescent="0.3">
      <c r="C404" s="73" t="s">
        <v>441</v>
      </c>
    </row>
    <row r="405" spans="3:3" x14ac:dyDescent="0.3">
      <c r="C405" s="32" t="s">
        <v>442</v>
      </c>
    </row>
    <row r="406" spans="3:3" x14ac:dyDescent="0.3">
      <c r="C406" s="33" t="s">
        <v>443</v>
      </c>
    </row>
    <row r="407" spans="3:3" x14ac:dyDescent="0.3">
      <c r="C407" s="33" t="s">
        <v>444</v>
      </c>
    </row>
    <row r="408" spans="3:3" x14ac:dyDescent="0.3">
      <c r="C408" s="33" t="s">
        <v>445</v>
      </c>
    </row>
    <row r="409" spans="3:3" x14ac:dyDescent="0.3">
      <c r="C409" s="32" t="s">
        <v>88</v>
      </c>
    </row>
    <row r="410" spans="3:3" x14ac:dyDescent="0.3">
      <c r="C410" s="32" t="s">
        <v>446</v>
      </c>
    </row>
    <row r="411" spans="3:3" x14ac:dyDescent="0.3">
      <c r="C411" s="33" t="s">
        <v>443</v>
      </c>
    </row>
    <row r="412" spans="3:3" x14ac:dyDescent="0.3">
      <c r="C412" s="33" t="s">
        <v>447</v>
      </c>
    </row>
    <row r="413" spans="3:3" x14ac:dyDescent="0.3">
      <c r="C413" s="33" t="s">
        <v>448</v>
      </c>
    </row>
    <row r="414" spans="3:3" x14ac:dyDescent="0.3">
      <c r="C414" s="32" t="s">
        <v>88</v>
      </c>
    </row>
    <row r="415" spans="3:3" x14ac:dyDescent="0.3">
      <c r="C415" s="73" t="s">
        <v>449</v>
      </c>
    </row>
    <row r="416" spans="3:3" x14ac:dyDescent="0.3">
      <c r="C416" s="73" t="s">
        <v>450</v>
      </c>
    </row>
    <row r="417" spans="3:3" x14ac:dyDescent="0.3">
      <c r="C417" s="32" t="s">
        <v>451</v>
      </c>
    </row>
    <row r="418" spans="3:3" x14ac:dyDescent="0.3">
      <c r="C418" s="32" t="s">
        <v>452</v>
      </c>
    </row>
    <row r="419" spans="3:3" x14ac:dyDescent="0.3">
      <c r="C419" s="73" t="s">
        <v>453</v>
      </c>
    </row>
    <row r="420" spans="3:3" x14ac:dyDescent="0.3">
      <c r="C420" s="32" t="s">
        <v>454</v>
      </c>
    </row>
    <row r="421" spans="3:3" x14ac:dyDescent="0.3">
      <c r="C421" s="32" t="s">
        <v>455</v>
      </c>
    </row>
    <row r="422" spans="3:3" x14ac:dyDescent="0.3">
      <c r="C422" s="73" t="s">
        <v>456</v>
      </c>
    </row>
    <row r="423" spans="3:3" x14ac:dyDescent="0.3">
      <c r="C423" s="32" t="s">
        <v>457</v>
      </c>
    </row>
    <row r="424" spans="3:3" x14ac:dyDescent="0.3">
      <c r="C424" s="32" t="s">
        <v>458</v>
      </c>
    </row>
    <row r="425" spans="3:3" x14ac:dyDescent="0.3">
      <c r="C425" s="73" t="s">
        <v>459</v>
      </c>
    </row>
    <row r="426" spans="3:3" x14ac:dyDescent="0.3">
      <c r="C426" s="32" t="s">
        <v>460</v>
      </c>
    </row>
    <row r="427" spans="3:3" x14ac:dyDescent="0.3">
      <c r="C427" s="33" t="s">
        <v>461</v>
      </c>
    </row>
    <row r="428" spans="3:3" x14ac:dyDescent="0.3">
      <c r="C428" s="33" t="s">
        <v>462</v>
      </c>
    </row>
    <row r="429" spans="3:3" x14ac:dyDescent="0.3">
      <c r="C429" s="32" t="s">
        <v>88</v>
      </c>
    </row>
    <row r="430" spans="3:3" x14ac:dyDescent="0.3">
      <c r="C430" s="73" t="s">
        <v>463</v>
      </c>
    </row>
    <row r="431" spans="3:3" x14ac:dyDescent="0.3">
      <c r="C431" s="32" t="s">
        <v>464</v>
      </c>
    </row>
    <row r="432" spans="3:3" x14ac:dyDescent="0.3">
      <c r="C432" s="31" t="s">
        <v>106</v>
      </c>
    </row>
    <row r="433" spans="2:21" x14ac:dyDescent="0.3">
      <c r="C433" s="29" t="s">
        <v>106</v>
      </c>
    </row>
    <row r="435" spans="2:21" x14ac:dyDescent="0.3">
      <c r="C435" s="13" t="s">
        <v>115</v>
      </c>
    </row>
    <row r="436" spans="2:21" x14ac:dyDescent="0.3">
      <c r="C436" s="34" t="s">
        <v>465</v>
      </c>
    </row>
    <row r="439" spans="2:21" x14ac:dyDescent="0.3">
      <c r="B439" s="28" t="s">
        <v>466</v>
      </c>
      <c r="C439" s="27"/>
      <c r="D439" s="27"/>
      <c r="E439" s="27"/>
      <c r="F439" s="27"/>
      <c r="G439" s="27"/>
      <c r="H439" s="27"/>
      <c r="I439" s="27"/>
      <c r="J439" s="27"/>
      <c r="K439" s="27"/>
      <c r="L439" s="27"/>
      <c r="M439" s="27"/>
      <c r="N439" s="27"/>
      <c r="O439" s="27"/>
      <c r="P439" s="27"/>
      <c r="Q439" s="27"/>
      <c r="R439" s="27"/>
      <c r="S439" s="27"/>
      <c r="T439" s="27"/>
      <c r="U439" s="27"/>
    </row>
    <row r="441" spans="2:21" x14ac:dyDescent="0.3">
      <c r="C441" s="29" t="s">
        <v>107</v>
      </c>
    </row>
    <row r="442" spans="2:21" x14ac:dyDescent="0.3">
      <c r="C442" s="72" t="s">
        <v>126</v>
      </c>
    </row>
    <row r="443" spans="2:21" x14ac:dyDescent="0.3">
      <c r="C443" s="31" t="s">
        <v>412</v>
      </c>
    </row>
    <row r="444" spans="2:21" x14ac:dyDescent="0.3">
      <c r="C444" s="31" t="s">
        <v>467</v>
      </c>
    </row>
    <row r="445" spans="2:21" x14ac:dyDescent="0.3">
      <c r="C445" s="72" t="s">
        <v>127</v>
      </c>
    </row>
    <row r="446" spans="2:21" x14ac:dyDescent="0.3">
      <c r="C446" s="31" t="s">
        <v>80</v>
      </c>
    </row>
    <row r="447" spans="2:21" x14ac:dyDescent="0.3">
      <c r="C447" s="73" t="s">
        <v>414</v>
      </c>
    </row>
    <row r="448" spans="2:21" x14ac:dyDescent="0.3">
      <c r="C448" s="32" t="s">
        <v>468</v>
      </c>
    </row>
    <row r="449" spans="3:3" x14ac:dyDescent="0.3">
      <c r="C449" s="32" t="s">
        <v>469</v>
      </c>
    </row>
    <row r="450" spans="3:3" x14ac:dyDescent="0.3">
      <c r="C450" s="32" t="s">
        <v>470</v>
      </c>
    </row>
    <row r="451" spans="3:3" x14ac:dyDescent="0.3">
      <c r="C451" s="32" t="s">
        <v>471</v>
      </c>
    </row>
    <row r="452" spans="3:3" x14ac:dyDescent="0.3">
      <c r="C452" s="32" t="s">
        <v>415</v>
      </c>
    </row>
    <row r="453" spans="3:3" x14ac:dyDescent="0.3">
      <c r="C453" s="33" t="s">
        <v>416</v>
      </c>
    </row>
    <row r="454" spans="3:3" x14ac:dyDescent="0.3">
      <c r="C454" s="33" t="s">
        <v>417</v>
      </c>
    </row>
    <row r="455" spans="3:3" x14ac:dyDescent="0.3">
      <c r="C455" s="32" t="s">
        <v>472</v>
      </c>
    </row>
    <row r="456" spans="3:3" x14ac:dyDescent="0.3">
      <c r="C456" s="32" t="s">
        <v>473</v>
      </c>
    </row>
    <row r="457" spans="3:3" x14ac:dyDescent="0.3">
      <c r="C457" s="73" t="s">
        <v>474</v>
      </c>
    </row>
    <row r="458" spans="3:3" x14ac:dyDescent="0.3">
      <c r="C458" s="73" t="s">
        <v>475</v>
      </c>
    </row>
    <row r="459" spans="3:3" x14ac:dyDescent="0.3">
      <c r="C459" s="32" t="s">
        <v>476</v>
      </c>
    </row>
    <row r="460" spans="3:3" x14ac:dyDescent="0.3">
      <c r="C460" s="32" t="s">
        <v>477</v>
      </c>
    </row>
    <row r="461" spans="3:3" x14ac:dyDescent="0.3">
      <c r="C461" s="73" t="s">
        <v>478</v>
      </c>
    </row>
    <row r="462" spans="3:3" x14ac:dyDescent="0.3">
      <c r="C462" s="73" t="s">
        <v>479</v>
      </c>
    </row>
    <row r="463" spans="3:3" x14ac:dyDescent="0.3">
      <c r="C463" s="32" t="s">
        <v>420</v>
      </c>
    </row>
    <row r="464" spans="3:3" x14ac:dyDescent="0.3">
      <c r="C464" s="33" t="s">
        <v>421</v>
      </c>
    </row>
    <row r="465" spans="3:3" x14ac:dyDescent="0.3">
      <c r="C465" s="33" t="s">
        <v>422</v>
      </c>
    </row>
    <row r="466" spans="3:3" x14ac:dyDescent="0.3">
      <c r="C466" s="33" t="s">
        <v>423</v>
      </c>
    </row>
    <row r="467" spans="3:3" x14ac:dyDescent="0.3">
      <c r="C467" s="43" t="s">
        <v>480</v>
      </c>
    </row>
    <row r="468" spans="3:3" x14ac:dyDescent="0.3">
      <c r="C468" s="43" t="s">
        <v>425</v>
      </c>
    </row>
    <row r="469" spans="3:3" x14ac:dyDescent="0.3">
      <c r="C469" s="43" t="s">
        <v>426</v>
      </c>
    </row>
    <row r="470" spans="3:3" x14ac:dyDescent="0.3">
      <c r="C470" s="33" t="s">
        <v>106</v>
      </c>
    </row>
    <row r="471" spans="3:3" x14ac:dyDescent="0.3">
      <c r="C471" s="32" t="s">
        <v>88</v>
      </c>
    </row>
    <row r="472" spans="3:3" x14ac:dyDescent="0.3">
      <c r="C472" s="73" t="s">
        <v>481</v>
      </c>
    </row>
    <row r="473" spans="3:3" x14ac:dyDescent="0.3">
      <c r="C473" s="73" t="s">
        <v>482</v>
      </c>
    </row>
    <row r="474" spans="3:3" x14ac:dyDescent="0.3">
      <c r="C474" s="32" t="s">
        <v>483</v>
      </c>
    </row>
    <row r="475" spans="3:3" x14ac:dyDescent="0.3">
      <c r="C475" s="32" t="s">
        <v>484</v>
      </c>
    </row>
    <row r="476" spans="3:3" x14ac:dyDescent="0.3">
      <c r="C476" s="73" t="s">
        <v>485</v>
      </c>
    </row>
    <row r="477" spans="3:3" x14ac:dyDescent="0.3">
      <c r="C477" s="32" t="s">
        <v>429</v>
      </c>
    </row>
    <row r="478" spans="3:3" x14ac:dyDescent="0.3">
      <c r="C478" s="33" t="s">
        <v>443</v>
      </c>
    </row>
    <row r="479" spans="3:3" x14ac:dyDescent="0.3">
      <c r="C479" s="33" t="s">
        <v>486</v>
      </c>
    </row>
    <row r="480" spans="3:3" x14ac:dyDescent="0.3">
      <c r="C480" s="33" t="s">
        <v>434</v>
      </c>
    </row>
    <row r="481" spans="3:3" x14ac:dyDescent="0.3">
      <c r="C481" s="32" t="s">
        <v>88</v>
      </c>
    </row>
    <row r="482" spans="3:3" x14ac:dyDescent="0.3">
      <c r="C482" s="32" t="s">
        <v>435</v>
      </c>
    </row>
    <row r="483" spans="3:3" x14ac:dyDescent="0.3">
      <c r="C483" s="33" t="s">
        <v>443</v>
      </c>
    </row>
    <row r="484" spans="3:3" x14ac:dyDescent="0.3">
      <c r="C484" s="33" t="s">
        <v>487</v>
      </c>
    </row>
    <row r="485" spans="3:3" x14ac:dyDescent="0.3">
      <c r="C485" s="33" t="s">
        <v>440</v>
      </c>
    </row>
    <row r="486" spans="3:3" x14ac:dyDescent="0.3">
      <c r="C486" s="32" t="s">
        <v>88</v>
      </c>
    </row>
    <row r="487" spans="3:3" x14ac:dyDescent="0.3">
      <c r="C487" s="73" t="s">
        <v>488</v>
      </c>
    </row>
    <row r="488" spans="3:3" x14ac:dyDescent="0.3">
      <c r="C488" s="73" t="s">
        <v>489</v>
      </c>
    </row>
    <row r="489" spans="3:3" x14ac:dyDescent="0.3">
      <c r="C489" s="73" t="s">
        <v>490</v>
      </c>
    </row>
    <row r="490" spans="3:3" x14ac:dyDescent="0.3">
      <c r="C490" s="32" t="s">
        <v>491</v>
      </c>
    </row>
    <row r="491" spans="3:3" x14ac:dyDescent="0.3">
      <c r="C491" s="33" t="s">
        <v>492</v>
      </c>
    </row>
    <row r="492" spans="3:3" x14ac:dyDescent="0.3">
      <c r="C492" s="33" t="s">
        <v>493</v>
      </c>
    </row>
    <row r="493" spans="3:3" x14ac:dyDescent="0.3">
      <c r="C493" s="32" t="s">
        <v>88</v>
      </c>
    </row>
    <row r="494" spans="3:3" x14ac:dyDescent="0.3">
      <c r="C494" s="32" t="s">
        <v>494</v>
      </c>
    </row>
    <row r="495" spans="3:3" x14ac:dyDescent="0.3">
      <c r="C495" s="33" t="s">
        <v>495</v>
      </c>
    </row>
    <row r="496" spans="3:3" x14ac:dyDescent="0.3">
      <c r="C496" s="33" t="s">
        <v>496</v>
      </c>
    </row>
    <row r="497" spans="3:3" x14ac:dyDescent="0.3">
      <c r="C497" s="32" t="s">
        <v>88</v>
      </c>
    </row>
    <row r="498" spans="3:3" x14ac:dyDescent="0.3">
      <c r="C498" s="73" t="s">
        <v>497</v>
      </c>
    </row>
    <row r="499" spans="3:3" x14ac:dyDescent="0.3">
      <c r="C499" s="73" t="s">
        <v>498</v>
      </c>
    </row>
    <row r="500" spans="3:3" x14ac:dyDescent="0.3">
      <c r="C500" s="73" t="s">
        <v>499</v>
      </c>
    </row>
    <row r="501" spans="3:3" x14ac:dyDescent="0.3">
      <c r="C501" s="32" t="s">
        <v>500</v>
      </c>
    </row>
    <row r="502" spans="3:3" x14ac:dyDescent="0.3">
      <c r="C502" s="33" t="s">
        <v>501</v>
      </c>
    </row>
    <row r="503" spans="3:3" x14ac:dyDescent="0.3">
      <c r="C503" s="33" t="s">
        <v>502</v>
      </c>
    </row>
    <row r="504" spans="3:3" x14ac:dyDescent="0.3">
      <c r="C504" s="32" t="s">
        <v>88</v>
      </c>
    </row>
    <row r="505" spans="3:3" x14ac:dyDescent="0.3">
      <c r="C505" s="32" t="s">
        <v>503</v>
      </c>
    </row>
    <row r="506" spans="3:3" x14ac:dyDescent="0.3">
      <c r="C506" s="33" t="s">
        <v>504</v>
      </c>
    </row>
    <row r="507" spans="3:3" x14ac:dyDescent="0.3">
      <c r="C507" s="33" t="s">
        <v>505</v>
      </c>
    </row>
    <row r="508" spans="3:3" x14ac:dyDescent="0.3">
      <c r="C508" s="32" t="s">
        <v>88</v>
      </c>
    </row>
    <row r="509" spans="3:3" x14ac:dyDescent="0.3">
      <c r="C509" s="73" t="s">
        <v>506</v>
      </c>
    </row>
    <row r="510" spans="3:3" x14ac:dyDescent="0.3">
      <c r="C510" s="32" t="s">
        <v>507</v>
      </c>
    </row>
    <row r="511" spans="3:3" x14ac:dyDescent="0.3">
      <c r="C511" s="32" t="s">
        <v>508</v>
      </c>
    </row>
    <row r="512" spans="3:3" x14ac:dyDescent="0.3">
      <c r="C512" s="73" t="s">
        <v>509</v>
      </c>
    </row>
    <row r="513" spans="3:3" x14ac:dyDescent="0.3">
      <c r="C513" s="32" t="s">
        <v>510</v>
      </c>
    </row>
    <row r="514" spans="3:3" x14ac:dyDescent="0.3">
      <c r="C514" s="32" t="s">
        <v>511</v>
      </c>
    </row>
    <row r="515" spans="3:3" x14ac:dyDescent="0.3">
      <c r="C515" s="32" t="s">
        <v>512</v>
      </c>
    </row>
    <row r="516" spans="3:3" x14ac:dyDescent="0.3">
      <c r="C516" s="32" t="s">
        <v>513</v>
      </c>
    </row>
    <row r="517" spans="3:3" x14ac:dyDescent="0.3">
      <c r="C517" s="73" t="s">
        <v>514</v>
      </c>
    </row>
    <row r="518" spans="3:3" x14ac:dyDescent="0.3">
      <c r="C518" s="73" t="s">
        <v>515</v>
      </c>
    </row>
    <row r="519" spans="3:3" x14ac:dyDescent="0.3">
      <c r="C519" s="32" t="s">
        <v>516</v>
      </c>
    </row>
    <row r="520" spans="3:3" x14ac:dyDescent="0.3">
      <c r="C520" s="33" t="s">
        <v>517</v>
      </c>
    </row>
    <row r="521" spans="3:3" x14ac:dyDescent="0.3">
      <c r="C521" s="33" t="s">
        <v>518</v>
      </c>
    </row>
    <row r="522" spans="3:3" x14ac:dyDescent="0.3">
      <c r="C522" s="32" t="s">
        <v>88</v>
      </c>
    </row>
    <row r="523" spans="3:3" x14ac:dyDescent="0.3">
      <c r="C523" s="73" t="s">
        <v>519</v>
      </c>
    </row>
    <row r="524" spans="3:3" x14ac:dyDescent="0.3">
      <c r="C524" s="32" t="s">
        <v>520</v>
      </c>
    </row>
    <row r="525" spans="3:3" x14ac:dyDescent="0.3">
      <c r="C525" s="33" t="s">
        <v>521</v>
      </c>
    </row>
    <row r="526" spans="3:3" x14ac:dyDescent="0.3">
      <c r="C526" s="33" t="s">
        <v>522</v>
      </c>
    </row>
    <row r="527" spans="3:3" x14ac:dyDescent="0.3">
      <c r="C527" s="32" t="s">
        <v>88</v>
      </c>
    </row>
    <row r="528" spans="3:3" x14ac:dyDescent="0.3">
      <c r="C528" s="73" t="s">
        <v>523</v>
      </c>
    </row>
    <row r="529" spans="2:21" x14ac:dyDescent="0.3">
      <c r="C529" s="32" t="s">
        <v>524</v>
      </c>
    </row>
    <row r="530" spans="2:21" x14ac:dyDescent="0.3">
      <c r="C530" s="33" t="s">
        <v>525</v>
      </c>
    </row>
    <row r="531" spans="2:21" x14ac:dyDescent="0.3">
      <c r="C531" s="33" t="s">
        <v>526</v>
      </c>
    </row>
    <row r="532" spans="2:21" x14ac:dyDescent="0.3">
      <c r="C532" s="32" t="s">
        <v>88</v>
      </c>
    </row>
    <row r="533" spans="2:21" x14ac:dyDescent="0.3">
      <c r="C533" s="73" t="s">
        <v>463</v>
      </c>
    </row>
    <row r="534" spans="2:21" x14ac:dyDescent="0.3">
      <c r="C534" s="32" t="s">
        <v>464</v>
      </c>
    </row>
    <row r="535" spans="2:21" x14ac:dyDescent="0.3">
      <c r="C535" s="31" t="s">
        <v>106</v>
      </c>
    </row>
    <row r="536" spans="2:21" x14ac:dyDescent="0.3">
      <c r="C536" s="29" t="s">
        <v>106</v>
      </c>
    </row>
    <row r="538" spans="2:21" x14ac:dyDescent="0.3">
      <c r="C538" s="13" t="s">
        <v>115</v>
      </c>
    </row>
    <row r="539" spans="2:21" x14ac:dyDescent="0.3">
      <c r="C539" s="34" t="s">
        <v>527</v>
      </c>
    </row>
    <row r="540" spans="2:21" x14ac:dyDescent="0.3">
      <c r="E540" s="30"/>
    </row>
    <row r="542" spans="2:21" x14ac:dyDescent="0.3">
      <c r="B542" s="28" t="s">
        <v>528</v>
      </c>
      <c r="C542" s="27"/>
      <c r="D542" s="27"/>
      <c r="E542" s="27"/>
      <c r="F542" s="27"/>
      <c r="G542" s="27"/>
      <c r="H542" s="27"/>
      <c r="I542" s="27"/>
      <c r="J542" s="27"/>
      <c r="K542" s="27"/>
      <c r="L542" s="27"/>
      <c r="M542" s="27"/>
      <c r="N542" s="27"/>
      <c r="O542" s="27"/>
      <c r="P542" s="27"/>
      <c r="Q542" s="27"/>
      <c r="R542" s="27"/>
      <c r="S542" s="27"/>
      <c r="T542" s="27"/>
      <c r="U542" s="27"/>
    </row>
    <row r="544" spans="2:21" x14ac:dyDescent="0.3">
      <c r="D544" s="74" t="s">
        <v>529</v>
      </c>
      <c r="E544" s="74" t="s">
        <v>530</v>
      </c>
      <c r="G544" s="74" t="s">
        <v>531</v>
      </c>
    </row>
    <row r="545" spans="3:27" x14ac:dyDescent="0.3">
      <c r="C545" s="24" t="s">
        <v>532</v>
      </c>
      <c r="D545" s="75" t="s">
        <v>533</v>
      </c>
      <c r="E545" s="75" t="s">
        <v>534</v>
      </c>
      <c r="F545" s="71" t="s">
        <v>535</v>
      </c>
      <c r="G545" s="76" t="s">
        <v>536</v>
      </c>
      <c r="I545" s="77"/>
    </row>
    <row r="546" spans="3:27" x14ac:dyDescent="0.3">
      <c r="C546" s="24" t="s">
        <v>382</v>
      </c>
      <c r="D546" s="26">
        <v>0</v>
      </c>
      <c r="E546" s="26">
        <v>0</v>
      </c>
      <c r="F546" s="71" t="s">
        <v>408</v>
      </c>
      <c r="G546" s="76" t="s">
        <v>533</v>
      </c>
    </row>
    <row r="547" spans="3:27" x14ac:dyDescent="0.3">
      <c r="C547" s="24" t="s">
        <v>69</v>
      </c>
      <c r="D547" s="26">
        <v>1</v>
      </c>
      <c r="E547" s="26">
        <v>0</v>
      </c>
      <c r="F547" s="71" t="s">
        <v>408</v>
      </c>
      <c r="G547" s="76" t="s">
        <v>537</v>
      </c>
    </row>
    <row r="548" spans="3:27" x14ac:dyDescent="0.3">
      <c r="C548" s="24" t="s">
        <v>370</v>
      </c>
      <c r="D548" s="25" t="str">
        <f xml:space="preserve"> ""</f>
        <v/>
      </c>
      <c r="E548" s="71" t="s">
        <v>409</v>
      </c>
      <c r="G548" s="76" t="s">
        <v>538</v>
      </c>
    </row>
    <row r="549" spans="3:27" x14ac:dyDescent="0.3">
      <c r="C549" s="24" t="s">
        <v>63</v>
      </c>
      <c r="D549" s="26">
        <v>0</v>
      </c>
      <c r="E549" s="71" t="s">
        <v>408</v>
      </c>
      <c r="G549" s="76" t="s">
        <v>539</v>
      </c>
    </row>
    <row r="550" spans="3:27" x14ac:dyDescent="0.3">
      <c r="C550" s="24" t="s">
        <v>70</v>
      </c>
      <c r="D550" s="26">
        <v>0</v>
      </c>
      <c r="E550" s="71" t="s">
        <v>408</v>
      </c>
      <c r="G550" s="76" t="s">
        <v>540</v>
      </c>
    </row>
    <row r="551" spans="3:27" x14ac:dyDescent="0.3">
      <c r="C551" s="24" t="s">
        <v>401</v>
      </c>
      <c r="D551" s="26">
        <v>0</v>
      </c>
      <c r="E551" s="71" t="s">
        <v>408</v>
      </c>
      <c r="G551" s="76" t="s">
        <v>534</v>
      </c>
    </row>
    <row r="552" spans="3:27" x14ac:dyDescent="0.3">
      <c r="C552" s="24" t="s">
        <v>402</v>
      </c>
      <c r="D552" s="26">
        <v>1</v>
      </c>
      <c r="E552" s="71" t="s">
        <v>408</v>
      </c>
      <c r="G552" s="76" t="s">
        <v>541</v>
      </c>
    </row>
    <row r="554" spans="3:27" x14ac:dyDescent="0.3">
      <c r="C554" s="68" t="str" cm="1">
        <f t="array" aca="1" ref="C554:F578" ca="1" xml:space="preserve"> _xlfn.LAMBDA(_xlpm.list_one,_xlpm.list_two,_xlop.convert_list_one,_xlop.list_one_by_column,_xlop.convert_list_two,_xlop.list_two_by_column,_xlop.replace_blanks,_xlop.filter_blanks,_xlop.filter_errors,_xlop.distinct_rows,_xlop.vertical_output,
  _xlfn.LET(
    _xlpm._cvt1, IF( _xlfn.ISOMITTED(_xlpm.convert_list_one), FALSE, _xlpm.convert_list_one),
    _xlpm._byCol1, IF( _xlfn.ISOMITTED(_xlpm.list_one_by_column), TRUE, _xlpm.list_one_by_column),
    _xlpm._cvt2, IF( _xlfn.ISOMITTED(_xlpm.convert_list_two), FALSE, _xlpm.convert_list_two),
    _xlpm._byCol2, IF( _xlfn.ISOMITTED(_xlpm.list_two_by_column), TRUE, _xlpm.list_two_by_column),
    _xlpm._rep, IF( _xlfn.ISOMITTED(_xlpm.replace_blanks), "", _xlpm.replace_blanks),
    _xlpm._blnk, IF( _xlfn.ISOMITTED(_xlpm.filter_blanks), FALSE, _xlpm.filter_blanks),
    _xlpm._errs, IF( _xlfn.ISOMITTED(_xlpm.filter_errors), FALSE, _xlpm.filter_errors),
    _xlpm._dst, IF( _xlfn.ISOMITTED(_xlpm.distinct_rows), FALSE, _xlpm.distinct_rows),
    _xlpm._vrt, IF( _xlfn.ISOMITTED(_xlpm.vertical_output), TRUE, _xlpm.vertical_output),
    _xlpm._chk, _xlfn.REDUCE(0,
      _xlfn.VSTACK(_xlpm._cvt1, _xlpm._byCol1, _xlpm._cvt2, _xlpm._byCol2, _xlpm._blnk, _xlpm._errs, _xlpm._dst, _xlpm._vrt),
      _xlfn.LAMBDA(_xlpm._acc,_xlpm._val, _xlpm._acc + AND( NOT(ISLOGICAL(_xlpm._val)), NOT(ISNUMBER(_xlpm._val))))
    ),
    _xlpm._inpChk, IF(
      OR( NOT(ISREF(_xlpm.list_one)), NOT(ISREF(_xlpm.list_two))), 2,
      IF(_xlpm._chk &gt; 0, 3,
        1)
    ),
    _xlpm._hz1, (COLUMNS(_xlpm.list_one) &gt; ROWS(_xlpm.list_one)),
    _xlpm._hz2, (COLUMNS(_xlpm.list_two) &gt; ROWS(_xlpm.list_two)),
    _xlpm._list1, IF( ISBLANK(_xlpm.list_one), _xlpm._rep, _xlpm.list_one),
    _xlpm._list2, IF( ISBLANK(_xlpm.list_two), _xlpm._rep, _xlpm.list_two),
    _xlpm._tbl1, _xlfn.LET(
      _xlpm._tT, IF(_xlpm._hz1, TRANSPOSE(_xlpm._list1), _xlpm._list1),
      IF(_xlpm._cvt1,
        _xlfn.TOCOL(_xlpm._tT, 0, IF(_xlpm._hz1, NOT(_xlpm._byCol1), _xlpm._byCol1)),
        _xlpm._tT
      )
    ),
    _xlpm._tbl2, _xlfn.LET(
      _xlpm._tT, IF(_xlpm._hz2, TRANSPOSE(_xlpm._list2), _xlpm._list2),
      IF(_xlpm._cvt2,
        _xlfn.TOCOL(_xlpm._tT, 0, IF(_xlpm._hz2, NOT(_xlpm._byCol2), _xlpm._byCol2)),
        _xlpm._tT
      )
    ),
    _xlpm._inc1, _xlfn.BYROW(_xlpm._tbl1, _xlfn.LAMBDA(_xlpm._row, IF(_xlpm._blnk, SUM(--(_xlfn.IFNA(_xlpm._row, "#") &lt;&gt; "")), 1) * IF(_xlpm._errs, NOT(ISERROR(SUM(_xlpm._row))), 1))),
    _xlpm._inc2, _xlfn.BYROW(_xlpm._tbl2, _xlfn.LAMBDA(_xlpm._row, IF(_xlpm._blnk, SUM(--(_xlfn.IFNA(_xlpm._row, "#") &lt;&gt; "")), 1) * IF(_xlpm._errs, NOT(ISERROR(SUM(_xlpm._row))), 1))),
    _xlpm._fltr1, _xlfn._xlws.FILTER(_xlpm._tbl1, _xlpm._inc1),
    _xlpm._fltr2, _xlfn._xlws.FILTER(_xlpm._tbl2, _xlpm._inc2),
    _xlpm._rr1, ROWS(_xlpm._fltr1),
    _xlpm._rr2, ROWS(_xlpm._fltr2),
    _xlpm._cc1, COLUMNS(_xlpm._fltr1),
    _xlpm._cc2, COLUMNS(_xlpm._fltr2),
    _xlpm._rtn, _xlfn.LET(
      _xlpm._cT, _xlfn.HSTACK(
        _xlfn.MAKEARRAY(_xlpm._rr1 * _xlpm._rr2, _xlpm._cc1, _xlfn.LAMBDA(_xlpm._row,_xlpm._col, INDEX(_xlpm._fltr1, ROUNDUP(_xlpm._row / _xlpm._rr2, 0), _xlpm._col))),
        _xlfn.MAKEARRAY(_xlpm._rr1 * _xlpm._rr2, _xlpm._cc2, _xlfn.LAMBDA(_xlpm._row,_xlpm._col, INDEX(_xlpm._fltr2, MOD(_xlpm._row - 1, _xlpm._rr2) + 1, _xlpm._col)))
      ),
      _xlpm._dT, IF(_xlpm._dst,
        _xlfn.UNIQUE(_xlpm._cT),
         _xlpm._cT
      ),
      _xlpm._rT, IF(NOT(_xlpm._vrt),
        TRANSPOSE(_xlpm._dT),
        _xlpm._dT
      ), _xlpm._rT
    ),
    CHOOSE(_xlpm._inpChk, _xlpm._rtn,#REF!, #VALUE!)
  )
)(INDIRECT(D545), INDIRECT(E545), D546, D547, E546, E547, D548, D549, D550, D551, D552)</f>
        <v>One</v>
      </c>
      <c r="D554" s="20" t="str">
        <f ca="1"/>
        <v>Cat.1</v>
      </c>
      <c r="E554" s="20" t="str">
        <f ca="1"/>
        <v>One</v>
      </c>
      <c r="F554" s="20" t="str">
        <f ca="1"/>
        <v>Cat.1</v>
      </c>
      <c r="G554" s="20"/>
      <c r="H554" s="20"/>
      <c r="I554" s="20"/>
      <c r="J554" s="20"/>
      <c r="K554" s="20"/>
      <c r="L554" s="20"/>
      <c r="M554" s="20"/>
      <c r="N554" s="20"/>
      <c r="O554" s="20"/>
      <c r="P554" s="20"/>
      <c r="Q554" s="20"/>
      <c r="R554" s="20"/>
      <c r="S554" s="20"/>
      <c r="T554" s="20"/>
      <c r="U554" s="20"/>
      <c r="V554" s="20"/>
      <c r="W554" s="20"/>
      <c r="X554" s="20"/>
      <c r="Y554" s="20"/>
      <c r="Z554" s="20"/>
      <c r="AA554" s="20"/>
    </row>
    <row r="555" spans="3:27" x14ac:dyDescent="0.3">
      <c r="C555" s="20" t="str">
        <f ca="1"/>
        <v>One</v>
      </c>
      <c r="D555" s="20" t="str">
        <f ca="1"/>
        <v>Cat.1</v>
      </c>
      <c r="E555" s="20" t="str">
        <f ca="1"/>
        <v>Two</v>
      </c>
      <c r="F555" s="20" t="str">
        <f ca="1"/>
        <v>Cat.2</v>
      </c>
      <c r="G555" s="20"/>
      <c r="H555" s="20"/>
      <c r="I555" s="20"/>
      <c r="J555" s="20"/>
      <c r="K555" s="20"/>
      <c r="L555" s="20"/>
      <c r="M555" s="20"/>
      <c r="N555" s="20"/>
      <c r="O555" s="20"/>
      <c r="P555" s="20"/>
      <c r="Q555" s="20"/>
      <c r="R555" s="20"/>
      <c r="S555" s="20"/>
      <c r="T555" s="20"/>
      <c r="U555" s="20"/>
      <c r="V555" s="20"/>
      <c r="W555" s="20"/>
      <c r="X555" s="20"/>
      <c r="Y555" s="20"/>
      <c r="Z555" s="20"/>
      <c r="AA555" s="20"/>
    </row>
    <row r="556" spans="3:27" x14ac:dyDescent="0.3">
      <c r="C556" s="20" t="str">
        <f ca="1"/>
        <v>One</v>
      </c>
      <c r="D556" s="20" t="str">
        <f ca="1"/>
        <v>Cat.1</v>
      </c>
      <c r="E556" s="20" t="str">
        <f ca="1"/>
        <v>Three</v>
      </c>
      <c r="F556" s="20" t="str">
        <f ca="1"/>
        <v>Cat.3</v>
      </c>
      <c r="G556" s="20"/>
      <c r="H556" s="20"/>
      <c r="I556" s="20"/>
      <c r="J556" s="20"/>
      <c r="K556" s="20"/>
      <c r="L556" s="20"/>
      <c r="M556" s="20"/>
      <c r="N556" s="20"/>
      <c r="O556" s="20"/>
      <c r="P556" s="20"/>
      <c r="Q556" s="20"/>
      <c r="R556" s="20"/>
      <c r="S556" s="20"/>
      <c r="T556" s="20"/>
      <c r="U556" s="20"/>
      <c r="V556" s="20"/>
      <c r="W556" s="20"/>
      <c r="X556" s="20"/>
      <c r="Y556" s="20"/>
      <c r="Z556" s="20"/>
      <c r="AA556" s="20"/>
    </row>
    <row r="557" spans="3:27" x14ac:dyDescent="0.3">
      <c r="C557" s="20" t="str">
        <f ca="1"/>
        <v>One</v>
      </c>
      <c r="D557" s="20" t="str">
        <f ca="1"/>
        <v>Cat.1</v>
      </c>
      <c r="E557" s="20" t="str">
        <f ca="1"/>
        <v>Four</v>
      </c>
      <c r="F557" s="20" t="str">
        <f ca="1"/>
        <v>Cat.4</v>
      </c>
      <c r="G557" s="20"/>
      <c r="H557" s="20"/>
      <c r="I557" s="20"/>
      <c r="J557" s="20"/>
      <c r="K557" s="20"/>
      <c r="L557" s="20"/>
      <c r="M557" s="20"/>
      <c r="N557" s="20"/>
      <c r="O557" s="20"/>
      <c r="P557" s="20"/>
      <c r="Q557" s="20"/>
      <c r="R557" s="20"/>
      <c r="S557" s="20"/>
      <c r="T557" s="20"/>
      <c r="U557" s="20"/>
      <c r="V557" s="20"/>
      <c r="W557" s="20"/>
      <c r="X557" s="20"/>
      <c r="Y557" s="20"/>
      <c r="Z557" s="20"/>
      <c r="AA557" s="20"/>
    </row>
    <row r="558" spans="3:27" x14ac:dyDescent="0.3">
      <c r="C558" s="20" t="str">
        <f ca="1"/>
        <v>One</v>
      </c>
      <c r="D558" s="20" t="str">
        <f ca="1"/>
        <v>Cat.1</v>
      </c>
      <c r="E558" s="20" t="str">
        <f ca="1"/>
        <v/>
      </c>
      <c r="F558" s="20" t="str">
        <f ca="1"/>
        <v/>
      </c>
    </row>
    <row r="559" spans="3:27" x14ac:dyDescent="0.3">
      <c r="C559" s="20" t="str">
        <f ca="1"/>
        <v>Two</v>
      </c>
      <c r="D559" s="20" t="str">
        <f ca="1"/>
        <v>Cat.2</v>
      </c>
      <c r="E559" s="20" t="str">
        <f ca="1"/>
        <v>One</v>
      </c>
      <c r="F559" s="20" t="str">
        <f ca="1"/>
        <v>Cat.1</v>
      </c>
    </row>
    <row r="560" spans="3:27" x14ac:dyDescent="0.3">
      <c r="C560" s="20" t="str">
        <f ca="1"/>
        <v>Two</v>
      </c>
      <c r="D560" s="20" t="str">
        <f ca="1"/>
        <v>Cat.2</v>
      </c>
      <c r="E560" s="20" t="str">
        <f ca="1"/>
        <v>Two</v>
      </c>
      <c r="F560" s="20" t="str">
        <f ca="1"/>
        <v>Cat.2</v>
      </c>
    </row>
    <row r="561" spans="3:6" x14ac:dyDescent="0.3">
      <c r="C561" s="20" t="str">
        <f ca="1"/>
        <v>Two</v>
      </c>
      <c r="D561" s="20" t="str">
        <f ca="1"/>
        <v>Cat.2</v>
      </c>
      <c r="E561" s="20" t="str">
        <f ca="1"/>
        <v>Three</v>
      </c>
      <c r="F561" s="20" t="str">
        <f ca="1"/>
        <v>Cat.3</v>
      </c>
    </row>
    <row r="562" spans="3:6" x14ac:dyDescent="0.3">
      <c r="C562" s="20" t="str">
        <f ca="1"/>
        <v>Two</v>
      </c>
      <c r="D562" s="20" t="str">
        <f ca="1"/>
        <v>Cat.2</v>
      </c>
      <c r="E562" s="20" t="str">
        <f ca="1"/>
        <v>Four</v>
      </c>
      <c r="F562" s="20" t="str">
        <f ca="1"/>
        <v>Cat.4</v>
      </c>
    </row>
    <row r="563" spans="3:6" x14ac:dyDescent="0.3">
      <c r="C563" s="20" t="str">
        <f ca="1"/>
        <v>Two</v>
      </c>
      <c r="D563" s="20" t="str">
        <f ca="1"/>
        <v>Cat.2</v>
      </c>
      <c r="E563" s="20" t="str">
        <f ca="1"/>
        <v/>
      </c>
      <c r="F563" s="20" t="str">
        <f ca="1"/>
        <v/>
      </c>
    </row>
    <row r="564" spans="3:6" x14ac:dyDescent="0.3">
      <c r="C564" s="20" t="str">
        <f ca="1"/>
        <v>Three</v>
      </c>
      <c r="D564" s="20" t="str">
        <f ca="1"/>
        <v>Cat.3</v>
      </c>
      <c r="E564" s="20" t="str">
        <f ca="1"/>
        <v>One</v>
      </c>
      <c r="F564" s="20" t="str">
        <f ca="1"/>
        <v>Cat.1</v>
      </c>
    </row>
    <row r="565" spans="3:6" x14ac:dyDescent="0.3">
      <c r="C565" s="20" t="str">
        <f ca="1"/>
        <v>Three</v>
      </c>
      <c r="D565" s="20" t="str">
        <f ca="1"/>
        <v>Cat.3</v>
      </c>
      <c r="E565" s="20" t="str">
        <f ca="1"/>
        <v>Two</v>
      </c>
      <c r="F565" s="20" t="str">
        <f ca="1"/>
        <v>Cat.2</v>
      </c>
    </row>
    <row r="566" spans="3:6" x14ac:dyDescent="0.3">
      <c r="C566" s="20" t="str">
        <f ca="1"/>
        <v>Three</v>
      </c>
      <c r="D566" s="20" t="str">
        <f ca="1"/>
        <v>Cat.3</v>
      </c>
      <c r="E566" s="20" t="str">
        <f ca="1"/>
        <v>Three</v>
      </c>
      <c r="F566" s="20" t="str">
        <f ca="1"/>
        <v>Cat.3</v>
      </c>
    </row>
    <row r="567" spans="3:6" x14ac:dyDescent="0.3">
      <c r="C567" s="20" t="str">
        <f ca="1"/>
        <v>Three</v>
      </c>
      <c r="D567" s="20" t="str">
        <f ca="1"/>
        <v>Cat.3</v>
      </c>
      <c r="E567" s="20" t="str">
        <f ca="1"/>
        <v>Four</v>
      </c>
      <c r="F567" s="20" t="str">
        <f ca="1"/>
        <v>Cat.4</v>
      </c>
    </row>
    <row r="568" spans="3:6" x14ac:dyDescent="0.3">
      <c r="C568" s="20" t="str">
        <f ca="1"/>
        <v>Three</v>
      </c>
      <c r="D568" s="20" t="str">
        <f ca="1"/>
        <v>Cat.3</v>
      </c>
      <c r="E568" s="20" t="str">
        <f ca="1"/>
        <v/>
      </c>
      <c r="F568" s="20" t="str">
        <f ca="1"/>
        <v/>
      </c>
    </row>
    <row r="569" spans="3:6" x14ac:dyDescent="0.3">
      <c r="C569" s="20" t="str">
        <f ca="1"/>
        <v/>
      </c>
      <c r="D569" s="20" t="str">
        <f ca="1"/>
        <v/>
      </c>
      <c r="E569" s="20" t="str">
        <f ca="1"/>
        <v>One</v>
      </c>
      <c r="F569" s="20" t="str">
        <f ca="1"/>
        <v>Cat.1</v>
      </c>
    </row>
    <row r="570" spans="3:6" x14ac:dyDescent="0.3">
      <c r="C570" s="20" t="str">
        <f ca="1"/>
        <v/>
      </c>
      <c r="D570" s="20" t="str">
        <f ca="1"/>
        <v/>
      </c>
      <c r="E570" s="20" t="str">
        <f ca="1"/>
        <v>Two</v>
      </c>
      <c r="F570" s="20" t="str">
        <f ca="1"/>
        <v>Cat.2</v>
      </c>
    </row>
    <row r="571" spans="3:6" x14ac:dyDescent="0.3">
      <c r="C571" s="20" t="str">
        <f ca="1"/>
        <v/>
      </c>
      <c r="D571" s="20" t="str">
        <f ca="1"/>
        <v/>
      </c>
      <c r="E571" s="20" t="str">
        <f ca="1"/>
        <v>Three</v>
      </c>
      <c r="F571" s="20" t="str">
        <f ca="1"/>
        <v>Cat.3</v>
      </c>
    </row>
    <row r="572" spans="3:6" x14ac:dyDescent="0.3">
      <c r="C572" s="20" t="str">
        <f ca="1"/>
        <v/>
      </c>
      <c r="D572" s="20" t="str">
        <f ca="1"/>
        <v/>
      </c>
      <c r="E572" s="20" t="str">
        <f ca="1"/>
        <v>Four</v>
      </c>
      <c r="F572" s="20" t="str">
        <f ca="1"/>
        <v>Cat.4</v>
      </c>
    </row>
    <row r="573" spans="3:6" x14ac:dyDescent="0.3">
      <c r="C573" s="20" t="str">
        <f ca="1"/>
        <v/>
      </c>
      <c r="D573" s="20" t="str">
        <f ca="1"/>
        <v/>
      </c>
      <c r="E573" s="20" t="str">
        <f ca="1"/>
        <v/>
      </c>
      <c r="F573" s="20" t="str">
        <f ca="1"/>
        <v/>
      </c>
    </row>
    <row r="574" spans="3:6" x14ac:dyDescent="0.3">
      <c r="C574" s="20" t="e">
        <f ca="1"/>
        <v>#N/A</v>
      </c>
      <c r="D574" s="20" t="str">
        <f ca="1"/>
        <v/>
      </c>
      <c r="E574" s="20" t="str">
        <f ca="1"/>
        <v>One</v>
      </c>
      <c r="F574" s="20" t="str">
        <f ca="1"/>
        <v>Cat.1</v>
      </c>
    </row>
    <row r="575" spans="3:6" x14ac:dyDescent="0.3">
      <c r="C575" s="20" t="e">
        <f ca="1"/>
        <v>#N/A</v>
      </c>
      <c r="D575" s="20" t="str">
        <f ca="1"/>
        <v/>
      </c>
      <c r="E575" s="20" t="str">
        <f ca="1"/>
        <v>Two</v>
      </c>
      <c r="F575" s="20" t="str">
        <f ca="1"/>
        <v>Cat.2</v>
      </c>
    </row>
    <row r="576" spans="3:6" x14ac:dyDescent="0.3">
      <c r="C576" s="20" t="e">
        <f ca="1"/>
        <v>#N/A</v>
      </c>
      <c r="D576" s="20" t="str">
        <f ca="1"/>
        <v/>
      </c>
      <c r="E576" s="20" t="str">
        <f ca="1"/>
        <v>Three</v>
      </c>
      <c r="F576" s="20" t="str">
        <f ca="1"/>
        <v>Cat.3</v>
      </c>
    </row>
    <row r="577" spans="3:6" x14ac:dyDescent="0.3">
      <c r="C577" s="20" t="e">
        <f ca="1"/>
        <v>#N/A</v>
      </c>
      <c r="D577" s="20" t="str">
        <f ca="1"/>
        <v/>
      </c>
      <c r="E577" s="20" t="str">
        <f ca="1"/>
        <v>Four</v>
      </c>
      <c r="F577" s="20" t="str">
        <f ca="1"/>
        <v>Cat.4</v>
      </c>
    </row>
    <row r="578" spans="3:6" x14ac:dyDescent="0.3">
      <c r="C578" s="20" t="e">
        <f ca="1"/>
        <v>#N/A</v>
      </c>
      <c r="D578" s="20" t="str">
        <f ca="1"/>
        <v/>
      </c>
      <c r="E578" s="20" t="str">
        <f ca="1"/>
        <v/>
      </c>
      <c r="F578" s="20" t="str">
        <f ca="1"/>
        <v/>
      </c>
    </row>
    <row r="579" spans="3:6" x14ac:dyDescent="0.3">
      <c r="C579" s="20"/>
      <c r="D579" s="20"/>
      <c r="E579" s="20"/>
      <c r="F579" s="20"/>
    </row>
    <row r="580" spans="3:6" x14ac:dyDescent="0.3">
      <c r="C580" s="20"/>
      <c r="D580" s="20"/>
      <c r="E580" s="20"/>
      <c r="F580" s="20"/>
    </row>
    <row r="581" spans="3:6" x14ac:dyDescent="0.3">
      <c r="C581" s="20"/>
      <c r="D581" s="20"/>
      <c r="E581" s="20"/>
      <c r="F581" s="20"/>
    </row>
    <row r="582" spans="3:6" x14ac:dyDescent="0.3">
      <c r="C582" s="20"/>
      <c r="D582" s="20"/>
      <c r="E582" s="20"/>
      <c r="F582" s="20"/>
    </row>
    <row r="583" spans="3:6" x14ac:dyDescent="0.3">
      <c r="C583" s="20"/>
      <c r="D583" s="20"/>
      <c r="E583" s="20"/>
      <c r="F583" s="20"/>
    </row>
    <row r="584" spans="3:6" x14ac:dyDescent="0.3">
      <c r="C584" s="20"/>
      <c r="D584" s="20"/>
      <c r="E584" s="20"/>
      <c r="F584" s="20"/>
    </row>
    <row r="585" spans="3:6" x14ac:dyDescent="0.3">
      <c r="C585" s="20"/>
      <c r="D585" s="20"/>
      <c r="E585" s="20"/>
      <c r="F585" s="20"/>
    </row>
    <row r="586" spans="3:6" x14ac:dyDescent="0.3">
      <c r="C586" s="20"/>
      <c r="D586" s="20"/>
      <c r="E586" s="20"/>
      <c r="F586" s="20"/>
    </row>
    <row r="587" spans="3:6" x14ac:dyDescent="0.3">
      <c r="C587" s="20"/>
      <c r="D587" s="20"/>
      <c r="E587" s="20"/>
      <c r="F587" s="20"/>
    </row>
    <row r="588" spans="3:6" x14ac:dyDescent="0.3">
      <c r="C588" s="20"/>
      <c r="D588" s="20"/>
      <c r="E588" s="20"/>
      <c r="F588" s="20"/>
    </row>
    <row r="589" spans="3:6" x14ac:dyDescent="0.3">
      <c r="C589" s="20"/>
      <c r="D589" s="20"/>
      <c r="E589" s="20"/>
      <c r="F589" s="20"/>
    </row>
    <row r="590" spans="3:6" x14ac:dyDescent="0.3">
      <c r="C590" s="20"/>
      <c r="D590" s="20"/>
      <c r="E590" s="20"/>
      <c r="F590" s="20"/>
    </row>
    <row r="591" spans="3:6" x14ac:dyDescent="0.3">
      <c r="C591" s="20"/>
      <c r="D591" s="20"/>
      <c r="E591" s="20"/>
      <c r="F591" s="20"/>
    </row>
    <row r="592" spans="3:6" x14ac:dyDescent="0.3">
      <c r="C592" s="20"/>
      <c r="D592" s="20"/>
      <c r="E592" s="20"/>
      <c r="F592" s="20"/>
    </row>
    <row r="593" spans="3:6" x14ac:dyDescent="0.3">
      <c r="C593" s="20"/>
      <c r="D593" s="20"/>
      <c r="E593" s="20"/>
      <c r="F593" s="20"/>
    </row>
    <row r="594" spans="3:6" x14ac:dyDescent="0.3">
      <c r="C594" s="20"/>
      <c r="D594" s="20"/>
      <c r="E594" s="20"/>
      <c r="F594" s="20"/>
    </row>
    <row r="595" spans="3:6" x14ac:dyDescent="0.3">
      <c r="C595" s="20"/>
      <c r="D595" s="20"/>
      <c r="E595" s="20"/>
      <c r="F595" s="20"/>
    </row>
    <row r="596" spans="3:6" x14ac:dyDescent="0.3">
      <c r="C596" s="20"/>
      <c r="D596" s="20"/>
      <c r="E596" s="20"/>
      <c r="F596" s="20"/>
    </row>
    <row r="597" spans="3:6" x14ac:dyDescent="0.3">
      <c r="C597" s="20"/>
      <c r="D597" s="20"/>
      <c r="E597" s="20"/>
      <c r="F597" s="20"/>
    </row>
    <row r="598" spans="3:6" x14ac:dyDescent="0.3">
      <c r="C598" s="20"/>
      <c r="D598" s="20"/>
      <c r="E598" s="20"/>
      <c r="F598" s="20"/>
    </row>
    <row r="599" spans="3:6" x14ac:dyDescent="0.3">
      <c r="C599" s="20"/>
      <c r="D599" s="20"/>
      <c r="E599" s="20"/>
      <c r="F599" s="20"/>
    </row>
    <row r="600" spans="3:6" x14ac:dyDescent="0.3">
      <c r="C600" s="20"/>
      <c r="D600" s="20"/>
      <c r="E600" s="20"/>
      <c r="F600" s="20"/>
    </row>
    <row r="601" spans="3:6" x14ac:dyDescent="0.3">
      <c r="C601" s="20"/>
      <c r="D601" s="20"/>
      <c r="E601" s="20"/>
      <c r="F601" s="20"/>
    </row>
    <row r="602" spans="3:6" x14ac:dyDescent="0.3">
      <c r="C602" s="20"/>
      <c r="D602" s="20"/>
      <c r="E602" s="20"/>
      <c r="F602" s="20"/>
    </row>
    <row r="603" spans="3:6" x14ac:dyDescent="0.3">
      <c r="C603" s="20"/>
      <c r="D603" s="20"/>
      <c r="E603" s="20"/>
      <c r="F603" s="20"/>
    </row>
    <row r="604" spans="3:6" x14ac:dyDescent="0.3">
      <c r="C604" s="20"/>
      <c r="D604" s="20"/>
      <c r="E604" s="20"/>
      <c r="F604" s="20"/>
    </row>
    <row r="605" spans="3:6" x14ac:dyDescent="0.3">
      <c r="C605" s="20"/>
      <c r="D605" s="20"/>
      <c r="E605" s="20"/>
      <c r="F605" s="20"/>
    </row>
    <row r="606" spans="3:6" x14ac:dyDescent="0.3">
      <c r="C606" s="20"/>
      <c r="D606" s="20"/>
      <c r="E606" s="20"/>
      <c r="F606" s="20"/>
    </row>
    <row r="607" spans="3:6" x14ac:dyDescent="0.3">
      <c r="C607" s="20"/>
      <c r="D607" s="20"/>
      <c r="E607" s="20"/>
      <c r="F607" s="20"/>
    </row>
    <row r="608" spans="3:6" x14ac:dyDescent="0.3">
      <c r="C608" s="20"/>
      <c r="D608" s="20"/>
      <c r="E608" s="20"/>
      <c r="F608" s="20"/>
    </row>
    <row r="609" spans="3:6" x14ac:dyDescent="0.3">
      <c r="C609" s="20"/>
      <c r="D609" s="20"/>
      <c r="E609" s="20"/>
      <c r="F609" s="20"/>
    </row>
    <row r="610" spans="3:6" x14ac:dyDescent="0.3">
      <c r="C610" s="20"/>
      <c r="D610" s="20"/>
      <c r="E610" s="20"/>
      <c r="F610" s="20"/>
    </row>
    <row r="611" spans="3:6" x14ac:dyDescent="0.3">
      <c r="C611" s="20"/>
      <c r="D611" s="20"/>
      <c r="E611" s="20"/>
      <c r="F611" s="20"/>
    </row>
    <row r="612" spans="3:6" x14ac:dyDescent="0.3">
      <c r="C612" s="20"/>
      <c r="D612" s="20"/>
      <c r="E612" s="20"/>
      <c r="F612" s="20"/>
    </row>
    <row r="613" spans="3:6" x14ac:dyDescent="0.3">
      <c r="C613" s="20"/>
      <c r="D613" s="20"/>
      <c r="E613" s="20"/>
      <c r="F613" s="20"/>
    </row>
    <row r="614" spans="3:6" x14ac:dyDescent="0.3">
      <c r="C614" s="20"/>
      <c r="D614" s="20"/>
      <c r="E614" s="20"/>
      <c r="F614" s="20"/>
    </row>
    <row r="615" spans="3:6" x14ac:dyDescent="0.3">
      <c r="C615" s="20"/>
      <c r="D615" s="20"/>
      <c r="E615" s="20"/>
      <c r="F615" s="20"/>
    </row>
    <row r="616" spans="3:6" x14ac:dyDescent="0.3">
      <c r="C616" s="20"/>
      <c r="D616" s="20"/>
      <c r="E616" s="20"/>
      <c r="F616" s="20"/>
    </row>
    <row r="617" spans="3:6" x14ac:dyDescent="0.3">
      <c r="C617" s="20"/>
      <c r="D617" s="20"/>
      <c r="E617" s="20"/>
      <c r="F617" s="20"/>
    </row>
    <row r="618" spans="3:6" x14ac:dyDescent="0.3">
      <c r="C618" s="20"/>
      <c r="D618" s="20"/>
      <c r="E618" s="20"/>
      <c r="F618" s="20"/>
    </row>
    <row r="619" spans="3:6" x14ac:dyDescent="0.3">
      <c r="C619" s="20"/>
      <c r="D619" s="20"/>
      <c r="E619" s="20"/>
      <c r="F619" s="20"/>
    </row>
    <row r="620" spans="3:6" x14ac:dyDescent="0.3">
      <c r="C620" s="20"/>
      <c r="D620" s="20"/>
      <c r="E620" s="20"/>
      <c r="F620" s="20"/>
    </row>
    <row r="621" spans="3:6" x14ac:dyDescent="0.3">
      <c r="C621" s="20"/>
      <c r="D621" s="20"/>
      <c r="E621" s="20"/>
      <c r="F621" s="20"/>
    </row>
    <row r="622" spans="3:6" x14ac:dyDescent="0.3">
      <c r="C622" s="20"/>
      <c r="D622" s="20"/>
      <c r="E622" s="20"/>
      <c r="F622" s="20"/>
    </row>
    <row r="623" spans="3:6" x14ac:dyDescent="0.3">
      <c r="C623" s="20"/>
      <c r="D623" s="20"/>
      <c r="E623" s="20"/>
      <c r="F623" s="20"/>
    </row>
    <row r="624" spans="3:6" x14ac:dyDescent="0.3">
      <c r="C624" s="20"/>
      <c r="D624" s="20"/>
      <c r="E624" s="20"/>
      <c r="F624" s="20"/>
    </row>
    <row r="625" spans="3:6" x14ac:dyDescent="0.3">
      <c r="C625" s="20"/>
      <c r="D625" s="20"/>
      <c r="E625" s="20"/>
      <c r="F625" s="20"/>
    </row>
    <row r="626" spans="3:6" x14ac:dyDescent="0.3">
      <c r="C626" s="20"/>
      <c r="D626" s="20"/>
      <c r="E626" s="20"/>
      <c r="F626" s="20"/>
    </row>
    <row r="627" spans="3:6" x14ac:dyDescent="0.3">
      <c r="C627" s="20"/>
      <c r="D627" s="20"/>
      <c r="E627" s="20"/>
      <c r="F627" s="20"/>
    </row>
    <row r="628" spans="3:6" x14ac:dyDescent="0.3">
      <c r="C628" s="20"/>
      <c r="D628" s="20"/>
      <c r="E628" s="20"/>
      <c r="F628" s="20"/>
    </row>
    <row r="629" spans="3:6" x14ac:dyDescent="0.3">
      <c r="C629" s="20"/>
      <c r="D629" s="20"/>
      <c r="E629" s="20"/>
      <c r="F629" s="20"/>
    </row>
    <row r="630" spans="3:6" x14ac:dyDescent="0.3">
      <c r="C630" s="20"/>
      <c r="D630" s="20"/>
      <c r="E630" s="20"/>
      <c r="F630" s="20"/>
    </row>
    <row r="631" spans="3:6" x14ac:dyDescent="0.3">
      <c r="C631" s="20"/>
      <c r="D631" s="20"/>
      <c r="E631" s="20"/>
      <c r="F631" s="20"/>
    </row>
    <row r="632" spans="3:6" x14ac:dyDescent="0.3">
      <c r="C632" s="20"/>
      <c r="D632" s="20"/>
      <c r="E632" s="20"/>
      <c r="F632" s="20"/>
    </row>
    <row r="633" spans="3:6" x14ac:dyDescent="0.3">
      <c r="C633" s="20"/>
      <c r="D633" s="20"/>
      <c r="E633" s="20"/>
      <c r="F633" s="20"/>
    </row>
    <row r="634" spans="3:6" x14ac:dyDescent="0.3">
      <c r="C634" s="20"/>
      <c r="D634" s="20"/>
      <c r="E634" s="20"/>
      <c r="F634" s="20"/>
    </row>
    <row r="635" spans="3:6" x14ac:dyDescent="0.3">
      <c r="C635" s="20"/>
      <c r="D635" s="20"/>
      <c r="E635" s="20"/>
      <c r="F635" s="20"/>
    </row>
    <row r="636" spans="3:6" x14ac:dyDescent="0.3">
      <c r="C636" s="20"/>
      <c r="D636" s="20"/>
      <c r="E636" s="20"/>
      <c r="F636" s="20"/>
    </row>
    <row r="637" spans="3:6" x14ac:dyDescent="0.3">
      <c r="C637" s="20"/>
      <c r="D637" s="20"/>
      <c r="E637" s="20"/>
      <c r="F637" s="20"/>
    </row>
    <row r="638" spans="3:6" x14ac:dyDescent="0.3">
      <c r="C638" s="20"/>
      <c r="D638" s="20"/>
      <c r="E638" s="20"/>
      <c r="F638" s="20"/>
    </row>
    <row r="639" spans="3:6" x14ac:dyDescent="0.3">
      <c r="C639" s="20"/>
      <c r="D639" s="20"/>
      <c r="E639" s="20"/>
      <c r="F639" s="20"/>
    </row>
    <row r="640" spans="3:6" x14ac:dyDescent="0.3">
      <c r="C640" s="20"/>
      <c r="D640" s="20"/>
      <c r="E640" s="20"/>
      <c r="F640" s="20"/>
    </row>
    <row r="641" spans="2:6" x14ac:dyDescent="0.3">
      <c r="C641" s="20"/>
      <c r="D641" s="20"/>
      <c r="E641" s="20"/>
      <c r="F641" s="20"/>
    </row>
    <row r="642" spans="2:6" x14ac:dyDescent="0.3">
      <c r="C642" s="20"/>
      <c r="D642" s="20"/>
      <c r="E642" s="20"/>
      <c r="F642" s="20"/>
    </row>
    <row r="643" spans="2:6" x14ac:dyDescent="0.3">
      <c r="C643" s="20"/>
      <c r="D643" s="20"/>
      <c r="E643" s="20"/>
      <c r="F643" s="20"/>
    </row>
    <row r="644" spans="2:6" x14ac:dyDescent="0.3">
      <c r="C644" s="20"/>
      <c r="D644" s="20"/>
      <c r="E644" s="20"/>
      <c r="F644" s="20"/>
    </row>
    <row r="645" spans="2:6" x14ac:dyDescent="0.3">
      <c r="C645" s="20"/>
      <c r="D645" s="20"/>
      <c r="E645" s="20"/>
      <c r="F645" s="20"/>
    </row>
    <row r="646" spans="2:6" x14ac:dyDescent="0.3">
      <c r="C646" s="20"/>
      <c r="D646" s="20"/>
      <c r="E646" s="20"/>
      <c r="F646" s="20"/>
    </row>
    <row r="647" spans="2:6" x14ac:dyDescent="0.3">
      <c r="C647" s="20"/>
      <c r="D647" s="20"/>
      <c r="E647" s="20"/>
      <c r="F647" s="20"/>
    </row>
    <row r="648" spans="2:6" x14ac:dyDescent="0.3">
      <c r="C648" s="20"/>
      <c r="D648" s="20"/>
      <c r="E648" s="20"/>
      <c r="F648" s="20"/>
    </row>
    <row r="649" spans="2:6" x14ac:dyDescent="0.3">
      <c r="C649" s="20"/>
      <c r="D649" s="20"/>
      <c r="E649" s="20"/>
      <c r="F649" s="20"/>
    </row>
    <row r="650" spans="2:6" x14ac:dyDescent="0.3">
      <c r="C650" s="20"/>
      <c r="D650" s="20"/>
      <c r="E650" s="20"/>
      <c r="F650" s="20"/>
    </row>
    <row r="651" spans="2:6" x14ac:dyDescent="0.3">
      <c r="C651" s="20"/>
      <c r="D651" s="20"/>
      <c r="E651" s="20"/>
      <c r="F651" s="20"/>
    </row>
    <row r="652" spans="2:6" x14ac:dyDescent="0.3">
      <c r="C652" s="20"/>
      <c r="D652" s="20"/>
      <c r="E652" s="20"/>
      <c r="F652" s="20"/>
    </row>
    <row r="653" spans="2:6" x14ac:dyDescent="0.3">
      <c r="C653" s="20"/>
      <c r="D653" s="20"/>
      <c r="E653" s="20"/>
      <c r="F653" s="20"/>
    </row>
    <row r="656" spans="2:6" s="8" customFormat="1" ht="16.2" thickBot="1" x14ac:dyDescent="0.35">
      <c r="B656" s="9">
        <f xml:space="preserve"> MAX(B$1:B655) + 1</f>
        <v>3</v>
      </c>
      <c r="C656" s="8" t="s">
        <v>6</v>
      </c>
    </row>
    <row r="658" spans="2:7" x14ac:dyDescent="0.3">
      <c r="B658" s="13" t="s">
        <v>72</v>
      </c>
    </row>
    <row r="659" spans="2:7" x14ac:dyDescent="0.3">
      <c r="C659" t="s">
        <v>542</v>
      </c>
    </row>
    <row r="660" spans="2:7" x14ac:dyDescent="0.3">
      <c r="C660" t="s">
        <v>543</v>
      </c>
    </row>
    <row r="661" spans="2:7" x14ac:dyDescent="0.3">
      <c r="C661" t="s">
        <v>544</v>
      </c>
    </row>
    <row r="663" spans="2:7" x14ac:dyDescent="0.3">
      <c r="B663" s="13" t="s">
        <v>73</v>
      </c>
    </row>
    <row r="664" spans="2:7" x14ac:dyDescent="0.3">
      <c r="C664" s="29" t="s">
        <v>434</v>
      </c>
      <c r="F664" s="30" t="s">
        <v>545</v>
      </c>
      <c r="G664" t="s">
        <v>546</v>
      </c>
    </row>
    <row r="665" spans="2:7" x14ac:dyDescent="0.3">
      <c r="C665" s="29" t="s">
        <v>440</v>
      </c>
      <c r="F665" s="30" t="s">
        <v>545</v>
      </c>
      <c r="G665" t="s">
        <v>547</v>
      </c>
    </row>
    <row r="666" spans="2:7" x14ac:dyDescent="0.3">
      <c r="C666" s="29" t="s">
        <v>548</v>
      </c>
      <c r="F666" s="30" t="s">
        <v>549</v>
      </c>
      <c r="G666" t="s">
        <v>550</v>
      </c>
    </row>
    <row r="667" spans="2:7" x14ac:dyDescent="0.3">
      <c r="C667" s="29"/>
      <c r="F667" s="30"/>
      <c r="G667" t="s">
        <v>551</v>
      </c>
    </row>
    <row r="668" spans="2:7" x14ac:dyDescent="0.3">
      <c r="C668" s="29" t="s">
        <v>552</v>
      </c>
      <c r="F668" s="30" t="s">
        <v>549</v>
      </c>
      <c r="G668" t="s">
        <v>553</v>
      </c>
    </row>
    <row r="669" spans="2:7" x14ac:dyDescent="0.3">
      <c r="C669" s="29"/>
      <c r="F669" s="30"/>
      <c r="G669" t="s">
        <v>554</v>
      </c>
    </row>
    <row r="670" spans="2:7" x14ac:dyDescent="0.3">
      <c r="C670" s="29" t="s">
        <v>555</v>
      </c>
      <c r="F670" s="30" t="s">
        <v>549</v>
      </c>
      <c r="G670" t="s">
        <v>556</v>
      </c>
    </row>
    <row r="671" spans="2:7" x14ac:dyDescent="0.3">
      <c r="C671" s="29"/>
      <c r="F671" s="30"/>
      <c r="G671" t="s">
        <v>551</v>
      </c>
    </row>
    <row r="672" spans="2:7" x14ac:dyDescent="0.3">
      <c r="C672" s="29" t="s">
        <v>557</v>
      </c>
      <c r="F672" s="30" t="s">
        <v>549</v>
      </c>
      <c r="G672" t="s">
        <v>558</v>
      </c>
    </row>
    <row r="673" spans="2:7" x14ac:dyDescent="0.3">
      <c r="C673" s="29"/>
      <c r="F673" s="30"/>
      <c r="G673" t="s">
        <v>554</v>
      </c>
    </row>
    <row r="674" spans="2:7" x14ac:dyDescent="0.3">
      <c r="C674" s="29" t="s">
        <v>559</v>
      </c>
      <c r="F674" s="30" t="s">
        <v>549</v>
      </c>
      <c r="G674" t="s">
        <v>560</v>
      </c>
    </row>
    <row r="675" spans="2:7" x14ac:dyDescent="0.3">
      <c r="C675" s="29" t="s">
        <v>117</v>
      </c>
      <c r="F675" s="30" t="s">
        <v>549</v>
      </c>
      <c r="G675" t="s">
        <v>561</v>
      </c>
    </row>
    <row r="676" spans="2:7" x14ac:dyDescent="0.3">
      <c r="C676" s="29"/>
      <c r="F676" s="30"/>
      <c r="G676" t="s">
        <v>562</v>
      </c>
    </row>
    <row r="677" spans="2:7" x14ac:dyDescent="0.3">
      <c r="C677" s="29"/>
      <c r="F677" s="30"/>
      <c r="G677" s="40" t="s">
        <v>563</v>
      </c>
    </row>
    <row r="678" spans="2:7" x14ac:dyDescent="0.3">
      <c r="C678" s="29"/>
      <c r="F678" s="30"/>
      <c r="G678" t="s">
        <v>551</v>
      </c>
    </row>
    <row r="679" spans="2:7" x14ac:dyDescent="0.3">
      <c r="C679" s="29" t="s">
        <v>118</v>
      </c>
      <c r="F679" s="30" t="s">
        <v>549</v>
      </c>
      <c r="G679" t="s">
        <v>564</v>
      </c>
    </row>
    <row r="680" spans="2:7" x14ac:dyDescent="0.3">
      <c r="C680" s="29"/>
      <c r="F680" s="30"/>
      <c r="G680" t="s">
        <v>565</v>
      </c>
    </row>
    <row r="681" spans="2:7" x14ac:dyDescent="0.3">
      <c r="C681" s="29"/>
      <c r="F681" s="30"/>
      <c r="G681" t="s">
        <v>551</v>
      </c>
    </row>
    <row r="682" spans="2:7" x14ac:dyDescent="0.3">
      <c r="C682" s="29" t="s">
        <v>566</v>
      </c>
      <c r="F682" s="30" t="s">
        <v>567</v>
      </c>
      <c r="G682" t="s">
        <v>568</v>
      </c>
    </row>
    <row r="683" spans="2:7" x14ac:dyDescent="0.3">
      <c r="C683" s="29"/>
      <c r="F683" s="30"/>
      <c r="G683" t="s">
        <v>551</v>
      </c>
    </row>
    <row r="684" spans="2:7" x14ac:dyDescent="0.3">
      <c r="C684" s="29" t="s">
        <v>569</v>
      </c>
      <c r="F684" s="30" t="s">
        <v>567</v>
      </c>
      <c r="G684" t="s">
        <v>570</v>
      </c>
    </row>
    <row r="685" spans="2:7" x14ac:dyDescent="0.3">
      <c r="G685" t="s">
        <v>554</v>
      </c>
    </row>
    <row r="687" spans="2:7" x14ac:dyDescent="0.3">
      <c r="B687" s="13" t="s">
        <v>74</v>
      </c>
    </row>
    <row r="688" spans="2:7" x14ac:dyDescent="0.3">
      <c r="C688" s="38" t="e">
        <v>#REF!</v>
      </c>
      <c r="D688" s="78"/>
      <c r="E688" t="s">
        <v>571</v>
      </c>
    </row>
    <row r="689" spans="2:5" x14ac:dyDescent="0.3">
      <c r="C689" s="38" t="e">
        <v>#VALUE!</v>
      </c>
      <c r="D689" s="79"/>
      <c r="E689" t="s">
        <v>572</v>
      </c>
    </row>
    <row r="691" spans="2:5" x14ac:dyDescent="0.3">
      <c r="B691" s="13" t="s">
        <v>75</v>
      </c>
    </row>
    <row r="692" spans="2:5" x14ac:dyDescent="0.3">
      <c r="C692" s="34" t="s">
        <v>107</v>
      </c>
    </row>
    <row r="693" spans="2:5" x14ac:dyDescent="0.3">
      <c r="C693" s="35" t="s">
        <v>126</v>
      </c>
    </row>
    <row r="694" spans="2:5" x14ac:dyDescent="0.3">
      <c r="C694" s="80" t="s">
        <v>573</v>
      </c>
    </row>
    <row r="695" spans="2:5" x14ac:dyDescent="0.3">
      <c r="C695" s="31" t="s">
        <v>574</v>
      </c>
    </row>
    <row r="696" spans="2:5" x14ac:dyDescent="0.3">
      <c r="C696" s="80" t="s">
        <v>575</v>
      </c>
    </row>
    <row r="697" spans="2:5" x14ac:dyDescent="0.3">
      <c r="C697" s="80" t="s">
        <v>576</v>
      </c>
    </row>
    <row r="698" spans="2:5" x14ac:dyDescent="0.3">
      <c r="C698" s="80" t="s">
        <v>577</v>
      </c>
    </row>
    <row r="699" spans="2:5" x14ac:dyDescent="0.3">
      <c r="C699" s="80" t="s">
        <v>578</v>
      </c>
    </row>
    <row r="700" spans="2:5" x14ac:dyDescent="0.3">
      <c r="C700" s="80" t="s">
        <v>579</v>
      </c>
    </row>
    <row r="701" spans="2:5" x14ac:dyDescent="0.3">
      <c r="C701" s="80" t="s">
        <v>112</v>
      </c>
    </row>
    <row r="702" spans="2:5" x14ac:dyDescent="0.3">
      <c r="C702" s="80" t="s">
        <v>113</v>
      </c>
    </row>
    <row r="703" spans="2:5" x14ac:dyDescent="0.3">
      <c r="C703" s="80" t="s">
        <v>580</v>
      </c>
    </row>
    <row r="704" spans="2:5" x14ac:dyDescent="0.3">
      <c r="C704" s="80" t="s">
        <v>581</v>
      </c>
    </row>
    <row r="705" spans="3:3" x14ac:dyDescent="0.3">
      <c r="C705" s="35" t="s">
        <v>127</v>
      </c>
    </row>
    <row r="706" spans="3:3" x14ac:dyDescent="0.3">
      <c r="C706" s="31" t="s">
        <v>80</v>
      </c>
    </row>
    <row r="707" spans="3:3" x14ac:dyDescent="0.3">
      <c r="C707" s="36" t="s">
        <v>582</v>
      </c>
    </row>
    <row r="708" spans="3:3" x14ac:dyDescent="0.3">
      <c r="C708" s="32" t="s">
        <v>583</v>
      </c>
    </row>
    <row r="709" spans="3:3" x14ac:dyDescent="0.3">
      <c r="C709" s="32" t="s">
        <v>469</v>
      </c>
    </row>
    <row r="710" spans="3:3" x14ac:dyDescent="0.3">
      <c r="C710" s="32" t="s">
        <v>584</v>
      </c>
    </row>
    <row r="711" spans="3:3" x14ac:dyDescent="0.3">
      <c r="C711" s="32" t="s">
        <v>471</v>
      </c>
    </row>
    <row r="712" spans="3:3" x14ac:dyDescent="0.3">
      <c r="C712" s="32" t="s">
        <v>585</v>
      </c>
    </row>
    <row r="713" spans="3:3" x14ac:dyDescent="0.3">
      <c r="C713" s="32" t="s">
        <v>586</v>
      </c>
    </row>
    <row r="714" spans="3:3" x14ac:dyDescent="0.3">
      <c r="C714" s="32" t="s">
        <v>587</v>
      </c>
    </row>
    <row r="715" spans="3:3" x14ac:dyDescent="0.3">
      <c r="C715" s="32" t="s">
        <v>588</v>
      </c>
    </row>
    <row r="716" spans="3:3" x14ac:dyDescent="0.3">
      <c r="C716" s="32" t="s">
        <v>589</v>
      </c>
    </row>
    <row r="717" spans="3:3" x14ac:dyDescent="0.3">
      <c r="C717" s="36" t="s">
        <v>590</v>
      </c>
    </row>
    <row r="718" spans="3:3" x14ac:dyDescent="0.3">
      <c r="C718" s="32" t="s">
        <v>591</v>
      </c>
    </row>
    <row r="719" spans="3:3" x14ac:dyDescent="0.3">
      <c r="C719" s="33" t="s">
        <v>592</v>
      </c>
    </row>
    <row r="720" spans="3:3" x14ac:dyDescent="0.3">
      <c r="C720" s="33" t="s">
        <v>593</v>
      </c>
    </row>
    <row r="721" spans="3:3" x14ac:dyDescent="0.3">
      <c r="C721" s="32" t="s">
        <v>88</v>
      </c>
    </row>
    <row r="722" spans="3:3" x14ac:dyDescent="0.3">
      <c r="C722" s="32" t="s">
        <v>420</v>
      </c>
    </row>
    <row r="723" spans="3:3" x14ac:dyDescent="0.3">
      <c r="C723" s="33" t="s">
        <v>594</v>
      </c>
    </row>
    <row r="724" spans="3:3" x14ac:dyDescent="0.3">
      <c r="C724" s="33" t="s">
        <v>595</v>
      </c>
    </row>
    <row r="725" spans="3:3" x14ac:dyDescent="0.3">
      <c r="C725" s="33" t="s">
        <v>596</v>
      </c>
    </row>
    <row r="726" spans="3:3" x14ac:dyDescent="0.3">
      <c r="C726" s="32" t="s">
        <v>88</v>
      </c>
    </row>
    <row r="727" spans="3:3" x14ac:dyDescent="0.3">
      <c r="C727" s="36" t="s">
        <v>597</v>
      </c>
    </row>
    <row r="728" spans="3:3" x14ac:dyDescent="0.3">
      <c r="C728" s="36" t="s">
        <v>598</v>
      </c>
    </row>
    <row r="729" spans="3:3" x14ac:dyDescent="0.3">
      <c r="C729" s="32" t="s">
        <v>599</v>
      </c>
    </row>
    <row r="730" spans="3:3" x14ac:dyDescent="0.3">
      <c r="C730" s="32" t="s">
        <v>600</v>
      </c>
    </row>
    <row r="731" spans="3:3" x14ac:dyDescent="0.3">
      <c r="C731" s="36" t="s">
        <v>601</v>
      </c>
    </row>
    <row r="732" spans="3:3" x14ac:dyDescent="0.3">
      <c r="C732" s="32" t="s">
        <v>602</v>
      </c>
    </row>
    <row r="733" spans="3:3" x14ac:dyDescent="0.3">
      <c r="C733" s="32" t="s">
        <v>603</v>
      </c>
    </row>
    <row r="734" spans="3:3" x14ac:dyDescent="0.3">
      <c r="C734" s="36" t="s">
        <v>604</v>
      </c>
    </row>
    <row r="735" spans="3:3" x14ac:dyDescent="0.3">
      <c r="C735" s="32" t="s">
        <v>605</v>
      </c>
    </row>
    <row r="736" spans="3:3" x14ac:dyDescent="0.3">
      <c r="C736" s="33" t="s">
        <v>606</v>
      </c>
    </row>
    <row r="737" spans="3:3" x14ac:dyDescent="0.3">
      <c r="C737" s="33" t="s">
        <v>607</v>
      </c>
    </row>
    <row r="738" spans="3:3" x14ac:dyDescent="0.3">
      <c r="C738" s="43" t="s">
        <v>608</v>
      </c>
    </row>
    <row r="739" spans="3:3" x14ac:dyDescent="0.3">
      <c r="C739" s="43" t="s">
        <v>609</v>
      </c>
    </row>
    <row r="740" spans="3:3" x14ac:dyDescent="0.3">
      <c r="C740" s="33" t="s">
        <v>106</v>
      </c>
    </row>
    <row r="741" spans="3:3" x14ac:dyDescent="0.3">
      <c r="C741" s="32" t="s">
        <v>88</v>
      </c>
    </row>
    <row r="742" spans="3:3" x14ac:dyDescent="0.3">
      <c r="C742" s="32" t="s">
        <v>610</v>
      </c>
    </row>
    <row r="743" spans="3:3" x14ac:dyDescent="0.3">
      <c r="C743" s="33" t="s">
        <v>611</v>
      </c>
    </row>
    <row r="744" spans="3:3" x14ac:dyDescent="0.3">
      <c r="C744" s="33" t="s">
        <v>612</v>
      </c>
    </row>
    <row r="745" spans="3:3" x14ac:dyDescent="0.3">
      <c r="C745" s="43" t="s">
        <v>613</v>
      </c>
    </row>
    <row r="746" spans="3:3" x14ac:dyDescent="0.3">
      <c r="C746" s="43" t="s">
        <v>609</v>
      </c>
    </row>
    <row r="747" spans="3:3" x14ac:dyDescent="0.3">
      <c r="C747" s="33" t="s">
        <v>106</v>
      </c>
    </row>
    <row r="748" spans="3:3" x14ac:dyDescent="0.3">
      <c r="C748" s="32" t="s">
        <v>88</v>
      </c>
    </row>
    <row r="749" spans="3:3" x14ac:dyDescent="0.3">
      <c r="C749" s="36" t="s">
        <v>614</v>
      </c>
    </row>
    <row r="750" spans="3:3" x14ac:dyDescent="0.3">
      <c r="C750" s="32" t="s">
        <v>615</v>
      </c>
    </row>
    <row r="751" spans="3:3" x14ac:dyDescent="0.3">
      <c r="C751" s="32" t="s">
        <v>616</v>
      </c>
    </row>
    <row r="752" spans="3:3" x14ac:dyDescent="0.3">
      <c r="C752" s="32" t="s">
        <v>617</v>
      </c>
    </row>
    <row r="753" spans="3:3" x14ac:dyDescent="0.3">
      <c r="C753" s="32" t="s">
        <v>618</v>
      </c>
    </row>
    <row r="754" spans="3:3" x14ac:dyDescent="0.3">
      <c r="C754" s="36" t="s">
        <v>619</v>
      </c>
    </row>
    <row r="755" spans="3:3" x14ac:dyDescent="0.3">
      <c r="C755" s="32" t="s">
        <v>620</v>
      </c>
    </row>
    <row r="756" spans="3:3" x14ac:dyDescent="0.3">
      <c r="C756" s="32" t="s">
        <v>621</v>
      </c>
    </row>
    <row r="757" spans="3:3" x14ac:dyDescent="0.3">
      <c r="C757" s="32" t="s">
        <v>622</v>
      </c>
    </row>
    <row r="758" spans="3:3" x14ac:dyDescent="0.3">
      <c r="C758" s="32" t="s">
        <v>623</v>
      </c>
    </row>
    <row r="759" spans="3:3" x14ac:dyDescent="0.3">
      <c r="C759" s="36" t="s">
        <v>624</v>
      </c>
    </row>
    <row r="760" spans="3:3" x14ac:dyDescent="0.3">
      <c r="C760" s="32" t="s">
        <v>101</v>
      </c>
    </row>
    <row r="761" spans="3:3" x14ac:dyDescent="0.3">
      <c r="C761" s="37" t="s">
        <v>625</v>
      </c>
    </row>
    <row r="762" spans="3:3" x14ac:dyDescent="0.3">
      <c r="C762" s="33" t="s">
        <v>626</v>
      </c>
    </row>
    <row r="763" spans="3:3" x14ac:dyDescent="0.3">
      <c r="C763" s="43" t="s">
        <v>627</v>
      </c>
    </row>
    <row r="764" spans="3:3" x14ac:dyDescent="0.3">
      <c r="C764" s="43" t="s">
        <v>628</v>
      </c>
    </row>
    <row r="765" spans="3:3" x14ac:dyDescent="0.3">
      <c r="C765" s="33" t="s">
        <v>88</v>
      </c>
    </row>
    <row r="766" spans="3:3" x14ac:dyDescent="0.3">
      <c r="C766" s="37" t="s">
        <v>629</v>
      </c>
    </row>
    <row r="767" spans="3:3" x14ac:dyDescent="0.3">
      <c r="C767" s="33" t="s">
        <v>630</v>
      </c>
    </row>
    <row r="768" spans="3:3" x14ac:dyDescent="0.3">
      <c r="C768" s="43" t="s">
        <v>631</v>
      </c>
    </row>
    <row r="769" spans="3:3" x14ac:dyDescent="0.3">
      <c r="C769" s="43" t="s">
        <v>632</v>
      </c>
    </row>
    <row r="770" spans="3:3" x14ac:dyDescent="0.3">
      <c r="C770" s="33" t="s">
        <v>88</v>
      </c>
    </row>
    <row r="771" spans="3:3" x14ac:dyDescent="0.3">
      <c r="C771" s="37" t="s">
        <v>633</v>
      </c>
    </row>
    <row r="772" spans="3:3" x14ac:dyDescent="0.3">
      <c r="C772" s="33" t="s">
        <v>634</v>
      </c>
    </row>
    <row r="773" spans="3:3" x14ac:dyDescent="0.3">
      <c r="C773" s="43" t="s">
        <v>635</v>
      </c>
    </row>
    <row r="774" spans="3:3" x14ac:dyDescent="0.3">
      <c r="C774" s="43" t="s">
        <v>636</v>
      </c>
    </row>
    <row r="775" spans="3:3" x14ac:dyDescent="0.3">
      <c r="C775" s="33" t="s">
        <v>637</v>
      </c>
    </row>
    <row r="776" spans="3:3" x14ac:dyDescent="0.3">
      <c r="C776" s="32" t="s">
        <v>88</v>
      </c>
    </row>
    <row r="777" spans="3:3" x14ac:dyDescent="0.3">
      <c r="C777" s="36" t="s">
        <v>638</v>
      </c>
    </row>
    <row r="778" spans="3:3" x14ac:dyDescent="0.3">
      <c r="C778" s="36" t="s">
        <v>639</v>
      </c>
    </row>
    <row r="779" spans="3:3" x14ac:dyDescent="0.3">
      <c r="C779" s="36" t="s">
        <v>640</v>
      </c>
    </row>
    <row r="780" spans="3:3" x14ac:dyDescent="0.3">
      <c r="C780" s="32" t="s">
        <v>641</v>
      </c>
    </row>
    <row r="781" spans="3:3" x14ac:dyDescent="0.3">
      <c r="C781" s="31" t="s">
        <v>106</v>
      </c>
    </row>
    <row r="782" spans="3:3" x14ac:dyDescent="0.3">
      <c r="C782" s="29" t="s">
        <v>106</v>
      </c>
    </row>
    <row r="784" spans="3:3" x14ac:dyDescent="0.3">
      <c r="C784" s="13" t="s">
        <v>115</v>
      </c>
    </row>
    <row r="785" spans="2:3" x14ac:dyDescent="0.3">
      <c r="C785" s="34" t="s">
        <v>642</v>
      </c>
    </row>
    <row r="787" spans="2:3" ht="14.4" thickBot="1" x14ac:dyDescent="0.35"/>
    <row r="788" spans="2:3" s="5" customFormat="1" x14ac:dyDescent="0.3">
      <c r="B788" s="5" t="s">
        <v>0</v>
      </c>
    </row>
  </sheetData>
  <dataValidations count="2">
    <dataValidation type="list" allowBlank="1" showInputMessage="1" showErrorMessage="1" sqref="D545:E545" xr:uid="{2836E839-8EF0-4954-804D-80210E1A8B12}">
      <formula1>$G$545:$G$552</formula1>
    </dataValidation>
    <dataValidation type="list" allowBlank="1" showInputMessage="1" showErrorMessage="1" sqref="D66:D67 H66:H67 L66:L67 O66:O67 D114:D115 H114:H115 D131:D132 H131:H132 H134:H135 L131:L132 L134:L135 P131:Q132 P134:P135 D156:E157 D159:D160 H156:I157 H159:H160 D234:E235 D237:D239 H234:I235 H237:H240 D546:E547 D549:D552" xr:uid="{DC0414CA-9CA9-4CC2-8FAF-6D4C715A2F70}">
      <formula1>_YesNo</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E6CB0-88CD-4879-9E83-98E1AB05F58D}">
  <sheetPr codeName="Sheet6"/>
  <dimension ref="B1:T1050"/>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19" s="113" customFormat="1" ht="30" customHeight="1" x14ac:dyDescent="0.3">
      <c r="C1" s="2" t="s">
        <v>1214</v>
      </c>
    </row>
    <row r="3" spans="2:19" x14ac:dyDescent="0.3">
      <c r="B3" s="14" t="s">
        <v>1</v>
      </c>
    </row>
    <row r="4" spans="2:19" x14ac:dyDescent="0.3">
      <c r="C4" t="s">
        <v>1215</v>
      </c>
    </row>
    <row r="5" spans="2:19" x14ac:dyDescent="0.3">
      <c r="C5" t="s">
        <v>1216</v>
      </c>
    </row>
    <row r="6" spans="2:19" x14ac:dyDescent="0.3">
      <c r="C6" t="s">
        <v>1217</v>
      </c>
    </row>
    <row r="7" spans="2:19" x14ac:dyDescent="0.3">
      <c r="C7" t="s">
        <v>1218</v>
      </c>
    </row>
    <row r="8" spans="2:19" x14ac:dyDescent="0.3">
      <c r="C8" t="s">
        <v>1219</v>
      </c>
    </row>
    <row r="10" spans="2:19" x14ac:dyDescent="0.3">
      <c r="B10" s="14" t="s">
        <v>991</v>
      </c>
    </row>
    <row r="11" spans="2:19" ht="14.4" thickBot="1" x14ac:dyDescent="0.35">
      <c r="C11" s="51" t="s">
        <v>1220</v>
      </c>
      <c r="D11" s="51" t="s">
        <v>1047</v>
      </c>
      <c r="E11" s="51" t="s">
        <v>1048</v>
      </c>
      <c r="G11" s="51" t="s">
        <v>1220</v>
      </c>
      <c r="H11" s="51" t="s">
        <v>1221</v>
      </c>
      <c r="I11" s="51" t="s">
        <v>1222</v>
      </c>
      <c r="K11" s="51" t="s">
        <v>1220</v>
      </c>
      <c r="L11" s="51" t="s">
        <v>1047</v>
      </c>
      <c r="M11" s="51" t="s">
        <v>1048</v>
      </c>
      <c r="N11" s="51" t="s">
        <v>1049</v>
      </c>
      <c r="P11" s="51" t="s">
        <v>1220</v>
      </c>
      <c r="Q11" s="51" t="s">
        <v>1221</v>
      </c>
      <c r="R11" s="51" t="s">
        <v>1222</v>
      </c>
      <c r="S11" s="51" t="s">
        <v>1223</v>
      </c>
    </row>
    <row r="12" spans="2:19" x14ac:dyDescent="0.3">
      <c r="C12" s="137" t="s">
        <v>1224</v>
      </c>
      <c r="D12" s="137" t="s">
        <v>37</v>
      </c>
      <c r="E12" s="138">
        <v>1</v>
      </c>
      <c r="G12" s="137" t="s">
        <v>1225</v>
      </c>
      <c r="H12" s="139">
        <v>33</v>
      </c>
      <c r="I12" s="137" t="s">
        <v>1226</v>
      </c>
      <c r="K12" s="137" t="s">
        <v>1224</v>
      </c>
      <c r="L12" s="137" t="s">
        <v>37</v>
      </c>
      <c r="M12" s="138">
        <v>1</v>
      </c>
      <c r="N12" s="140" t="s">
        <v>1227</v>
      </c>
      <c r="P12" s="137" t="s">
        <v>1228</v>
      </c>
      <c r="Q12" s="139">
        <v>9</v>
      </c>
      <c r="R12" s="140" t="s">
        <v>1229</v>
      </c>
      <c r="S12" s="140" t="s">
        <v>1230</v>
      </c>
    </row>
    <row r="13" spans="2:19" x14ac:dyDescent="0.3">
      <c r="C13" s="140" t="s">
        <v>1231</v>
      </c>
      <c r="D13" s="140" t="s">
        <v>38</v>
      </c>
      <c r="E13" s="139">
        <v>2</v>
      </c>
      <c r="G13" s="140" t="s">
        <v>1232</v>
      </c>
      <c r="H13" s="139">
        <v>66</v>
      </c>
      <c r="I13" s="140" t="s">
        <v>1233</v>
      </c>
      <c r="K13" s="140" t="s">
        <v>1231</v>
      </c>
      <c r="L13" s="140" t="s">
        <v>38</v>
      </c>
      <c r="M13" s="139">
        <v>2</v>
      </c>
      <c r="N13" s="140" t="s">
        <v>1234</v>
      </c>
      <c r="P13" s="137" t="s">
        <v>1235</v>
      </c>
      <c r="Q13" s="139">
        <v>7</v>
      </c>
      <c r="R13" s="140" t="s">
        <v>1236</v>
      </c>
      <c r="S13" s="140" t="s">
        <v>1237</v>
      </c>
    </row>
    <row r="14" spans="2:19" x14ac:dyDescent="0.3">
      <c r="C14" s="140" t="s">
        <v>1225</v>
      </c>
      <c r="D14" s="140" t="s">
        <v>39</v>
      </c>
      <c r="E14" s="139">
        <v>3</v>
      </c>
      <c r="G14" s="140" t="s">
        <v>1238</v>
      </c>
      <c r="H14" s="139">
        <v>44</v>
      </c>
      <c r="I14" s="140" t="s">
        <v>1239</v>
      </c>
      <c r="K14" s="140" t="s">
        <v>1225</v>
      </c>
      <c r="L14" s="140" t="s">
        <v>39</v>
      </c>
      <c r="M14" s="139">
        <v>3</v>
      </c>
      <c r="N14" s="140" t="s">
        <v>1240</v>
      </c>
      <c r="P14" s="137" t="s">
        <v>1241</v>
      </c>
      <c r="Q14" s="139">
        <v>10</v>
      </c>
      <c r="R14" s="140" t="s">
        <v>106</v>
      </c>
      <c r="S14" s="140" t="s">
        <v>1242</v>
      </c>
    </row>
    <row r="15" spans="2:19" x14ac:dyDescent="0.3">
      <c r="C15" s="140" t="s">
        <v>1238</v>
      </c>
      <c r="D15" s="140" t="s">
        <v>40</v>
      </c>
      <c r="E15" s="139">
        <v>4</v>
      </c>
      <c r="G15" s="140" t="s">
        <v>1235</v>
      </c>
      <c r="H15" s="139">
        <v>77</v>
      </c>
      <c r="I15" s="140" t="s">
        <v>1243</v>
      </c>
      <c r="K15" s="140" t="s">
        <v>1238</v>
      </c>
      <c r="L15" s="140" t="s">
        <v>40</v>
      </c>
      <c r="M15" s="139">
        <v>4</v>
      </c>
      <c r="N15" s="140" t="s">
        <v>1244</v>
      </c>
      <c r="P15" s="137" t="s">
        <v>1231</v>
      </c>
      <c r="Q15" s="139">
        <v>2</v>
      </c>
      <c r="R15" s="140" t="s">
        <v>1234</v>
      </c>
      <c r="S15" s="140" t="s">
        <v>1245</v>
      </c>
    </row>
    <row r="16" spans="2:19" x14ac:dyDescent="0.3">
      <c r="C16" s="140" t="s">
        <v>1246</v>
      </c>
      <c r="D16" s="140" t="s">
        <v>41</v>
      </c>
      <c r="E16" s="139">
        <v>5</v>
      </c>
      <c r="G16" s="140" t="s">
        <v>1224</v>
      </c>
      <c r="H16" s="139">
        <v>11</v>
      </c>
      <c r="I16" s="140" t="s">
        <v>1247</v>
      </c>
      <c r="K16" s="140" t="s">
        <v>1246</v>
      </c>
      <c r="L16" s="140" t="s">
        <v>41</v>
      </c>
      <c r="M16" s="139">
        <v>5</v>
      </c>
      <c r="N16" s="140" t="s">
        <v>1248</v>
      </c>
      <c r="P16" s="137" t="s">
        <v>1238</v>
      </c>
      <c r="Q16" s="139">
        <v>4</v>
      </c>
      <c r="R16" s="140" t="s">
        <v>1244</v>
      </c>
      <c r="S16" s="140" t="s">
        <v>1249</v>
      </c>
    </row>
    <row r="17" spans="2:20" x14ac:dyDescent="0.3">
      <c r="C17" s="140" t="s">
        <v>1232</v>
      </c>
      <c r="D17" s="140" t="s">
        <v>42</v>
      </c>
      <c r="E17" s="139">
        <v>6</v>
      </c>
      <c r="G17" s="140" t="s">
        <v>1231</v>
      </c>
      <c r="H17" s="139">
        <v>22</v>
      </c>
      <c r="I17" s="140" t="s">
        <v>1250</v>
      </c>
      <c r="K17" s="140" t="s">
        <v>1232</v>
      </c>
      <c r="L17" s="140" t="s">
        <v>42</v>
      </c>
      <c r="M17" s="139">
        <v>6</v>
      </c>
      <c r="N17" s="140" t="s">
        <v>1251</v>
      </c>
      <c r="P17" s="137" t="s">
        <v>1252</v>
      </c>
      <c r="Q17" s="139">
        <v>8</v>
      </c>
      <c r="R17" s="140" t="s">
        <v>1253</v>
      </c>
      <c r="S17" s="140" t="s">
        <v>1254</v>
      </c>
    </row>
    <row r="18" spans="2:20" x14ac:dyDescent="0.3">
      <c r="C18" s="140" t="s">
        <v>1235</v>
      </c>
      <c r="D18" s="140" t="s">
        <v>43</v>
      </c>
      <c r="E18" s="139">
        <v>7</v>
      </c>
      <c r="G18" s="140" t="s">
        <v>1252</v>
      </c>
      <c r="H18" s="139">
        <v>88</v>
      </c>
      <c r="I18" s="140" t="s">
        <v>1255</v>
      </c>
      <c r="K18" s="140" t="s">
        <v>1235</v>
      </c>
      <c r="L18" s="140" t="s">
        <v>43</v>
      </c>
      <c r="M18" s="139">
        <v>7</v>
      </c>
      <c r="N18" s="140" t="s">
        <v>1236</v>
      </c>
      <c r="P18" s="137" t="s">
        <v>1256</v>
      </c>
      <c r="Q18" s="139">
        <v>12</v>
      </c>
      <c r="R18" s="140" t="s">
        <v>1257</v>
      </c>
      <c r="S18" s="141" t="s">
        <v>1258</v>
      </c>
    </row>
    <row r="19" spans="2:20" x14ac:dyDescent="0.3">
      <c r="C19" s="140" t="s">
        <v>1252</v>
      </c>
      <c r="D19" s="140" t="s">
        <v>44</v>
      </c>
      <c r="E19" s="139">
        <v>8</v>
      </c>
      <c r="G19" s="140" t="s">
        <v>1246</v>
      </c>
      <c r="H19" s="139">
        <v>55</v>
      </c>
      <c r="I19" s="140" t="s">
        <v>1259</v>
      </c>
      <c r="K19" s="140" t="s">
        <v>1252</v>
      </c>
      <c r="L19" s="140" t="s">
        <v>44</v>
      </c>
      <c r="M19" s="139">
        <v>8</v>
      </c>
      <c r="N19" s="140" t="s">
        <v>1253</v>
      </c>
      <c r="P19" s="137" t="s">
        <v>1224</v>
      </c>
      <c r="Q19" s="139">
        <v>1</v>
      </c>
      <c r="R19" s="140" t="s">
        <v>1227</v>
      </c>
      <c r="S19" s="140" t="s">
        <v>1260</v>
      </c>
    </row>
    <row r="20" spans="2:20" x14ac:dyDescent="0.3">
      <c r="K20" s="140" t="s">
        <v>1228</v>
      </c>
      <c r="L20" s="140" t="s">
        <v>689</v>
      </c>
      <c r="M20" s="139">
        <v>9</v>
      </c>
      <c r="N20" s="140" t="s">
        <v>1229</v>
      </c>
      <c r="P20" s="137" t="s">
        <v>1232</v>
      </c>
      <c r="Q20" s="139">
        <v>6</v>
      </c>
      <c r="R20" s="140" t="s">
        <v>1251</v>
      </c>
      <c r="S20" s="140" t="s">
        <v>1261</v>
      </c>
    </row>
    <row r="21" spans="2:20" x14ac:dyDescent="0.3">
      <c r="K21" s="140" t="s">
        <v>1241</v>
      </c>
      <c r="L21" s="140" t="s">
        <v>690</v>
      </c>
      <c r="M21" s="139">
        <v>10</v>
      </c>
      <c r="N21" s="140" t="s">
        <v>106</v>
      </c>
      <c r="P21" s="137" t="s">
        <v>1262</v>
      </c>
      <c r="Q21" s="139">
        <v>11</v>
      </c>
      <c r="R21" s="140" t="s">
        <v>1263</v>
      </c>
      <c r="S21" s="141" t="s">
        <v>1264</v>
      </c>
    </row>
    <row r="23" spans="2:20" s="8" customFormat="1" ht="16.2" thickBot="1" x14ac:dyDescent="0.35">
      <c r="B23" s="9">
        <f xml:space="preserve"> MAX(B$1:B22) + 1</f>
        <v>1</v>
      </c>
      <c r="C23" s="8" t="s">
        <v>4</v>
      </c>
    </row>
    <row r="25" spans="2:20" x14ac:dyDescent="0.3">
      <c r="B25" s="28" t="s">
        <v>1265</v>
      </c>
      <c r="C25" s="27"/>
      <c r="D25" s="27"/>
      <c r="E25" s="27"/>
      <c r="F25" s="27"/>
      <c r="G25" s="27"/>
      <c r="H25" s="27"/>
      <c r="I25" s="27"/>
      <c r="J25" s="27"/>
      <c r="K25" s="27"/>
      <c r="L25" s="27"/>
      <c r="M25" s="27"/>
      <c r="N25" s="27"/>
      <c r="O25" s="27"/>
      <c r="P25" s="27"/>
      <c r="Q25" s="27"/>
      <c r="R25" s="27"/>
      <c r="S25" s="27"/>
      <c r="T25" s="27"/>
    </row>
    <row r="27" spans="2:20" x14ac:dyDescent="0.3">
      <c r="C27" s="69" t="s">
        <v>374</v>
      </c>
    </row>
    <row r="28" spans="2:20" x14ac:dyDescent="0.3">
      <c r="C28" t="s">
        <v>1266</v>
      </c>
    </row>
    <row r="29" spans="2:20" x14ac:dyDescent="0.3">
      <c r="C29" t="s">
        <v>1267</v>
      </c>
    </row>
    <row r="30" spans="2:20" x14ac:dyDescent="0.3">
      <c r="C30" t="s">
        <v>1268</v>
      </c>
    </row>
    <row r="31" spans="2:20" x14ac:dyDescent="0.3">
      <c r="C31" t="s">
        <v>1269</v>
      </c>
    </row>
    <row r="34" spans="2:12" x14ac:dyDescent="0.3">
      <c r="B34" s="74" t="str" cm="1">
        <f t="array" ref="B34" xml:space="preserve"> "(" &amp; _xlfn.UNICHAR( 65 + SUMPRODUCT(--(_xlfn.REGEXTEST(B$1:B33, "^\([A-Z]\)$")))) &amp; ")"</f>
        <v>(A)</v>
      </c>
      <c r="C34" s="13" t="s">
        <v>1270</v>
      </c>
    </row>
    <row r="35" spans="2:12" x14ac:dyDescent="0.3">
      <c r="C35" s="13" t="s">
        <v>1271</v>
      </c>
    </row>
    <row r="36" spans="2:12" x14ac:dyDescent="0.3">
      <c r="C36" s="142" t="s">
        <v>1070</v>
      </c>
      <c r="E36" s="142" t="s">
        <v>1072</v>
      </c>
      <c r="G36" t="s">
        <v>1272</v>
      </c>
      <c r="I36" t="s">
        <v>1273</v>
      </c>
    </row>
    <row r="37" spans="2:12" ht="14.4" thickBot="1" x14ac:dyDescent="0.35">
      <c r="C37" s="51" t="s">
        <v>1220</v>
      </c>
      <c r="E37" s="51" t="s">
        <v>1220</v>
      </c>
      <c r="G37" s="51" t="s">
        <v>1274</v>
      </c>
      <c r="I37" s="51" t="s">
        <v>1220</v>
      </c>
      <c r="J37" s="51" t="s">
        <v>1221</v>
      </c>
      <c r="K37" s="51" t="s">
        <v>1222</v>
      </c>
    </row>
    <row r="38" spans="2:12" x14ac:dyDescent="0.3">
      <c r="C38" s="143" t="str" cm="1">
        <f t="array" ref="C38:C45" xml:space="preserve"> $C$12:$C$19</f>
        <v>X-001</v>
      </c>
      <c r="D38" s="144">
        <v>1</v>
      </c>
      <c r="E38" s="143" t="str" cm="1">
        <f t="array" ref="E38:E45" xml:space="preserve"> $G$12:$G$19</f>
        <v>X-003</v>
      </c>
      <c r="G38" s="20" cm="1">
        <f t="array" ref="G38:G45" xml:space="preserve"> _xlfn.LET(
  _xlpm._arr1, $C$12:$E$19,
  _xlpm._arr2, $G$12:$I$19,
  _xlpm._idx1, 1,
  _xlpm._idx2, 1,
  _xlpm._uId1, _xlfn.CHOOSECOLS(_xlpm._arr1, _xlpm._idx1),
  _xlpm._uId2, _xlfn.CHOOSECOLS(_xlpm._arr2, _xlpm._idx2),
  _xlpm._mtch, _xlfn.DROP(_xlfn.REDUCE(0, _xlpm._uId1, _xlfn.LAMBDA(_xlpm._acc,_xlpm._val, _xlfn.VSTACK(_xlpm._acc, _xlfn.IFNA(MATCH(_xlpm._val, _xlpm._uId2, 0), 0)))), 1),
  _xlpm._mtch
)</f>
        <v>5</v>
      </c>
      <c r="I38" s="115" t="str" cm="1">
        <f t="array" ref="I38:K45" xml:space="preserve"> IF(_xlfn.ANCHORARRAY(G38) &gt; 0, INDEX($G$12:$I$19,_xlfn.ANCHORARRAY( G38), _xlfn.SEQUENCE(1, COLUMNS($G$12:$I$19))), NA())</f>
        <v>X-001</v>
      </c>
      <c r="J38" s="115">
        <v>11</v>
      </c>
      <c r="K38" s="115" t="str">
        <v>!!!</v>
      </c>
      <c r="L38" s="52" t="str">
        <f ca="1" xml:space="preserve"> _xlfn.FORMULATEXT(I38)</f>
        <v>= IF(G38# &gt; 0, INDEX($G$12:$I$19, G38#, SEQUENCE(1, COLUMNS($G$12:$I$19))), NA())</v>
      </c>
    </row>
    <row r="39" spans="2:12" x14ac:dyDescent="0.3">
      <c r="C39" s="143" t="str">
        <v>X-002</v>
      </c>
      <c r="D39" s="144">
        <v>2</v>
      </c>
      <c r="E39" s="143" t="str">
        <v>X-006</v>
      </c>
      <c r="G39" s="20">
        <v>6</v>
      </c>
      <c r="I39" s="115" t="str">
        <v>X-002</v>
      </c>
      <c r="J39" s="115">
        <v>22</v>
      </c>
      <c r="K39" s="115" t="str">
        <v>"""</v>
      </c>
    </row>
    <row r="40" spans="2:12" x14ac:dyDescent="0.3">
      <c r="C40" s="143" t="str">
        <v>X-003</v>
      </c>
      <c r="D40" s="144">
        <v>3</v>
      </c>
      <c r="E40" s="143" t="str">
        <v>X-004</v>
      </c>
      <c r="G40" s="20">
        <v>1</v>
      </c>
      <c r="I40" s="115" t="str">
        <v>X-003</v>
      </c>
      <c r="J40" s="115">
        <v>33</v>
      </c>
      <c r="K40" s="115" t="str">
        <v>£££</v>
      </c>
    </row>
    <row r="41" spans="2:12" x14ac:dyDescent="0.3">
      <c r="C41" s="143" t="str">
        <v>X-004</v>
      </c>
      <c r="D41" s="144">
        <v>4</v>
      </c>
      <c r="E41" s="143" t="str">
        <v>X-007</v>
      </c>
      <c r="G41" s="20">
        <v>3</v>
      </c>
      <c r="I41" s="115" t="str">
        <v>X-004</v>
      </c>
      <c r="J41" s="115">
        <v>44</v>
      </c>
      <c r="K41" s="115" t="str">
        <v>$$$</v>
      </c>
    </row>
    <row r="42" spans="2:12" x14ac:dyDescent="0.3">
      <c r="C42" s="143" t="str">
        <v>X-005</v>
      </c>
      <c r="D42" s="144">
        <v>5</v>
      </c>
      <c r="E42" s="143" t="str">
        <v>X-001</v>
      </c>
      <c r="G42" s="20">
        <v>8</v>
      </c>
      <c r="I42" s="115" t="str">
        <v>X-005</v>
      </c>
      <c r="J42" s="115">
        <v>55</v>
      </c>
      <c r="K42" s="115" t="str">
        <v>%%%</v>
      </c>
    </row>
    <row r="43" spans="2:12" x14ac:dyDescent="0.3">
      <c r="C43" s="143" t="str">
        <v>X-006</v>
      </c>
      <c r="D43" s="144">
        <v>6</v>
      </c>
      <c r="E43" s="143" t="str">
        <v>X-002</v>
      </c>
      <c r="G43" s="20">
        <v>2</v>
      </c>
      <c r="I43" s="115" t="str">
        <v>X-006</v>
      </c>
      <c r="J43" s="115">
        <v>66</v>
      </c>
      <c r="K43" s="115" t="str">
        <v>^^^</v>
      </c>
    </row>
    <row r="44" spans="2:12" x14ac:dyDescent="0.3">
      <c r="C44" s="143" t="str">
        <v>X-007</v>
      </c>
      <c r="D44" s="144">
        <v>7</v>
      </c>
      <c r="E44" s="143" t="str">
        <v>X-008</v>
      </c>
      <c r="G44" s="20">
        <v>4</v>
      </c>
      <c r="I44" s="115" t="str">
        <v>X-007</v>
      </c>
      <c r="J44" s="115">
        <v>77</v>
      </c>
      <c r="K44" s="115" t="str">
        <v>&amp;&amp;&amp;</v>
      </c>
    </row>
    <row r="45" spans="2:12" x14ac:dyDescent="0.3">
      <c r="C45" s="143" t="str">
        <v>X-008</v>
      </c>
      <c r="D45" s="144">
        <v>8</v>
      </c>
      <c r="E45" s="143" t="str">
        <v>X-005</v>
      </c>
      <c r="G45" s="20">
        <v>7</v>
      </c>
      <c r="I45" s="115" t="str">
        <v>X-008</v>
      </c>
      <c r="J45" s="115">
        <v>88</v>
      </c>
      <c r="K45" s="115" t="str">
        <v>***</v>
      </c>
    </row>
    <row r="46" spans="2:12" x14ac:dyDescent="0.3">
      <c r="G46" s="52" t="str" cm="1">
        <f t="array" aca="1" ref="G46:G55" ca="1" xml:space="preserve"> _xlfn.TEXTSPLIT( _xlfn.FORMULATEXT(G38), , CHAR(10))</f>
        <v>= LET(</v>
      </c>
    </row>
    <row r="47" spans="2:12" x14ac:dyDescent="0.3">
      <c r="G47" s="52" t="str">
        <f ca="1"/>
        <v xml:space="preserve">  _arr1, $C$12:$E$19,</v>
      </c>
    </row>
    <row r="48" spans="2:12" x14ac:dyDescent="0.3">
      <c r="G48" s="52" t="str">
        <f ca="1"/>
        <v xml:space="preserve">  _arr2, $G$12:$I$19,</v>
      </c>
    </row>
    <row r="49" spans="2:12" x14ac:dyDescent="0.3">
      <c r="G49" s="52" t="str">
        <f ca="1"/>
        <v xml:space="preserve">  _idx1, 1,</v>
      </c>
    </row>
    <row r="50" spans="2:12" x14ac:dyDescent="0.3">
      <c r="G50" s="52" t="str">
        <f ca="1"/>
        <v xml:space="preserve">  _idx2, 1,</v>
      </c>
    </row>
    <row r="51" spans="2:12" x14ac:dyDescent="0.3">
      <c r="G51" s="52" t="str">
        <f ca="1"/>
        <v xml:space="preserve">  _uId1, CHOOSECOLS(_arr1, _idx1),</v>
      </c>
    </row>
    <row r="52" spans="2:12" x14ac:dyDescent="0.3">
      <c r="G52" s="52" t="str">
        <f ca="1"/>
        <v xml:space="preserve">  _uId2, CHOOSECOLS(_arr2, _idx2),</v>
      </c>
    </row>
    <row r="53" spans="2:12" x14ac:dyDescent="0.3">
      <c r="G53" s="52" t="str">
        <f ca="1"/>
        <v xml:space="preserve">  _mtch, DROP(REDUCE(0, _uId1, LAMBDA(_acc,_val, VSTACK(_acc, IFNA(MATCH(_val, _uId2, 0), 0)))), 1),</v>
      </c>
    </row>
    <row r="54" spans="2:12" x14ac:dyDescent="0.3">
      <c r="G54" s="52" t="str">
        <f ca="1"/>
        <v xml:space="preserve">  _mtch</v>
      </c>
    </row>
    <row r="55" spans="2:12" x14ac:dyDescent="0.3">
      <c r="G55" s="52" t="str">
        <f ca="1"/>
        <v>)</v>
      </c>
    </row>
    <row r="57" spans="2:12" x14ac:dyDescent="0.3">
      <c r="B57" s="74" t="str" cm="1">
        <f t="array" ref="B57" xml:space="preserve"> "(" &amp; _xlfn.UNICHAR( 65 + SUMPRODUCT(--(_xlfn.REGEXTEST(B$1:B56, "^\([A-Z]\)$")))) &amp; ")"</f>
        <v>(B)</v>
      </c>
      <c r="C57" s="13" t="s">
        <v>1270</v>
      </c>
    </row>
    <row r="58" spans="2:12" x14ac:dyDescent="0.3">
      <c r="C58" s="13" t="s">
        <v>1275</v>
      </c>
    </row>
    <row r="59" spans="2:12" x14ac:dyDescent="0.3">
      <c r="C59" s="142" t="s">
        <v>1070</v>
      </c>
      <c r="E59" s="142" t="s">
        <v>1072</v>
      </c>
      <c r="G59" t="s">
        <v>1272</v>
      </c>
      <c r="I59" t="s">
        <v>1273</v>
      </c>
    </row>
    <row r="60" spans="2:12" ht="14.4" thickBot="1" x14ac:dyDescent="0.35">
      <c r="C60" s="51" t="s">
        <v>1220</v>
      </c>
      <c r="E60" s="51" t="s">
        <v>1220</v>
      </c>
      <c r="G60" s="51" t="s">
        <v>1274</v>
      </c>
      <c r="I60" s="51" t="s">
        <v>1220</v>
      </c>
      <c r="J60" s="51" t="s">
        <v>1221</v>
      </c>
      <c r="K60" s="51" t="s">
        <v>1222</v>
      </c>
    </row>
    <row r="61" spans="2:12" x14ac:dyDescent="0.3">
      <c r="C61" s="143" t="str" cm="1">
        <f t="array" ref="C61:C68" xml:space="preserve"> $C$12:$C$19</f>
        <v>X-001</v>
      </c>
      <c r="D61" s="144">
        <v>1</v>
      </c>
      <c r="E61" s="143" t="str" cm="1">
        <f t="array" ref="E61:E66" xml:space="preserve"> $G$12:$G$17</f>
        <v>X-003</v>
      </c>
      <c r="G61" s="20" cm="1">
        <f t="array" ref="G61:G68" xml:space="preserve"> _xlfn.LET(
  _xlpm._arr1, $C$12:$E$19,
  _xlpm._arr2, $G$12:$I$17,
  _xlpm._idx1, 1,
  _xlpm._idx2, 1,
  _xlpm._uId1, _xlfn.CHOOSECOLS(_xlpm._arr1, _xlpm._idx1),
  _xlpm._uId2, _xlfn.CHOOSECOLS(_xlpm._arr2, _xlpm._idx2),
  _xlpm._mtch, _xlfn.DROP(_xlfn.REDUCE(0, _xlpm._uId1, _xlfn.LAMBDA(_xlpm._acc,_xlpm._val, _xlfn.VSTACK(_xlpm._acc, _xlfn.IFNA(MATCH(_xlpm._val, _xlpm._uId2, 0), 0)))), 1),
  _xlpm._mtch
)</f>
        <v>5</v>
      </c>
      <c r="I61" s="115" t="str" cm="1">
        <f t="array" ref="I61:K68" xml:space="preserve"> IF(_xlfn.ANCHORARRAY(G61) &gt; 0, INDEX($G$12:$I$19,_xlfn.ANCHORARRAY( G61), _xlfn.SEQUENCE(1, COLUMNS($G$12:$I$19))), NA())</f>
        <v>X-001</v>
      </c>
      <c r="J61" s="115">
        <v>11</v>
      </c>
      <c r="K61" s="115" t="str">
        <v>!!!</v>
      </c>
      <c r="L61" s="52" t="str">
        <f ca="1" xml:space="preserve"> _xlfn.FORMULATEXT(I61)</f>
        <v>= IF(G61# &gt; 0, INDEX($G$12:$I$19, G61#, SEQUENCE(1, COLUMNS($G$12:$I$19))), NA())</v>
      </c>
    </row>
    <row r="62" spans="2:12" x14ac:dyDescent="0.3">
      <c r="C62" s="143" t="str">
        <v>X-002</v>
      </c>
      <c r="D62" s="144">
        <v>2</v>
      </c>
      <c r="E62" s="143" t="str">
        <v>X-006</v>
      </c>
      <c r="G62" s="20">
        <v>6</v>
      </c>
      <c r="I62" s="115" t="str">
        <v>X-002</v>
      </c>
      <c r="J62" s="115">
        <v>22</v>
      </c>
      <c r="K62" s="115" t="str">
        <v>"""</v>
      </c>
    </row>
    <row r="63" spans="2:12" x14ac:dyDescent="0.3">
      <c r="C63" s="143" t="str">
        <v>X-003</v>
      </c>
      <c r="D63" s="144">
        <v>3</v>
      </c>
      <c r="E63" s="143" t="str">
        <v>X-004</v>
      </c>
      <c r="G63" s="20">
        <v>1</v>
      </c>
      <c r="I63" s="115" t="str">
        <v>X-003</v>
      </c>
      <c r="J63" s="115">
        <v>33</v>
      </c>
      <c r="K63" s="115" t="str">
        <v>£££</v>
      </c>
    </row>
    <row r="64" spans="2:12" x14ac:dyDescent="0.3">
      <c r="C64" s="143" t="str">
        <v>X-004</v>
      </c>
      <c r="D64" s="144">
        <v>4</v>
      </c>
      <c r="E64" s="143" t="str">
        <v>X-007</v>
      </c>
      <c r="G64" s="20">
        <v>3</v>
      </c>
      <c r="I64" s="115" t="str">
        <v>X-004</v>
      </c>
      <c r="J64" s="115">
        <v>44</v>
      </c>
      <c r="K64" s="115" t="str">
        <v>$$$</v>
      </c>
    </row>
    <row r="65" spans="2:11" x14ac:dyDescent="0.3">
      <c r="C65" s="143" t="str">
        <v>X-005</v>
      </c>
      <c r="D65" s="144">
        <v>5</v>
      </c>
      <c r="E65" s="143" t="str">
        <v>X-001</v>
      </c>
      <c r="G65" s="20">
        <v>0</v>
      </c>
      <c r="I65" s="115" t="e">
        <v>#N/A</v>
      </c>
      <c r="J65" s="115" t="e">
        <v>#N/A</v>
      </c>
      <c r="K65" s="115" t="e">
        <v>#N/A</v>
      </c>
    </row>
    <row r="66" spans="2:11" x14ac:dyDescent="0.3">
      <c r="C66" s="143" t="str">
        <v>X-006</v>
      </c>
      <c r="D66" s="144">
        <v>6</v>
      </c>
      <c r="E66" s="143" t="str">
        <v>X-002</v>
      </c>
      <c r="G66" s="20">
        <v>2</v>
      </c>
      <c r="I66" s="115" t="str">
        <v>X-006</v>
      </c>
      <c r="J66" s="115">
        <v>66</v>
      </c>
      <c r="K66" s="115" t="str">
        <v>^^^</v>
      </c>
    </row>
    <row r="67" spans="2:11" x14ac:dyDescent="0.3">
      <c r="C67" s="143" t="str">
        <v>X-007</v>
      </c>
      <c r="E67" s="145"/>
      <c r="G67" s="20">
        <v>4</v>
      </c>
      <c r="I67" s="115" t="str">
        <v>X-007</v>
      </c>
      <c r="J67" s="115">
        <v>77</v>
      </c>
      <c r="K67" s="115" t="str">
        <v>&amp;&amp;&amp;</v>
      </c>
    </row>
    <row r="68" spans="2:11" x14ac:dyDescent="0.3">
      <c r="C68" s="143" t="str">
        <v>X-008</v>
      </c>
      <c r="E68" s="145"/>
      <c r="G68" s="20">
        <v>0</v>
      </c>
      <c r="I68" s="115" t="e">
        <v>#N/A</v>
      </c>
      <c r="J68" s="115" t="e">
        <v>#N/A</v>
      </c>
      <c r="K68" s="115" t="e">
        <v>#N/A</v>
      </c>
    </row>
    <row r="69" spans="2:11" x14ac:dyDescent="0.3">
      <c r="G69" s="52" t="str" cm="1">
        <f t="array" aca="1" ref="G69:G78" ca="1" xml:space="preserve"> _xlfn.TEXTSPLIT( _xlfn.FORMULATEXT(G61), , CHAR(10))</f>
        <v>= LET(</v>
      </c>
    </row>
    <row r="70" spans="2:11" x14ac:dyDescent="0.3">
      <c r="G70" s="52" t="str">
        <f ca="1"/>
        <v xml:space="preserve">  _arr1, $C$12:$E$19,</v>
      </c>
    </row>
    <row r="71" spans="2:11" x14ac:dyDescent="0.3">
      <c r="G71" s="52" t="str">
        <f ca="1"/>
        <v xml:space="preserve">  _arr2, $G$12:$I$17,</v>
      </c>
    </row>
    <row r="72" spans="2:11" x14ac:dyDescent="0.3">
      <c r="G72" s="52" t="str">
        <f ca="1"/>
        <v xml:space="preserve">  _idx1, 1,</v>
      </c>
    </row>
    <row r="73" spans="2:11" x14ac:dyDescent="0.3">
      <c r="G73" s="52" t="str">
        <f ca="1"/>
        <v xml:space="preserve">  _idx2, 1,</v>
      </c>
    </row>
    <row r="74" spans="2:11" x14ac:dyDescent="0.3">
      <c r="G74" s="52" t="str">
        <f ca="1"/>
        <v xml:space="preserve">  _uId1, CHOOSECOLS(_arr1, _idx1),</v>
      </c>
    </row>
    <row r="75" spans="2:11" x14ac:dyDescent="0.3">
      <c r="G75" s="52" t="str">
        <f ca="1"/>
        <v xml:space="preserve">  _uId2, CHOOSECOLS(_arr2, _idx2),</v>
      </c>
    </row>
    <row r="76" spans="2:11" x14ac:dyDescent="0.3">
      <c r="G76" s="52" t="str">
        <f ca="1"/>
        <v xml:space="preserve">  _mtch, DROP(REDUCE(0, _uId1, LAMBDA(_acc,_val, VSTACK(_acc, IFNA(MATCH(_val, _uId2, 0), 0)))), 1),</v>
      </c>
    </row>
    <row r="77" spans="2:11" x14ac:dyDescent="0.3">
      <c r="G77" s="52" t="str">
        <f ca="1"/>
        <v xml:space="preserve">  _mtch</v>
      </c>
    </row>
    <row r="78" spans="2:11" x14ac:dyDescent="0.3">
      <c r="G78" s="52" t="str">
        <f ca="1"/>
        <v>)</v>
      </c>
    </row>
    <row r="80" spans="2:11" x14ac:dyDescent="0.3">
      <c r="B80" s="74" t="str" cm="1">
        <f t="array" ref="B80" xml:space="preserve"> "(" &amp; _xlfn.UNICHAR( 65 + SUMPRODUCT(--(_xlfn.REGEXTEST(B$1:B79, "^\([A-Z]\)$")))) &amp; ")"</f>
        <v>(C)</v>
      </c>
      <c r="C80" s="13" t="s">
        <v>1276</v>
      </c>
    </row>
    <row r="81" spans="3:12" x14ac:dyDescent="0.3">
      <c r="C81" s="13" t="s">
        <v>1275</v>
      </c>
    </row>
    <row r="82" spans="3:12" x14ac:dyDescent="0.3">
      <c r="C82" s="142" t="s">
        <v>1070</v>
      </c>
      <c r="E82" s="142" t="s">
        <v>1072</v>
      </c>
      <c r="G82" t="s">
        <v>1272</v>
      </c>
    </row>
    <row r="83" spans="3:12" ht="14.4" thickBot="1" x14ac:dyDescent="0.35">
      <c r="C83" s="51" t="s">
        <v>1220</v>
      </c>
      <c r="E83" s="51" t="s">
        <v>1220</v>
      </c>
      <c r="G83" s="51" t="s">
        <v>1220</v>
      </c>
      <c r="H83" s="51" t="s">
        <v>1047</v>
      </c>
      <c r="I83" s="51" t="s">
        <v>1048</v>
      </c>
      <c r="J83" s="51" t="s">
        <v>1220</v>
      </c>
      <c r="K83" s="51" t="s">
        <v>1221</v>
      </c>
      <c r="L83" s="51" t="s">
        <v>1222</v>
      </c>
    </row>
    <row r="84" spans="3:12" x14ac:dyDescent="0.3">
      <c r="C84" s="143" t="str" cm="1">
        <f t="array" ref="C84:C91" xml:space="preserve"> $C$12:$C$19</f>
        <v>X-001</v>
      </c>
      <c r="D84" s="144">
        <v>1</v>
      </c>
      <c r="E84" s="143" t="str" cm="1">
        <f t="array" ref="E84:E89" xml:space="preserve"> $G$12:$G$17</f>
        <v>X-003</v>
      </c>
      <c r="G84" s="115" t="str" cm="1">
        <f t="array" ref="G84:L91" xml:space="preserve"> _xlfn.LET(
  _xlpm._arr1, $C$12:$E$19,
  _xlpm._arr2, $G$12:$I$17,
  _xlpm._idx1, 1,
  _xlpm._idx2, 1,
  _xlpm._uId1, _xlfn.CHOOSECOLS(_xlpm._arr1, _xlpm._idx1),
  _xlpm._uId2, _xlfn.CHOOSECOLS(_xlpm._arr2, _xlpm._idx2),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_xlpm._arrC, _xlfn.HSTACK(_xlpm._arr1, _xlpm._arrN),
  _xlpm._arrC
)</f>
        <v>X-001</v>
      </c>
      <c r="H84" s="115" t="str">
        <v>AAA</v>
      </c>
      <c r="I84" s="115">
        <v>1</v>
      </c>
      <c r="J84" s="115" t="str">
        <v>X-001</v>
      </c>
      <c r="K84" s="115">
        <v>11</v>
      </c>
      <c r="L84" s="115" t="str">
        <v>!!!</v>
      </c>
    </row>
    <row r="85" spans="3:12" x14ac:dyDescent="0.3">
      <c r="C85" s="143" t="str">
        <v>X-002</v>
      </c>
      <c r="D85" s="144">
        <v>2</v>
      </c>
      <c r="E85" s="143" t="str">
        <v>X-006</v>
      </c>
      <c r="G85" s="115" t="str">
        <v>X-002</v>
      </c>
      <c r="H85" s="115" t="str">
        <v>BBB</v>
      </c>
      <c r="I85" s="115">
        <v>2</v>
      </c>
      <c r="J85" s="115" t="str">
        <v>X-002</v>
      </c>
      <c r="K85" s="115">
        <v>22</v>
      </c>
      <c r="L85" s="115" t="str">
        <v>"""</v>
      </c>
    </row>
    <row r="86" spans="3:12" x14ac:dyDescent="0.3">
      <c r="C86" s="143" t="str">
        <v>X-003</v>
      </c>
      <c r="D86" s="144">
        <v>3</v>
      </c>
      <c r="E86" s="143" t="str">
        <v>X-004</v>
      </c>
      <c r="G86" s="115" t="str">
        <v>X-003</v>
      </c>
      <c r="H86" s="115" t="str">
        <v>CCC</v>
      </c>
      <c r="I86" s="115">
        <v>3</v>
      </c>
      <c r="J86" s="115" t="str">
        <v>X-003</v>
      </c>
      <c r="K86" s="115">
        <v>33</v>
      </c>
      <c r="L86" s="115" t="str">
        <v>£££</v>
      </c>
    </row>
    <row r="87" spans="3:12" x14ac:dyDescent="0.3">
      <c r="C87" s="143" t="str">
        <v>X-004</v>
      </c>
      <c r="D87" s="144">
        <v>4</v>
      </c>
      <c r="E87" s="143" t="str">
        <v>X-007</v>
      </c>
      <c r="G87" s="115" t="str">
        <v>X-004</v>
      </c>
      <c r="H87" s="115" t="str">
        <v>DDD</v>
      </c>
      <c r="I87" s="115">
        <v>4</v>
      </c>
      <c r="J87" s="115" t="str">
        <v>X-004</v>
      </c>
      <c r="K87" s="115">
        <v>44</v>
      </c>
      <c r="L87" s="115" t="str">
        <v>$$$</v>
      </c>
    </row>
    <row r="88" spans="3:12" x14ac:dyDescent="0.3">
      <c r="C88" s="143" t="str">
        <v>X-005</v>
      </c>
      <c r="D88" s="144">
        <v>5</v>
      </c>
      <c r="E88" s="143" t="str">
        <v>X-001</v>
      </c>
      <c r="G88" s="115" t="str">
        <v>X-005</v>
      </c>
      <c r="H88" s="115" t="str">
        <v>EEE</v>
      </c>
      <c r="I88" s="115">
        <v>5</v>
      </c>
      <c r="J88" s="115" t="e">
        <v>#N/A</v>
      </c>
      <c r="K88" s="115" t="e">
        <v>#N/A</v>
      </c>
      <c r="L88" s="115" t="e">
        <v>#N/A</v>
      </c>
    </row>
    <row r="89" spans="3:12" x14ac:dyDescent="0.3">
      <c r="C89" s="143" t="str">
        <v>X-006</v>
      </c>
      <c r="D89" s="144">
        <v>6</v>
      </c>
      <c r="E89" s="143" t="str">
        <v>X-002</v>
      </c>
      <c r="G89" s="115" t="str">
        <v>X-006</v>
      </c>
      <c r="H89" s="115" t="str">
        <v>FFF</v>
      </c>
      <c r="I89" s="115">
        <v>6</v>
      </c>
      <c r="J89" s="115" t="str">
        <v>X-006</v>
      </c>
      <c r="K89" s="115">
        <v>66</v>
      </c>
      <c r="L89" s="115" t="str">
        <v>^^^</v>
      </c>
    </row>
    <row r="90" spans="3:12" x14ac:dyDescent="0.3">
      <c r="C90" s="143" t="str">
        <v>X-007</v>
      </c>
      <c r="E90" s="145"/>
      <c r="G90" s="115" t="str">
        <v>X-007</v>
      </c>
      <c r="H90" s="115" t="str">
        <v>GGG</v>
      </c>
      <c r="I90" s="115">
        <v>7</v>
      </c>
      <c r="J90" s="115" t="str">
        <v>X-007</v>
      </c>
      <c r="K90" s="115">
        <v>77</v>
      </c>
      <c r="L90" s="115" t="str">
        <v>&amp;&amp;&amp;</v>
      </c>
    </row>
    <row r="91" spans="3:12" x14ac:dyDescent="0.3">
      <c r="C91" s="143" t="str">
        <v>X-008</v>
      </c>
      <c r="E91" s="145"/>
      <c r="G91" s="115" t="str">
        <v>X-008</v>
      </c>
      <c r="H91" s="115" t="str">
        <v>HHH</v>
      </c>
      <c r="I91" s="115">
        <v>8</v>
      </c>
      <c r="J91" s="115" t="e">
        <v>#N/A</v>
      </c>
      <c r="K91" s="115" t="e">
        <v>#N/A</v>
      </c>
      <c r="L91" s="115" t="e">
        <v>#N/A</v>
      </c>
    </row>
    <row r="92" spans="3:12" x14ac:dyDescent="0.3">
      <c r="G92" s="52" t="str" cm="1">
        <f t="array" aca="1" ref="G92:G105" ca="1" xml:space="preserve"> _xlfn.TEXTSPLIT( _xlfn.FORMULATEXT(G84), , CHAR(10))</f>
        <v>= LET(</v>
      </c>
    </row>
    <row r="93" spans="3:12" x14ac:dyDescent="0.3">
      <c r="G93" s="52" t="str">
        <f ca="1"/>
        <v xml:space="preserve">  _arr1, $C$12:$E$19,</v>
      </c>
    </row>
    <row r="94" spans="3:12" x14ac:dyDescent="0.3">
      <c r="G94" s="52" t="str">
        <f ca="1"/>
        <v xml:space="preserve">  _arr2, $G$12:$I$17,</v>
      </c>
    </row>
    <row r="95" spans="3:12" x14ac:dyDescent="0.3">
      <c r="G95" s="52" t="str">
        <f ca="1"/>
        <v xml:space="preserve">  _idx1, 1,</v>
      </c>
    </row>
    <row r="96" spans="3:12" x14ac:dyDescent="0.3">
      <c r="G96" s="52" t="str">
        <f ca="1"/>
        <v xml:space="preserve">  _idx2, 1,</v>
      </c>
    </row>
    <row r="97" spans="2:13" x14ac:dyDescent="0.3">
      <c r="G97" s="52" t="str">
        <f ca="1"/>
        <v xml:space="preserve">  _uId1, CHOOSECOLS(_arr1, _idx1),</v>
      </c>
    </row>
    <row r="98" spans="2:13" x14ac:dyDescent="0.3">
      <c r="G98" s="52" t="str">
        <f ca="1"/>
        <v xml:space="preserve">  _uId2, CHOOSECOLS(_arr2, _idx2),</v>
      </c>
    </row>
    <row r="99" spans="2:13" x14ac:dyDescent="0.3">
      <c r="G99" s="52" t="str">
        <f ca="1"/>
        <v xml:space="preserve">  _cc2, COLUMNS(_arr2),</v>
      </c>
    </row>
    <row r="100" spans="2:13" x14ac:dyDescent="0.3">
      <c r="G100" s="52" t="str">
        <f ca="1"/>
        <v xml:space="preserve">  _mtch, DROP(REDUCE(0, _uId1, LAMBDA(_acc,_val, VSTACK(_acc, IFNA(MATCH(_val, _uId2, 0), 0)))), 1),</v>
      </c>
    </row>
    <row r="101" spans="2:13" x14ac:dyDescent="0.3">
      <c r="G101" s="52" t="str">
        <f ca="1"/>
        <v xml:space="preserve">  _blnk, MAKEARRAY(1, _cc2, LAMBDA(_r,_c, NA())),</v>
      </c>
    </row>
    <row r="102" spans="2:13" x14ac:dyDescent="0.3">
      <c r="G102" s="52" t="str">
        <f ca="1"/>
        <v xml:space="preserve">  _arrN, DROP(REDUCE(0, _mtch, LAMBDA(_acc,_val, VSTACK(_acc, IF(_val = 0, _blnk, INDEX(_arr2, _val, SEQUENCE(1, _cc2)))))), 1),</v>
      </c>
    </row>
    <row r="103" spans="2:13" x14ac:dyDescent="0.3">
      <c r="G103" s="52" t="str">
        <f ca="1"/>
        <v xml:space="preserve">  _arrC, HSTACK(_arr1, _arrN),</v>
      </c>
    </row>
    <row r="104" spans="2:13" x14ac:dyDescent="0.3">
      <c r="G104" s="52" t="str">
        <f ca="1"/>
        <v xml:space="preserve">  _arrC</v>
      </c>
    </row>
    <row r="105" spans="2:13" x14ac:dyDescent="0.3">
      <c r="G105" s="52" t="str">
        <f ca="1"/>
        <v>)</v>
      </c>
    </row>
    <row r="107" spans="2:13" x14ac:dyDescent="0.3">
      <c r="B107" s="74" t="str" cm="1">
        <f t="array" ref="B107" xml:space="preserve"> "(" &amp; _xlfn.UNICHAR( 65 + SUMPRODUCT(--(_xlfn.REGEXTEST(B$1:B106, "^\([A-Z]\)$")))) &amp; ")"</f>
        <v>(D)</v>
      </c>
      <c r="C107" s="13" t="s">
        <v>1277</v>
      </c>
    </row>
    <row r="108" spans="2:13" x14ac:dyDescent="0.3">
      <c r="C108" s="13" t="s">
        <v>1278</v>
      </c>
    </row>
    <row r="109" spans="2:13" x14ac:dyDescent="0.3">
      <c r="C109" s="142" t="s">
        <v>1070</v>
      </c>
      <c r="E109" s="142" t="s">
        <v>1072</v>
      </c>
      <c r="G109" t="s">
        <v>1272</v>
      </c>
    </row>
    <row r="110" spans="2:13" ht="14.4" thickBot="1" x14ac:dyDescent="0.35">
      <c r="C110" s="51" t="s">
        <v>1220</v>
      </c>
      <c r="E110" s="51" t="s">
        <v>1220</v>
      </c>
      <c r="G110" s="51" t="s">
        <v>1274</v>
      </c>
      <c r="H110" s="51" t="s">
        <v>1279</v>
      </c>
      <c r="J110" s="51" t="s">
        <v>1274</v>
      </c>
      <c r="K110" s="51" t="s">
        <v>1280</v>
      </c>
      <c r="L110" s="51" t="s">
        <v>1281</v>
      </c>
    </row>
    <row r="111" spans="2:13" x14ac:dyDescent="0.3">
      <c r="C111" s="146" t="str" cm="1">
        <f t="array" ref="C111:C120" xml:space="preserve"> $K$12:$K$21</f>
        <v>X-001</v>
      </c>
      <c r="D111" s="144">
        <v>1</v>
      </c>
      <c r="E111" s="146" t="str" cm="1">
        <f t="array" ref="E111:E120" xml:space="preserve"> $P$12:$P$21</f>
        <v>X-009</v>
      </c>
      <c r="G111" s="20" cm="1">
        <f t="array" ref="G111:H120" xml:space="preserve"> _xlfn.LET(
  _xlpm._arr1, $K$12:$N$21,
  _xlpm._arr2, $P$12:$S$21,
  _xlpm._idx1, 1,
  _xlpm._idx2, 1,
  _xlpm._uId1, _xlfn.CHOOSECOLS(_xlpm._arr1, _xlpm._idx1),
  _xlpm._uId2, _xlfn.CHOOSECOLS(_xlpm._arr2, _xlpm._idx2),
  _xlpm._mtch, _xlfn.DROP(_xlfn.REDUCE(0, _xlpm._uId1, _xlfn.LAMBDA(_xlpm._acc,_xlpm._val, _xlfn.VSTACK(_xlpm._acc, _xlfn.IFNA(MATCH(_xlpm._val, _xlpm._uId2, 0), 0)))), 1),
  _xlpm._ltFr, IF(_xlpm._mtch = 0, 1, 0),
  _xlfn.HSTACK(_xlpm._mtch, _xlpm._ltFr)
)</f>
        <v>8</v>
      </c>
      <c r="H111" s="20">
        <v>0</v>
      </c>
      <c r="J111" s="20" cm="1">
        <f t="array" ref="J111:L120" xml:space="preserve"> _xlfn.LET(
  _xlpm._arr1, $K$12:$N$21,
  _xlpm._arr2, $P$12:$S$21,
  _xlpm._idx1, 1,
  _xlpm._idx2, 1,
  _xlpm._uId1, _xlfn.CHOOSECOLS(_xlpm._arr1, _xlpm._idx1),
  _xlpm._uId2, _xlfn.CHOOSECOLS(_xlpm._arr2, _xlpm._idx2),
  _xlpm._mtch, _xlfn.DROP(_xlfn.REDUCE(0, _xlpm._uId1, _xlfn.LAMBDA(_xlpm._acc,_xlpm._val, _xlfn.VSTACK(_xlpm._acc, _xlfn.IFNA(MATCH(_xlpm._val, _xlpm._uId2, 0), 0)))), 1),
  _xlpm._arrS, _xlfn.SEQUENCE( ROWS(_xlpm._arr2), 1),
  _xlpm._rtFr, _xlfn.SCAN(0, _xlpm._arrS, _xlfn.LAMBDA(_xlpm._acc,_xlpm._val, IF( ISNA(MATCH(_xlpm._val, _xlpm._mtch, 0)), 1, 0))),
  _xlfn.HSTACK(_xlpm._mtch, _xlpm._arrS, _xlpm._rtFr)
)</f>
        <v>8</v>
      </c>
      <c r="K111" s="20">
        <v>1</v>
      </c>
      <c r="L111" s="20">
        <v>0</v>
      </c>
      <c r="M111" s="52" t="str" cm="1">
        <f t="array" aca="1" ref="M111:M122" ca="1" xml:space="preserve"> _xlfn.TEXTSPLIT( _xlfn.FORMULATEXT(J111), , CHAR(10))</f>
        <v>= LET(</v>
      </c>
    </row>
    <row r="112" spans="2:13" x14ac:dyDescent="0.3">
      <c r="C112" s="146" t="str">
        <v>X-002</v>
      </c>
      <c r="D112" s="144">
        <v>2</v>
      </c>
      <c r="E112" s="146" t="str">
        <v>X-007</v>
      </c>
      <c r="G112" s="20">
        <v>4</v>
      </c>
      <c r="H112" s="20">
        <v>0</v>
      </c>
      <c r="J112" s="20">
        <v>4</v>
      </c>
      <c r="K112" s="20">
        <v>2</v>
      </c>
      <c r="L112" s="20">
        <v>0</v>
      </c>
      <c r="M112" s="52" t="str">
        <f ca="1"/>
        <v xml:space="preserve">  _arr1, $K$12:$N$21,</v>
      </c>
    </row>
    <row r="113" spans="3:13" x14ac:dyDescent="0.3">
      <c r="C113" s="146" t="str">
        <v>X-003</v>
      </c>
      <c r="D113" s="144">
        <v>3</v>
      </c>
      <c r="E113" s="146" t="str">
        <v>X-010</v>
      </c>
      <c r="G113" s="20">
        <v>0</v>
      </c>
      <c r="H113" s="20">
        <v>1</v>
      </c>
      <c r="J113" s="20">
        <v>0</v>
      </c>
      <c r="K113" s="20">
        <v>3</v>
      </c>
      <c r="L113" s="20">
        <v>0</v>
      </c>
      <c r="M113" s="52" t="str">
        <f ca="1"/>
        <v xml:space="preserve">  _arr2, $P$12:$S$21,</v>
      </c>
    </row>
    <row r="114" spans="3:13" x14ac:dyDescent="0.3">
      <c r="C114" s="146" t="str">
        <v>X-004</v>
      </c>
      <c r="D114" s="144">
        <v>4</v>
      </c>
      <c r="E114" s="146" t="str">
        <v>X-002</v>
      </c>
      <c r="G114" s="20">
        <v>5</v>
      </c>
      <c r="H114" s="20">
        <v>0</v>
      </c>
      <c r="J114" s="20">
        <v>5</v>
      </c>
      <c r="K114" s="20">
        <v>4</v>
      </c>
      <c r="L114" s="20">
        <v>0</v>
      </c>
      <c r="M114" s="52" t="str">
        <f ca="1"/>
        <v xml:space="preserve">  _idx1, 1,</v>
      </c>
    </row>
    <row r="115" spans="3:13" x14ac:dyDescent="0.3">
      <c r="C115" s="146" t="str">
        <v>X-005</v>
      </c>
      <c r="D115" s="144">
        <v>5</v>
      </c>
      <c r="E115" s="146" t="str">
        <v>X-004</v>
      </c>
      <c r="G115" s="20">
        <v>0</v>
      </c>
      <c r="H115" s="20">
        <v>1</v>
      </c>
      <c r="J115" s="20">
        <v>0</v>
      </c>
      <c r="K115" s="20">
        <v>5</v>
      </c>
      <c r="L115" s="20">
        <v>0</v>
      </c>
      <c r="M115" s="52" t="str">
        <f ca="1"/>
        <v xml:space="preserve">  _idx2, 1,</v>
      </c>
    </row>
    <row r="116" spans="3:13" x14ac:dyDescent="0.3">
      <c r="C116" s="146" t="str">
        <v>X-006</v>
      </c>
      <c r="D116" s="144">
        <v>6</v>
      </c>
      <c r="E116" s="146" t="str">
        <v>X-008</v>
      </c>
      <c r="G116" s="20">
        <v>9</v>
      </c>
      <c r="H116" s="20">
        <v>0</v>
      </c>
      <c r="J116" s="20">
        <v>9</v>
      </c>
      <c r="K116" s="20">
        <v>6</v>
      </c>
      <c r="L116" s="20">
        <v>0</v>
      </c>
      <c r="M116" s="52" t="str">
        <f ca="1"/>
        <v xml:space="preserve">  _uId1, CHOOSECOLS(_arr1, _idx1),</v>
      </c>
    </row>
    <row r="117" spans="3:13" x14ac:dyDescent="0.3">
      <c r="C117" s="146" t="str">
        <v>X-007</v>
      </c>
      <c r="D117" s="144">
        <v>7</v>
      </c>
      <c r="E117" s="146" t="str">
        <v>X-012</v>
      </c>
      <c r="G117" s="20">
        <v>2</v>
      </c>
      <c r="H117" s="20">
        <v>0</v>
      </c>
      <c r="J117" s="20">
        <v>2</v>
      </c>
      <c r="K117" s="20">
        <v>7</v>
      </c>
      <c r="L117" s="20">
        <v>1</v>
      </c>
      <c r="M117" s="52" t="str">
        <f ca="1"/>
        <v xml:space="preserve">  _uId2, CHOOSECOLS(_arr2, _idx2),</v>
      </c>
    </row>
    <row r="118" spans="3:13" x14ac:dyDescent="0.3">
      <c r="C118" s="146" t="str">
        <v>X-008</v>
      </c>
      <c r="D118" s="144">
        <v>8</v>
      </c>
      <c r="E118" s="146" t="str">
        <v>X-001</v>
      </c>
      <c r="G118" s="20">
        <v>6</v>
      </c>
      <c r="H118" s="20">
        <v>0</v>
      </c>
      <c r="J118" s="20">
        <v>6</v>
      </c>
      <c r="K118" s="20">
        <v>8</v>
      </c>
      <c r="L118" s="20">
        <v>0</v>
      </c>
      <c r="M118" s="52" t="str">
        <f ca="1"/>
        <v xml:space="preserve">  _mtch, DROP(REDUCE(0, _uId1, LAMBDA(_acc,_val, VSTACK(_acc, IFNA(MATCH(_val, _uId2, 0), 0)))), 1),</v>
      </c>
    </row>
    <row r="119" spans="3:13" x14ac:dyDescent="0.3">
      <c r="C119" s="146" t="str">
        <v>X-009</v>
      </c>
      <c r="D119" s="144">
        <v>9</v>
      </c>
      <c r="E119" s="146" t="str">
        <v>X-006</v>
      </c>
      <c r="G119" s="20">
        <v>1</v>
      </c>
      <c r="H119" s="20">
        <v>0</v>
      </c>
      <c r="J119" s="20">
        <v>1</v>
      </c>
      <c r="K119" s="20">
        <v>9</v>
      </c>
      <c r="L119" s="20">
        <v>0</v>
      </c>
      <c r="M119" s="52" t="str">
        <f ca="1"/>
        <v xml:space="preserve">  _arrS, SEQUENCE( ROWS(_arr2), 1),</v>
      </c>
    </row>
    <row r="120" spans="3:13" x14ac:dyDescent="0.3">
      <c r="C120" s="146" t="str">
        <v>X-010</v>
      </c>
      <c r="D120" s="144">
        <v>10</v>
      </c>
      <c r="E120" s="146" t="str">
        <v>X-011</v>
      </c>
      <c r="G120" s="20">
        <v>3</v>
      </c>
      <c r="H120" s="20">
        <v>0</v>
      </c>
      <c r="J120" s="20">
        <v>3</v>
      </c>
      <c r="K120" s="20">
        <v>10</v>
      </c>
      <c r="L120" s="20">
        <v>1</v>
      </c>
      <c r="M120" s="52" t="str">
        <f ca="1"/>
        <v xml:space="preserve">  _rtFr, SCAN(0, _arrS, LAMBDA(_acc,_val, IF( ISNA(MATCH(_val, _mtch, 0)), 1, 0))),</v>
      </c>
    </row>
    <row r="121" spans="3:13" x14ac:dyDescent="0.3">
      <c r="G121" s="52" t="str" cm="1">
        <f t="array" aca="1" ref="G121:G131" ca="1" xml:space="preserve"> _xlfn.TEXTSPLIT( _xlfn.FORMULATEXT(G111), , CHAR(10))</f>
        <v>= LET(</v>
      </c>
      <c r="M121" s="52" t="str">
        <f ca="1"/>
        <v xml:space="preserve">  HSTACK(_mtch, _arrS, _rtFr)</v>
      </c>
    </row>
    <row r="122" spans="3:13" x14ac:dyDescent="0.3">
      <c r="G122" s="52" t="str">
        <f ca="1"/>
        <v xml:space="preserve">  _arr1, $K$12:$N$21,</v>
      </c>
      <c r="M122" s="52" t="str">
        <f ca="1"/>
        <v>)</v>
      </c>
    </row>
    <row r="123" spans="3:13" x14ac:dyDescent="0.3">
      <c r="G123" s="52" t="str">
        <f ca="1"/>
        <v xml:space="preserve">  _arr2, $P$12:$S$21,</v>
      </c>
    </row>
    <row r="124" spans="3:13" x14ac:dyDescent="0.3">
      <c r="G124" s="52" t="str">
        <f ca="1"/>
        <v xml:space="preserve">  _idx1, 1,</v>
      </c>
    </row>
    <row r="125" spans="3:13" x14ac:dyDescent="0.3">
      <c r="G125" s="52" t="str">
        <f ca="1"/>
        <v xml:space="preserve">  _idx2, 1,</v>
      </c>
    </row>
    <row r="126" spans="3:13" x14ac:dyDescent="0.3">
      <c r="G126" s="52" t="str">
        <f ca="1"/>
        <v xml:space="preserve">  _uId1, CHOOSECOLS(_arr1, _idx1),</v>
      </c>
    </row>
    <row r="127" spans="3:13" x14ac:dyDescent="0.3">
      <c r="G127" s="52" t="str">
        <f ca="1"/>
        <v xml:space="preserve">  _uId2, CHOOSECOLS(_arr2, _idx2),</v>
      </c>
    </row>
    <row r="128" spans="3:13" x14ac:dyDescent="0.3">
      <c r="G128" s="52" t="str">
        <f ca="1"/>
        <v xml:space="preserve">  _mtch, DROP(REDUCE(0, _uId1, LAMBDA(_acc,_val, VSTACK(_acc, IFNA(MATCH(_val, _uId2, 0), 0)))), 1),</v>
      </c>
    </row>
    <row r="129" spans="2:14" x14ac:dyDescent="0.3">
      <c r="G129" s="52" t="str">
        <f ca="1"/>
        <v xml:space="preserve">  _ltFr, IF(_mtch = 0, 1, 0),</v>
      </c>
    </row>
    <row r="130" spans="2:14" x14ac:dyDescent="0.3">
      <c r="G130" s="52" t="str">
        <f ca="1"/>
        <v xml:space="preserve">  HSTACK(_mtch, _ltFr)</v>
      </c>
    </row>
    <row r="131" spans="2:14" x14ac:dyDescent="0.3">
      <c r="G131" s="52" t="str">
        <f ca="1"/>
        <v>)</v>
      </c>
    </row>
    <row r="133" spans="2:14" x14ac:dyDescent="0.3">
      <c r="B133" s="74" t="str" cm="1">
        <f t="array" ref="B133" xml:space="preserve"> "(" &amp; _xlfn.UNICHAR( 65 + SUMPRODUCT(--(_xlfn.REGEXTEST(B$1:B132, "^\([A-Z]\)$")))) &amp; ")"</f>
        <v>(E)</v>
      </c>
      <c r="C133" s="13" t="s">
        <v>1282</v>
      </c>
    </row>
    <row r="134" spans="2:14" x14ac:dyDescent="0.3">
      <c r="C134" s="13" t="s">
        <v>1278</v>
      </c>
    </row>
    <row r="135" spans="2:14" x14ac:dyDescent="0.3">
      <c r="C135" s="142" t="s">
        <v>1070</v>
      </c>
      <c r="E135" s="142" t="s">
        <v>1072</v>
      </c>
      <c r="G135" t="s">
        <v>1272</v>
      </c>
    </row>
    <row r="136" spans="2:14" ht="14.4" thickBot="1" x14ac:dyDescent="0.35">
      <c r="C136" s="51" t="s">
        <v>1220</v>
      </c>
      <c r="E136" s="51" t="s">
        <v>1220</v>
      </c>
      <c r="G136" s="51" t="s">
        <v>1220</v>
      </c>
      <c r="H136" s="51" t="s">
        <v>1047</v>
      </c>
      <c r="I136" s="51" t="s">
        <v>1048</v>
      </c>
      <c r="J136" s="51" t="s">
        <v>1049</v>
      </c>
      <c r="K136" s="51" t="s">
        <v>1220</v>
      </c>
      <c r="L136" s="51" t="s">
        <v>1221</v>
      </c>
      <c r="M136" s="51" t="s">
        <v>1222</v>
      </c>
      <c r="N136" s="51" t="s">
        <v>1223</v>
      </c>
    </row>
    <row r="137" spans="2:14" x14ac:dyDescent="0.3">
      <c r="C137" s="146" t="str" cm="1">
        <f t="array" ref="C137:C146" xml:space="preserve"> $K$12:$K$21</f>
        <v>X-001</v>
      </c>
      <c r="D137" s="144">
        <v>1</v>
      </c>
      <c r="E137" s="146" t="str" cm="1">
        <f t="array" ref="E137:E146" xml:space="preserve"> $P$12:$P$21</f>
        <v>X-009</v>
      </c>
      <c r="G137" s="115" t="str" cm="1">
        <f t="array" ref="G137:N148" xml:space="preserve"> _xlfn.LET(
  _xlpm._arr1, $K$12:$N$21,
  _xlpm._arr2, $P$12:$S$21,
  _xlpm._idx1, 1,
  _xlpm._idx2, 1,
  _xlpm._uId1, _xlfn.CHOOSECOLS(_xlpm._arr1, _xlpm._idx1),
  _xlpm._uId2, _xlfn.CHOOSECOLS(_xlpm._arr2, _xlpm._idx2),
  _xlpm._cc1, COLUMNS(_xlpm._arr1),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_xlpm._arrR, _xlfn.LET(
    _xlpm._fltr, _xlfn.SCAN(0, _xlfn.SEQUENCE( ROWS(_xlpm._arr2), 1), _xlfn.LAMBDA(_xlpm._acc,_xlpm._val, IF( ISNA(MATCH(_xlpm._val, _xlpm._mtch, 0)), 1, 0))),
    _xlpm._arr, _xlfn._xlws.FILTER(_xlpm._arr2, _xlpm._fltr = 1, NA()),
    _xlpm._blnk, _xlfn.MAKEARRAY( ROWS(_xlpm._arr), _xlpm._cc1, _xlfn.LAMBDA(_xlpm._r,_xlpm._c, NA())),
    _xlfn.HSTACK(_xlpm._blnk, _xlpm._arr)
  ),
  _xlpm._arrC, _xlfn.HSTACK(_xlpm._arr1, _xlpm._arrN),
  _xlpm._arrJ, _xlfn.VSTACK(_xlpm._arrC, _xlpm._arrR),
  _xlpm._arrJ
)</f>
        <v>X-001</v>
      </c>
      <c r="H137" s="115" t="str">
        <v>AAA</v>
      </c>
      <c r="I137" s="115">
        <v>1</v>
      </c>
      <c r="J137" s="115" t="str">
        <v>!</v>
      </c>
      <c r="K137" s="115" t="str">
        <v>X-001</v>
      </c>
      <c r="L137" s="115">
        <v>1</v>
      </c>
      <c r="M137" s="115" t="str">
        <v>!</v>
      </c>
      <c r="N137" s="115" t="str">
        <v>one</v>
      </c>
    </row>
    <row r="138" spans="2:14" x14ac:dyDescent="0.3">
      <c r="C138" s="146" t="str">
        <v>X-002</v>
      </c>
      <c r="D138" s="144">
        <v>2</v>
      </c>
      <c r="E138" s="146" t="str">
        <v>X-007</v>
      </c>
      <c r="G138" s="115" t="str">
        <v>X-002</v>
      </c>
      <c r="H138" s="115" t="str">
        <v>BBB</v>
      </c>
      <c r="I138" s="115">
        <v>2</v>
      </c>
      <c r="J138" s="115" t="str">
        <v>"</v>
      </c>
      <c r="K138" s="115" t="str">
        <v>X-002</v>
      </c>
      <c r="L138" s="115">
        <v>2</v>
      </c>
      <c r="M138" s="115" t="str">
        <v>"</v>
      </c>
      <c r="N138" s="115" t="str">
        <v>two</v>
      </c>
    </row>
    <row r="139" spans="2:14" x14ac:dyDescent="0.3">
      <c r="C139" s="146" t="str">
        <v>X-003</v>
      </c>
      <c r="D139" s="144">
        <v>3</v>
      </c>
      <c r="E139" s="146" t="str">
        <v>X-010</v>
      </c>
      <c r="G139" s="115" t="str">
        <v>X-003</v>
      </c>
      <c r="H139" s="115" t="str">
        <v>CCC</v>
      </c>
      <c r="I139" s="115">
        <v>3</v>
      </c>
      <c r="J139" s="115" t="str">
        <v>£</v>
      </c>
      <c r="K139" s="115" t="e">
        <v>#N/A</v>
      </c>
      <c r="L139" s="115" t="e">
        <v>#N/A</v>
      </c>
      <c r="M139" s="115" t="e">
        <v>#N/A</v>
      </c>
      <c r="N139" s="115" t="e">
        <v>#N/A</v>
      </c>
    </row>
    <row r="140" spans="2:14" x14ac:dyDescent="0.3">
      <c r="C140" s="146" t="str">
        <v>X-004</v>
      </c>
      <c r="D140" s="144">
        <v>4</v>
      </c>
      <c r="E140" s="146" t="str">
        <v>X-002</v>
      </c>
      <c r="G140" s="115" t="str">
        <v>X-004</v>
      </c>
      <c r="H140" s="115" t="str">
        <v>DDD</v>
      </c>
      <c r="I140" s="115">
        <v>4</v>
      </c>
      <c r="J140" s="115" t="str">
        <v>$</v>
      </c>
      <c r="K140" s="115" t="str">
        <v>X-004</v>
      </c>
      <c r="L140" s="115">
        <v>4</v>
      </c>
      <c r="M140" s="115" t="str">
        <v>$</v>
      </c>
      <c r="N140" s="115" t="str">
        <v>four</v>
      </c>
    </row>
    <row r="141" spans="2:14" x14ac:dyDescent="0.3">
      <c r="C141" s="146" t="str">
        <v>X-005</v>
      </c>
      <c r="D141" s="144">
        <v>5</v>
      </c>
      <c r="E141" s="146" t="str">
        <v>X-004</v>
      </c>
      <c r="G141" s="115" t="str">
        <v>X-005</v>
      </c>
      <c r="H141" s="115" t="str">
        <v>EEE</v>
      </c>
      <c r="I141" s="115">
        <v>5</v>
      </c>
      <c r="J141" s="115" t="str">
        <v>%</v>
      </c>
      <c r="K141" s="115" t="e">
        <v>#N/A</v>
      </c>
      <c r="L141" s="115" t="e">
        <v>#N/A</v>
      </c>
      <c r="M141" s="115" t="e">
        <v>#N/A</v>
      </c>
      <c r="N141" s="115" t="e">
        <v>#N/A</v>
      </c>
    </row>
    <row r="142" spans="2:14" x14ac:dyDescent="0.3">
      <c r="C142" s="146" t="str">
        <v>X-006</v>
      </c>
      <c r="D142" s="144">
        <v>6</v>
      </c>
      <c r="E142" s="146" t="str">
        <v>X-008</v>
      </c>
      <c r="G142" s="115" t="str">
        <v>X-006</v>
      </c>
      <c r="H142" s="115" t="str">
        <v>FFF</v>
      </c>
      <c r="I142" s="115">
        <v>6</v>
      </c>
      <c r="J142" s="115" t="str">
        <v>^</v>
      </c>
      <c r="K142" s="115" t="str">
        <v>X-006</v>
      </c>
      <c r="L142" s="115">
        <v>6</v>
      </c>
      <c r="M142" s="115" t="str">
        <v>^</v>
      </c>
      <c r="N142" s="115" t="str">
        <v>six</v>
      </c>
    </row>
    <row r="143" spans="2:14" x14ac:dyDescent="0.3">
      <c r="C143" s="146" t="str">
        <v>X-007</v>
      </c>
      <c r="D143" s="144">
        <v>7</v>
      </c>
      <c r="E143" s="146" t="str">
        <v>X-012</v>
      </c>
      <c r="G143" s="115" t="str">
        <v>X-007</v>
      </c>
      <c r="H143" s="115" t="str">
        <v>GGG</v>
      </c>
      <c r="I143" s="115">
        <v>7</v>
      </c>
      <c r="J143" s="115" t="str">
        <v>&amp;</v>
      </c>
      <c r="K143" s="115" t="str">
        <v>X-007</v>
      </c>
      <c r="L143" s="115">
        <v>7</v>
      </c>
      <c r="M143" s="115" t="str">
        <v>&amp;</v>
      </c>
      <c r="N143" s="115" t="str">
        <v>seven</v>
      </c>
    </row>
    <row r="144" spans="2:14" x14ac:dyDescent="0.3">
      <c r="C144" s="146" t="str">
        <v>X-008</v>
      </c>
      <c r="D144" s="144">
        <v>8</v>
      </c>
      <c r="E144" s="146" t="str">
        <v>X-001</v>
      </c>
      <c r="G144" s="115" t="str">
        <v>X-008</v>
      </c>
      <c r="H144" s="115" t="str">
        <v>HHH</v>
      </c>
      <c r="I144" s="115">
        <v>8</v>
      </c>
      <c r="J144" s="115" t="str">
        <v>*</v>
      </c>
      <c r="K144" s="115" t="str">
        <v>X-008</v>
      </c>
      <c r="L144" s="115">
        <v>8</v>
      </c>
      <c r="M144" s="115" t="str">
        <v>*</v>
      </c>
      <c r="N144" s="115" t="str">
        <v>eight</v>
      </c>
    </row>
    <row r="145" spans="3:14" x14ac:dyDescent="0.3">
      <c r="C145" s="146" t="str">
        <v>X-009</v>
      </c>
      <c r="D145" s="144">
        <v>9</v>
      </c>
      <c r="E145" s="146" t="str">
        <v>X-006</v>
      </c>
      <c r="G145" s="115" t="str">
        <v>X-009</v>
      </c>
      <c r="H145" s="115" t="str">
        <v>III</v>
      </c>
      <c r="I145" s="115">
        <v>9</v>
      </c>
      <c r="J145" s="115" t="str">
        <v>(</v>
      </c>
      <c r="K145" s="115" t="str">
        <v>X-009</v>
      </c>
      <c r="L145" s="115">
        <v>9</v>
      </c>
      <c r="M145" s="115" t="str">
        <v>(</v>
      </c>
      <c r="N145" s="115" t="str">
        <v>nine</v>
      </c>
    </row>
    <row r="146" spans="3:14" x14ac:dyDescent="0.3">
      <c r="C146" s="146" t="str">
        <v>X-010</v>
      </c>
      <c r="D146" s="144">
        <v>10</v>
      </c>
      <c r="E146" s="146" t="str">
        <v>X-011</v>
      </c>
      <c r="G146" s="115" t="str">
        <v>X-010</v>
      </c>
      <c r="H146" s="115" t="str">
        <v>JJJ</v>
      </c>
      <c r="I146" s="115">
        <v>10</v>
      </c>
      <c r="J146" s="115" t="str">
        <v>)</v>
      </c>
      <c r="K146" s="115" t="str">
        <v>X-010</v>
      </c>
      <c r="L146" s="115">
        <v>10</v>
      </c>
      <c r="M146" s="115" t="str">
        <v>)</v>
      </c>
      <c r="N146" s="115" t="str">
        <v>ten</v>
      </c>
    </row>
    <row r="147" spans="3:14" x14ac:dyDescent="0.3">
      <c r="G147" s="115" t="e">
        <v>#N/A</v>
      </c>
      <c r="H147" s="115" t="e">
        <v>#N/A</v>
      </c>
      <c r="I147" s="115" t="e">
        <v>#N/A</v>
      </c>
      <c r="J147" s="115" t="e">
        <v>#N/A</v>
      </c>
      <c r="K147" s="115" t="str">
        <v>X-012</v>
      </c>
      <c r="L147" s="115">
        <v>12</v>
      </c>
      <c r="M147" s="115" t="str">
        <v>@</v>
      </c>
      <c r="N147" s="115" t="str">
        <v>twelve</v>
      </c>
    </row>
    <row r="148" spans="3:14" x14ac:dyDescent="0.3">
      <c r="G148" s="115" t="e">
        <v>#N/A</v>
      </c>
      <c r="H148" s="115" t="e">
        <v>#N/A</v>
      </c>
      <c r="I148" s="115" t="e">
        <v>#N/A</v>
      </c>
      <c r="J148" s="115" t="e">
        <v>#N/A</v>
      </c>
      <c r="K148" s="115" t="str">
        <v>X-011</v>
      </c>
      <c r="L148" s="115">
        <v>11</v>
      </c>
      <c r="M148" s="115" t="str">
        <v>~</v>
      </c>
      <c r="N148" s="115" t="str">
        <v>eleven</v>
      </c>
    </row>
    <row r="149" spans="3:14" x14ac:dyDescent="0.3">
      <c r="G149" s="52" t="str" cm="1">
        <f t="array" aca="1" ref="G149:G170" ca="1" xml:space="preserve"> _xlfn.TEXTSPLIT( _xlfn.FORMULATEXT(G137), , CHAR(10))</f>
        <v>= LET(</v>
      </c>
    </row>
    <row r="150" spans="3:14" x14ac:dyDescent="0.3">
      <c r="G150" s="52" t="str">
        <f ca="1"/>
        <v xml:space="preserve">  _arr1, $K$12:$N$21,</v>
      </c>
    </row>
    <row r="151" spans="3:14" x14ac:dyDescent="0.3">
      <c r="G151" s="52" t="str">
        <f ca="1"/>
        <v xml:space="preserve">  _arr2, $P$12:$S$21,</v>
      </c>
    </row>
    <row r="152" spans="3:14" x14ac:dyDescent="0.3">
      <c r="G152" s="52" t="str">
        <f ca="1"/>
        <v xml:space="preserve">  _idx1, 1,</v>
      </c>
    </row>
    <row r="153" spans="3:14" x14ac:dyDescent="0.3">
      <c r="G153" s="52" t="str">
        <f ca="1"/>
        <v xml:space="preserve">  _idx2, 1,</v>
      </c>
    </row>
    <row r="154" spans="3:14" x14ac:dyDescent="0.3">
      <c r="G154" s="52" t="str">
        <f ca="1"/>
        <v xml:space="preserve">  _uId1, CHOOSECOLS(_arr1, _idx1),</v>
      </c>
    </row>
    <row r="155" spans="3:14" x14ac:dyDescent="0.3">
      <c r="G155" s="52" t="str">
        <f ca="1"/>
        <v xml:space="preserve">  _uId2, CHOOSECOLS(_arr2, _idx2),</v>
      </c>
    </row>
    <row r="156" spans="3:14" x14ac:dyDescent="0.3">
      <c r="G156" s="52" t="str">
        <f ca="1"/>
        <v xml:space="preserve">  _cc1, COLUMNS(_arr1),</v>
      </c>
    </row>
    <row r="157" spans="3:14" x14ac:dyDescent="0.3">
      <c r="G157" s="52" t="str">
        <f ca="1"/>
        <v xml:space="preserve">  _cc2, COLUMNS(_arr2),</v>
      </c>
    </row>
    <row r="158" spans="3:14" x14ac:dyDescent="0.3">
      <c r="G158" s="52" t="str">
        <f ca="1"/>
        <v xml:space="preserve">  _mtch, DROP(REDUCE(0, _uId1, LAMBDA(_acc,_val, VSTACK(_acc, IFNA(MATCH(_val, _uId2, 0), 0)))), 1),</v>
      </c>
    </row>
    <row r="159" spans="3:14" x14ac:dyDescent="0.3">
      <c r="G159" s="52" t="str">
        <f ca="1"/>
        <v xml:space="preserve">  _blnk, MAKEARRAY(1, _cc2, LAMBDA(_r,_c, NA())),</v>
      </c>
    </row>
    <row r="160" spans="3:14" x14ac:dyDescent="0.3">
      <c r="G160" s="52" t="str">
        <f ca="1"/>
        <v xml:space="preserve">  _arrN, DROP(REDUCE(0, _mtch, LAMBDA(_acc,_val, VSTACK(_acc, IF(_val = 0, _blnk, INDEX(_arr2, _val, SEQUENCE(1, _cc2)))))), 1),</v>
      </c>
    </row>
    <row r="161" spans="2:14" x14ac:dyDescent="0.3">
      <c r="G161" s="52" t="str">
        <f ca="1"/>
        <v xml:space="preserve">  _arrR, LET(</v>
      </c>
    </row>
    <row r="162" spans="2:14" x14ac:dyDescent="0.3">
      <c r="G162" s="52" t="str">
        <f ca="1"/>
        <v xml:space="preserve">    _fltr, SCAN(0, SEQUENCE( ROWS(_arr2), 1), LAMBDA(_acc,_val, IF( ISNA(MATCH(_val, _mtch, 0)), 1, 0))),</v>
      </c>
    </row>
    <row r="163" spans="2:14" x14ac:dyDescent="0.3">
      <c r="G163" s="52" t="str">
        <f ca="1"/>
        <v xml:space="preserve">    _arr, FILTER(_arr2, _fltr = 1, NA()),</v>
      </c>
    </row>
    <row r="164" spans="2:14" x14ac:dyDescent="0.3">
      <c r="G164" s="52" t="str">
        <f ca="1"/>
        <v xml:space="preserve">    _blnk, MAKEARRAY( ROWS(_arr), _cc1, LAMBDA(_r,_c, NA())),</v>
      </c>
    </row>
    <row r="165" spans="2:14" x14ac:dyDescent="0.3">
      <c r="G165" s="52" t="str">
        <f ca="1"/>
        <v xml:space="preserve">    HSTACK(_blnk, _arr)</v>
      </c>
    </row>
    <row r="166" spans="2:14" x14ac:dyDescent="0.3">
      <c r="G166" s="52" t="str">
        <f ca="1"/>
        <v xml:space="preserve">  ),</v>
      </c>
    </row>
    <row r="167" spans="2:14" x14ac:dyDescent="0.3">
      <c r="G167" s="52" t="str">
        <f ca="1"/>
        <v xml:space="preserve">  _arrC, HSTACK(_arr1, _arrN),</v>
      </c>
    </row>
    <row r="168" spans="2:14" x14ac:dyDescent="0.3">
      <c r="G168" s="52" t="str">
        <f ca="1"/>
        <v xml:space="preserve">  _arrJ, VSTACK(_arrC, _arrR),</v>
      </c>
    </row>
    <row r="169" spans="2:14" x14ac:dyDescent="0.3">
      <c r="G169" s="52" t="str">
        <f ca="1"/>
        <v xml:space="preserve">  _arrJ</v>
      </c>
    </row>
    <row r="170" spans="2:14" x14ac:dyDescent="0.3">
      <c r="G170" s="52" t="str">
        <f ca="1"/>
        <v>)</v>
      </c>
    </row>
    <row r="172" spans="2:14" x14ac:dyDescent="0.3">
      <c r="B172" s="74" t="str" cm="1">
        <f t="array" ref="B172" xml:space="preserve"> "(" &amp; _xlfn.UNICHAR( 65 + SUMPRODUCT(--(_xlfn.REGEXTEST(B$1:B171, "^\([A-Z]\)$")))) &amp; ")"</f>
        <v>(F)</v>
      </c>
      <c r="C172" s="13" t="s">
        <v>1283</v>
      </c>
    </row>
    <row r="173" spans="2:14" x14ac:dyDescent="0.3">
      <c r="C173" s="13" t="s">
        <v>1278</v>
      </c>
    </row>
    <row r="174" spans="2:14" x14ac:dyDescent="0.3">
      <c r="C174" s="142" t="s">
        <v>1070</v>
      </c>
      <c r="E174" s="142" t="s">
        <v>1072</v>
      </c>
      <c r="G174" t="s">
        <v>1272</v>
      </c>
    </row>
    <row r="175" spans="2:14" ht="14.4" thickBot="1" x14ac:dyDescent="0.35">
      <c r="C175" s="51" t="s">
        <v>1220</v>
      </c>
      <c r="E175" s="51" t="s">
        <v>1220</v>
      </c>
      <c r="G175" s="51" t="s">
        <v>1220</v>
      </c>
      <c r="H175" s="51" t="s">
        <v>1047</v>
      </c>
      <c r="I175" s="51" t="s">
        <v>1048</v>
      </c>
      <c r="J175" s="51" t="s">
        <v>1049</v>
      </c>
      <c r="K175" s="51" t="s">
        <v>1220</v>
      </c>
      <c r="L175" s="51" t="s">
        <v>1221</v>
      </c>
      <c r="M175" s="51" t="s">
        <v>1222</v>
      </c>
      <c r="N175" s="51" t="s">
        <v>1223</v>
      </c>
    </row>
    <row r="176" spans="2:14" x14ac:dyDescent="0.3">
      <c r="C176" s="146" t="str" cm="1">
        <f t="array" ref="C176:C185" xml:space="preserve"> $K$12:$K$21</f>
        <v>X-001</v>
      </c>
      <c r="D176" s="144">
        <v>1</v>
      </c>
      <c r="E176" s="146" t="str" cm="1">
        <f t="array" ref="E176:E185" xml:space="preserve"> $P$12:$P$21</f>
        <v>X-009</v>
      </c>
      <c r="G176" s="115" t="str" cm="1">
        <f t="array" ref="G176:N183" xml:space="preserve"> _xlfn.LET(
  _xlpm._arr1, $K$12:$N$21,
  _xlpm._arr2, $P$12:$S$21,
  _xlpm._idx1, 1,
  _xlpm._idx2, 1,
  _xlpm._uId1, _xlfn.CHOOSECOLS(_xlpm._arr1, _xlpm._idx1),
  _xlpm._uId2, _xlfn.CHOOSECOLS(_xlpm._arr2, _xlpm._idx2),
  _xlpm._cc1, COLUMNS(_xlpm._arr1),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_xlpm._arrC, _xlfn.HSTACK(_xlpm._arr1, _xlpm._arrN),
  _xlpm._arrL, _xlfn._xlws.FILTER(_xlpm._arrC, _xlpm._mtch &lt;&gt; 0, NA()),
  _xlpm._arrL
)</f>
        <v>X-001</v>
      </c>
      <c r="H176" s="115" t="str">
        <v>AAA</v>
      </c>
      <c r="I176" s="115">
        <v>1</v>
      </c>
      <c r="J176" s="115" t="str">
        <v>!</v>
      </c>
      <c r="K176" s="115" t="str">
        <v>X-001</v>
      </c>
      <c r="L176" s="115">
        <v>1</v>
      </c>
      <c r="M176" s="115" t="str">
        <v>!</v>
      </c>
      <c r="N176" s="115" t="str">
        <v>one</v>
      </c>
    </row>
    <row r="177" spans="3:14" x14ac:dyDescent="0.3">
      <c r="C177" s="146" t="str">
        <v>X-002</v>
      </c>
      <c r="D177" s="144">
        <v>2</v>
      </c>
      <c r="E177" s="146" t="str">
        <v>X-007</v>
      </c>
      <c r="G177" s="115" t="str">
        <v>X-002</v>
      </c>
      <c r="H177" s="115" t="str">
        <v>BBB</v>
      </c>
      <c r="I177" s="115">
        <v>2</v>
      </c>
      <c r="J177" s="115" t="str">
        <v>"</v>
      </c>
      <c r="K177" s="115" t="str">
        <v>X-002</v>
      </c>
      <c r="L177" s="115">
        <v>2</v>
      </c>
      <c r="M177" s="115" t="str">
        <v>"</v>
      </c>
      <c r="N177" s="115" t="str">
        <v>two</v>
      </c>
    </row>
    <row r="178" spans="3:14" x14ac:dyDescent="0.3">
      <c r="C178" s="146" t="str">
        <v>X-003</v>
      </c>
      <c r="D178" s="144">
        <v>3</v>
      </c>
      <c r="E178" s="146" t="str">
        <v>X-010</v>
      </c>
      <c r="G178" s="115" t="str">
        <v>X-004</v>
      </c>
      <c r="H178" s="115" t="str">
        <v>DDD</v>
      </c>
      <c r="I178" s="115">
        <v>4</v>
      </c>
      <c r="J178" s="115" t="str">
        <v>$</v>
      </c>
      <c r="K178" s="115" t="str">
        <v>X-004</v>
      </c>
      <c r="L178" s="115">
        <v>4</v>
      </c>
      <c r="M178" s="115" t="str">
        <v>$</v>
      </c>
      <c r="N178" s="115" t="str">
        <v>four</v>
      </c>
    </row>
    <row r="179" spans="3:14" x14ac:dyDescent="0.3">
      <c r="C179" s="146" t="str">
        <v>X-004</v>
      </c>
      <c r="D179" s="144">
        <v>4</v>
      </c>
      <c r="E179" s="146" t="str">
        <v>X-002</v>
      </c>
      <c r="G179" s="115" t="str">
        <v>X-006</v>
      </c>
      <c r="H179" s="115" t="str">
        <v>FFF</v>
      </c>
      <c r="I179" s="115">
        <v>6</v>
      </c>
      <c r="J179" s="115" t="str">
        <v>^</v>
      </c>
      <c r="K179" s="115" t="str">
        <v>X-006</v>
      </c>
      <c r="L179" s="115">
        <v>6</v>
      </c>
      <c r="M179" s="115" t="str">
        <v>^</v>
      </c>
      <c r="N179" s="115" t="str">
        <v>six</v>
      </c>
    </row>
    <row r="180" spans="3:14" x14ac:dyDescent="0.3">
      <c r="C180" s="146" t="str">
        <v>X-005</v>
      </c>
      <c r="D180" s="144">
        <v>5</v>
      </c>
      <c r="E180" s="146" t="str">
        <v>X-004</v>
      </c>
      <c r="G180" s="115" t="str">
        <v>X-007</v>
      </c>
      <c r="H180" s="115" t="str">
        <v>GGG</v>
      </c>
      <c r="I180" s="115">
        <v>7</v>
      </c>
      <c r="J180" s="115" t="str">
        <v>&amp;</v>
      </c>
      <c r="K180" s="115" t="str">
        <v>X-007</v>
      </c>
      <c r="L180" s="115">
        <v>7</v>
      </c>
      <c r="M180" s="115" t="str">
        <v>&amp;</v>
      </c>
      <c r="N180" s="115" t="str">
        <v>seven</v>
      </c>
    </row>
    <row r="181" spans="3:14" x14ac:dyDescent="0.3">
      <c r="C181" s="146" t="str">
        <v>X-006</v>
      </c>
      <c r="D181" s="144">
        <v>6</v>
      </c>
      <c r="E181" s="146" t="str">
        <v>X-008</v>
      </c>
      <c r="G181" s="115" t="str">
        <v>X-008</v>
      </c>
      <c r="H181" s="115" t="str">
        <v>HHH</v>
      </c>
      <c r="I181" s="115">
        <v>8</v>
      </c>
      <c r="J181" s="115" t="str">
        <v>*</v>
      </c>
      <c r="K181" s="115" t="str">
        <v>X-008</v>
      </c>
      <c r="L181" s="115">
        <v>8</v>
      </c>
      <c r="M181" s="115" t="str">
        <v>*</v>
      </c>
      <c r="N181" s="115" t="str">
        <v>eight</v>
      </c>
    </row>
    <row r="182" spans="3:14" x14ac:dyDescent="0.3">
      <c r="C182" s="146" t="str">
        <v>X-007</v>
      </c>
      <c r="D182" s="144">
        <v>7</v>
      </c>
      <c r="E182" s="146" t="str">
        <v>X-012</v>
      </c>
      <c r="G182" s="115" t="str">
        <v>X-009</v>
      </c>
      <c r="H182" s="115" t="str">
        <v>III</v>
      </c>
      <c r="I182" s="115">
        <v>9</v>
      </c>
      <c r="J182" s="115" t="str">
        <v>(</v>
      </c>
      <c r="K182" s="115" t="str">
        <v>X-009</v>
      </c>
      <c r="L182" s="115">
        <v>9</v>
      </c>
      <c r="M182" s="115" t="str">
        <v>(</v>
      </c>
      <c r="N182" s="115" t="str">
        <v>nine</v>
      </c>
    </row>
    <row r="183" spans="3:14" x14ac:dyDescent="0.3">
      <c r="C183" s="146" t="str">
        <v>X-008</v>
      </c>
      <c r="D183" s="144">
        <v>8</v>
      </c>
      <c r="E183" s="146" t="str">
        <v>X-001</v>
      </c>
      <c r="G183" s="115" t="str">
        <v>X-010</v>
      </c>
      <c r="H183" s="115" t="str">
        <v>JJJ</v>
      </c>
      <c r="I183" s="115">
        <v>10</v>
      </c>
      <c r="J183" s="115" t="str">
        <v>)</v>
      </c>
      <c r="K183" s="115" t="str">
        <v>X-010</v>
      </c>
      <c r="L183" s="115">
        <v>10</v>
      </c>
      <c r="M183" s="115" t="str">
        <v>)</v>
      </c>
      <c r="N183" s="115" t="str">
        <v>ten</v>
      </c>
    </row>
    <row r="184" spans="3:14" x14ac:dyDescent="0.3">
      <c r="C184" s="146" t="str">
        <v>X-009</v>
      </c>
      <c r="D184" s="144">
        <v>9</v>
      </c>
      <c r="E184" s="146" t="str">
        <v>X-006</v>
      </c>
      <c r="G184" s="52" t="str" cm="1">
        <f t="array" aca="1" ref="G184:G199" ca="1" xml:space="preserve"> _xlfn.TEXTSPLIT( _xlfn.FORMULATEXT(G176), , CHAR(10))</f>
        <v>= LET(</v>
      </c>
    </row>
    <row r="185" spans="3:14" x14ac:dyDescent="0.3">
      <c r="C185" s="146" t="str">
        <v>X-010</v>
      </c>
      <c r="D185" s="144">
        <v>10</v>
      </c>
      <c r="E185" s="146" t="str">
        <v>X-011</v>
      </c>
      <c r="G185" s="52" t="str">
        <f ca="1"/>
        <v xml:space="preserve">  _arr1, $K$12:$N$21,</v>
      </c>
    </row>
    <row r="186" spans="3:14" x14ac:dyDescent="0.3">
      <c r="G186" s="52" t="str">
        <f ca="1"/>
        <v xml:space="preserve">  _arr2, $P$12:$S$21,</v>
      </c>
    </row>
    <row r="187" spans="3:14" x14ac:dyDescent="0.3">
      <c r="G187" s="52" t="str">
        <f ca="1"/>
        <v xml:space="preserve">  _idx1, 1,</v>
      </c>
    </row>
    <row r="188" spans="3:14" x14ac:dyDescent="0.3">
      <c r="G188" s="52" t="str">
        <f ca="1"/>
        <v xml:space="preserve">  _idx2, 1,</v>
      </c>
    </row>
    <row r="189" spans="3:14" x14ac:dyDescent="0.3">
      <c r="G189" s="52" t="str">
        <f ca="1"/>
        <v xml:space="preserve">  _uId1, CHOOSECOLS(_arr1, _idx1),</v>
      </c>
    </row>
    <row r="190" spans="3:14" x14ac:dyDescent="0.3">
      <c r="G190" s="52" t="str">
        <f ca="1"/>
        <v xml:space="preserve">  _uId2, CHOOSECOLS(_arr2, _idx2),</v>
      </c>
    </row>
    <row r="191" spans="3:14" x14ac:dyDescent="0.3">
      <c r="G191" s="52" t="str">
        <f ca="1"/>
        <v xml:space="preserve">  _cc1, COLUMNS(_arr1),</v>
      </c>
    </row>
    <row r="192" spans="3:14" x14ac:dyDescent="0.3">
      <c r="G192" s="52" t="str">
        <f ca="1"/>
        <v xml:space="preserve">  _cc2, COLUMNS(_arr2),</v>
      </c>
    </row>
    <row r="193" spans="2:8" x14ac:dyDescent="0.3">
      <c r="G193" s="52" t="str">
        <f ca="1"/>
        <v xml:space="preserve">  _mtch, DROP(REDUCE(0, _uId1, LAMBDA(_acc,_val, VSTACK(_acc, IFNA(MATCH(_val, _uId2, 0), 0)))), 1),</v>
      </c>
    </row>
    <row r="194" spans="2:8" x14ac:dyDescent="0.3">
      <c r="G194" s="52" t="str">
        <f ca="1"/>
        <v xml:space="preserve">  _blnk, MAKEARRAY(1, _cc2, LAMBDA(_r,_c, NA())),</v>
      </c>
    </row>
    <row r="195" spans="2:8" x14ac:dyDescent="0.3">
      <c r="G195" s="52" t="str">
        <f ca="1"/>
        <v xml:space="preserve">  _arrN, DROP(REDUCE(0, _mtch, LAMBDA(_acc,_val, VSTACK(_acc, IF(_val = 0, _blnk, INDEX(_arr2, _val, SEQUENCE(1, _cc2)))))), 1),</v>
      </c>
    </row>
    <row r="196" spans="2:8" x14ac:dyDescent="0.3">
      <c r="G196" s="52" t="str">
        <f ca="1"/>
        <v xml:space="preserve">  _arrC, HSTACK(_arr1, _arrN),</v>
      </c>
    </row>
    <row r="197" spans="2:8" x14ac:dyDescent="0.3">
      <c r="G197" s="52" t="str">
        <f ca="1"/>
        <v xml:space="preserve">  _arrL, FILTER(_arrC, _mtch &lt;&gt; 0, NA()),</v>
      </c>
    </row>
    <row r="198" spans="2:8" x14ac:dyDescent="0.3">
      <c r="G198" s="52" t="str">
        <f ca="1"/>
        <v xml:space="preserve">  _arrL</v>
      </c>
    </row>
    <row r="199" spans="2:8" x14ac:dyDescent="0.3">
      <c r="G199" s="52" t="str">
        <f ca="1"/>
        <v>)</v>
      </c>
    </row>
    <row r="201" spans="2:8" x14ac:dyDescent="0.3">
      <c r="B201" s="74" t="str" cm="1">
        <f t="array" ref="B201" xml:space="preserve"> "(" &amp; _xlfn.UNICHAR( 65 + SUMPRODUCT(--(_xlfn.REGEXTEST(B$1:B200, "^\([A-Z]\)$")))) &amp; ")"</f>
        <v>(G)</v>
      </c>
      <c r="C201" s="13" t="s">
        <v>1284</v>
      </c>
    </row>
    <row r="203" spans="2:8" x14ac:dyDescent="0.3">
      <c r="C203" t="s">
        <v>1285</v>
      </c>
      <c r="F203" s="142" t="s">
        <v>1286</v>
      </c>
      <c r="G203" t="s">
        <v>1272</v>
      </c>
    </row>
    <row r="204" spans="2:8" ht="14.4" thickBot="1" x14ac:dyDescent="0.35">
      <c r="C204" s="147" t="s">
        <v>1287</v>
      </c>
      <c r="D204" s="147" t="s">
        <v>1288</v>
      </c>
      <c r="F204" s="148">
        <v>0</v>
      </c>
      <c r="G204" s="89" t="str">
        <f xml:space="preserve"> _xlfn.LET(
  _xlpm.join_type, $F$204,
  _xlpm._inpT, IF( ISBLANK(_xlpm.join_type), 0, INT(_xlpm.join_type)),
  _xlpm._typ, IF( ISNUMBER(_xlpm._inpT), _xlpm._inpT + 1,
    _xlfn.IFNA( MATCH( LOWER(_xlpm.join_type), {"left","right","inner","full"}, 0), -1)
  ),
  _xlpm._inpChk, IF( OR(_xlpm._typ &lt; 1, _xlpm._typ &gt; 4), 2, 1),
  _xlpm._rtn, CHOOSE(_xlpm._typ,
    "LEFT JOIN",
    "RIGHT JOIN",
    "INNER JOIN",
    "FULL OUTER JOIN"
  ),
  CHOOSE(_xlpm._inpChk, _xlpm._rtn, #VALUE!)
)</f>
        <v>LEFT JOIN</v>
      </c>
      <c r="H204" s="22"/>
    </row>
    <row r="205" spans="2:8" x14ac:dyDescent="0.3">
      <c r="C205" s="149">
        <v>0</v>
      </c>
      <c r="D205" s="149" t="s">
        <v>1289</v>
      </c>
      <c r="G205" s="52" t="str" cm="1">
        <f t="array" aca="1" ref="G205:G219" ca="1" xml:space="preserve"> _xlfn.TEXTSPLIT( _xlfn.FORMULATEXT(G204), , CHAR(10))</f>
        <v>= LET(</v>
      </c>
    </row>
    <row r="206" spans="2:8" x14ac:dyDescent="0.3">
      <c r="C206" s="150">
        <v>1</v>
      </c>
      <c r="D206" s="150" t="s">
        <v>1290</v>
      </c>
      <c r="G206" s="52" t="str">
        <f ca="1"/>
        <v xml:space="preserve">  join_type, $F$204,</v>
      </c>
    </row>
    <row r="207" spans="2:8" x14ac:dyDescent="0.3">
      <c r="C207" s="150">
        <v>2</v>
      </c>
      <c r="D207" s="150" t="s">
        <v>1291</v>
      </c>
      <c r="G207" s="52" t="str">
        <f ca="1"/>
        <v xml:space="preserve">  _inpT, IF( ISBLANK(join_type), 0, INT(join_type)),</v>
      </c>
    </row>
    <row r="208" spans="2:8" x14ac:dyDescent="0.3">
      <c r="C208" s="150">
        <v>3</v>
      </c>
      <c r="D208" s="150" t="s">
        <v>1292</v>
      </c>
      <c r="G208" s="52" t="str">
        <f ca="1"/>
        <v xml:space="preserve">  _typ, IF( ISNUMBER(_inpT), _inpT + 1,</v>
      </c>
    </row>
    <row r="209" spans="2:8" x14ac:dyDescent="0.3">
      <c r="G209" s="52" t="str">
        <f ca="1"/>
        <v xml:space="preserve">    IFNA( MATCH( LOWER(join_type), {"left","right","inner","full"}, 0), -1)</v>
      </c>
    </row>
    <row r="210" spans="2:8" x14ac:dyDescent="0.3">
      <c r="G210" s="52" t="str">
        <f ca="1"/>
        <v xml:space="preserve">  ),</v>
      </c>
    </row>
    <row r="211" spans="2:8" x14ac:dyDescent="0.3">
      <c r="G211" s="52" t="str">
        <f ca="1"/>
        <v xml:space="preserve">  _inpChk, IF( OR(_typ &lt; 1, _typ &gt; 4), 2, 1),</v>
      </c>
    </row>
    <row r="212" spans="2:8" x14ac:dyDescent="0.3">
      <c r="G212" s="52" t="str">
        <f ca="1"/>
        <v xml:space="preserve">  _rtn, CHOOSE(_typ,</v>
      </c>
    </row>
    <row r="213" spans="2:8" x14ac:dyDescent="0.3">
      <c r="G213" s="52" t="str">
        <f ca="1"/>
        <v xml:space="preserve">    "LEFT JOIN",</v>
      </c>
    </row>
    <row r="214" spans="2:8" x14ac:dyDescent="0.3">
      <c r="G214" s="52" t="str">
        <f ca="1"/>
        <v xml:space="preserve">    "RIGHT JOIN",</v>
      </c>
    </row>
    <row r="215" spans="2:8" x14ac:dyDescent="0.3">
      <c r="G215" s="52" t="str">
        <f ca="1"/>
        <v xml:space="preserve">    "INNER JOIN",</v>
      </c>
    </row>
    <row r="216" spans="2:8" x14ac:dyDescent="0.3">
      <c r="G216" s="52" t="str">
        <f ca="1"/>
        <v xml:space="preserve">    "FULL OUTER JOIN"</v>
      </c>
    </row>
    <row r="217" spans="2:8" x14ac:dyDescent="0.3">
      <c r="G217" s="52" t="str">
        <f ca="1"/>
        <v xml:space="preserve">  ),</v>
      </c>
    </row>
    <row r="218" spans="2:8" x14ac:dyDescent="0.3">
      <c r="G218" s="52" t="str">
        <f ca="1"/>
        <v xml:space="preserve">  CHOOSE(_inpChk, _rtn, #VALUE!)</v>
      </c>
    </row>
    <row r="219" spans="2:8" x14ac:dyDescent="0.3">
      <c r="G219" s="52" t="str">
        <f ca="1"/>
        <v>)</v>
      </c>
    </row>
    <row r="221" spans="2:8" x14ac:dyDescent="0.3">
      <c r="B221" s="74" t="str" cm="1">
        <f t="array" ref="B221" xml:space="preserve"> "(" &amp; _xlfn.UNICHAR( 65 + SUMPRODUCT(--(_xlfn.REGEXTEST(B$1:B220, "^\([A-Z]\)$")))) &amp; ")"</f>
        <v>(H)</v>
      </c>
      <c r="C221" s="13" t="s">
        <v>1293</v>
      </c>
    </row>
    <row r="222" spans="2:8" x14ac:dyDescent="0.3">
      <c r="C222" s="13" t="s">
        <v>1278</v>
      </c>
    </row>
    <row r="224" spans="2:8" x14ac:dyDescent="0.3">
      <c r="G224" s="151" t="s">
        <v>1294</v>
      </c>
      <c r="H224" s="152" t="s">
        <v>1292</v>
      </c>
    </row>
    <row r="225" spans="3:14" x14ac:dyDescent="0.3">
      <c r="C225" s="142" t="s">
        <v>1070</v>
      </c>
      <c r="E225" s="142" t="s">
        <v>1072</v>
      </c>
      <c r="G225" t="s">
        <v>1272</v>
      </c>
    </row>
    <row r="226" spans="3:14" ht="14.4" thickBot="1" x14ac:dyDescent="0.35">
      <c r="C226" s="51" t="s">
        <v>1220</v>
      </c>
      <c r="E226" s="51" t="s">
        <v>1220</v>
      </c>
      <c r="G226" s="51" t="s">
        <v>1220</v>
      </c>
      <c r="H226" s="51" t="s">
        <v>1047</v>
      </c>
      <c r="I226" s="51" t="s">
        <v>1048</v>
      </c>
      <c r="J226" s="51" t="s">
        <v>1049</v>
      </c>
      <c r="K226" s="51" t="s">
        <v>1220</v>
      </c>
      <c r="L226" s="51" t="s">
        <v>1221</v>
      </c>
      <c r="M226" s="51" t="s">
        <v>1222</v>
      </c>
      <c r="N226" s="51" t="s">
        <v>1223</v>
      </c>
    </row>
    <row r="227" spans="3:14" x14ac:dyDescent="0.3">
      <c r="C227" s="146" t="str" cm="1">
        <f t="array" ref="C227:C236" xml:space="preserve"> $K$12:$K$21</f>
        <v>X-001</v>
      </c>
      <c r="D227" s="144">
        <v>1</v>
      </c>
      <c r="E227" s="146" t="str" cm="1">
        <f t="array" ref="E227:E236" xml:space="preserve"> $P$12:$P$21</f>
        <v>X-009</v>
      </c>
      <c r="G227" s="115" t="str" cm="1">
        <f t="array" ref="G227:N238" xml:space="preserve"> _xlfn.LET(
  _xlpm._arr1, $K$12:$N$21,
  _xlpm._arr2, $P$12:$S$21,
  _xlpm._idx1, 1,
  _xlpm._idx2, 1,
  _xlpm.join_type, $H$224,
  _xlpm._inpT, IF( ISBLANK(_xlpm.join_type), 0, INT(_xlpm.join_type)),
  _xlpm._typ, IF( ISNUMBER(_xlpm._inpT), _xlpm._inpT + 1,
    _xlfn.IFNA( MATCH( LOWER(_xlpm.join_type), {"left","right","inner","full"}, 0), -1)
  ),
  _xlpm._inpChk, IF( OR(_xlpm._typ &lt; 1, _xlpm._typ &gt; 4), 2, 1),
  _xlpm._uId1, _xlfn.CHOOSECOLS(_xlpm._arr1, _xlpm._idx1),
  _xlpm._uId2, _xlfn.CHOOSECOLS(_xlpm._arr2, _xlpm._idx2),
  _xlpm._cc1, COLUMNS(_xlpm._arr1),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_xlpm._arrR, _xlfn.LET(
    _xlpm._fltr, _xlfn.SCAN(0, _xlfn.SEQUENCE( ROWS(_xlpm._arr2), 1), _xlfn.LAMBDA(_xlpm._acc,_xlpm._val, IF( ISNA(MATCH(_xlpm._val, _xlpm._mtch, 0)), 1, 0))),
    _xlpm._arr, _xlfn._xlws.FILTER(_xlpm._arr2, _xlpm._fltr = 1, NA()),
    _xlpm._blnk, _xlfn.MAKEARRAY( ROWS(_xlpm._arr), _xlpm._cc1, _xlfn.LAMBDA(_xlpm._r,_xlpm._c, NA())),
    _xlfn.HSTACK(_xlpm._blnk, _xlpm._arr)
  ),
  _xlpm._arrC, _xlfn.HSTACK(_xlpm._arr1, _xlpm._arrN),
  _xlpm._arrL, IF( OR(_xlpm._typ = 2, _xlpm._typ = 3),
    _xlfn._xlws.FILTER(_xlpm._arrC, _xlpm._mtch &lt;&gt; 0, NA()),
    _xlpm._arrC
  ),
  _xlpm._rtn, IF( MOD(_xlpm._typ, 2) = 0,
    _xlfn.VSTACK(_xlpm._arrL, _xlpm._arrR),
    _xlpm._arrL
  ),
  CHOOSE(_xlpm._inpChk, _xlpm._rtn, #VALUE!)
)</f>
        <v>X-001</v>
      </c>
      <c r="H227" s="115" t="str">
        <v>AAA</v>
      </c>
      <c r="I227" s="115">
        <v>1</v>
      </c>
      <c r="J227" s="115" t="str">
        <v>!</v>
      </c>
      <c r="K227" s="115" t="str">
        <v>X-001</v>
      </c>
      <c r="L227" s="115">
        <v>1</v>
      </c>
      <c r="M227" s="115" t="str">
        <v>!</v>
      </c>
      <c r="N227" s="115" t="str">
        <v>one</v>
      </c>
    </row>
    <row r="228" spans="3:14" x14ac:dyDescent="0.3">
      <c r="C228" s="146" t="str">
        <v>X-002</v>
      </c>
      <c r="D228" s="144">
        <v>2</v>
      </c>
      <c r="E228" s="146" t="str">
        <v>X-007</v>
      </c>
      <c r="G228" s="115" t="str">
        <v>X-002</v>
      </c>
      <c r="H228" s="115" t="str">
        <v>BBB</v>
      </c>
      <c r="I228" s="115">
        <v>2</v>
      </c>
      <c r="J228" s="115" t="str">
        <v>"</v>
      </c>
      <c r="K228" s="115" t="str">
        <v>X-002</v>
      </c>
      <c r="L228" s="115">
        <v>2</v>
      </c>
      <c r="M228" s="115" t="str">
        <v>"</v>
      </c>
      <c r="N228" s="115" t="str">
        <v>two</v>
      </c>
    </row>
    <row r="229" spans="3:14" x14ac:dyDescent="0.3">
      <c r="C229" s="146" t="str">
        <v>X-003</v>
      </c>
      <c r="D229" s="144">
        <v>3</v>
      </c>
      <c r="E229" s="146" t="str">
        <v>X-010</v>
      </c>
      <c r="G229" s="115" t="str">
        <v>X-003</v>
      </c>
      <c r="H229" s="115" t="str">
        <v>CCC</v>
      </c>
      <c r="I229" s="115">
        <v>3</v>
      </c>
      <c r="J229" s="115" t="str">
        <v>£</v>
      </c>
      <c r="K229" s="115" t="e">
        <v>#N/A</v>
      </c>
      <c r="L229" s="115" t="e">
        <v>#N/A</v>
      </c>
      <c r="M229" s="115" t="e">
        <v>#N/A</v>
      </c>
      <c r="N229" s="115" t="e">
        <v>#N/A</v>
      </c>
    </row>
    <row r="230" spans="3:14" x14ac:dyDescent="0.3">
      <c r="C230" s="146" t="str">
        <v>X-004</v>
      </c>
      <c r="D230" s="144">
        <v>4</v>
      </c>
      <c r="E230" s="146" t="str">
        <v>X-002</v>
      </c>
      <c r="G230" s="115" t="str">
        <v>X-004</v>
      </c>
      <c r="H230" s="115" t="str">
        <v>DDD</v>
      </c>
      <c r="I230" s="115">
        <v>4</v>
      </c>
      <c r="J230" s="115" t="str">
        <v>$</v>
      </c>
      <c r="K230" s="115" t="str">
        <v>X-004</v>
      </c>
      <c r="L230" s="115">
        <v>4</v>
      </c>
      <c r="M230" s="115" t="str">
        <v>$</v>
      </c>
      <c r="N230" s="115" t="str">
        <v>four</v>
      </c>
    </row>
    <row r="231" spans="3:14" x14ac:dyDescent="0.3">
      <c r="C231" s="146" t="str">
        <v>X-005</v>
      </c>
      <c r="D231" s="144">
        <v>5</v>
      </c>
      <c r="E231" s="146" t="str">
        <v>X-004</v>
      </c>
      <c r="G231" s="115" t="str">
        <v>X-005</v>
      </c>
      <c r="H231" s="115" t="str">
        <v>EEE</v>
      </c>
      <c r="I231" s="115">
        <v>5</v>
      </c>
      <c r="J231" s="115" t="str">
        <v>%</v>
      </c>
      <c r="K231" s="115" t="e">
        <v>#N/A</v>
      </c>
      <c r="L231" s="115" t="e">
        <v>#N/A</v>
      </c>
      <c r="M231" s="115" t="e">
        <v>#N/A</v>
      </c>
      <c r="N231" s="115" t="e">
        <v>#N/A</v>
      </c>
    </row>
    <row r="232" spans="3:14" x14ac:dyDescent="0.3">
      <c r="C232" s="146" t="str">
        <v>X-006</v>
      </c>
      <c r="D232" s="144">
        <v>6</v>
      </c>
      <c r="E232" s="146" t="str">
        <v>X-008</v>
      </c>
      <c r="G232" s="115" t="str">
        <v>X-006</v>
      </c>
      <c r="H232" s="115" t="str">
        <v>FFF</v>
      </c>
      <c r="I232" s="115">
        <v>6</v>
      </c>
      <c r="J232" s="115" t="str">
        <v>^</v>
      </c>
      <c r="K232" s="115" t="str">
        <v>X-006</v>
      </c>
      <c r="L232" s="115">
        <v>6</v>
      </c>
      <c r="M232" s="115" t="str">
        <v>^</v>
      </c>
      <c r="N232" s="115" t="str">
        <v>six</v>
      </c>
    </row>
    <row r="233" spans="3:14" x14ac:dyDescent="0.3">
      <c r="C233" s="146" t="str">
        <v>X-007</v>
      </c>
      <c r="D233" s="144">
        <v>7</v>
      </c>
      <c r="E233" s="146" t="str">
        <v>X-012</v>
      </c>
      <c r="G233" s="115" t="str">
        <v>X-007</v>
      </c>
      <c r="H233" s="115" t="str">
        <v>GGG</v>
      </c>
      <c r="I233" s="115">
        <v>7</v>
      </c>
      <c r="J233" s="115" t="str">
        <v>&amp;</v>
      </c>
      <c r="K233" s="115" t="str">
        <v>X-007</v>
      </c>
      <c r="L233" s="115">
        <v>7</v>
      </c>
      <c r="M233" s="115" t="str">
        <v>&amp;</v>
      </c>
      <c r="N233" s="115" t="str">
        <v>seven</v>
      </c>
    </row>
    <row r="234" spans="3:14" x14ac:dyDescent="0.3">
      <c r="C234" s="146" t="str">
        <v>X-008</v>
      </c>
      <c r="D234" s="144">
        <v>8</v>
      </c>
      <c r="E234" s="146" t="str">
        <v>X-001</v>
      </c>
      <c r="G234" s="115" t="str">
        <v>X-008</v>
      </c>
      <c r="H234" s="115" t="str">
        <v>HHH</v>
      </c>
      <c r="I234" s="115">
        <v>8</v>
      </c>
      <c r="J234" s="115" t="str">
        <v>*</v>
      </c>
      <c r="K234" s="115" t="str">
        <v>X-008</v>
      </c>
      <c r="L234" s="115">
        <v>8</v>
      </c>
      <c r="M234" s="115" t="str">
        <v>*</v>
      </c>
      <c r="N234" s="115" t="str">
        <v>eight</v>
      </c>
    </row>
    <row r="235" spans="3:14" x14ac:dyDescent="0.3">
      <c r="C235" s="146" t="str">
        <v>X-009</v>
      </c>
      <c r="D235" s="144">
        <v>9</v>
      </c>
      <c r="E235" s="146" t="str">
        <v>X-006</v>
      </c>
      <c r="G235" s="115" t="str">
        <v>X-009</v>
      </c>
      <c r="H235" s="115" t="str">
        <v>III</v>
      </c>
      <c r="I235" s="115">
        <v>9</v>
      </c>
      <c r="J235" s="115" t="str">
        <v>(</v>
      </c>
      <c r="K235" s="115" t="str">
        <v>X-009</v>
      </c>
      <c r="L235" s="115">
        <v>9</v>
      </c>
      <c r="M235" s="115" t="str">
        <v>(</v>
      </c>
      <c r="N235" s="115" t="str">
        <v>nine</v>
      </c>
    </row>
    <row r="236" spans="3:14" x14ac:dyDescent="0.3">
      <c r="C236" s="146" t="str">
        <v>X-010</v>
      </c>
      <c r="D236" s="144">
        <v>10</v>
      </c>
      <c r="E236" s="146" t="str">
        <v>X-011</v>
      </c>
      <c r="G236" s="115" t="str">
        <v>X-010</v>
      </c>
      <c r="H236" s="115" t="str">
        <v>JJJ</v>
      </c>
      <c r="I236" s="115">
        <v>10</v>
      </c>
      <c r="J236" s="115" t="str">
        <v>)</v>
      </c>
      <c r="K236" s="115" t="str">
        <v>X-010</v>
      </c>
      <c r="L236" s="115">
        <v>10</v>
      </c>
      <c r="M236" s="115" t="str">
        <v>)</v>
      </c>
      <c r="N236" s="115" t="str">
        <v>ten</v>
      </c>
    </row>
    <row r="237" spans="3:14" x14ac:dyDescent="0.3">
      <c r="G237" s="115" t="e">
        <v>#N/A</v>
      </c>
      <c r="H237" s="115" t="e">
        <v>#N/A</v>
      </c>
      <c r="I237" s="115" t="e">
        <v>#N/A</v>
      </c>
      <c r="J237" s="115" t="e">
        <v>#N/A</v>
      </c>
      <c r="K237" s="115" t="str">
        <v>X-012</v>
      </c>
      <c r="L237" s="115">
        <v>12</v>
      </c>
      <c r="M237" s="115" t="str">
        <v>@</v>
      </c>
      <c r="N237" s="115" t="str">
        <v>twelve</v>
      </c>
    </row>
    <row r="238" spans="3:14" x14ac:dyDescent="0.3">
      <c r="G238" s="115" t="e">
        <v>#N/A</v>
      </c>
      <c r="H238" s="115" t="e">
        <v>#N/A</v>
      </c>
      <c r="I238" s="115" t="e">
        <v>#N/A</v>
      </c>
      <c r="J238" s="115" t="e">
        <v>#N/A</v>
      </c>
      <c r="K238" s="115" t="str">
        <v>X-011</v>
      </c>
      <c r="L238" s="115">
        <v>11</v>
      </c>
      <c r="M238" s="115" t="str">
        <v>~</v>
      </c>
      <c r="N238" s="115" t="str">
        <v>eleven</v>
      </c>
    </row>
    <row r="239" spans="3:14" x14ac:dyDescent="0.3">
      <c r="G239" s="52" t="str" cm="1">
        <f t="array" aca="1" ref="G239:G273" ca="1" xml:space="preserve"> _xlfn.TEXTSPLIT( _xlfn.FORMULATEXT(G227), , CHAR(10))</f>
        <v>= LET(</v>
      </c>
    </row>
    <row r="240" spans="3:14" x14ac:dyDescent="0.3">
      <c r="G240" s="52" t="str">
        <f ca="1"/>
        <v xml:space="preserve">  _arr1, $K$12:$N$21,</v>
      </c>
    </row>
    <row r="241" spans="7:7" x14ac:dyDescent="0.3">
      <c r="G241" s="52" t="str">
        <f ca="1"/>
        <v xml:space="preserve">  _arr2, $P$12:$S$21,</v>
      </c>
    </row>
    <row r="242" spans="7:7" x14ac:dyDescent="0.3">
      <c r="G242" s="52" t="str">
        <f ca="1"/>
        <v xml:space="preserve">  _idx1, 1,</v>
      </c>
    </row>
    <row r="243" spans="7:7" x14ac:dyDescent="0.3">
      <c r="G243" s="52" t="str">
        <f ca="1"/>
        <v xml:space="preserve">  _idx2, 1,</v>
      </c>
    </row>
    <row r="244" spans="7:7" x14ac:dyDescent="0.3">
      <c r="G244" s="52" t="str">
        <f ca="1"/>
        <v xml:space="preserve">  join_type, $H$224,</v>
      </c>
    </row>
    <row r="245" spans="7:7" x14ac:dyDescent="0.3">
      <c r="G245" s="52" t="str">
        <f ca="1"/>
        <v xml:space="preserve">  _inpT, IF( ISBLANK(join_type), 0, INT(join_type)),</v>
      </c>
    </row>
    <row r="246" spans="7:7" x14ac:dyDescent="0.3">
      <c r="G246" s="52" t="str">
        <f ca="1"/>
        <v xml:space="preserve">  _typ, IF( ISNUMBER(_inpT), _inpT + 1,</v>
      </c>
    </row>
    <row r="247" spans="7:7" x14ac:dyDescent="0.3">
      <c r="G247" s="52" t="str">
        <f ca="1"/>
        <v xml:space="preserve">    IFNA( MATCH( LOWER(join_type), {"left","right","inner","full"}, 0), -1)</v>
      </c>
    </row>
    <row r="248" spans="7:7" x14ac:dyDescent="0.3">
      <c r="G248" s="52" t="str">
        <f ca="1"/>
        <v xml:space="preserve">  ),</v>
      </c>
    </row>
    <row r="249" spans="7:7" x14ac:dyDescent="0.3">
      <c r="G249" s="52" t="str">
        <f ca="1"/>
        <v xml:space="preserve">  _inpChk, IF( OR(_typ &lt; 1, _typ &gt; 4), 2, 1),</v>
      </c>
    </row>
    <row r="250" spans="7:7" x14ac:dyDescent="0.3">
      <c r="G250" s="52" t="str">
        <f ca="1"/>
        <v xml:space="preserve">  _uId1, CHOOSECOLS(_arr1, _idx1),</v>
      </c>
    </row>
    <row r="251" spans="7:7" x14ac:dyDescent="0.3">
      <c r="G251" s="52" t="str">
        <f ca="1"/>
        <v xml:space="preserve">  _uId2, CHOOSECOLS(_arr2, _idx2),</v>
      </c>
    </row>
    <row r="252" spans="7:7" x14ac:dyDescent="0.3">
      <c r="G252" s="52" t="str">
        <f ca="1"/>
        <v xml:space="preserve">  _cc1, COLUMNS(_arr1),</v>
      </c>
    </row>
    <row r="253" spans="7:7" x14ac:dyDescent="0.3">
      <c r="G253" s="52" t="str">
        <f ca="1"/>
        <v xml:space="preserve">  _cc2, COLUMNS(_arr2),</v>
      </c>
    </row>
    <row r="254" spans="7:7" x14ac:dyDescent="0.3">
      <c r="G254" s="52" t="str">
        <f ca="1"/>
        <v xml:space="preserve">  _mtch, DROP(REDUCE(0, _uId1, LAMBDA(_acc,_val, VSTACK(_acc, IFNA(MATCH(_val, _uId2, 0), 0)))), 1),</v>
      </c>
    </row>
    <row r="255" spans="7:7" x14ac:dyDescent="0.3">
      <c r="G255" s="52" t="str">
        <f ca="1"/>
        <v xml:space="preserve">  _blnk, MAKEARRAY(1, _cc2, LAMBDA(_r,_c, NA())),</v>
      </c>
    </row>
    <row r="256" spans="7:7" x14ac:dyDescent="0.3">
      <c r="G256" s="52" t="str">
        <f ca="1"/>
        <v xml:space="preserve">  _arrN, DROP(REDUCE(0, _mtch, LAMBDA(_acc,_val, VSTACK(_acc, IF(_val = 0, _blnk, INDEX(_arr2, _val, SEQUENCE(1, _cc2)))))), 1),</v>
      </c>
    </row>
    <row r="257" spans="7:7" x14ac:dyDescent="0.3">
      <c r="G257" s="52" t="str">
        <f ca="1"/>
        <v xml:space="preserve">  _arrR, LET(</v>
      </c>
    </row>
    <row r="258" spans="7:7" x14ac:dyDescent="0.3">
      <c r="G258" s="52" t="str">
        <f ca="1"/>
        <v xml:space="preserve">    _fltr, SCAN(0, SEQUENCE( ROWS(_arr2), 1), LAMBDA(_acc,_val, IF( ISNA(MATCH(_val, _mtch, 0)), 1, 0))),</v>
      </c>
    </row>
    <row r="259" spans="7:7" x14ac:dyDescent="0.3">
      <c r="G259" s="52" t="str">
        <f ca="1"/>
        <v xml:space="preserve">    _arr, FILTER(_arr2, _fltr = 1, NA()),</v>
      </c>
    </row>
    <row r="260" spans="7:7" x14ac:dyDescent="0.3">
      <c r="G260" s="52" t="str">
        <f ca="1"/>
        <v xml:space="preserve">    _blnk, MAKEARRAY( ROWS(_arr), _cc1, LAMBDA(_r,_c, NA())),</v>
      </c>
    </row>
    <row r="261" spans="7:7" x14ac:dyDescent="0.3">
      <c r="G261" s="52" t="str">
        <f ca="1"/>
        <v xml:space="preserve">    HSTACK(_blnk, _arr)</v>
      </c>
    </row>
    <row r="262" spans="7:7" x14ac:dyDescent="0.3">
      <c r="G262" s="52" t="str">
        <f ca="1"/>
        <v xml:space="preserve">  ),</v>
      </c>
    </row>
    <row r="263" spans="7:7" x14ac:dyDescent="0.3">
      <c r="G263" s="52" t="str">
        <f ca="1"/>
        <v xml:space="preserve">  _arrC, HSTACK(_arr1, _arrN),</v>
      </c>
    </row>
    <row r="264" spans="7:7" x14ac:dyDescent="0.3">
      <c r="G264" s="52" t="str">
        <f ca="1"/>
        <v xml:space="preserve">  _arrL, IF( OR(_typ = 2, _typ = 3),</v>
      </c>
    </row>
    <row r="265" spans="7:7" x14ac:dyDescent="0.3">
      <c r="G265" s="52" t="str">
        <f ca="1"/>
        <v xml:space="preserve">    FILTER(_arrC, _mtch &lt;&gt; 0, NA()),</v>
      </c>
    </row>
    <row r="266" spans="7:7" x14ac:dyDescent="0.3">
      <c r="G266" s="52" t="str">
        <f ca="1"/>
        <v xml:space="preserve">    _arrC</v>
      </c>
    </row>
    <row r="267" spans="7:7" x14ac:dyDescent="0.3">
      <c r="G267" s="52" t="str">
        <f ca="1"/>
        <v xml:space="preserve">  ),</v>
      </c>
    </row>
    <row r="268" spans="7:7" x14ac:dyDescent="0.3">
      <c r="G268" s="52" t="str">
        <f ca="1"/>
        <v xml:space="preserve">  _rtn, IF( MOD(_typ, 2) = 0,</v>
      </c>
    </row>
    <row r="269" spans="7:7" x14ac:dyDescent="0.3">
      <c r="G269" s="52" t="str">
        <f ca="1"/>
        <v xml:space="preserve">    VSTACK(_arrL, _arrR),</v>
      </c>
    </row>
    <row r="270" spans="7:7" x14ac:dyDescent="0.3">
      <c r="G270" s="52" t="str">
        <f ca="1"/>
        <v xml:space="preserve">    _arrL</v>
      </c>
    </row>
    <row r="271" spans="7:7" x14ac:dyDescent="0.3">
      <c r="G271" s="52" t="str">
        <f ca="1"/>
        <v xml:space="preserve">  ),</v>
      </c>
    </row>
    <row r="272" spans="7:7" x14ac:dyDescent="0.3">
      <c r="G272" s="52" t="str">
        <f ca="1"/>
        <v xml:space="preserve">  CHOOSE(_inpChk, _rtn, #VALUE!)</v>
      </c>
    </row>
    <row r="273" spans="2:15" x14ac:dyDescent="0.3">
      <c r="G273" s="52" t="str">
        <f ca="1"/>
        <v>)</v>
      </c>
    </row>
    <row r="275" spans="2:15" x14ac:dyDescent="0.3">
      <c r="B275" s="74" t="str" cm="1">
        <f t="array" ref="B275" xml:space="preserve"> "(" &amp; _xlfn.UNICHAR( 65 + SUMPRODUCT(--(_xlfn.REGEXTEST(B$1:B274, "^\([A-Z]\)$")))) &amp; ")"</f>
        <v>(I)</v>
      </c>
      <c r="C275" s="13" t="s">
        <v>1295</v>
      </c>
    </row>
    <row r="276" spans="2:15" x14ac:dyDescent="0.3">
      <c r="C276" s="13" t="s">
        <v>1278</v>
      </c>
    </row>
    <row r="278" spans="2:15" x14ac:dyDescent="0.3">
      <c r="C278" s="139">
        <v>1</v>
      </c>
      <c r="E278" s="139">
        <v>1</v>
      </c>
      <c r="G278" s="151" t="s">
        <v>1294</v>
      </c>
      <c r="H278" s="152">
        <v>3</v>
      </c>
    </row>
    <row r="279" spans="2:15" x14ac:dyDescent="0.3">
      <c r="C279" s="142" t="s">
        <v>1070</v>
      </c>
      <c r="E279" s="142" t="s">
        <v>1072</v>
      </c>
      <c r="G279" t="s">
        <v>1272</v>
      </c>
    </row>
    <row r="280" spans="2:15" ht="14.4" thickBot="1" x14ac:dyDescent="0.35">
      <c r="C280" s="51" t="s">
        <v>1220</v>
      </c>
      <c r="E280" s="51" t="s">
        <v>1220</v>
      </c>
      <c r="G280" s="51" t="s">
        <v>1220</v>
      </c>
      <c r="H280" s="51" t="s">
        <v>1047</v>
      </c>
      <c r="I280" s="51" t="s">
        <v>1048</v>
      </c>
      <c r="J280" s="51" t="s">
        <v>1049</v>
      </c>
      <c r="K280" s="51" t="s">
        <v>1220</v>
      </c>
      <c r="L280" s="51" t="s">
        <v>1221</v>
      </c>
      <c r="M280" s="51" t="s">
        <v>1222</v>
      </c>
      <c r="N280" s="51" t="s">
        <v>1223</v>
      </c>
    </row>
    <row r="281" spans="2:15" x14ac:dyDescent="0.3">
      <c r="C281" s="146" t="str" cm="1">
        <f t="array" ref="C281:C290" xml:space="preserve"> _xlfn.CHOOSECOLS($K$12:$N$21, $C$278)</f>
        <v>X-001</v>
      </c>
      <c r="D281" s="144">
        <v>1</v>
      </c>
      <c r="E281" s="146" t="str" cm="1">
        <f t="array" ref="E281:E290" xml:space="preserve"> _xlfn.CHOOSECOLS($P$12:$S$21, $E$278)</f>
        <v>X-009</v>
      </c>
      <c r="G281" s="115" t="str" cm="1">
        <f t="array" ref="G281:N292" xml:space="preserve"> _xlfn.LET(
  _xlpm._arr1, $K$12:$N$21,
  _xlpm._arr2, $P$12:$S$21,
  _xlpm._idx1, $C$278,
  _xlpm._idx2, $E$278,
  _xlpm.join_type, $H$278,
  _xlpm._inpT, IF( ISBLANK(_xlpm.join_type), 0, INT(_xlpm.join_type)),
  _xlpm._typ, IF( ISNUMBER(_xlpm._inpT), _xlpm._inpT + 1,
    _xlfn.IFNA( MATCH( LOWER(_xlpm.join_type), {"left","right","inner","full"}, 0), -1)
  ),
  _xlpm._inpChk, IF( OR(_xlpm._typ &lt; 1, _xlpm._typ &gt; 4), 2, 1),
  _xlpm._uId1, _xlfn.CHOOSECOLS(_xlpm._arr1, _xlpm._idx1),
  _xlpm._uId2, _xlfn.CHOOSECOLS(_xlpm._arr2, _xlpm._idx2),
  _xlpm._cc1, COLUMNS(_xlpm._arr1),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_xlpm._arrR, _xlfn.LET(
    _xlpm._fltr, _xlfn.SCAN(0, _xlfn.SEQUENCE( ROWS(_xlpm._arr2), 1), _xlfn.LAMBDA(_xlpm._acc,_xlpm._val, IF( ISNA(MATCH(_xlpm._val, _xlpm._mtch, 0)), 1, 0))),
    _xlpm._arr, _xlfn._xlws.FILTER(_xlpm._arr2, _xlpm._fltr = 1, "#[Empty]"),
    _xlpm._blnk, _xlfn.MAKEARRAY( ROWS(_xlpm._arr), _xlpm._cc1, _xlfn.LAMBDA(_xlpm._r,_xlpm._c, NA())),
    _xlfn.HSTACK(_xlpm._blnk, _xlpm._arr)
  ),
  _xlpm._arrC, _xlfn.HSTACK(_xlpm._arr1, _xlpm._arrN),
  _xlpm._arrL, IF( OR(_xlpm._typ = 2, _xlpm._typ = 3),
    _xlfn._xlws.FILTER(_xlpm._arrC, _xlpm._mtch &lt;&gt; 0, "#[Empty]"),
    _xlpm._arrC
  ),
  _xlpm._rtn, CHOOSE(_xlpm._typ,
    _xlpm._arrL,
    IF( INDEX(_xlpm._arrL, 1, 1) = "#[Empty]",
      _xlpm._arrR,
      IF( INDEX(_xlpm._arrR, 1, _xlpm._cc1 + 1) = "#[Empty]",
        _xlpm._arrL,
        _xlfn.VSTACK(_xlpm._arrL, _xlpm._arrR)
      )
    ),
    IF( INDEX(_xlpm._arrL, 1, 1) = "#[Empty]",
      _xlfn.MAKEARRAY(1, _xlpm._cc1 + _xlpm._cc2, _xlfn.LAMBDA(_xlpm._r,_xlpm._c, NA())),
      _xlpm._arrL
    ),
    IF( INDEX(_xlpm._arrR, 1, _xlpm._cc1 + 1) = "#[Empty]",
      _xlpm._arrL,
      _xlfn.VSTACK(_xlpm._arrL, _xlpm._arrR)
    )
  ),
  CHOOSE(_xlpm._inpChk, _xlpm._rtn, #VALUE!)
)</f>
        <v>X-001</v>
      </c>
      <c r="H281" s="115" t="str">
        <v>AAA</v>
      </c>
      <c r="I281" s="115">
        <v>1</v>
      </c>
      <c r="J281" s="115" t="str">
        <v>!</v>
      </c>
      <c r="K281" s="115" t="str">
        <v>X-001</v>
      </c>
      <c r="L281" s="115">
        <v>1</v>
      </c>
      <c r="M281" s="115" t="str">
        <v>!</v>
      </c>
      <c r="N281" s="115" t="str">
        <v>one</v>
      </c>
      <c r="O281" s="52" t="str" cm="1">
        <f t="array" aca="1" ref="O281:O329" ca="1" xml:space="preserve"> _xlfn.TEXTSPLIT( _xlfn.FORMULATEXT(G281), , CHAR(10))</f>
        <v>= LET(</v>
      </c>
    </row>
    <row r="282" spans="2:15" x14ac:dyDescent="0.3">
      <c r="C282" s="146" t="str">
        <v>X-002</v>
      </c>
      <c r="D282" s="144">
        <v>2</v>
      </c>
      <c r="E282" s="146" t="str">
        <v>X-007</v>
      </c>
      <c r="G282" s="115" t="str">
        <v>X-002</v>
      </c>
      <c r="H282" s="115" t="str">
        <v>BBB</v>
      </c>
      <c r="I282" s="115">
        <v>2</v>
      </c>
      <c r="J282" s="115" t="str">
        <v>"</v>
      </c>
      <c r="K282" s="115" t="str">
        <v>X-002</v>
      </c>
      <c r="L282" s="115">
        <v>2</v>
      </c>
      <c r="M282" s="115" t="str">
        <v>"</v>
      </c>
      <c r="N282" s="115" t="str">
        <v>two</v>
      </c>
      <c r="O282" s="52" t="str">
        <f ca="1"/>
        <v xml:space="preserve">  _arr1, $K$12:$N$21,</v>
      </c>
    </row>
    <row r="283" spans="2:15" x14ac:dyDescent="0.3">
      <c r="C283" s="146" t="str">
        <v>X-003</v>
      </c>
      <c r="D283" s="144">
        <v>3</v>
      </c>
      <c r="E283" s="146" t="str">
        <v>X-010</v>
      </c>
      <c r="G283" s="115" t="str">
        <v>X-003</v>
      </c>
      <c r="H283" s="115" t="str">
        <v>CCC</v>
      </c>
      <c r="I283" s="115">
        <v>3</v>
      </c>
      <c r="J283" s="115" t="str">
        <v>£</v>
      </c>
      <c r="K283" s="115" t="e">
        <v>#N/A</v>
      </c>
      <c r="L283" s="115" t="e">
        <v>#N/A</v>
      </c>
      <c r="M283" s="115" t="e">
        <v>#N/A</v>
      </c>
      <c r="N283" s="115" t="e">
        <v>#N/A</v>
      </c>
      <c r="O283" s="52" t="str">
        <f ca="1"/>
        <v xml:space="preserve">  _arr2, $P$12:$S$21,</v>
      </c>
    </row>
    <row r="284" spans="2:15" x14ac:dyDescent="0.3">
      <c r="C284" s="146" t="str">
        <v>X-004</v>
      </c>
      <c r="D284" s="144">
        <v>4</v>
      </c>
      <c r="E284" s="146" t="str">
        <v>X-002</v>
      </c>
      <c r="G284" s="115" t="str">
        <v>X-004</v>
      </c>
      <c r="H284" s="115" t="str">
        <v>DDD</v>
      </c>
      <c r="I284" s="115">
        <v>4</v>
      </c>
      <c r="J284" s="115" t="str">
        <v>$</v>
      </c>
      <c r="K284" s="115" t="str">
        <v>X-004</v>
      </c>
      <c r="L284" s="115">
        <v>4</v>
      </c>
      <c r="M284" s="115" t="str">
        <v>$</v>
      </c>
      <c r="N284" s="115" t="str">
        <v>four</v>
      </c>
      <c r="O284" s="52" t="str">
        <f ca="1"/>
        <v xml:space="preserve">  _idx1, $C$278,</v>
      </c>
    </row>
    <row r="285" spans="2:15" x14ac:dyDescent="0.3">
      <c r="C285" s="146" t="str">
        <v>X-005</v>
      </c>
      <c r="D285" s="144">
        <v>5</v>
      </c>
      <c r="E285" s="146" t="str">
        <v>X-004</v>
      </c>
      <c r="G285" s="115" t="str">
        <v>X-005</v>
      </c>
      <c r="H285" s="115" t="str">
        <v>EEE</v>
      </c>
      <c r="I285" s="115">
        <v>5</v>
      </c>
      <c r="J285" s="115" t="str">
        <v>%</v>
      </c>
      <c r="K285" s="115" t="e">
        <v>#N/A</v>
      </c>
      <c r="L285" s="115" t="e">
        <v>#N/A</v>
      </c>
      <c r="M285" s="115" t="e">
        <v>#N/A</v>
      </c>
      <c r="N285" s="115" t="e">
        <v>#N/A</v>
      </c>
      <c r="O285" s="52" t="str">
        <f ca="1"/>
        <v xml:space="preserve">  _idx2, $E$278,</v>
      </c>
    </row>
    <row r="286" spans="2:15" x14ac:dyDescent="0.3">
      <c r="C286" s="146" t="str">
        <v>X-006</v>
      </c>
      <c r="D286" s="144">
        <v>6</v>
      </c>
      <c r="E286" s="146" t="str">
        <v>X-008</v>
      </c>
      <c r="G286" s="115" t="str">
        <v>X-006</v>
      </c>
      <c r="H286" s="115" t="str">
        <v>FFF</v>
      </c>
      <c r="I286" s="115">
        <v>6</v>
      </c>
      <c r="J286" s="115" t="str">
        <v>^</v>
      </c>
      <c r="K286" s="115" t="str">
        <v>X-006</v>
      </c>
      <c r="L286" s="115">
        <v>6</v>
      </c>
      <c r="M286" s="115" t="str">
        <v>^</v>
      </c>
      <c r="N286" s="115" t="str">
        <v>six</v>
      </c>
      <c r="O286" s="52" t="str">
        <f ca="1"/>
        <v xml:space="preserve">  join_type, $H$278,</v>
      </c>
    </row>
    <row r="287" spans="2:15" x14ac:dyDescent="0.3">
      <c r="C287" s="146" t="str">
        <v>X-007</v>
      </c>
      <c r="D287" s="144">
        <v>7</v>
      </c>
      <c r="E287" s="146" t="str">
        <v>X-012</v>
      </c>
      <c r="G287" s="115" t="str">
        <v>X-007</v>
      </c>
      <c r="H287" s="115" t="str">
        <v>GGG</v>
      </c>
      <c r="I287" s="115">
        <v>7</v>
      </c>
      <c r="J287" s="115" t="str">
        <v>&amp;</v>
      </c>
      <c r="K287" s="115" t="str">
        <v>X-007</v>
      </c>
      <c r="L287" s="115">
        <v>7</v>
      </c>
      <c r="M287" s="115" t="str">
        <v>&amp;</v>
      </c>
      <c r="N287" s="115" t="str">
        <v>seven</v>
      </c>
      <c r="O287" s="52" t="str">
        <f ca="1"/>
        <v xml:space="preserve">  _inpT, IF( ISBLANK(join_type), 0, INT(join_type)),</v>
      </c>
    </row>
    <row r="288" spans="2:15" x14ac:dyDescent="0.3">
      <c r="C288" s="146" t="str">
        <v>X-008</v>
      </c>
      <c r="D288" s="144">
        <v>8</v>
      </c>
      <c r="E288" s="146" t="str">
        <v>X-001</v>
      </c>
      <c r="G288" s="115" t="str">
        <v>X-008</v>
      </c>
      <c r="H288" s="115" t="str">
        <v>HHH</v>
      </c>
      <c r="I288" s="115">
        <v>8</v>
      </c>
      <c r="J288" s="115" t="str">
        <v>*</v>
      </c>
      <c r="K288" s="115" t="str">
        <v>X-008</v>
      </c>
      <c r="L288" s="115">
        <v>8</v>
      </c>
      <c r="M288" s="115" t="str">
        <v>*</v>
      </c>
      <c r="N288" s="115" t="str">
        <v>eight</v>
      </c>
      <c r="O288" s="52" t="str">
        <f ca="1"/>
        <v xml:space="preserve">  _typ, IF( ISNUMBER(_inpT), _inpT + 1,</v>
      </c>
    </row>
    <row r="289" spans="3:15" x14ac:dyDescent="0.3">
      <c r="C289" s="146" t="str">
        <v>X-009</v>
      </c>
      <c r="D289" s="144">
        <v>9</v>
      </c>
      <c r="E289" s="146" t="str">
        <v>X-006</v>
      </c>
      <c r="G289" s="115" t="str">
        <v>X-009</v>
      </c>
      <c r="H289" s="115" t="str">
        <v>III</v>
      </c>
      <c r="I289" s="115">
        <v>9</v>
      </c>
      <c r="J289" s="115" t="str">
        <v>(</v>
      </c>
      <c r="K289" s="115" t="str">
        <v>X-009</v>
      </c>
      <c r="L289" s="115">
        <v>9</v>
      </c>
      <c r="M289" s="115" t="str">
        <v>(</v>
      </c>
      <c r="N289" s="115" t="str">
        <v>nine</v>
      </c>
      <c r="O289" s="52" t="str">
        <f ca="1"/>
        <v xml:space="preserve">    IFNA( MATCH( LOWER(join_type), {"left","right","inner","full"}, 0), -1)</v>
      </c>
    </row>
    <row r="290" spans="3:15" x14ac:dyDescent="0.3">
      <c r="C290" s="146" t="str">
        <v>X-010</v>
      </c>
      <c r="D290" s="144">
        <v>10</v>
      </c>
      <c r="E290" s="146" t="str">
        <v>X-011</v>
      </c>
      <c r="G290" s="115" t="str">
        <v>X-010</v>
      </c>
      <c r="H290" s="115" t="str">
        <v>JJJ</v>
      </c>
      <c r="I290" s="115">
        <v>10</v>
      </c>
      <c r="J290" s="115" t="str">
        <v>)</v>
      </c>
      <c r="K290" s="115" t="str">
        <v>X-010</v>
      </c>
      <c r="L290" s="115">
        <v>10</v>
      </c>
      <c r="M290" s="115" t="str">
        <v>)</v>
      </c>
      <c r="N290" s="115" t="str">
        <v>ten</v>
      </c>
      <c r="O290" s="52" t="str">
        <f ca="1"/>
        <v xml:space="preserve">  ),</v>
      </c>
    </row>
    <row r="291" spans="3:15" x14ac:dyDescent="0.3">
      <c r="G291" s="115" t="e">
        <v>#N/A</v>
      </c>
      <c r="H291" s="115" t="e">
        <v>#N/A</v>
      </c>
      <c r="I291" s="115" t="e">
        <v>#N/A</v>
      </c>
      <c r="J291" s="115" t="e">
        <v>#N/A</v>
      </c>
      <c r="K291" s="115" t="str">
        <v>X-012</v>
      </c>
      <c r="L291" s="115">
        <v>12</v>
      </c>
      <c r="M291" s="115" t="str">
        <v>@</v>
      </c>
      <c r="N291" s="115" t="str">
        <v>twelve</v>
      </c>
      <c r="O291" s="52" t="str">
        <f ca="1"/>
        <v xml:space="preserve">  _inpChk, IF( OR(_typ &lt; 1, _typ &gt; 4), 2, 1),</v>
      </c>
    </row>
    <row r="292" spans="3:15" x14ac:dyDescent="0.3">
      <c r="G292" s="115" t="e">
        <v>#N/A</v>
      </c>
      <c r="H292" s="115" t="e">
        <v>#N/A</v>
      </c>
      <c r="I292" s="115" t="e">
        <v>#N/A</v>
      </c>
      <c r="J292" s="115" t="e">
        <v>#N/A</v>
      </c>
      <c r="K292" s="115" t="str">
        <v>X-011</v>
      </c>
      <c r="L292" s="115">
        <v>11</v>
      </c>
      <c r="M292" s="115" t="str">
        <v>~</v>
      </c>
      <c r="N292" s="115" t="str">
        <v>eleven</v>
      </c>
      <c r="O292" s="52" t="str">
        <f ca="1"/>
        <v xml:space="preserve">  _uId1, CHOOSECOLS(_arr1, _idx1),</v>
      </c>
    </row>
    <row r="293" spans="3:15" x14ac:dyDescent="0.3">
      <c r="G293" s="115"/>
      <c r="H293" s="115"/>
      <c r="I293" s="115"/>
      <c r="J293" s="115"/>
      <c r="K293" s="115"/>
      <c r="L293" s="115"/>
      <c r="M293" s="115"/>
      <c r="N293" s="115"/>
      <c r="O293" s="52" t="str">
        <f ca="1"/>
        <v xml:space="preserve">  _uId2, CHOOSECOLS(_arr2, _idx2),</v>
      </c>
    </row>
    <row r="294" spans="3:15" x14ac:dyDescent="0.3">
      <c r="G294" s="115"/>
      <c r="H294" s="115"/>
      <c r="I294" s="115"/>
      <c r="J294" s="115"/>
      <c r="K294" s="115"/>
      <c r="L294" s="115"/>
      <c r="M294" s="115"/>
      <c r="N294" s="115"/>
      <c r="O294" s="52" t="str">
        <f ca="1"/>
        <v xml:space="preserve">  _cc1, COLUMNS(_arr1),</v>
      </c>
    </row>
    <row r="295" spans="3:15" x14ac:dyDescent="0.3">
      <c r="G295" s="115"/>
      <c r="H295" s="115"/>
      <c r="I295" s="115"/>
      <c r="J295" s="115"/>
      <c r="K295" s="115"/>
      <c r="L295" s="115"/>
      <c r="M295" s="115"/>
      <c r="N295" s="115"/>
      <c r="O295" s="52" t="str">
        <f ca="1"/>
        <v xml:space="preserve">  _cc2, COLUMNS(_arr2),</v>
      </c>
    </row>
    <row r="296" spans="3:15" x14ac:dyDescent="0.3">
      <c r="G296" s="115"/>
      <c r="H296" s="115"/>
      <c r="I296" s="115"/>
      <c r="J296" s="115"/>
      <c r="K296" s="115"/>
      <c r="L296" s="115"/>
      <c r="M296" s="115"/>
      <c r="N296" s="115"/>
      <c r="O296" s="52" t="str">
        <f ca="1"/>
        <v xml:space="preserve">  _mtch, DROP(REDUCE(0, _uId1, LAMBDA(_acc,_val, VSTACK(_acc, IFNA(MATCH(_val, _uId2, 0), 0)))), 1),</v>
      </c>
    </row>
    <row r="297" spans="3:15" x14ac:dyDescent="0.3">
      <c r="G297" s="115"/>
      <c r="H297" s="115"/>
      <c r="I297" s="115"/>
      <c r="J297" s="115"/>
      <c r="K297" s="115"/>
      <c r="L297" s="115"/>
      <c r="M297" s="115"/>
      <c r="N297" s="115"/>
      <c r="O297" s="52" t="str">
        <f ca="1"/>
        <v xml:space="preserve">  _blnk, MAKEARRAY(1, _cc2, LAMBDA(_r,_c, NA())),</v>
      </c>
    </row>
    <row r="298" spans="3:15" x14ac:dyDescent="0.3">
      <c r="G298" s="115"/>
      <c r="H298" s="115"/>
      <c r="I298" s="115"/>
      <c r="J298" s="115"/>
      <c r="K298" s="115"/>
      <c r="L298" s="115"/>
      <c r="M298" s="115"/>
      <c r="N298" s="115"/>
      <c r="O298" s="52" t="str">
        <f ca="1"/>
        <v xml:space="preserve">  _arrN, DROP(REDUCE(0, _mtch, LAMBDA(_acc,_val, VSTACK(_acc, IF(_val = 0, _blnk, INDEX(_arr2, _val, SEQUENCE(1, _cc2)))))), 1),</v>
      </c>
    </row>
    <row r="299" spans="3:15" x14ac:dyDescent="0.3">
      <c r="G299" s="115"/>
      <c r="H299" s="115"/>
      <c r="I299" s="115"/>
      <c r="J299" s="115"/>
      <c r="K299" s="115"/>
      <c r="L299" s="115"/>
      <c r="M299" s="115"/>
      <c r="N299" s="115"/>
      <c r="O299" s="52" t="str">
        <f ca="1"/>
        <v xml:space="preserve">  _arrR, LET(</v>
      </c>
    </row>
    <row r="300" spans="3:15" x14ac:dyDescent="0.3">
      <c r="G300" s="115"/>
      <c r="H300" s="115"/>
      <c r="I300" s="115"/>
      <c r="J300" s="115"/>
      <c r="K300" s="115"/>
      <c r="L300" s="115"/>
      <c r="M300" s="115"/>
      <c r="N300" s="115"/>
      <c r="O300" s="52" t="str">
        <f ca="1"/>
        <v xml:space="preserve">    _fltr, SCAN(0, SEQUENCE( ROWS(_arr2), 1), LAMBDA(_acc,_val, IF( ISNA(MATCH(_val, _mtch, 0)), 1, 0))),</v>
      </c>
    </row>
    <row r="301" spans="3:15" x14ac:dyDescent="0.3">
      <c r="O301" s="52" t="str">
        <f ca="1"/>
        <v xml:space="preserve">    _arr, FILTER(_arr2, _fltr = 1, "#[Empty]"),</v>
      </c>
    </row>
    <row r="302" spans="3:15" x14ac:dyDescent="0.3">
      <c r="O302" s="52" t="str">
        <f ca="1"/>
        <v xml:space="preserve">    _blnk, MAKEARRAY( ROWS(_arr), _cc1, LAMBDA(_r,_c, NA())),</v>
      </c>
    </row>
    <row r="303" spans="3:15" x14ac:dyDescent="0.3">
      <c r="C303" s="139">
        <v>1</v>
      </c>
      <c r="E303" s="139">
        <v>1</v>
      </c>
      <c r="G303" s="151" t="s">
        <v>1294</v>
      </c>
      <c r="H303" s="152">
        <v>3</v>
      </c>
      <c r="O303" s="52" t="str">
        <f ca="1"/>
        <v xml:space="preserve">    HSTACK(_blnk, _arr)</v>
      </c>
    </row>
    <row r="304" spans="3:15" x14ac:dyDescent="0.3">
      <c r="C304" s="142" t="s">
        <v>1070</v>
      </c>
      <c r="E304" s="142" t="s">
        <v>1072</v>
      </c>
      <c r="G304" t="s">
        <v>1272</v>
      </c>
      <c r="O304" s="52" t="str">
        <f ca="1"/>
        <v xml:space="preserve">  ),</v>
      </c>
    </row>
    <row r="305" spans="3:15" ht="14.4" thickBot="1" x14ac:dyDescent="0.35">
      <c r="C305" s="51" t="s">
        <v>1220</v>
      </c>
      <c r="E305" s="51" t="s">
        <v>1220</v>
      </c>
      <c r="G305" s="51" t="s">
        <v>1220</v>
      </c>
      <c r="H305" s="51" t="s">
        <v>1047</v>
      </c>
      <c r="I305" s="51" t="s">
        <v>1048</v>
      </c>
      <c r="J305" s="51" t="s">
        <v>1049</v>
      </c>
      <c r="K305" s="51" t="s">
        <v>1220</v>
      </c>
      <c r="L305" s="51" t="s">
        <v>1221</v>
      </c>
      <c r="M305" s="51" t="s">
        <v>1222</v>
      </c>
      <c r="N305" s="51" t="s">
        <v>1223</v>
      </c>
      <c r="O305" s="52" t="str">
        <f ca="1"/>
        <v xml:space="preserve">  _arrC, HSTACK(_arr1, _arrN),</v>
      </c>
    </row>
    <row r="306" spans="3:15" x14ac:dyDescent="0.3">
      <c r="C306" s="146" t="str" cm="1">
        <f t="array" ref="C306:C315" xml:space="preserve"> _xlfn.CHOOSECOLS($K$12:$N$21, $C$303)</f>
        <v>X-001</v>
      </c>
      <c r="D306" s="144">
        <v>1</v>
      </c>
      <c r="E306" s="146" t="str" cm="1">
        <f t="array" ref="E306:E311" xml:space="preserve"> _xlfn.CHOOSECOLS($P$12:$S$17, $E$303)</f>
        <v>X-009</v>
      </c>
      <c r="G306" s="115" t="str" cm="1">
        <f t="array" ref="G306:N315" xml:space="preserve"> _xlfn.LET(
  _xlpm._arr1, $K$12:$N$21,
  _xlpm._arr2, $P$12:$S$17,
  _xlpm._idx1, $C$303,
  _xlpm._idx2, $E$303,
  _xlpm.join_type, $H$303,
  _xlpm._inpT, IF( ISBLANK(_xlpm.join_type), 0, INT(_xlpm.join_type)),
  _xlpm._typ, IF( ISNUMBER(_xlpm._inpT), _xlpm._inpT + 1,
    _xlfn.IFNA( MATCH( LOWER(_xlpm.join_type), {"left","right","inner","full"}, 0), -1)
  ),
  _xlpm._inpChk, IF( OR(_xlpm._typ &lt; 1, _xlpm._typ &gt; 4), 2, 1),
  _xlpm._uId1, _xlfn.CHOOSECOLS(_xlpm._arr1, _xlpm._idx1),
  _xlpm._uId2, _xlfn.CHOOSECOLS(_xlpm._arr2, _xlpm._idx2),
  _xlpm._cc1, COLUMNS(_xlpm._arr1),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_xlpm._arrR, _xlfn.LET(
    _xlpm._fltr, _xlfn.SCAN(0, _xlfn.SEQUENCE( ROWS(_xlpm._arr2), 1), _xlfn.LAMBDA(_xlpm._acc,_xlpm._val, IF( ISNA(MATCH(_xlpm._val, _xlpm._mtch, 0)), 1, 0))),
    _xlpm._arr, _xlfn._xlws.FILTER(_xlpm._arr2, _xlpm._fltr = 1, "#[Empty]"),
    _xlpm._blnk, _xlfn.MAKEARRAY( ROWS(_xlpm._arr), _xlpm._cc1, _xlfn.LAMBDA(_xlpm._r,_xlpm._c, NA())),
    _xlfn.HSTACK(_xlpm._blnk, _xlpm._arr)
  ),
  _xlpm._arrC, _xlfn.HSTACK(_xlpm._arr1, _xlpm._arrN),
  _xlpm._arrL, IF( OR(_xlpm._typ = 2, _xlpm._typ = 3),
    _xlfn._xlws.FILTER(_xlpm._arrC, _xlpm._mtch &lt;&gt; 0, "#[Empty]"),
    _xlpm._arrC
  ),
  _xlpm._rtn, CHOOSE(_xlpm._typ,
    _xlpm._arrL,
    IF( INDEX(_xlpm._arrL, 1, 1) = "#[Empty]",
      _xlpm._arrR,
      IF( INDEX(_xlpm._arrR, 1, _xlpm._cc1 + 1) = "#[Empty]",
        _xlpm._arrL,
        _xlfn.VSTACK(_xlpm._arrL, _xlpm._arrR)
      )
    ),
    IF( INDEX(_xlpm._arrL, 1, 1) = "#[Empty]",
      _xlfn.MAKEARRAY(1, _xlpm._cc1 + _xlpm._cc2, _xlfn.LAMBDA(_xlpm._r,_xlpm._c, NA())),
      _xlpm._arrL
    ),
    IF( INDEX(_xlpm._arrR, 1, _xlpm._cc1 + 1) = "#[Empty]",
      _xlpm._arrL,
      _xlfn.VSTACK(_xlpm._arrL, _xlpm._arrR)
    )
  ),
  CHOOSE(_xlpm._inpChk, _xlpm._rtn, #VALUE!)
)</f>
        <v>X-001</v>
      </c>
      <c r="H306" s="115" t="str">
        <v>AAA</v>
      </c>
      <c r="I306" s="115">
        <v>1</v>
      </c>
      <c r="J306" s="115" t="str">
        <v>!</v>
      </c>
      <c r="K306" s="115" t="e">
        <v>#N/A</v>
      </c>
      <c r="L306" s="115" t="e">
        <v>#N/A</v>
      </c>
      <c r="M306" s="115" t="e">
        <v>#N/A</v>
      </c>
      <c r="N306" s="115" t="e">
        <v>#N/A</v>
      </c>
      <c r="O306" s="52" t="str">
        <f ca="1"/>
        <v xml:space="preserve">  _arrL, IF( OR(_typ = 2, _typ = 3),</v>
      </c>
    </row>
    <row r="307" spans="3:15" x14ac:dyDescent="0.3">
      <c r="C307" s="146" t="str">
        <v>X-002</v>
      </c>
      <c r="D307" s="144">
        <v>2</v>
      </c>
      <c r="E307" s="146" t="str">
        <v>X-007</v>
      </c>
      <c r="G307" s="115" t="str">
        <v>X-002</v>
      </c>
      <c r="H307" s="115" t="str">
        <v>BBB</v>
      </c>
      <c r="I307" s="115">
        <v>2</v>
      </c>
      <c r="J307" s="115" t="str">
        <v>"</v>
      </c>
      <c r="K307" s="115" t="str">
        <v>X-002</v>
      </c>
      <c r="L307" s="115">
        <v>2</v>
      </c>
      <c r="M307" s="115" t="str">
        <v>"</v>
      </c>
      <c r="N307" s="115" t="str">
        <v>two</v>
      </c>
      <c r="O307" s="52" t="str">
        <f ca="1"/>
        <v xml:space="preserve">    FILTER(_arrC, _mtch &lt;&gt; 0, "#[Empty]"),</v>
      </c>
    </row>
    <row r="308" spans="3:15" x14ac:dyDescent="0.3">
      <c r="C308" s="146" t="str">
        <v>X-003</v>
      </c>
      <c r="D308" s="144">
        <v>3</v>
      </c>
      <c r="E308" s="146" t="str">
        <v>X-010</v>
      </c>
      <c r="G308" s="115" t="str">
        <v>X-003</v>
      </c>
      <c r="H308" s="115" t="str">
        <v>CCC</v>
      </c>
      <c r="I308" s="115">
        <v>3</v>
      </c>
      <c r="J308" s="115" t="str">
        <v>£</v>
      </c>
      <c r="K308" s="115" t="e">
        <v>#N/A</v>
      </c>
      <c r="L308" s="115" t="e">
        <v>#N/A</v>
      </c>
      <c r="M308" s="115" t="e">
        <v>#N/A</v>
      </c>
      <c r="N308" s="115" t="e">
        <v>#N/A</v>
      </c>
      <c r="O308" s="52" t="str">
        <f ca="1"/>
        <v xml:space="preserve">    _arrC</v>
      </c>
    </row>
    <row r="309" spans="3:15" x14ac:dyDescent="0.3">
      <c r="C309" s="146" t="str">
        <v>X-004</v>
      </c>
      <c r="D309" s="144">
        <v>4</v>
      </c>
      <c r="E309" s="146" t="str">
        <v>X-002</v>
      </c>
      <c r="G309" s="115" t="str">
        <v>X-004</v>
      </c>
      <c r="H309" s="115" t="str">
        <v>DDD</v>
      </c>
      <c r="I309" s="115">
        <v>4</v>
      </c>
      <c r="J309" s="115" t="str">
        <v>$</v>
      </c>
      <c r="K309" s="115" t="str">
        <v>X-004</v>
      </c>
      <c r="L309" s="115">
        <v>4</v>
      </c>
      <c r="M309" s="115" t="str">
        <v>$</v>
      </c>
      <c r="N309" s="115" t="str">
        <v>four</v>
      </c>
      <c r="O309" s="52" t="str">
        <f ca="1"/>
        <v xml:space="preserve">  ),</v>
      </c>
    </row>
    <row r="310" spans="3:15" x14ac:dyDescent="0.3">
      <c r="C310" s="146" t="str">
        <v>X-005</v>
      </c>
      <c r="D310" s="144">
        <v>5</v>
      </c>
      <c r="E310" s="146" t="str">
        <v>X-004</v>
      </c>
      <c r="G310" s="115" t="str">
        <v>X-005</v>
      </c>
      <c r="H310" s="115" t="str">
        <v>EEE</v>
      </c>
      <c r="I310" s="115">
        <v>5</v>
      </c>
      <c r="J310" s="115" t="str">
        <v>%</v>
      </c>
      <c r="K310" s="115" t="e">
        <v>#N/A</v>
      </c>
      <c r="L310" s="115" t="e">
        <v>#N/A</v>
      </c>
      <c r="M310" s="115" t="e">
        <v>#N/A</v>
      </c>
      <c r="N310" s="115" t="e">
        <v>#N/A</v>
      </c>
      <c r="O310" s="52" t="str">
        <f ca="1"/>
        <v xml:space="preserve">  _rtn, CHOOSE(_typ,</v>
      </c>
    </row>
    <row r="311" spans="3:15" x14ac:dyDescent="0.3">
      <c r="C311" s="146" t="str">
        <v>X-006</v>
      </c>
      <c r="D311" s="144">
        <v>6</v>
      </c>
      <c r="E311" s="146" t="str">
        <v>X-008</v>
      </c>
      <c r="G311" s="115" t="str">
        <v>X-006</v>
      </c>
      <c r="H311" s="115" t="str">
        <v>FFF</v>
      </c>
      <c r="I311" s="115">
        <v>6</v>
      </c>
      <c r="J311" s="115" t="str">
        <v>^</v>
      </c>
      <c r="K311" s="115" t="e">
        <v>#N/A</v>
      </c>
      <c r="L311" s="115" t="e">
        <v>#N/A</v>
      </c>
      <c r="M311" s="115" t="e">
        <v>#N/A</v>
      </c>
      <c r="N311" s="115" t="e">
        <v>#N/A</v>
      </c>
      <c r="O311" s="52" t="str">
        <f ca="1"/>
        <v xml:space="preserve">    _arrL,</v>
      </c>
    </row>
    <row r="312" spans="3:15" x14ac:dyDescent="0.3">
      <c r="C312" s="146" t="str">
        <v>X-007</v>
      </c>
      <c r="D312" s="144"/>
      <c r="E312" s="153"/>
      <c r="G312" s="115" t="str">
        <v>X-007</v>
      </c>
      <c r="H312" s="115" t="str">
        <v>GGG</v>
      </c>
      <c r="I312" s="115">
        <v>7</v>
      </c>
      <c r="J312" s="115" t="str">
        <v>&amp;</v>
      </c>
      <c r="K312" s="115" t="str">
        <v>X-007</v>
      </c>
      <c r="L312" s="115">
        <v>7</v>
      </c>
      <c r="M312" s="115" t="str">
        <v>&amp;</v>
      </c>
      <c r="N312" s="115" t="str">
        <v>seven</v>
      </c>
      <c r="O312" s="52" t="str">
        <f ca="1"/>
        <v xml:space="preserve">    IF( INDEX(_arrL, 1, 1) = "#[Empty]",</v>
      </c>
    </row>
    <row r="313" spans="3:15" x14ac:dyDescent="0.3">
      <c r="C313" s="146" t="str">
        <v>X-008</v>
      </c>
      <c r="D313" s="144"/>
      <c r="E313" s="153"/>
      <c r="G313" s="115" t="str">
        <v>X-008</v>
      </c>
      <c r="H313" s="115" t="str">
        <v>HHH</v>
      </c>
      <c r="I313" s="115">
        <v>8</v>
      </c>
      <c r="J313" s="115" t="str">
        <v>*</v>
      </c>
      <c r="K313" s="115" t="str">
        <v>X-008</v>
      </c>
      <c r="L313" s="115">
        <v>8</v>
      </c>
      <c r="M313" s="115" t="str">
        <v>*</v>
      </c>
      <c r="N313" s="115" t="str">
        <v>eight</v>
      </c>
      <c r="O313" s="52" t="str">
        <f ca="1"/>
        <v xml:space="preserve">      _arrR,</v>
      </c>
    </row>
    <row r="314" spans="3:15" x14ac:dyDescent="0.3">
      <c r="C314" s="146" t="str">
        <v>X-009</v>
      </c>
      <c r="D314" s="144"/>
      <c r="E314" s="153"/>
      <c r="G314" s="115" t="str">
        <v>X-009</v>
      </c>
      <c r="H314" s="115" t="str">
        <v>III</v>
      </c>
      <c r="I314" s="115">
        <v>9</v>
      </c>
      <c r="J314" s="115" t="str">
        <v>(</v>
      </c>
      <c r="K314" s="115" t="str">
        <v>X-009</v>
      </c>
      <c r="L314" s="115">
        <v>9</v>
      </c>
      <c r="M314" s="115" t="str">
        <v>(</v>
      </c>
      <c r="N314" s="115" t="str">
        <v>nine</v>
      </c>
      <c r="O314" s="52" t="str">
        <f ca="1"/>
        <v xml:space="preserve">      IF( INDEX(_arrR, 1, _cc1 + 1) = "#[Empty]",</v>
      </c>
    </row>
    <row r="315" spans="3:15" x14ac:dyDescent="0.3">
      <c r="C315" s="146" t="str">
        <v>X-010</v>
      </c>
      <c r="D315" s="144"/>
      <c r="E315" s="153"/>
      <c r="G315" s="115" t="str">
        <v>X-010</v>
      </c>
      <c r="H315" s="115" t="str">
        <v>JJJ</v>
      </c>
      <c r="I315" s="115">
        <v>10</v>
      </c>
      <c r="J315" s="115" t="str">
        <v>)</v>
      </c>
      <c r="K315" s="115" t="str">
        <v>X-010</v>
      </c>
      <c r="L315" s="115">
        <v>10</v>
      </c>
      <c r="M315" s="115" t="str">
        <v>)</v>
      </c>
      <c r="N315" s="115" t="str">
        <v>ten</v>
      </c>
      <c r="O315" s="52" t="str">
        <f ca="1"/>
        <v xml:space="preserve">        _arrL,</v>
      </c>
    </row>
    <row r="316" spans="3:15" x14ac:dyDescent="0.3">
      <c r="G316" s="115"/>
      <c r="H316" s="115"/>
      <c r="I316" s="115"/>
      <c r="J316" s="115"/>
      <c r="K316" s="115"/>
      <c r="L316" s="115"/>
      <c r="M316" s="115"/>
      <c r="N316" s="115"/>
      <c r="O316" s="52" t="str">
        <f ca="1"/>
        <v xml:space="preserve">        VSTACK(_arrL, _arrR)</v>
      </c>
    </row>
    <row r="317" spans="3:15" x14ac:dyDescent="0.3">
      <c r="G317" s="115"/>
      <c r="H317" s="115"/>
      <c r="I317" s="115"/>
      <c r="J317" s="115"/>
      <c r="K317" s="115"/>
      <c r="L317" s="115"/>
      <c r="M317" s="115"/>
      <c r="N317" s="115"/>
      <c r="O317" s="52" t="str">
        <f ca="1"/>
        <v xml:space="preserve">      )</v>
      </c>
    </row>
    <row r="318" spans="3:15" x14ac:dyDescent="0.3">
      <c r="G318" s="115"/>
      <c r="H318" s="115"/>
      <c r="I318" s="115"/>
      <c r="J318" s="115"/>
      <c r="K318" s="115"/>
      <c r="L318" s="115"/>
      <c r="M318" s="115"/>
      <c r="N318" s="115"/>
      <c r="O318" s="52" t="str">
        <f ca="1"/>
        <v xml:space="preserve">    ),</v>
      </c>
    </row>
    <row r="319" spans="3:15" x14ac:dyDescent="0.3">
      <c r="G319" s="115"/>
      <c r="H319" s="115"/>
      <c r="I319" s="115"/>
      <c r="J319" s="115"/>
      <c r="K319" s="115"/>
      <c r="L319" s="115"/>
      <c r="M319" s="115"/>
      <c r="N319" s="115"/>
      <c r="O319" s="52" t="str">
        <f ca="1"/>
        <v xml:space="preserve">    IF( INDEX(_arrL, 1, 1) = "#[Empty]",</v>
      </c>
    </row>
    <row r="320" spans="3:15" x14ac:dyDescent="0.3">
      <c r="G320" s="115"/>
      <c r="H320" s="115"/>
      <c r="I320" s="115"/>
      <c r="J320" s="115"/>
      <c r="K320" s="115"/>
      <c r="L320" s="115"/>
      <c r="M320" s="115"/>
      <c r="N320" s="115"/>
      <c r="O320" s="52" t="str">
        <f ca="1"/>
        <v xml:space="preserve">      MAKEARRAY(1, _cc1 + _cc2, LAMBDA(_r,_c, NA())),</v>
      </c>
    </row>
    <row r="321" spans="2:20" x14ac:dyDescent="0.3">
      <c r="G321" s="115"/>
      <c r="H321" s="115"/>
      <c r="I321" s="115"/>
      <c r="J321" s="115"/>
      <c r="K321" s="115"/>
      <c r="L321" s="115"/>
      <c r="M321" s="115"/>
      <c r="N321" s="115"/>
      <c r="O321" s="52" t="str">
        <f ca="1"/>
        <v xml:space="preserve">      _arrL</v>
      </c>
    </row>
    <row r="322" spans="2:20" x14ac:dyDescent="0.3">
      <c r="G322" s="115"/>
      <c r="H322" s="115"/>
      <c r="I322" s="115"/>
      <c r="J322" s="115"/>
      <c r="K322" s="115"/>
      <c r="L322" s="115"/>
      <c r="M322" s="115"/>
      <c r="N322" s="115"/>
      <c r="O322" s="52" t="str">
        <f ca="1"/>
        <v xml:space="preserve">    ),</v>
      </c>
    </row>
    <row r="323" spans="2:20" x14ac:dyDescent="0.3">
      <c r="G323" s="115"/>
      <c r="H323" s="115"/>
      <c r="I323" s="115"/>
      <c r="J323" s="115"/>
      <c r="K323" s="115"/>
      <c r="L323" s="115"/>
      <c r="M323" s="115"/>
      <c r="N323" s="115"/>
      <c r="O323" s="52" t="str">
        <f ca="1"/>
        <v xml:space="preserve">    IF( INDEX(_arrR, 1, _cc1 + 1) = "#[Empty]",</v>
      </c>
    </row>
    <row r="324" spans="2:20" x14ac:dyDescent="0.3">
      <c r="G324" s="115"/>
      <c r="H324" s="115"/>
      <c r="I324" s="115"/>
      <c r="J324" s="115"/>
      <c r="K324" s="115"/>
      <c r="L324" s="115"/>
      <c r="M324" s="115"/>
      <c r="N324" s="115"/>
      <c r="O324" s="52" t="str">
        <f ca="1"/>
        <v xml:space="preserve">      _arrL,</v>
      </c>
    </row>
    <row r="325" spans="2:20" x14ac:dyDescent="0.3">
      <c r="G325" s="115"/>
      <c r="H325" s="115"/>
      <c r="I325" s="115"/>
      <c r="J325" s="115"/>
      <c r="K325" s="115"/>
      <c r="L325" s="115"/>
      <c r="M325" s="115"/>
      <c r="N325" s="115"/>
      <c r="O325" s="52" t="str">
        <f ca="1"/>
        <v xml:space="preserve">      VSTACK(_arrL, _arrR)</v>
      </c>
    </row>
    <row r="326" spans="2:20" x14ac:dyDescent="0.3">
      <c r="O326" s="52" t="str">
        <f ca="1"/>
        <v xml:space="preserve">    )</v>
      </c>
    </row>
    <row r="327" spans="2:20" x14ac:dyDescent="0.3">
      <c r="O327" s="52" t="str">
        <f ca="1"/>
        <v xml:space="preserve">  ),</v>
      </c>
    </row>
    <row r="328" spans="2:20" x14ac:dyDescent="0.3">
      <c r="O328" s="52" t="str">
        <f ca="1"/>
        <v xml:space="preserve">  CHOOSE(_inpChk, _rtn, #VALUE!)</v>
      </c>
    </row>
    <row r="329" spans="2:20" x14ac:dyDescent="0.3">
      <c r="C329" t="s">
        <v>1296</v>
      </c>
      <c r="O329" s="52" t="str">
        <f ca="1"/>
        <v>)</v>
      </c>
    </row>
    <row r="331" spans="2:20" x14ac:dyDescent="0.3">
      <c r="B331" s="28" t="s">
        <v>1297</v>
      </c>
      <c r="C331" s="27"/>
      <c r="D331" s="27"/>
      <c r="E331" s="27"/>
      <c r="F331" s="27"/>
      <c r="G331" s="27"/>
      <c r="H331" s="27"/>
      <c r="I331" s="27"/>
      <c r="J331" s="27"/>
      <c r="K331" s="27"/>
      <c r="L331" s="27"/>
      <c r="M331" s="27"/>
      <c r="N331" s="27"/>
      <c r="O331" s="27"/>
      <c r="P331" s="27"/>
      <c r="Q331" s="27"/>
      <c r="R331" s="27"/>
      <c r="S331" s="27"/>
      <c r="T331" s="27"/>
    </row>
    <row r="333" spans="2:20" x14ac:dyDescent="0.3">
      <c r="B333" s="74" t="str" cm="1">
        <f t="array" ref="B333" xml:space="preserve"> "(" &amp; _xlfn.UNICHAR( 65 + SUMPRODUCT(--(_xlfn.REGEXTEST(B$1:B332, "^\([A-Z]\)$")))) &amp; ")"</f>
        <v>(J)</v>
      </c>
      <c r="C333" s="13" t="s">
        <v>1298</v>
      </c>
    </row>
    <row r="334" spans="2:20" x14ac:dyDescent="0.3">
      <c r="C334" s="13" t="s">
        <v>1299</v>
      </c>
    </row>
    <row r="335" spans="2:20" x14ac:dyDescent="0.3">
      <c r="G335" s="154">
        <v>1</v>
      </c>
      <c r="I335" s="154" cm="1">
        <f t="array" ref="I335:J335" xml:space="preserve"> {3,2}</f>
        <v>3</v>
      </c>
      <c r="J335" s="154">
        <v>2</v>
      </c>
      <c r="K335" s="154"/>
      <c r="L335" s="52" t="str">
        <f ca="1" xml:space="preserve"> _xlfn.FORMULATEXT(I335)</f>
        <v>= {3,2}</v>
      </c>
    </row>
    <row r="336" spans="2:20" x14ac:dyDescent="0.3">
      <c r="C336" s="7" t="s">
        <v>1070</v>
      </c>
      <c r="G336" s="142" t="s">
        <v>1300</v>
      </c>
      <c r="I336" t="s">
        <v>1272</v>
      </c>
    </row>
    <row r="337" spans="2:12" ht="14.4" thickBot="1" x14ac:dyDescent="0.35">
      <c r="C337" s="51" t="str" cm="1">
        <f t="array" ref="C337:E337" xml:space="preserve"> $C$11:$E$11</f>
        <v>ID</v>
      </c>
      <c r="D337" s="51" t="str">
        <v>Col.1</v>
      </c>
      <c r="E337" s="51" t="str">
        <v>Col.2</v>
      </c>
      <c r="G337" s="51" t="str" cm="1">
        <f t="array" ref="G337" xml:space="preserve"> _xlfn.CHOOSECOLS(_xlfn.ANCHORARRAY(C337), $G$335)</f>
        <v>ID</v>
      </c>
      <c r="I337" s="51" t="str" cm="1">
        <f t="array" ref="I337:J337" xml:space="preserve"> _xlfn.CHOOSECOLS(_xlfn.ANCHORARRAY(C337),_xlfn.ANCHORARRAY( I335))</f>
        <v>Col.2</v>
      </c>
      <c r="J337" s="51" t="str">
        <v>Col.1</v>
      </c>
      <c r="K337" s="51"/>
      <c r="L337" s="52" t="str">
        <f ca="1" xml:space="preserve"> _xlfn.FORMULATEXT(I337)</f>
        <v>= CHOOSECOLS(C337#, I335#)</v>
      </c>
    </row>
    <row r="338" spans="2:12" x14ac:dyDescent="0.3">
      <c r="C338" s="143" t="str" cm="1">
        <f t="array" ref="C338:E345" xml:space="preserve"> $C$12:$E$19</f>
        <v>X-001</v>
      </c>
      <c r="D338" s="143" t="str">
        <v>AAA</v>
      </c>
      <c r="E338" s="143">
        <v>1</v>
      </c>
      <c r="G338" s="115" t="str" cm="1">
        <f t="array" ref="G338:G345" xml:space="preserve"> _xlfn.CHOOSECOLS(_xlfn.ANCHORARRAY(C338), $G$335)</f>
        <v>X-001</v>
      </c>
      <c r="I338" s="115" cm="1">
        <f t="array" ref="I338:J345" xml:space="preserve"> _xlfn.LET(
  _xlpm._arr1, $C$12:$E$19,
  _xlpm._col1, $G$335,
  _xlpm._idx1,_xlfn.ANCHORARRAY( $I$335),
  _xlpm._uId1, _xlfn.CHOOSECOLS(_xlpm._arr1, _xlpm._col1),
  _xlpm._out1, _xlfn.CHOOSECOLS(_xlpm._arr1, _xlpm._idx1),
  _xlpm._out1
)</f>
        <v>1</v>
      </c>
      <c r="J338" s="115" t="str">
        <v>AAA</v>
      </c>
      <c r="K338" s="115"/>
      <c r="L338" s="52" t="str">
        <f ca="1" xml:space="preserve"> _xlfn.FORMULATEXT(I338)</f>
        <v>= LET(
  _arr1, $C$12:$E$19,
  _col1, $G$335,
  _idx1, $I$335#,
  _uId1, CHOOSECOLS(_arr1, _col1),
  _out1, CHOOSECOLS(_arr1, _idx1),
  _out1
)</v>
      </c>
    </row>
    <row r="339" spans="2:12" x14ac:dyDescent="0.3">
      <c r="C339" s="143" t="str">
        <v>X-002</v>
      </c>
      <c r="D339" s="143" t="str">
        <v>BBB</v>
      </c>
      <c r="E339" s="143">
        <v>2</v>
      </c>
      <c r="G339" s="115" t="str">
        <v>X-002</v>
      </c>
      <c r="I339" s="115">
        <v>2</v>
      </c>
      <c r="J339" s="115" t="str">
        <v>BBB</v>
      </c>
      <c r="K339" s="115"/>
    </row>
    <row r="340" spans="2:12" x14ac:dyDescent="0.3">
      <c r="C340" s="143" t="str">
        <v>X-003</v>
      </c>
      <c r="D340" s="143" t="str">
        <v>CCC</v>
      </c>
      <c r="E340" s="143">
        <v>3</v>
      </c>
      <c r="G340" s="115" t="str">
        <v>X-003</v>
      </c>
      <c r="I340" s="115">
        <v>3</v>
      </c>
      <c r="J340" s="115" t="str">
        <v>CCC</v>
      </c>
      <c r="K340" s="115"/>
    </row>
    <row r="341" spans="2:12" x14ac:dyDescent="0.3">
      <c r="C341" s="143" t="str">
        <v>X-004</v>
      </c>
      <c r="D341" s="143" t="str">
        <v>DDD</v>
      </c>
      <c r="E341" s="143">
        <v>4</v>
      </c>
      <c r="G341" s="115" t="str">
        <v>X-004</v>
      </c>
      <c r="I341" s="115">
        <v>4</v>
      </c>
      <c r="J341" s="115" t="str">
        <v>DDD</v>
      </c>
      <c r="K341" s="115"/>
    </row>
    <row r="342" spans="2:12" x14ac:dyDescent="0.3">
      <c r="C342" s="143" t="str">
        <v>X-005</v>
      </c>
      <c r="D342" s="143" t="str">
        <v>EEE</v>
      </c>
      <c r="E342" s="143">
        <v>5</v>
      </c>
      <c r="G342" s="115" t="str">
        <v>X-005</v>
      </c>
      <c r="I342" s="115">
        <v>5</v>
      </c>
      <c r="J342" s="115" t="str">
        <v>EEE</v>
      </c>
      <c r="K342" s="115"/>
    </row>
    <row r="343" spans="2:12" x14ac:dyDescent="0.3">
      <c r="C343" s="143" t="str">
        <v>X-006</v>
      </c>
      <c r="D343" s="143" t="str">
        <v>FFF</v>
      </c>
      <c r="E343" s="143">
        <v>6</v>
      </c>
      <c r="G343" s="115" t="str">
        <v>X-006</v>
      </c>
      <c r="I343" s="115">
        <v>6</v>
      </c>
      <c r="J343" s="115" t="str">
        <v>FFF</v>
      </c>
      <c r="K343" s="115"/>
    </row>
    <row r="344" spans="2:12" x14ac:dyDescent="0.3">
      <c r="C344" s="143" t="str">
        <v>X-007</v>
      </c>
      <c r="D344" s="143" t="str">
        <v>GGG</v>
      </c>
      <c r="E344" s="143">
        <v>7</v>
      </c>
      <c r="G344" s="115" t="str">
        <v>X-007</v>
      </c>
      <c r="I344" s="115">
        <v>7</v>
      </c>
      <c r="J344" s="115" t="str">
        <v>GGG</v>
      </c>
      <c r="K344" s="115"/>
    </row>
    <row r="345" spans="2:12" x14ac:dyDescent="0.3">
      <c r="C345" s="143" t="str">
        <v>X-008</v>
      </c>
      <c r="D345" s="143" t="str">
        <v>HHH</v>
      </c>
      <c r="E345" s="143">
        <v>8</v>
      </c>
      <c r="G345" s="115" t="str">
        <v>X-008</v>
      </c>
      <c r="I345" s="115">
        <v>8</v>
      </c>
      <c r="J345" s="115" t="str">
        <v>HHH</v>
      </c>
      <c r="K345" s="115"/>
    </row>
    <row r="348" spans="2:12" x14ac:dyDescent="0.3">
      <c r="B348" s="74" t="str" cm="1">
        <f t="array" ref="B348" xml:space="preserve"> "(" &amp; _xlfn.UNICHAR( 65 + SUMPRODUCT(--(_xlfn.REGEXTEST(B$1:B347, "^\([A-Z]\)$")))) &amp; ")"</f>
        <v>(K)</v>
      </c>
      <c r="C348" s="13" t="s">
        <v>1301</v>
      </c>
    </row>
    <row r="349" spans="2:12" x14ac:dyDescent="0.3">
      <c r="C349" s="13" t="s">
        <v>1278</v>
      </c>
    </row>
    <row r="350" spans="2:12" x14ac:dyDescent="0.3">
      <c r="G350" s="151" t="s">
        <v>1302</v>
      </c>
      <c r="H350" s="154" cm="1">
        <f t="array" ref="H350:K350" xml:space="preserve"> {1,2,3,4}</f>
        <v>1</v>
      </c>
      <c r="I350" s="154">
        <v>2</v>
      </c>
      <c r="J350" s="154">
        <v>3</v>
      </c>
      <c r="K350" s="154">
        <v>4</v>
      </c>
      <c r="L350" s="52" t="str">
        <f ca="1" xml:space="preserve"> _xlfn.FORMULATEXT(H350)</f>
        <v>= {1,2,3,4}</v>
      </c>
    </row>
    <row r="351" spans="2:12" x14ac:dyDescent="0.3">
      <c r="G351" s="151" t="s">
        <v>1303</v>
      </c>
      <c r="H351" s="154" cm="1">
        <f t="array" ref="H351:I351" xml:space="preserve"> {4,2}</f>
        <v>4</v>
      </c>
      <c r="I351" s="154">
        <v>2</v>
      </c>
      <c r="J351" s="154"/>
      <c r="K351" s="154"/>
      <c r="L351" s="52" t="str">
        <f ca="1" xml:space="preserve"> _xlfn.FORMULATEXT(H351)</f>
        <v>= {4,2}</v>
      </c>
    </row>
    <row r="352" spans="2:12" x14ac:dyDescent="0.3">
      <c r="C352" s="154">
        <v>1</v>
      </c>
      <c r="E352" s="154">
        <v>1</v>
      </c>
      <c r="G352" s="151" t="s">
        <v>1294</v>
      </c>
      <c r="H352" s="152">
        <v>0</v>
      </c>
    </row>
    <row r="353" spans="3:15" x14ac:dyDescent="0.3">
      <c r="C353" s="142" t="s">
        <v>1070</v>
      </c>
      <c r="E353" s="142" t="s">
        <v>1072</v>
      </c>
      <c r="G353" t="s">
        <v>1272</v>
      </c>
    </row>
    <row r="354" spans="3:15" ht="14.4" thickBot="1" x14ac:dyDescent="0.35">
      <c r="C354" s="51" t="str" cm="1">
        <f t="array" ref="C354" xml:space="preserve"> _xlfn.CHOOSECOLS($K$11:$N$11, $C$352)</f>
        <v>ID</v>
      </c>
      <c r="E354" s="51" t="str" cm="1">
        <f t="array" ref="E354" xml:space="preserve"> _xlfn.CHOOSECOLS($P$11:$S$11, $E$352)</f>
        <v>ID</v>
      </c>
      <c r="G354" s="51" t="str" cm="1">
        <f t="array" ref="G354:L354" xml:space="preserve"> _xlfn.HSTACK(
  _xlfn.CHOOSECOLS($K$11:$N$11,_xlfn.ANCHORARRAY( $H$350)),
  _xlfn.CHOOSECOLS($P$11:$S$11,_xlfn.ANCHORARRAY( $H$351))
)</f>
        <v>ID</v>
      </c>
      <c r="H354" s="51" t="str">
        <v>Col.1</v>
      </c>
      <c r="I354" s="51" t="str">
        <v>Col.2</v>
      </c>
      <c r="J354" s="51" t="str">
        <v>Col.3</v>
      </c>
      <c r="K354" s="51" t="str">
        <v>Col.30</v>
      </c>
      <c r="L354" s="51" t="str">
        <v>Col.10</v>
      </c>
      <c r="M354" s="51"/>
      <c r="N354" s="51"/>
    </row>
    <row r="355" spans="3:15" x14ac:dyDescent="0.3">
      <c r="C355" s="143" t="str" cm="1">
        <f t="array" ref="C355:C364" xml:space="preserve"> _xlfn.CHOOSECOLS($K$12:$N$21, $C$352)</f>
        <v>X-001</v>
      </c>
      <c r="D355" s="144">
        <v>1</v>
      </c>
      <c r="E355" s="143" t="str" cm="1">
        <f t="array" ref="E355:E364" xml:space="preserve"> _xlfn.CHOOSECOLS($P$12:$S$21, $E$352)</f>
        <v>X-009</v>
      </c>
      <c r="G355" s="115" t="str" cm="1">
        <f t="array" ref="G355:L364" xml:space="preserve"> _xlfn.LET(
  _xlpm._arr1, $K$12:$N$21,
  _xlpm._arr2, $P$12:$S$21,
  _xlpm._col1, $C$352,
  _xlpm._col2, $E$352,
  _xlpm._idx1,_xlfn.ANCHORARRAY( $H$350),
  _xlpm._idx2,_xlfn.ANCHORARRAY( $H$351),
  _xlpm.join_type, $H$352,
  _xlpm._inpT, IF( ISBLANK(_xlpm.join_type), 0, INT(_xlpm.join_type)),
  _xlpm._typ, IF( ISNUMBER(_xlpm._inpT), _xlpm._inpT + 1,
    _xlfn.IFNA( MATCH( LOWER(_xlpm.join_type), {"left","right","inner","full"}, 0), -1)
  ),
  _xlpm._inpChk, IF( OR(_xlpm._typ &lt; 1, _xlpm._typ &gt; 4), 2, 1),
  _xlpm._uId1, _xlfn.CHOOSECOLS(_xlpm._arr1, _xlpm._col1),
  _xlpm._uId2, _xlfn.CHOOSECOLS(_xlpm._arr2, _xlpm._col2),
  _xlpm._out1, _xlfn.CHOOSECOLS(_xlpm._arr1, _xlpm._idx1),
  _xlpm._out2, _xlfn.CHOOSECOLS(_xlpm._arr2, _xlpm._idx2),
  _xlpm._cc1, COLUMNS(_xlpm._out1),
  _xlpm._cc2, COLUMNS(_xlpm._out2),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
    _xlpm._fltr, _xlfn.SCAN(0, _xlfn.SEQUENCE( ROWS(_xlpm._out2), 1), _xlfn.LAMBDA(_xlpm._acc,_xlpm._val, IF( ISNA(MATCH(_xlpm._val, _xlpm._mtch, 0)), 1, 0))),
    _xlpm._arr, _xlfn._xlws.FILTER(_xlpm._out2, _xlpm._fltr = 1, "#[Empty]"),
    _xlpm._blnk, _xlfn.MAKEARRAY( ROWS(_xlpm._arr), _xlpm._cc1, _xlfn.LAMBDA(_xlpm._r,_xlpm._c, NA())),
    _xlfn.HSTACK(_xlpm._blnk, _xlpm._arr)
  ),
  _xlpm._arrC, _xlfn.HSTACK(_xlpm._out1, _xlpm._arrN),
  _xlpm._arrL, IF( OR(_xlpm._typ = 2, _xlpm._typ = 3),
    _xlfn._xlws.FILTER(_xlpm._arrC, _xlpm._mtch &lt;&gt; 0, "#[Empty]"),
    _xlpm._arrC
  ),
  _xlpm._rtn, CHOOSE(_xlpm._typ,
    _xlpm._arrL,
    IF( INDEX(_xlpm._arrL, 1, 1) = "#[Empty]",
      _xlpm._arrR,
      IF( INDEX(_xlpm._arrR, 1, _xlpm._cc1 + 1) = "#[Empty]",
        _xlpm._arrL,
        _xlfn.VSTACK(_xlpm._arrL, _xlpm._arrR)
      )
    ),
    IF( INDEX(_xlpm._arrL, 1, 1) = "#[Empty]",
      _xlfn.MAKEARRAY(1, _xlpm._cc1 + _xlpm._cc2, _xlfn.LAMBDA(_xlpm._r,_xlpm._c, NA())),
      _xlpm._arrL
    ),
    IF( INDEX(_xlpm._arrR, 1, _xlpm._cc1 + 1) = "#[Empty]",
      _xlpm._arrL,
      _xlfn.VSTACK(_xlpm._arrL, _xlpm._arrR)
    )
  ),
  CHOOSE(_xlpm._inpChk, _xlpm._rtn, #VALUE!)
)</f>
        <v>X-001</v>
      </c>
      <c r="H355" s="115" t="str">
        <v>AAA</v>
      </c>
      <c r="I355" s="115">
        <v>1</v>
      </c>
      <c r="J355" s="115" t="str">
        <v>!</v>
      </c>
      <c r="K355" s="115" t="str">
        <v>one</v>
      </c>
      <c r="L355" s="115">
        <v>1</v>
      </c>
      <c r="M355" s="115"/>
      <c r="N355" s="115"/>
      <c r="O355" s="52" t="str" cm="1">
        <f t="array" aca="1" ref="O355:O407" ca="1" xml:space="preserve"> _xlfn.TEXTSPLIT( _xlfn.FORMULATEXT(G355), , CHAR(10))</f>
        <v>= LET(</v>
      </c>
    </row>
    <row r="356" spans="3:15" x14ac:dyDescent="0.3">
      <c r="C356" s="143" t="str">
        <v>X-002</v>
      </c>
      <c r="D356" s="144">
        <v>2</v>
      </c>
      <c r="E356" s="143" t="str">
        <v>X-007</v>
      </c>
      <c r="G356" s="115" t="str">
        <v>X-002</v>
      </c>
      <c r="H356" s="115" t="str">
        <v>BBB</v>
      </c>
      <c r="I356" s="115">
        <v>2</v>
      </c>
      <c r="J356" s="115" t="str">
        <v>"</v>
      </c>
      <c r="K356" s="115" t="str">
        <v>two</v>
      </c>
      <c r="L356" s="115">
        <v>2</v>
      </c>
      <c r="M356" s="115"/>
      <c r="N356" s="115"/>
      <c r="O356" s="52" t="str">
        <f ca="1"/>
        <v xml:space="preserve">  _arr1, $K$12:$N$21,</v>
      </c>
    </row>
    <row r="357" spans="3:15" x14ac:dyDescent="0.3">
      <c r="C357" s="143" t="str">
        <v>X-003</v>
      </c>
      <c r="D357" s="144">
        <v>3</v>
      </c>
      <c r="E357" s="143" t="str">
        <v>X-010</v>
      </c>
      <c r="G357" s="115" t="str">
        <v>X-003</v>
      </c>
      <c r="H357" s="115" t="str">
        <v>CCC</v>
      </c>
      <c r="I357" s="115">
        <v>3</v>
      </c>
      <c r="J357" s="115" t="str">
        <v>£</v>
      </c>
      <c r="K357" s="115" t="e">
        <v>#N/A</v>
      </c>
      <c r="L357" s="115" t="e">
        <v>#N/A</v>
      </c>
      <c r="M357" s="115"/>
      <c r="N357" s="115"/>
      <c r="O357" s="52" t="str">
        <f ca="1"/>
        <v xml:space="preserve">  _arr2, $P$12:$S$21,</v>
      </c>
    </row>
    <row r="358" spans="3:15" x14ac:dyDescent="0.3">
      <c r="C358" s="143" t="str">
        <v>X-004</v>
      </c>
      <c r="D358" s="144">
        <v>4</v>
      </c>
      <c r="E358" s="143" t="str">
        <v>X-002</v>
      </c>
      <c r="G358" s="115" t="str">
        <v>X-004</v>
      </c>
      <c r="H358" s="115" t="str">
        <v>DDD</v>
      </c>
      <c r="I358" s="115">
        <v>4</v>
      </c>
      <c r="J358" s="115" t="str">
        <v>$</v>
      </c>
      <c r="K358" s="115" t="str">
        <v>four</v>
      </c>
      <c r="L358" s="115">
        <v>4</v>
      </c>
      <c r="M358" s="115"/>
      <c r="N358" s="115"/>
      <c r="O358" s="52" t="str">
        <f ca="1"/>
        <v xml:space="preserve">  _col1, $C$352,</v>
      </c>
    </row>
    <row r="359" spans="3:15" x14ac:dyDescent="0.3">
      <c r="C359" s="143" t="str">
        <v>X-005</v>
      </c>
      <c r="D359" s="144">
        <v>5</v>
      </c>
      <c r="E359" s="143" t="str">
        <v>X-004</v>
      </c>
      <c r="G359" s="115" t="str">
        <v>X-005</v>
      </c>
      <c r="H359" s="115" t="str">
        <v>EEE</v>
      </c>
      <c r="I359" s="115">
        <v>5</v>
      </c>
      <c r="J359" s="115" t="str">
        <v>%</v>
      </c>
      <c r="K359" s="115" t="e">
        <v>#N/A</v>
      </c>
      <c r="L359" s="115" t="e">
        <v>#N/A</v>
      </c>
      <c r="M359" s="115"/>
      <c r="N359" s="115"/>
      <c r="O359" s="52" t="str">
        <f ca="1"/>
        <v xml:space="preserve">  _col2, $E$352,</v>
      </c>
    </row>
    <row r="360" spans="3:15" x14ac:dyDescent="0.3">
      <c r="C360" s="143" t="str">
        <v>X-006</v>
      </c>
      <c r="D360" s="144">
        <v>6</v>
      </c>
      <c r="E360" s="143" t="str">
        <v>X-008</v>
      </c>
      <c r="G360" s="115" t="str">
        <v>X-006</v>
      </c>
      <c r="H360" s="115" t="str">
        <v>FFF</v>
      </c>
      <c r="I360" s="115">
        <v>6</v>
      </c>
      <c r="J360" s="115" t="str">
        <v>^</v>
      </c>
      <c r="K360" s="115" t="str">
        <v>six</v>
      </c>
      <c r="L360" s="115">
        <v>6</v>
      </c>
      <c r="M360" s="115"/>
      <c r="N360" s="115"/>
      <c r="O360" s="52" t="str">
        <f ca="1"/>
        <v xml:space="preserve">  _idx1, $H$350#,</v>
      </c>
    </row>
    <row r="361" spans="3:15" x14ac:dyDescent="0.3">
      <c r="C361" s="143" t="str">
        <v>X-007</v>
      </c>
      <c r="D361" s="144">
        <v>7</v>
      </c>
      <c r="E361" s="143" t="str">
        <v>X-012</v>
      </c>
      <c r="G361" s="115" t="str">
        <v>X-007</v>
      </c>
      <c r="H361" s="115" t="str">
        <v>GGG</v>
      </c>
      <c r="I361" s="115">
        <v>7</v>
      </c>
      <c r="J361" s="115" t="str">
        <v>&amp;</v>
      </c>
      <c r="K361" s="115" t="str">
        <v>seven</v>
      </c>
      <c r="L361" s="115">
        <v>7</v>
      </c>
      <c r="M361" s="115"/>
      <c r="N361" s="115"/>
      <c r="O361" s="52" t="str">
        <f ca="1"/>
        <v xml:space="preserve">  _idx2, $H$351#,</v>
      </c>
    </row>
    <row r="362" spans="3:15" x14ac:dyDescent="0.3">
      <c r="C362" s="143" t="str">
        <v>X-008</v>
      </c>
      <c r="D362" s="144">
        <v>8</v>
      </c>
      <c r="E362" s="143" t="str">
        <v>X-001</v>
      </c>
      <c r="G362" s="115" t="str">
        <v>X-008</v>
      </c>
      <c r="H362" s="115" t="str">
        <v>HHH</v>
      </c>
      <c r="I362" s="115">
        <v>8</v>
      </c>
      <c r="J362" s="115" t="str">
        <v>*</v>
      </c>
      <c r="K362" s="115" t="str">
        <v>eight</v>
      </c>
      <c r="L362" s="115">
        <v>8</v>
      </c>
      <c r="M362" s="115"/>
      <c r="N362" s="115"/>
      <c r="O362" s="52" t="str">
        <f ca="1"/>
        <v xml:space="preserve">  join_type, $H$352,</v>
      </c>
    </row>
    <row r="363" spans="3:15" x14ac:dyDescent="0.3">
      <c r="C363" s="143" t="str">
        <v>X-009</v>
      </c>
      <c r="D363" s="144">
        <v>9</v>
      </c>
      <c r="E363" s="143" t="str">
        <v>X-006</v>
      </c>
      <c r="G363" s="115" t="str">
        <v>X-009</v>
      </c>
      <c r="H363" s="115" t="str">
        <v>III</v>
      </c>
      <c r="I363" s="115">
        <v>9</v>
      </c>
      <c r="J363" s="115" t="str">
        <v>(</v>
      </c>
      <c r="K363" s="115" t="str">
        <v>nine</v>
      </c>
      <c r="L363" s="115">
        <v>9</v>
      </c>
      <c r="M363" s="115"/>
      <c r="N363" s="115"/>
      <c r="O363" s="52" t="str">
        <f ca="1"/>
        <v xml:space="preserve">  _inpT, IF( ISBLANK(join_type), 0, INT(join_type)),</v>
      </c>
    </row>
    <row r="364" spans="3:15" x14ac:dyDescent="0.3">
      <c r="C364" s="143" t="str">
        <v>X-010</v>
      </c>
      <c r="D364" s="144">
        <v>10</v>
      </c>
      <c r="E364" s="143" t="str">
        <v>X-011</v>
      </c>
      <c r="G364" s="115" t="str">
        <v>X-010</v>
      </c>
      <c r="H364" s="115" t="str">
        <v>JJJ</v>
      </c>
      <c r="I364" s="115">
        <v>10</v>
      </c>
      <c r="J364" s="115" t="str">
        <v>)</v>
      </c>
      <c r="K364" s="115" t="str">
        <v>ten</v>
      </c>
      <c r="L364" s="115">
        <v>10</v>
      </c>
      <c r="M364" s="115"/>
      <c r="N364" s="115"/>
      <c r="O364" s="52" t="str">
        <f ca="1"/>
        <v xml:space="preserve">  _typ, IF( ISNUMBER(_inpT), _inpT + 1,</v>
      </c>
    </row>
    <row r="365" spans="3:15" x14ac:dyDescent="0.3">
      <c r="G365" s="115"/>
      <c r="H365" s="115"/>
      <c r="I365" s="115"/>
      <c r="J365" s="115"/>
      <c r="K365" s="115"/>
      <c r="L365" s="115"/>
      <c r="M365" s="115"/>
      <c r="N365" s="115"/>
      <c r="O365" s="52" t="str">
        <f ca="1"/>
        <v xml:space="preserve">    IFNA( MATCH( LOWER(join_type), {"left","right","inner","full"}, 0), -1)</v>
      </c>
    </row>
    <row r="366" spans="3:15" x14ac:dyDescent="0.3">
      <c r="G366" s="115"/>
      <c r="H366" s="115"/>
      <c r="I366" s="115"/>
      <c r="J366" s="115"/>
      <c r="K366" s="115"/>
      <c r="L366" s="115"/>
      <c r="M366" s="115"/>
      <c r="N366" s="115"/>
      <c r="O366" s="52" t="str">
        <f ca="1"/>
        <v xml:space="preserve">  ),</v>
      </c>
    </row>
    <row r="367" spans="3:15" x14ac:dyDescent="0.3">
      <c r="G367" s="115"/>
      <c r="H367" s="115"/>
      <c r="I367" s="115"/>
      <c r="J367" s="115"/>
      <c r="K367" s="115"/>
      <c r="L367" s="115"/>
      <c r="M367" s="115"/>
      <c r="N367" s="115"/>
      <c r="O367" s="52" t="str">
        <f ca="1"/>
        <v xml:space="preserve">  _inpChk, IF( OR(_typ &lt; 1, _typ &gt; 4), 2, 1),</v>
      </c>
    </row>
    <row r="368" spans="3:15" x14ac:dyDescent="0.3">
      <c r="G368" s="115"/>
      <c r="H368" s="115"/>
      <c r="I368" s="115"/>
      <c r="J368" s="115"/>
      <c r="K368" s="115"/>
      <c r="L368" s="115"/>
      <c r="M368" s="115"/>
      <c r="N368" s="115"/>
      <c r="O368" s="52" t="str">
        <f ca="1"/>
        <v xml:space="preserve">  _uId1, CHOOSECOLS(_arr1, _col1),</v>
      </c>
    </row>
    <row r="369" spans="7:15" x14ac:dyDescent="0.3">
      <c r="G369" s="115"/>
      <c r="H369" s="115"/>
      <c r="I369" s="115"/>
      <c r="J369" s="115"/>
      <c r="K369" s="115"/>
      <c r="L369" s="115"/>
      <c r="M369" s="115"/>
      <c r="N369" s="115"/>
      <c r="O369" s="52" t="str">
        <f ca="1"/>
        <v xml:space="preserve">  _uId2, CHOOSECOLS(_arr2, _col2),</v>
      </c>
    </row>
    <row r="370" spans="7:15" x14ac:dyDescent="0.3">
      <c r="G370" s="115"/>
      <c r="H370" s="115"/>
      <c r="I370" s="115"/>
      <c r="J370" s="115"/>
      <c r="K370" s="115"/>
      <c r="L370" s="115"/>
      <c r="M370" s="115"/>
      <c r="N370" s="115"/>
      <c r="O370" s="52" t="str">
        <f ca="1"/>
        <v xml:space="preserve">  _out1, CHOOSECOLS(_arr1, _idx1),</v>
      </c>
    </row>
    <row r="371" spans="7:15" x14ac:dyDescent="0.3">
      <c r="G371" s="115"/>
      <c r="H371" s="115"/>
      <c r="I371" s="115"/>
      <c r="J371" s="115"/>
      <c r="K371" s="115"/>
      <c r="L371" s="115"/>
      <c r="M371" s="115"/>
      <c r="N371" s="115"/>
      <c r="O371" s="52" t="str">
        <f ca="1"/>
        <v xml:space="preserve">  _out2, CHOOSECOLS(_arr2, _idx2),</v>
      </c>
    </row>
    <row r="372" spans="7:15" x14ac:dyDescent="0.3">
      <c r="G372" s="115"/>
      <c r="H372" s="115"/>
      <c r="I372" s="115"/>
      <c r="J372" s="115"/>
      <c r="K372" s="115"/>
      <c r="L372" s="115"/>
      <c r="M372" s="115"/>
      <c r="N372" s="115"/>
      <c r="O372" s="52" t="str">
        <f ca="1"/>
        <v xml:space="preserve">  _cc1, COLUMNS(_out1),</v>
      </c>
    </row>
    <row r="373" spans="7:15" x14ac:dyDescent="0.3">
      <c r="G373" s="115"/>
      <c r="H373" s="115"/>
      <c r="I373" s="115"/>
      <c r="J373" s="115"/>
      <c r="K373" s="115"/>
      <c r="L373" s="115"/>
      <c r="M373" s="115"/>
      <c r="N373" s="115"/>
      <c r="O373" s="52" t="str">
        <f ca="1"/>
        <v xml:space="preserve">  _cc2, COLUMNS(_out2),</v>
      </c>
    </row>
    <row r="374" spans="7:15" x14ac:dyDescent="0.3">
      <c r="G374" s="115"/>
      <c r="H374" s="115"/>
      <c r="I374" s="115"/>
      <c r="J374" s="115"/>
      <c r="K374" s="115"/>
      <c r="L374" s="115"/>
      <c r="M374" s="115"/>
      <c r="N374" s="115"/>
      <c r="O374" s="52" t="str">
        <f ca="1"/>
        <v xml:space="preserve">  _mtch, DROP(REDUCE(0, _uId1, LAMBDA(_acc,_val, VSTACK(_acc, IFNA(MATCH(_val, _uId2, 0), 0)))), 1),</v>
      </c>
    </row>
    <row r="375" spans="7:15" x14ac:dyDescent="0.3">
      <c r="O375" s="52" t="str">
        <f ca="1"/>
        <v xml:space="preserve">  _blnk, MAKEARRAY(1, _cc2, LAMBDA(_r,_c, NA())),</v>
      </c>
    </row>
    <row r="376" spans="7:15" x14ac:dyDescent="0.3">
      <c r="O376" s="52" t="str">
        <f ca="1"/>
        <v xml:space="preserve">  _arrN, DROP(REDUCE(0, _mtch, LAMBDA(_acc,_val, VSTACK(_acc, IF(_val = 0, _blnk, INDEX(_out2, _val, SEQUENCE(1, _cc2)))))), 1),</v>
      </c>
    </row>
    <row r="377" spans="7:15" x14ac:dyDescent="0.3">
      <c r="O377" s="52" t="str">
        <f ca="1"/>
        <v xml:space="preserve">  _arrR, LET(</v>
      </c>
    </row>
    <row r="378" spans="7:15" x14ac:dyDescent="0.3">
      <c r="O378" s="52" t="str">
        <f ca="1"/>
        <v xml:space="preserve">    _fltr, SCAN(0, SEQUENCE( ROWS(_out2), 1), LAMBDA(_acc,_val, IF( ISNA(MATCH(_val, _mtch, 0)), 1, 0))),</v>
      </c>
    </row>
    <row r="379" spans="7:15" x14ac:dyDescent="0.3">
      <c r="O379" s="52" t="str">
        <f ca="1"/>
        <v xml:space="preserve">    _arr, FILTER(_out2, _fltr = 1, "#[Empty]"),</v>
      </c>
    </row>
    <row r="380" spans="7:15" x14ac:dyDescent="0.3">
      <c r="O380" s="52" t="str">
        <f ca="1"/>
        <v xml:space="preserve">    _blnk, MAKEARRAY( ROWS(_arr), _cc1, LAMBDA(_r,_c, NA())),</v>
      </c>
    </row>
    <row r="381" spans="7:15" x14ac:dyDescent="0.3">
      <c r="O381" s="52" t="str">
        <f ca="1"/>
        <v xml:space="preserve">    HSTACK(_blnk, _arr)</v>
      </c>
    </row>
    <row r="382" spans="7:15" x14ac:dyDescent="0.3">
      <c r="O382" s="52" t="str">
        <f ca="1"/>
        <v xml:space="preserve">  ),</v>
      </c>
    </row>
    <row r="383" spans="7:15" x14ac:dyDescent="0.3">
      <c r="O383" s="52" t="str">
        <f ca="1"/>
        <v xml:space="preserve">  _arrC, HSTACK(_out1, _arrN),</v>
      </c>
    </row>
    <row r="384" spans="7:15" x14ac:dyDescent="0.3">
      <c r="O384" s="52" t="str">
        <f ca="1"/>
        <v xml:space="preserve">  _arrL, IF( OR(_typ = 2, _typ = 3),</v>
      </c>
    </row>
    <row r="385" spans="15:15" x14ac:dyDescent="0.3">
      <c r="O385" s="52" t="str">
        <f ca="1"/>
        <v xml:space="preserve">    FILTER(_arrC, _mtch &lt;&gt; 0, "#[Empty]"),</v>
      </c>
    </row>
    <row r="386" spans="15:15" x14ac:dyDescent="0.3">
      <c r="O386" s="52" t="str">
        <f ca="1"/>
        <v xml:space="preserve">    _arrC</v>
      </c>
    </row>
    <row r="387" spans="15:15" x14ac:dyDescent="0.3">
      <c r="O387" s="52" t="str">
        <f ca="1"/>
        <v xml:space="preserve">  ),</v>
      </c>
    </row>
    <row r="388" spans="15:15" x14ac:dyDescent="0.3">
      <c r="O388" s="52" t="str">
        <f ca="1"/>
        <v xml:space="preserve">  _rtn, CHOOSE(_typ,</v>
      </c>
    </row>
    <row r="389" spans="15:15" x14ac:dyDescent="0.3">
      <c r="O389" s="52" t="str">
        <f ca="1"/>
        <v xml:space="preserve">    _arrL,</v>
      </c>
    </row>
    <row r="390" spans="15:15" x14ac:dyDescent="0.3">
      <c r="O390" s="52" t="str">
        <f ca="1"/>
        <v xml:space="preserve">    IF( INDEX(_arrL, 1, 1) = "#[Empty]",</v>
      </c>
    </row>
    <row r="391" spans="15:15" x14ac:dyDescent="0.3">
      <c r="O391" s="52" t="str">
        <f ca="1"/>
        <v xml:space="preserve">      _arrR,</v>
      </c>
    </row>
    <row r="392" spans="15:15" x14ac:dyDescent="0.3">
      <c r="O392" s="52" t="str">
        <f ca="1"/>
        <v xml:space="preserve">      IF( INDEX(_arrR, 1, _cc1 + 1) = "#[Empty]",</v>
      </c>
    </row>
    <row r="393" spans="15:15" x14ac:dyDescent="0.3">
      <c r="O393" s="52" t="str">
        <f ca="1"/>
        <v xml:space="preserve">        _arrL,</v>
      </c>
    </row>
    <row r="394" spans="15:15" x14ac:dyDescent="0.3">
      <c r="O394" s="52" t="str">
        <f ca="1"/>
        <v xml:space="preserve">        VSTACK(_arrL, _arrR)</v>
      </c>
    </row>
    <row r="395" spans="15:15" x14ac:dyDescent="0.3">
      <c r="O395" s="52" t="str">
        <f ca="1"/>
        <v xml:space="preserve">      )</v>
      </c>
    </row>
    <row r="396" spans="15:15" x14ac:dyDescent="0.3">
      <c r="O396" s="52" t="str">
        <f ca="1"/>
        <v xml:space="preserve">    ),</v>
      </c>
    </row>
    <row r="397" spans="15:15" x14ac:dyDescent="0.3">
      <c r="O397" s="52" t="str">
        <f ca="1"/>
        <v xml:space="preserve">    IF( INDEX(_arrL, 1, 1) = "#[Empty]",</v>
      </c>
    </row>
    <row r="398" spans="15:15" x14ac:dyDescent="0.3">
      <c r="O398" s="52" t="str">
        <f ca="1"/>
        <v xml:space="preserve">      MAKEARRAY(1, _cc1 + _cc2, LAMBDA(_r,_c, NA())),</v>
      </c>
    </row>
    <row r="399" spans="15:15" x14ac:dyDescent="0.3">
      <c r="O399" s="52" t="str">
        <f ca="1"/>
        <v xml:space="preserve">      _arrL</v>
      </c>
    </row>
    <row r="400" spans="15:15" x14ac:dyDescent="0.3">
      <c r="O400" s="52" t="str">
        <f ca="1"/>
        <v xml:space="preserve">    ),</v>
      </c>
    </row>
    <row r="401" spans="2:15" x14ac:dyDescent="0.3">
      <c r="O401" s="52" t="str">
        <f ca="1"/>
        <v xml:space="preserve">    IF( INDEX(_arrR, 1, _cc1 + 1) = "#[Empty]",</v>
      </c>
    </row>
    <row r="402" spans="2:15" x14ac:dyDescent="0.3">
      <c r="O402" s="52" t="str">
        <f ca="1"/>
        <v xml:space="preserve">      _arrL,</v>
      </c>
    </row>
    <row r="403" spans="2:15" x14ac:dyDescent="0.3">
      <c r="O403" s="52" t="str">
        <f ca="1"/>
        <v xml:space="preserve">      VSTACK(_arrL, _arrR)</v>
      </c>
    </row>
    <row r="404" spans="2:15" x14ac:dyDescent="0.3">
      <c r="O404" s="52" t="str">
        <f ca="1"/>
        <v xml:space="preserve">    )</v>
      </c>
    </row>
    <row r="405" spans="2:15" x14ac:dyDescent="0.3">
      <c r="O405" s="52" t="str">
        <f ca="1"/>
        <v xml:space="preserve">  ),</v>
      </c>
    </row>
    <row r="406" spans="2:15" x14ac:dyDescent="0.3">
      <c r="O406" s="52" t="str">
        <f ca="1"/>
        <v xml:space="preserve">  CHOOSE(_inpChk, _rtn, #VALUE!)</v>
      </c>
    </row>
    <row r="407" spans="2:15" x14ac:dyDescent="0.3">
      <c r="O407" s="52" t="str">
        <f ca="1"/>
        <v>)</v>
      </c>
    </row>
    <row r="409" spans="2:15" x14ac:dyDescent="0.3">
      <c r="B409" s="74" t="str" cm="1">
        <f t="array" ref="B409" xml:space="preserve"> "(" &amp; _xlfn.UNICHAR( 65 + SUMPRODUCT(--(_xlfn.REGEXTEST(B$1:B408, "^\([A-Z]\)$")))) &amp; ")"</f>
        <v>(L)</v>
      </c>
      <c r="C409" s="13" t="s">
        <v>1304</v>
      </c>
    </row>
    <row r="410" spans="2:15" x14ac:dyDescent="0.3">
      <c r="C410" s="13" t="s">
        <v>1278</v>
      </c>
    </row>
    <row r="411" spans="2:15" x14ac:dyDescent="0.3">
      <c r="G411" s="151" t="s">
        <v>1302</v>
      </c>
      <c r="H411" s="154" cm="1">
        <f t="array" ref="H411:K411" xml:space="preserve"> {1,2,3,4}</f>
        <v>1</v>
      </c>
      <c r="I411" s="154">
        <v>2</v>
      </c>
      <c r="J411" s="154">
        <v>3</v>
      </c>
      <c r="K411" s="154">
        <v>4</v>
      </c>
      <c r="L411" s="52" t="str">
        <f ca="1" xml:space="preserve"> _xlfn.FORMULATEXT(H411)</f>
        <v>= {1,2,3,4}</v>
      </c>
    </row>
    <row r="412" spans="2:15" x14ac:dyDescent="0.3">
      <c r="G412" s="151" t="s">
        <v>1303</v>
      </c>
      <c r="H412" s="154" cm="1">
        <f t="array" ref="H412:I412" xml:space="preserve"> {4,2}</f>
        <v>4</v>
      </c>
      <c r="I412" s="154">
        <v>2</v>
      </c>
      <c r="J412" s="154"/>
      <c r="K412" s="154"/>
      <c r="L412" s="52" t="str">
        <f ca="1" xml:space="preserve"> _xlfn.FORMULATEXT(H412)</f>
        <v>= {4,2}</v>
      </c>
    </row>
    <row r="413" spans="2:15" x14ac:dyDescent="0.3">
      <c r="G413" s="151" t="s">
        <v>1294</v>
      </c>
      <c r="H413" s="152" t="s">
        <v>1292</v>
      </c>
    </row>
    <row r="414" spans="2:15" x14ac:dyDescent="0.3">
      <c r="C414" s="154">
        <v>1</v>
      </c>
      <c r="E414" s="154">
        <v>1</v>
      </c>
      <c r="G414" s="151" t="s">
        <v>1305</v>
      </c>
      <c r="H414" s="154">
        <v>1</v>
      </c>
    </row>
    <row r="415" spans="2:15" x14ac:dyDescent="0.3">
      <c r="C415" s="142" t="s">
        <v>1070</v>
      </c>
      <c r="E415" s="142" t="s">
        <v>1072</v>
      </c>
      <c r="G415" t="s">
        <v>1272</v>
      </c>
    </row>
    <row r="416" spans="2:15" ht="14.4" thickBot="1" x14ac:dyDescent="0.35">
      <c r="C416" s="51" t="str" cm="1">
        <f t="array" ref="C416" xml:space="preserve"> _xlfn.CHOOSECOLS($K$11:$N$11, $C$414)</f>
        <v>ID</v>
      </c>
      <c r="E416" s="51" t="str" cm="1">
        <f t="array" ref="E416" xml:space="preserve"> _xlfn.CHOOSECOLS($P$11:$S$11, $E$414)</f>
        <v>ID</v>
      </c>
      <c r="G416" s="51" t="str" cm="1">
        <f t="array" ref="G416:L416" xml:space="preserve"> _xlfn.HSTACK(
  _xlfn.CHOOSECOLS($K$11:$N$11,_xlfn.ANCHORARRAY( $H$411)),
  _xlfn.CHOOSECOLS($P$11:$S$11,_xlfn.ANCHORARRAY( $H$412))
)</f>
        <v>ID</v>
      </c>
      <c r="H416" s="51" t="str">
        <v>Col.1</v>
      </c>
      <c r="I416" s="51" t="str">
        <v>Col.2</v>
      </c>
      <c r="J416" s="51" t="str">
        <v>Col.3</v>
      </c>
      <c r="K416" s="51" t="str">
        <v>Col.30</v>
      </c>
      <c r="L416" s="51" t="str">
        <v>Col.10</v>
      </c>
      <c r="M416" s="51"/>
      <c r="N416" s="51"/>
    </row>
    <row r="417" spans="3:15" x14ac:dyDescent="0.3">
      <c r="C417" s="143" t="str" cm="1">
        <f t="array" ref="C417:C426" xml:space="preserve"> _xlfn.CHOOSECOLS($K$12:$N$21, $C$414)</f>
        <v>X-001</v>
      </c>
      <c r="D417" s="144">
        <v>1</v>
      </c>
      <c r="E417" s="143" t="str" cm="1">
        <f t="array" ref="E417:E426" xml:space="preserve"> _xlfn.CHOOSECOLS($P$12:$S$21, $E$414)</f>
        <v>X-009</v>
      </c>
      <c r="G417" s="115" t="str" cm="1">
        <f t="array" ref="G417:L428" xml:space="preserve"> _xlfn.LET(
  _xlpm._arr1, $K$12:$N$21,
  _xlpm._arr2, $P$12:$S$21,
  _xlpm._col1, $C$414,
  _xlpm._col2, $E$414,
  _xlpm._idx1,_xlfn.ANCHORARRAY( $H$411),
  _xlpm._idx2,_xlfn.ANCHORARRAY( $H$412),
  _xlpm.join_type, $H$413,
  _xlpm.sort, $H$414,
  _xlpm._inpT, IF( ISBLANK(_xlpm.join_type), 0, INT(_xlpm.join_type)),
  _xlpm._srt, IF( ISBLANK(_xlpm.sort), 0, INT(_xlpm.sort)),
  _xlpm._typ, IF( ISNUMBER(_xlpm._inpT), _xlpm._inpT + 1,
    _xlfn.IFNA( MATCH( LOWER(_xlpm.join_type), {"left","right","inner","full"}, 0), -1)
  ),
  _xlpm._inpChk, IF( OR(_xlpm._typ &lt; 1, _xlpm._typ &gt; 4), 2, 1),
  _xlpm._uId1, _xlfn.CHOOSECOLS(_xlpm._arr1, _xlpm._col1),
  _xlpm._uId2, _xlfn.CHOOSECOLS(_xlpm._arr2, _xlpm._col2),
  _xlpm._out1, _xlfn.CHOOSECOLS(_xlpm._arr1, _xlpm._idx1),
  _xlpm._out2, _xlfn.CHOOSECOLS(_xlpm._arr2, _xlpm._idx2),
  _xlpm._cc1, COLUMNS(_xlpm._out1),
  _xlpm._cc2, COLUMNS(_xlpm._out2),
  _xlpm._ccS, _xlpm._cc1 + IF(_xlpm._srt &lt;&gt; 0, 1, 0),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
    _xlpm._fltr, _xlfn.SCAN(0, _xlfn.SEQUENCE( ROWS(_xlpm._out2), 1), _xlfn.LAMBDA(_xlpm._acc,_xlpm._val, IF( ISNA(MATCH(_xlpm._val, _xlpm._mtch, 0)), 1, 0))),
    _xlpm._arr, _xlfn._xlws.FILTER(_xlpm._out2, _xlpm._fltr = 1, "#[Empty]"),
    _xlpm._mCl, _xlfn._xlws.FILTER(_xlpm._uId2, _xlpm._fltr = 1, NA()),
    _xlpm._blnk, _xlfn.MAKEARRAY( ROWS(_xlpm._arr), _xlpm._cc1, _xlfn.LAMBDA(_xlpm._r,_xlpm._c, NA())),
    IF(_xlpm._srt &lt;&gt; 0,
      _xlfn.HSTACK(_xlpm._mCl, _xlpm._blnk, _xlpm._arr),
      _xlfn.HSTACK(_xlpm._blnk, _xlpm._arr)
    )
  ),
  _xlpm._arrC, IF(_xlpm._srt &lt;&gt; 0,
    _xlfn.HSTACK(_xlpm._uId1, _xlpm._out1, _xlpm._arrN),
    _xlfn.HSTACK(_xlpm._out1, _xlpm._arrN)
  ),
  _xlpm._arrL, IF( OR(_xlpm._typ = 2, _xlpm._typ = 3),
    _xlfn._xlws.FILTER(_xlpm._arrC, _xlpm._mtch &lt;&gt; 0, "#[Empty]"),
    _xlpm._arrC
  ),
  _xlpm._calc, CHOOSE(_xlpm._typ,
    _xlpm._arrL,
    IF( INDEX(_xlpm._arrL, 1, 1) = "#[Empty]",
      _xlpm._arrR,
      IF( INDEX(_xlpm._arrR, 1, _xlpm._ccS + 1) = "#[Empty]",
        _xlpm._arrL,
        _xlfn.VSTACK(_xlpm._arrL, _xlpm._arrR)
      )
    ),
    IF( INDEX(_xlpm._arrL, 1, 1) = "#[Empty]",
      _xlfn.MAKEARRAY(1, _xlpm._ccS + _xlpm._cc2, _xlfn.LAMBDA(_xlpm._r,_xlpm._c, NA())),
      _xlpm._arrL
    ),
    IF( INDEX(_xlpm._arrR, 1, _xlpm._ccS + 1) = "#[Empty]",
      _xlpm._arrL,
      _xlfn.VSTACK(_xlpm._arrL, _xlpm._arrR)
    )
  ),
  _xlpm._rtn, IF(_xlpm._srt &lt;&gt; 0,
    _xlfn.DROP( _xlfn.SORTBY(_xlpm._calc, _xlfn.CHOOSECOLS(_xlpm._calc, 1), _xlpm._srt), 0, 1),
    _xlpm._calc
  ),
  CHOOSE(_xlpm._inpChk, _xlpm._rtn, #VALUE!)
)</f>
        <v>X-001</v>
      </c>
      <c r="H417" s="115" t="str">
        <v>AAA</v>
      </c>
      <c r="I417" s="115">
        <v>1</v>
      </c>
      <c r="J417" s="115" t="str">
        <v>!</v>
      </c>
      <c r="K417" s="115" t="str">
        <v>one</v>
      </c>
      <c r="L417" s="115">
        <v>1</v>
      </c>
      <c r="M417" s="115"/>
      <c r="N417" s="115"/>
      <c r="O417" s="52" t="str" cm="1">
        <f t="array" aca="1" ref="O417:O483" ca="1" xml:space="preserve"> _xlfn.TEXTSPLIT( _xlfn.FORMULATEXT(G417), , CHAR(10))</f>
        <v>= LET(</v>
      </c>
    </row>
    <row r="418" spans="3:15" x14ac:dyDescent="0.3">
      <c r="C418" s="143" t="str">
        <v>X-002</v>
      </c>
      <c r="D418" s="144">
        <v>2</v>
      </c>
      <c r="E418" s="143" t="str">
        <v>X-007</v>
      </c>
      <c r="G418" s="115" t="str">
        <v>X-002</v>
      </c>
      <c r="H418" s="115" t="str">
        <v>BBB</v>
      </c>
      <c r="I418" s="115">
        <v>2</v>
      </c>
      <c r="J418" s="115" t="str">
        <v>"</v>
      </c>
      <c r="K418" s="115" t="str">
        <v>two</v>
      </c>
      <c r="L418" s="115">
        <v>2</v>
      </c>
      <c r="M418" s="115"/>
      <c r="N418" s="115"/>
      <c r="O418" s="52" t="str">
        <f ca="1"/>
        <v xml:space="preserve">  _arr1, $K$12:$N$21,</v>
      </c>
    </row>
    <row r="419" spans="3:15" x14ac:dyDescent="0.3">
      <c r="C419" s="143" t="str">
        <v>X-003</v>
      </c>
      <c r="D419" s="144">
        <v>3</v>
      </c>
      <c r="E419" s="143" t="str">
        <v>X-010</v>
      </c>
      <c r="G419" s="115" t="str">
        <v>X-003</v>
      </c>
      <c r="H419" s="115" t="str">
        <v>CCC</v>
      </c>
      <c r="I419" s="115">
        <v>3</v>
      </c>
      <c r="J419" s="115" t="str">
        <v>£</v>
      </c>
      <c r="K419" s="115" t="e">
        <v>#N/A</v>
      </c>
      <c r="L419" s="115" t="e">
        <v>#N/A</v>
      </c>
      <c r="M419" s="115"/>
      <c r="N419" s="115"/>
      <c r="O419" s="52" t="str">
        <f ca="1"/>
        <v xml:space="preserve">  _arr2, $P$12:$S$21,</v>
      </c>
    </row>
    <row r="420" spans="3:15" x14ac:dyDescent="0.3">
      <c r="C420" s="143" t="str">
        <v>X-004</v>
      </c>
      <c r="D420" s="144">
        <v>4</v>
      </c>
      <c r="E420" s="143" t="str">
        <v>X-002</v>
      </c>
      <c r="G420" s="115" t="str">
        <v>X-004</v>
      </c>
      <c r="H420" s="115" t="str">
        <v>DDD</v>
      </c>
      <c r="I420" s="115">
        <v>4</v>
      </c>
      <c r="J420" s="115" t="str">
        <v>$</v>
      </c>
      <c r="K420" s="115" t="str">
        <v>four</v>
      </c>
      <c r="L420" s="115">
        <v>4</v>
      </c>
      <c r="M420" s="115"/>
      <c r="N420" s="115"/>
      <c r="O420" s="52" t="str">
        <f ca="1"/>
        <v xml:space="preserve">  _col1, $C$414,</v>
      </c>
    </row>
    <row r="421" spans="3:15" x14ac:dyDescent="0.3">
      <c r="C421" s="143" t="str">
        <v>X-005</v>
      </c>
      <c r="D421" s="144">
        <v>5</v>
      </c>
      <c r="E421" s="143" t="str">
        <v>X-004</v>
      </c>
      <c r="G421" s="115" t="str">
        <v>X-005</v>
      </c>
      <c r="H421" s="115" t="str">
        <v>EEE</v>
      </c>
      <c r="I421" s="115">
        <v>5</v>
      </c>
      <c r="J421" s="115" t="str">
        <v>%</v>
      </c>
      <c r="K421" s="115" t="e">
        <v>#N/A</v>
      </c>
      <c r="L421" s="115" t="e">
        <v>#N/A</v>
      </c>
      <c r="M421" s="115"/>
      <c r="N421" s="115"/>
      <c r="O421" s="52" t="str">
        <f ca="1"/>
        <v xml:space="preserve">  _col2, $E$414,</v>
      </c>
    </row>
    <row r="422" spans="3:15" x14ac:dyDescent="0.3">
      <c r="C422" s="143" t="str">
        <v>X-006</v>
      </c>
      <c r="D422" s="144">
        <v>6</v>
      </c>
      <c r="E422" s="143" t="str">
        <v>X-008</v>
      </c>
      <c r="G422" s="115" t="str">
        <v>X-006</v>
      </c>
      <c r="H422" s="115" t="str">
        <v>FFF</v>
      </c>
      <c r="I422" s="115">
        <v>6</v>
      </c>
      <c r="J422" s="115" t="str">
        <v>^</v>
      </c>
      <c r="K422" s="115" t="str">
        <v>six</v>
      </c>
      <c r="L422" s="115">
        <v>6</v>
      </c>
      <c r="M422" s="115"/>
      <c r="N422" s="115"/>
      <c r="O422" s="52" t="str">
        <f ca="1"/>
        <v xml:space="preserve">  _idx1, $H$411#,</v>
      </c>
    </row>
    <row r="423" spans="3:15" x14ac:dyDescent="0.3">
      <c r="C423" s="143" t="str">
        <v>X-007</v>
      </c>
      <c r="D423" s="144">
        <v>7</v>
      </c>
      <c r="E423" s="143" t="str">
        <v>X-012</v>
      </c>
      <c r="G423" s="115" t="str">
        <v>X-007</v>
      </c>
      <c r="H423" s="115" t="str">
        <v>GGG</v>
      </c>
      <c r="I423" s="115">
        <v>7</v>
      </c>
      <c r="J423" s="115" t="str">
        <v>&amp;</v>
      </c>
      <c r="K423" s="115" t="str">
        <v>seven</v>
      </c>
      <c r="L423" s="115">
        <v>7</v>
      </c>
      <c r="M423" s="115"/>
      <c r="N423" s="115"/>
      <c r="O423" s="52" t="str">
        <f ca="1"/>
        <v xml:space="preserve">  _idx2, $H$412#,</v>
      </c>
    </row>
    <row r="424" spans="3:15" x14ac:dyDescent="0.3">
      <c r="C424" s="143" t="str">
        <v>X-008</v>
      </c>
      <c r="D424" s="144">
        <v>8</v>
      </c>
      <c r="E424" s="143" t="str">
        <v>X-001</v>
      </c>
      <c r="G424" s="115" t="str">
        <v>X-008</v>
      </c>
      <c r="H424" s="115" t="str">
        <v>HHH</v>
      </c>
      <c r="I424" s="115">
        <v>8</v>
      </c>
      <c r="J424" s="115" t="str">
        <v>*</v>
      </c>
      <c r="K424" s="115" t="str">
        <v>eight</v>
      </c>
      <c r="L424" s="115">
        <v>8</v>
      </c>
      <c r="M424" s="115"/>
      <c r="N424" s="115"/>
      <c r="O424" s="52" t="str">
        <f ca="1"/>
        <v xml:space="preserve">  join_type, $H$413,</v>
      </c>
    </row>
    <row r="425" spans="3:15" x14ac:dyDescent="0.3">
      <c r="C425" s="143" t="str">
        <v>X-009</v>
      </c>
      <c r="D425" s="144">
        <v>9</v>
      </c>
      <c r="E425" s="143" t="str">
        <v>X-006</v>
      </c>
      <c r="G425" s="115" t="str">
        <v>X-009</v>
      </c>
      <c r="H425" s="115" t="str">
        <v>III</v>
      </c>
      <c r="I425" s="115">
        <v>9</v>
      </c>
      <c r="J425" s="115" t="str">
        <v>(</v>
      </c>
      <c r="K425" s="115" t="str">
        <v>nine</v>
      </c>
      <c r="L425" s="115">
        <v>9</v>
      </c>
      <c r="M425" s="115"/>
      <c r="N425" s="115"/>
      <c r="O425" s="52" t="str">
        <f ca="1"/>
        <v xml:space="preserve">  sort, $H$414,</v>
      </c>
    </row>
    <row r="426" spans="3:15" x14ac:dyDescent="0.3">
      <c r="C426" s="143" t="str">
        <v>X-010</v>
      </c>
      <c r="D426" s="144">
        <v>10</v>
      </c>
      <c r="E426" s="143" t="str">
        <v>X-011</v>
      </c>
      <c r="G426" s="115" t="str">
        <v>X-010</v>
      </c>
      <c r="H426" s="115" t="str">
        <v>JJJ</v>
      </c>
      <c r="I426" s="115">
        <v>10</v>
      </c>
      <c r="J426" s="115" t="str">
        <v>)</v>
      </c>
      <c r="K426" s="115" t="str">
        <v>ten</v>
      </c>
      <c r="L426" s="115">
        <v>10</v>
      </c>
      <c r="M426" s="115"/>
      <c r="N426" s="115"/>
      <c r="O426" s="52" t="str">
        <f ca="1"/>
        <v xml:space="preserve">  _inpT, IF( ISBLANK(join_type), 0, INT(join_type)),</v>
      </c>
    </row>
    <row r="427" spans="3:15" x14ac:dyDescent="0.3">
      <c r="G427" s="115" t="e">
        <v>#N/A</v>
      </c>
      <c r="H427" s="115" t="e">
        <v>#N/A</v>
      </c>
      <c r="I427" s="115" t="e">
        <v>#N/A</v>
      </c>
      <c r="J427" s="115" t="e">
        <v>#N/A</v>
      </c>
      <c r="K427" s="115" t="str">
        <v>eleven</v>
      </c>
      <c r="L427" s="115">
        <v>11</v>
      </c>
      <c r="M427" s="115"/>
      <c r="N427" s="115"/>
      <c r="O427" s="52" t="str">
        <f ca="1"/>
        <v xml:space="preserve">  _srt, IF( ISBLANK(sort), 0, INT(sort)),</v>
      </c>
    </row>
    <row r="428" spans="3:15" x14ac:dyDescent="0.3">
      <c r="G428" s="115" t="e">
        <v>#N/A</v>
      </c>
      <c r="H428" s="115" t="e">
        <v>#N/A</v>
      </c>
      <c r="I428" s="115" t="e">
        <v>#N/A</v>
      </c>
      <c r="J428" s="115" t="e">
        <v>#N/A</v>
      </c>
      <c r="K428" s="115" t="str">
        <v>twelve</v>
      </c>
      <c r="L428" s="115">
        <v>12</v>
      </c>
      <c r="M428" s="115"/>
      <c r="N428" s="115"/>
      <c r="O428" s="52" t="str">
        <f ca="1"/>
        <v xml:space="preserve">  _typ, IF( ISNUMBER(_inpT), _inpT + 1,</v>
      </c>
    </row>
    <row r="429" spans="3:15" x14ac:dyDescent="0.3">
      <c r="G429" s="115"/>
      <c r="H429" s="115"/>
      <c r="I429" s="115"/>
      <c r="J429" s="115"/>
      <c r="K429" s="115"/>
      <c r="L429" s="115"/>
      <c r="M429" s="115"/>
      <c r="N429" s="115"/>
      <c r="O429" s="52" t="str">
        <f ca="1"/>
        <v xml:space="preserve">    IFNA( MATCH( LOWER(join_type), {"left","right","inner","full"}, 0), -1)</v>
      </c>
    </row>
    <row r="430" spans="3:15" x14ac:dyDescent="0.3">
      <c r="G430" s="115"/>
      <c r="H430" s="115"/>
      <c r="I430" s="115"/>
      <c r="J430" s="115"/>
      <c r="K430" s="115"/>
      <c r="L430" s="115"/>
      <c r="M430" s="115"/>
      <c r="N430" s="115"/>
      <c r="O430" s="52" t="str">
        <f ca="1"/>
        <v xml:space="preserve">  ),</v>
      </c>
    </row>
    <row r="431" spans="3:15" x14ac:dyDescent="0.3">
      <c r="G431" s="115"/>
      <c r="H431" s="115"/>
      <c r="I431" s="115"/>
      <c r="J431" s="115"/>
      <c r="K431" s="115"/>
      <c r="L431" s="115"/>
      <c r="M431" s="115"/>
      <c r="N431" s="115"/>
      <c r="O431" s="52" t="str">
        <f ca="1"/>
        <v xml:space="preserve">  _inpChk, IF( OR(_typ &lt; 1, _typ &gt; 4), 2, 1),</v>
      </c>
    </row>
    <row r="432" spans="3:15" x14ac:dyDescent="0.3">
      <c r="G432" s="115"/>
      <c r="H432" s="115"/>
      <c r="I432" s="115"/>
      <c r="J432" s="115"/>
      <c r="K432" s="115"/>
      <c r="L432" s="115"/>
      <c r="M432" s="115"/>
      <c r="N432" s="115"/>
      <c r="O432" s="52" t="str">
        <f ca="1"/>
        <v xml:space="preserve">  _uId1, CHOOSECOLS(_arr1, _col1),</v>
      </c>
    </row>
    <row r="433" spans="7:15" x14ac:dyDescent="0.3">
      <c r="G433" s="115"/>
      <c r="H433" s="115"/>
      <c r="I433" s="115"/>
      <c r="J433" s="115"/>
      <c r="K433" s="115"/>
      <c r="L433" s="115"/>
      <c r="M433" s="115"/>
      <c r="N433" s="115"/>
      <c r="O433" s="52" t="str">
        <f ca="1"/>
        <v xml:space="preserve">  _uId2, CHOOSECOLS(_arr2, _col2),</v>
      </c>
    </row>
    <row r="434" spans="7:15" x14ac:dyDescent="0.3">
      <c r="G434" s="115"/>
      <c r="H434" s="115"/>
      <c r="I434" s="115"/>
      <c r="J434" s="115"/>
      <c r="K434" s="115"/>
      <c r="L434" s="115"/>
      <c r="M434" s="115"/>
      <c r="N434" s="115"/>
      <c r="O434" s="52" t="str">
        <f ca="1"/>
        <v xml:space="preserve">  _out1, CHOOSECOLS(_arr1, _idx1),</v>
      </c>
    </row>
    <row r="435" spans="7:15" x14ac:dyDescent="0.3">
      <c r="G435" s="115"/>
      <c r="H435" s="115"/>
      <c r="I435" s="115"/>
      <c r="J435" s="115"/>
      <c r="K435" s="115"/>
      <c r="L435" s="115"/>
      <c r="M435" s="115"/>
      <c r="N435" s="115"/>
      <c r="O435" s="52" t="str">
        <f ca="1"/>
        <v xml:space="preserve">  _out2, CHOOSECOLS(_arr2, _idx2),</v>
      </c>
    </row>
    <row r="436" spans="7:15" x14ac:dyDescent="0.3">
      <c r="G436" s="115"/>
      <c r="H436" s="115"/>
      <c r="I436" s="115"/>
      <c r="J436" s="115"/>
      <c r="K436" s="115"/>
      <c r="L436" s="115"/>
      <c r="M436" s="115"/>
      <c r="N436" s="115"/>
      <c r="O436" s="52" t="str">
        <f ca="1"/>
        <v xml:space="preserve">  _cc1, COLUMNS(_out1),</v>
      </c>
    </row>
    <row r="437" spans="7:15" x14ac:dyDescent="0.3">
      <c r="O437" s="52" t="str">
        <f ca="1"/>
        <v xml:space="preserve">  _cc2, COLUMNS(_out2),</v>
      </c>
    </row>
    <row r="438" spans="7:15" x14ac:dyDescent="0.3">
      <c r="O438" s="52" t="str">
        <f ca="1"/>
        <v xml:space="preserve">  _ccS, _cc1 + IF(_srt &lt;&gt; 0, 1, 0),</v>
      </c>
    </row>
    <row r="439" spans="7:15" x14ac:dyDescent="0.3">
      <c r="O439" s="52" t="str">
        <f ca="1"/>
        <v xml:space="preserve">  _mtch, DROP(REDUCE(0, _uId1, LAMBDA(_acc,_val, VSTACK(_acc, IFNA(MATCH(_val, _uId2, 0), 0)))), 1),</v>
      </c>
    </row>
    <row r="440" spans="7:15" x14ac:dyDescent="0.3">
      <c r="O440" s="52" t="str">
        <f ca="1"/>
        <v xml:space="preserve">  _blnk, MAKEARRAY(1, _cc2, LAMBDA(_r,_c, NA())),</v>
      </c>
    </row>
    <row r="441" spans="7:15" x14ac:dyDescent="0.3">
      <c r="O441" s="52" t="str">
        <f ca="1"/>
        <v xml:space="preserve">  _arrN, DROP(REDUCE(0, _mtch, LAMBDA(_acc,_val, VSTACK(_acc, IF(_val = 0, _blnk, INDEX(_out2, _val, SEQUENCE(1, _cc2)))))), 1),</v>
      </c>
    </row>
    <row r="442" spans="7:15" x14ac:dyDescent="0.3">
      <c r="O442" s="52" t="str">
        <f ca="1"/>
        <v xml:space="preserve">  _arrR, LET(</v>
      </c>
    </row>
    <row r="443" spans="7:15" x14ac:dyDescent="0.3">
      <c r="O443" s="52" t="str">
        <f ca="1"/>
        <v xml:space="preserve">    _fltr, SCAN(0, SEQUENCE( ROWS(_out2), 1), LAMBDA(_acc,_val, IF( ISNA(MATCH(_val, _mtch, 0)), 1, 0))),</v>
      </c>
    </row>
    <row r="444" spans="7:15" x14ac:dyDescent="0.3">
      <c r="O444" s="52" t="str">
        <f ca="1"/>
        <v xml:space="preserve">    _arr, FILTER(_out2, _fltr = 1, "#[Empty]"),</v>
      </c>
    </row>
    <row r="445" spans="7:15" x14ac:dyDescent="0.3">
      <c r="O445" s="52" t="str">
        <f ca="1"/>
        <v xml:space="preserve">    _mCl, FILTER(_uId2, _fltr = 1, NA()),</v>
      </c>
    </row>
    <row r="446" spans="7:15" x14ac:dyDescent="0.3">
      <c r="O446" s="52" t="str">
        <f ca="1"/>
        <v xml:space="preserve">    _blnk, MAKEARRAY( ROWS(_arr), _cc1, LAMBDA(_r,_c, NA())),</v>
      </c>
    </row>
    <row r="447" spans="7:15" x14ac:dyDescent="0.3">
      <c r="O447" s="52" t="str">
        <f ca="1"/>
        <v xml:space="preserve">    IF(_srt &lt;&gt; 0,</v>
      </c>
    </row>
    <row r="448" spans="7:15" x14ac:dyDescent="0.3">
      <c r="O448" s="52" t="str">
        <f ca="1"/>
        <v xml:space="preserve">      HSTACK(_mCl, _blnk, _arr),</v>
      </c>
    </row>
    <row r="449" spans="15:15" x14ac:dyDescent="0.3">
      <c r="O449" s="52" t="str">
        <f ca="1"/>
        <v xml:space="preserve">      HSTACK(_blnk, _arr)</v>
      </c>
    </row>
    <row r="450" spans="15:15" x14ac:dyDescent="0.3">
      <c r="O450" s="52" t="str">
        <f ca="1"/>
        <v xml:space="preserve">    )</v>
      </c>
    </row>
    <row r="451" spans="15:15" x14ac:dyDescent="0.3">
      <c r="O451" s="52" t="str">
        <f ca="1"/>
        <v xml:space="preserve">  ),</v>
      </c>
    </row>
    <row r="452" spans="15:15" x14ac:dyDescent="0.3">
      <c r="O452" s="52" t="str">
        <f ca="1"/>
        <v xml:space="preserve">  _arrC, IF(_srt &lt;&gt; 0,</v>
      </c>
    </row>
    <row r="453" spans="15:15" x14ac:dyDescent="0.3">
      <c r="O453" s="52" t="str">
        <f ca="1"/>
        <v xml:space="preserve">    HSTACK(_uId1, _out1, _arrN),</v>
      </c>
    </row>
    <row r="454" spans="15:15" x14ac:dyDescent="0.3">
      <c r="O454" s="52" t="str">
        <f ca="1"/>
        <v xml:space="preserve">    HSTACK(_out1, _arrN)</v>
      </c>
    </row>
    <row r="455" spans="15:15" x14ac:dyDescent="0.3">
      <c r="O455" s="52" t="str">
        <f ca="1"/>
        <v xml:space="preserve">  ),</v>
      </c>
    </row>
    <row r="456" spans="15:15" x14ac:dyDescent="0.3">
      <c r="O456" s="52" t="str">
        <f ca="1"/>
        <v xml:space="preserve">  _arrL, IF( OR(_typ = 2, _typ = 3),</v>
      </c>
    </row>
    <row r="457" spans="15:15" x14ac:dyDescent="0.3">
      <c r="O457" s="52" t="str">
        <f ca="1"/>
        <v xml:space="preserve">    FILTER(_arrC, _mtch &lt;&gt; 0, "#[Empty]"),</v>
      </c>
    </row>
    <row r="458" spans="15:15" x14ac:dyDescent="0.3">
      <c r="O458" s="52" t="str">
        <f ca="1"/>
        <v xml:space="preserve">    _arrC</v>
      </c>
    </row>
    <row r="459" spans="15:15" x14ac:dyDescent="0.3">
      <c r="O459" s="52" t="str">
        <f ca="1"/>
        <v xml:space="preserve">  ),</v>
      </c>
    </row>
    <row r="460" spans="15:15" x14ac:dyDescent="0.3">
      <c r="O460" s="52" t="str">
        <f ca="1"/>
        <v xml:space="preserve">  _calc, CHOOSE(_typ,</v>
      </c>
    </row>
    <row r="461" spans="15:15" x14ac:dyDescent="0.3">
      <c r="O461" s="52" t="str">
        <f ca="1"/>
        <v xml:space="preserve">    _arrL,</v>
      </c>
    </row>
    <row r="462" spans="15:15" x14ac:dyDescent="0.3">
      <c r="O462" s="52" t="str">
        <f ca="1"/>
        <v xml:space="preserve">    IF( INDEX(_arrL, 1, 1) = "#[Empty]",</v>
      </c>
    </row>
    <row r="463" spans="15:15" x14ac:dyDescent="0.3">
      <c r="O463" s="52" t="str">
        <f ca="1"/>
        <v xml:space="preserve">      _arrR,</v>
      </c>
    </row>
    <row r="464" spans="15:15" x14ac:dyDescent="0.3">
      <c r="O464" s="52" t="str">
        <f ca="1"/>
        <v xml:space="preserve">      IF( INDEX(_arrR, 1, _ccS + 1) = "#[Empty]",</v>
      </c>
    </row>
    <row r="465" spans="15:15" x14ac:dyDescent="0.3">
      <c r="O465" s="52" t="str">
        <f ca="1"/>
        <v xml:space="preserve">        _arrL,</v>
      </c>
    </row>
    <row r="466" spans="15:15" x14ac:dyDescent="0.3">
      <c r="O466" s="52" t="str">
        <f ca="1"/>
        <v xml:space="preserve">        VSTACK(_arrL, _arrR)</v>
      </c>
    </row>
    <row r="467" spans="15:15" x14ac:dyDescent="0.3">
      <c r="O467" s="52" t="str">
        <f ca="1"/>
        <v xml:space="preserve">      )</v>
      </c>
    </row>
    <row r="468" spans="15:15" x14ac:dyDescent="0.3">
      <c r="O468" s="52" t="str">
        <f ca="1"/>
        <v xml:space="preserve">    ),</v>
      </c>
    </row>
    <row r="469" spans="15:15" x14ac:dyDescent="0.3">
      <c r="O469" s="52" t="str">
        <f ca="1"/>
        <v xml:space="preserve">    IF( INDEX(_arrL, 1, 1) = "#[Empty]",</v>
      </c>
    </row>
    <row r="470" spans="15:15" x14ac:dyDescent="0.3">
      <c r="O470" s="52" t="str">
        <f ca="1"/>
        <v xml:space="preserve">      MAKEARRAY(1, _ccS + _cc2, LAMBDA(_r,_c, NA())),</v>
      </c>
    </row>
    <row r="471" spans="15:15" x14ac:dyDescent="0.3">
      <c r="O471" s="52" t="str">
        <f ca="1"/>
        <v xml:space="preserve">      _arrL</v>
      </c>
    </row>
    <row r="472" spans="15:15" x14ac:dyDescent="0.3">
      <c r="O472" s="52" t="str">
        <f ca="1"/>
        <v xml:space="preserve">    ),</v>
      </c>
    </row>
    <row r="473" spans="15:15" x14ac:dyDescent="0.3">
      <c r="O473" s="52" t="str">
        <f ca="1"/>
        <v xml:space="preserve">    IF( INDEX(_arrR, 1, _ccS + 1) = "#[Empty]",</v>
      </c>
    </row>
    <row r="474" spans="15:15" x14ac:dyDescent="0.3">
      <c r="O474" s="52" t="str">
        <f ca="1"/>
        <v xml:space="preserve">      _arrL,</v>
      </c>
    </row>
    <row r="475" spans="15:15" x14ac:dyDescent="0.3">
      <c r="O475" s="52" t="str">
        <f ca="1"/>
        <v xml:space="preserve">      VSTACK(_arrL, _arrR)</v>
      </c>
    </row>
    <row r="476" spans="15:15" x14ac:dyDescent="0.3">
      <c r="O476" s="52" t="str">
        <f ca="1"/>
        <v xml:space="preserve">    )</v>
      </c>
    </row>
    <row r="477" spans="15:15" x14ac:dyDescent="0.3">
      <c r="O477" s="52" t="str">
        <f ca="1"/>
        <v xml:space="preserve">  ),</v>
      </c>
    </row>
    <row r="478" spans="15:15" x14ac:dyDescent="0.3">
      <c r="O478" s="52" t="str">
        <f ca="1"/>
        <v xml:space="preserve">  _rtn, IF(_srt &lt;&gt; 0,</v>
      </c>
    </row>
    <row r="479" spans="15:15" x14ac:dyDescent="0.3">
      <c r="O479" s="52" t="str">
        <f ca="1"/>
        <v xml:space="preserve">    DROP( SORTBY(_calc, CHOOSECOLS(_calc, 1), _srt), 0, 1),</v>
      </c>
    </row>
    <row r="480" spans="15:15" x14ac:dyDescent="0.3">
      <c r="O480" s="52" t="str">
        <f ca="1"/>
        <v xml:space="preserve">    _calc</v>
      </c>
    </row>
    <row r="481" spans="2:15" x14ac:dyDescent="0.3">
      <c r="O481" s="52" t="str">
        <f ca="1"/>
        <v xml:space="preserve">  ),</v>
      </c>
    </row>
    <row r="482" spans="2:15" x14ac:dyDescent="0.3">
      <c r="O482" s="52" t="str">
        <f ca="1"/>
        <v xml:space="preserve">  CHOOSE(_inpChk, _rtn, #VALUE!)</v>
      </c>
    </row>
    <row r="483" spans="2:15" x14ac:dyDescent="0.3">
      <c r="O483" s="52" t="str">
        <f ca="1"/>
        <v>)</v>
      </c>
    </row>
    <row r="485" spans="2:15" x14ac:dyDescent="0.3">
      <c r="B485" s="74" t="str" cm="1">
        <f t="array" ref="B485" xml:space="preserve"> "(" &amp; _xlfn.UNICHAR( 65 + SUMPRODUCT(--(_xlfn.REGEXTEST(B$1:B484, "^\([A-Z]\)$")))) &amp; ")"</f>
        <v>(M)</v>
      </c>
      <c r="C485" s="13" t="s">
        <v>1306</v>
      </c>
    </row>
    <row r="486" spans="2:15" x14ac:dyDescent="0.3">
      <c r="C486" s="13" t="s">
        <v>1278</v>
      </c>
    </row>
    <row r="488" spans="2:15" x14ac:dyDescent="0.3">
      <c r="C488" s="151" t="s">
        <v>1060</v>
      </c>
      <c r="D488" s="152"/>
    </row>
    <row r="489" spans="2:15" x14ac:dyDescent="0.3">
      <c r="C489" s="24" t="s">
        <v>1307</v>
      </c>
      <c r="D489" s="20" t="e">
        <f xml:space="preserve"> _xlfn.LET(
  _xlpm.replace_na, $D$488,
  _xlpm._inpR, IF( ISBLANK(_xlpm.replace_na), FALSE, _xlpm.replace_na),
  _xlpm._rep, IF( ISLOGICAL(_xlpm._inpR),
    IF(_xlpm._inpR, "", NA()),
    _xlpm._inpR
  ),
  _xlpm._rep
)</f>
        <v>#N/A</v>
      </c>
    </row>
    <row r="490" spans="2:15" x14ac:dyDescent="0.3">
      <c r="D490" s="52" t="str" cm="1">
        <f t="array" aca="1" ref="D490:D498" ca="1" xml:space="preserve"> _xlfn.TEXTSPLIT( _xlfn.FORMULATEXT(D489), , CHAR(10))</f>
        <v>= LET(</v>
      </c>
    </row>
    <row r="491" spans="2:15" x14ac:dyDescent="0.3">
      <c r="D491" s="52" t="str">
        <f ca="1"/>
        <v xml:space="preserve">  replace_na, $D$488,</v>
      </c>
    </row>
    <row r="492" spans="2:15" x14ac:dyDescent="0.3">
      <c r="D492" s="52" t="str">
        <f ca="1"/>
        <v xml:space="preserve">  _inpR, IF( ISBLANK(replace_na), FALSE, replace_na),</v>
      </c>
    </row>
    <row r="493" spans="2:15" x14ac:dyDescent="0.3">
      <c r="D493" s="52" t="str">
        <f ca="1"/>
        <v xml:space="preserve">  _rep, IF( ISLOGICAL(_inpR),</v>
      </c>
    </row>
    <row r="494" spans="2:15" x14ac:dyDescent="0.3">
      <c r="D494" s="52" t="str">
        <f ca="1"/>
        <v xml:space="preserve">    IF(_inpR, "", NA()),</v>
      </c>
    </row>
    <row r="495" spans="2:15" x14ac:dyDescent="0.3">
      <c r="D495" s="52" t="str">
        <f ca="1"/>
        <v xml:space="preserve">    _inpR</v>
      </c>
    </row>
    <row r="496" spans="2:15" x14ac:dyDescent="0.3">
      <c r="D496" s="52" t="str">
        <f ca="1"/>
        <v xml:space="preserve">  ),</v>
      </c>
    </row>
    <row r="497" spans="2:15" x14ac:dyDescent="0.3">
      <c r="D497" s="52" t="str">
        <f ca="1"/>
        <v xml:space="preserve">  _rep</v>
      </c>
    </row>
    <row r="498" spans="2:15" x14ac:dyDescent="0.3">
      <c r="D498" s="52" t="str">
        <f ca="1"/>
        <v>)</v>
      </c>
    </row>
    <row r="500" spans="2:15" x14ac:dyDescent="0.3">
      <c r="B500" s="74" t="str" cm="1">
        <f t="array" ref="B500" xml:space="preserve"> "(" &amp; _xlfn.UNICHAR( 65 + SUMPRODUCT(--(_xlfn.REGEXTEST(B$1:B499, "^\([A-Z]\)$")))) &amp; ")"</f>
        <v>(N)</v>
      </c>
      <c r="C500" s="13" t="s">
        <v>1308</v>
      </c>
    </row>
    <row r="501" spans="2:15" x14ac:dyDescent="0.3">
      <c r="C501" s="13" t="s">
        <v>1278</v>
      </c>
    </row>
    <row r="502" spans="2:15" x14ac:dyDescent="0.3">
      <c r="G502" s="151" t="s">
        <v>1302</v>
      </c>
      <c r="H502" s="154" cm="1">
        <f t="array" ref="H502:K502" xml:space="preserve"> {1,2,3,4}</f>
        <v>1</v>
      </c>
      <c r="I502" s="154">
        <v>2</v>
      </c>
      <c r="J502" s="154">
        <v>3</v>
      </c>
      <c r="K502" s="154">
        <v>4</v>
      </c>
      <c r="L502" s="52" t="str">
        <f ca="1" xml:space="preserve"> _xlfn.FORMULATEXT(H502)</f>
        <v>= {1,2,3,4}</v>
      </c>
    </row>
    <row r="503" spans="2:15" x14ac:dyDescent="0.3">
      <c r="G503" s="151" t="s">
        <v>1303</v>
      </c>
      <c r="H503" s="154" cm="1">
        <f t="array" ref="H503:I503" xml:space="preserve"> {4,2}</f>
        <v>4</v>
      </c>
      <c r="I503" s="154">
        <v>2</v>
      </c>
      <c r="J503" s="154"/>
      <c r="K503" s="154"/>
      <c r="L503" s="52" t="str">
        <f ca="1" xml:space="preserve"> _xlfn.FORMULATEXT(H503)</f>
        <v>= {4,2}</v>
      </c>
    </row>
    <row r="504" spans="2:15" x14ac:dyDescent="0.3">
      <c r="G504" s="151" t="s">
        <v>1294</v>
      </c>
      <c r="H504" s="152" t="s">
        <v>1292</v>
      </c>
    </row>
    <row r="505" spans="2:15" x14ac:dyDescent="0.3">
      <c r="G505" s="151" t="s">
        <v>1305</v>
      </c>
      <c r="H505" s="154">
        <v>1</v>
      </c>
    </row>
    <row r="506" spans="2:15" x14ac:dyDescent="0.3">
      <c r="C506" s="154">
        <v>1</v>
      </c>
      <c r="E506" s="154">
        <v>1</v>
      </c>
      <c r="G506" s="151" t="s">
        <v>1060</v>
      </c>
      <c r="H506" s="154"/>
    </row>
    <row r="507" spans="2:15" x14ac:dyDescent="0.3">
      <c r="C507" s="142" t="s">
        <v>1070</v>
      </c>
      <c r="E507" s="142" t="s">
        <v>1072</v>
      </c>
      <c r="G507" t="s">
        <v>1272</v>
      </c>
    </row>
    <row r="508" spans="2:15" ht="14.4" thickBot="1" x14ac:dyDescent="0.35">
      <c r="C508" s="51" t="str" cm="1">
        <f t="array" ref="C508" xml:space="preserve"> _xlfn.CHOOSECOLS($K$11:$N$11, $C$506)</f>
        <v>ID</v>
      </c>
      <c r="E508" s="51" t="str" cm="1">
        <f t="array" ref="E508" xml:space="preserve"> _xlfn.CHOOSECOLS($P$11:$S$11, $E$506)</f>
        <v>ID</v>
      </c>
      <c r="G508" s="51" t="str" cm="1">
        <f t="array" ref="G508:L508" xml:space="preserve"> _xlfn.HSTACK(
  _xlfn.CHOOSECOLS($K$11:$N$11,_xlfn.ANCHORARRAY( $H$502)),
  _xlfn.CHOOSECOLS($P$11:$S$11,_xlfn.ANCHORARRAY( $H$503))
)</f>
        <v>ID</v>
      </c>
      <c r="H508" s="51" t="str">
        <v>Col.1</v>
      </c>
      <c r="I508" s="51" t="str">
        <v>Col.2</v>
      </c>
      <c r="J508" s="51" t="str">
        <v>Col.3</v>
      </c>
      <c r="K508" s="51" t="str">
        <v>Col.30</v>
      </c>
      <c r="L508" s="51" t="str">
        <v>Col.10</v>
      </c>
      <c r="M508" s="51"/>
      <c r="N508" s="51"/>
    </row>
    <row r="509" spans="2:15" x14ac:dyDescent="0.3">
      <c r="C509" s="143" t="str" cm="1">
        <f t="array" ref="C509:C518" xml:space="preserve"> _xlfn.CHOOSECOLS($K$12:$N$21, $C$506)</f>
        <v>X-001</v>
      </c>
      <c r="D509" s="144">
        <v>1</v>
      </c>
      <c r="E509" s="143" t="str" cm="1">
        <f t="array" ref="E509:E518" xml:space="preserve"> _xlfn.CHOOSECOLS($P$12:$S$21, $E$506)</f>
        <v>X-009</v>
      </c>
      <c r="G509" s="115" t="str" cm="1">
        <f t="array" ref="G509:L520" xml:space="preserve"> _xlfn.LET(
  _xlpm._arr1, $K$12:$N$21,
  _xlpm._arr2, $P$12:$S$21,
  _xlpm._col1, $C$506,
  _xlpm._col2, $E$506,
  _xlpm._idx1,_xlfn.ANCHORARRAY( $H$502),
  _xlpm._idx2,_xlfn.ANCHORARRAY( $H$503),
  _xlpm.join_type, $H$504,
  _xlpm.sort, $H$505,
  _xlpm.replace_na, $H$506,
  _xlpm._inpT, IF( ISBLANK(_xlpm.join_type), 0, INT(_xlpm.join_type)),
  _xlpm._typ, IF( ISNUMBER(_xlpm._inpT), _xlpm._inpT + 1,
    _xlfn.IFNA( MATCH( LOWER(_xlpm.join_type), {"left","right","inner","full"}, 0), -1)
  ),
  _xlpm._srt, IF( ISBLANK(_xlpm.sort), 0, INT(_xlpm.sort)),
  _xlpm._inpR, IF( ISBLANK(_xlpm.replace_na), FALSE, _xlpm.replace_na),
  _xlpm._rep, IF( ISLOGICAL(_xlpm._inpR),
    IF(_xlpm._inpR, "", NA()),
    _xlpm._inpR
  ),
  _xlpm._inpChk, IF( OR(_xlpm._typ &lt; 1, _xlpm._typ &gt; 4), 2, 1),
  _xlpm._uId1, _xlfn.CHOOSECOLS(_xlpm._arr1, _xlpm._col1),
  _xlpm._uId2, _xlfn.CHOOSECOLS(_xlpm._arr2, _xlpm._col2),
  _xlpm._out1, _xlfn.CHOOSECOLS(_xlpm._arr1, _xlpm._idx1),
  _xlpm._out2, _xlfn.CHOOSECOLS(_xlpm._arr2, _xlpm._idx2),
  _xlpm._cc1, COLUMNS(_xlpm._out1),
  _xlpm._cc2, COLUMNS(_xlpm._out2),
  _xlpm._ccS, _xlpm._cc1 + IF(_xlpm._srt &lt;&gt; 0, 1, 0),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
    _xlpm._fltr, _xlfn.SCAN(0, _xlfn.SEQUENCE( ROWS(_xlpm._out2), 1), _xlfn.LAMBDA(_xlpm._acc,_xlpm._val, IF( ISNA(MATCH(_xlpm._val, _xlpm._mtch, 0)), 1, 0))),
    _xlpm._arr, _xlfn._xlws.FILTER(_xlpm._out2, _xlpm._fltr = 1, "#[Empty]"),
    _xlpm._mCl, _xlfn._xlws.FILTER(_xlpm._uId2, _xlpm._fltr = 1, NA()),
    _xlpm._blnk, _xlfn.MAKEARRAY( ROWS(_xlpm._arr), _xlpm._cc1, _xlfn.LAMBDA(_xlpm._r,_xlpm._c, NA())),
    IF(_xlpm._srt &lt;&gt; 0,
      _xlfn.HSTACK(_xlpm._mCl, _xlpm._blnk, _xlpm._arr),
      _xlfn.HSTACK(_xlpm._blnk, _xlpm._arr)
    )
  ),
  _xlpm._arrC, IF(_xlpm._srt &lt;&gt; 0,
    _xlfn.HSTACK(_xlpm._uId1, _xlpm._out1, _xlpm._arrN),
    _xlfn.HSTACK(_xlpm._out1, _xlpm._arrN)
  ),
  _xlpm._arrL, IF( OR(_xlpm._typ = 2, _xlpm._typ = 3),
    _xlfn._xlws.FILTER(_xlpm._arrC, _xlpm._mtch &lt;&gt; 0, "#[Empty]"),
    _xlpm._arrC
  ),
  _xlpm._calc, CHOOSE(_xlpm._typ,
    _xlpm._arrL,
    IF( INDEX(_xlpm._arrL, 1, 1) = "#[Empty]",
      _xlpm._arrR,
      IF( INDEX(_xlpm._arrR, 1, _xlpm._ccS + 1) = "#[Empty]",
        _xlpm._arrL,
        _xlfn.VSTACK(_xlpm._arrL, _xlpm._arrR)
      )
    ),
    IF( INDEX(_xlpm._arrL, 1, 1) = "#[Empty]",
      _xlfn.MAKEARRAY(1, _xlpm._ccS + _xlpm._cc2, _xlfn.LAMBDA(_xlpm._r,_xlpm._c, NA())),
      _xlpm._arrL
    ),
    IF( INDEX(_xlpm._arrR, 1, _xlpm._ccS + 1) = "#[Empty]",
      _xlpm._arrL,
      _xlfn.VSTACK(_xlpm._arrL, _xlpm._arrR)
    )
  ),
  _xlpm._rtn, _xlfn.LET(
    _xlpm._arrS, IF(_xlpm._srt &lt;&gt; 0,
      _xlfn.DROP( _xlfn.SORTBY(_xlpm._calc, _xlfn.CHOOSECOLS(_xlpm._calc, 1), _xlpm._srt), 0, 1),
      _xlpm._calc
    ),
    _xlpm._arrR, IF( ISNA(_xlpm._rep),
      _xlpm._arrS,
      IF( ISNA(_xlpm._arrS), _xlpm._rep, _xlpm._arrS)
    ),
    _xlpm._arrR
  ),
  CHOOSE(_xlpm._inpChk, _xlpm._rtn, #VALUE!)
)</f>
        <v>X-001</v>
      </c>
      <c r="H509" s="115" t="str">
        <v>AAA</v>
      </c>
      <c r="I509" s="115">
        <v>1</v>
      </c>
      <c r="J509" s="115" t="str">
        <v>!</v>
      </c>
      <c r="K509" s="115" t="str">
        <v>one</v>
      </c>
      <c r="L509" s="115">
        <v>1</v>
      </c>
      <c r="M509" s="115"/>
      <c r="N509" s="115"/>
      <c r="O509" s="52" t="str" cm="1">
        <f t="array" aca="1" ref="O509:O588" ca="1" xml:space="preserve"> _xlfn.TEXTSPLIT( _xlfn.FORMULATEXT(G509), , CHAR(10))</f>
        <v>= LET(</v>
      </c>
    </row>
    <row r="510" spans="2:15" x14ac:dyDescent="0.3">
      <c r="C510" s="143" t="str">
        <v>X-002</v>
      </c>
      <c r="D510" s="144">
        <v>2</v>
      </c>
      <c r="E510" s="143" t="str">
        <v>X-007</v>
      </c>
      <c r="G510" s="115" t="str">
        <v>X-002</v>
      </c>
      <c r="H510" s="115" t="str">
        <v>BBB</v>
      </c>
      <c r="I510" s="115">
        <v>2</v>
      </c>
      <c r="J510" s="115" t="str">
        <v>"</v>
      </c>
      <c r="K510" s="115" t="str">
        <v>two</v>
      </c>
      <c r="L510" s="115">
        <v>2</v>
      </c>
      <c r="M510" s="115"/>
      <c r="N510" s="115"/>
      <c r="O510" s="52" t="str">
        <f ca="1"/>
        <v xml:space="preserve">  _arr1, $K$12:$N$21,</v>
      </c>
    </row>
    <row r="511" spans="2:15" x14ac:dyDescent="0.3">
      <c r="C511" s="143" t="str">
        <v>X-003</v>
      </c>
      <c r="D511" s="144">
        <v>3</v>
      </c>
      <c r="E511" s="143" t="str">
        <v>X-010</v>
      </c>
      <c r="G511" s="115" t="str">
        <v>X-003</v>
      </c>
      <c r="H511" s="115" t="str">
        <v>CCC</v>
      </c>
      <c r="I511" s="115">
        <v>3</v>
      </c>
      <c r="J511" s="115" t="str">
        <v>£</v>
      </c>
      <c r="K511" s="115" t="e">
        <v>#N/A</v>
      </c>
      <c r="L511" s="115" t="e">
        <v>#N/A</v>
      </c>
      <c r="M511" s="115"/>
      <c r="N511" s="115"/>
      <c r="O511" s="52" t="str">
        <f ca="1"/>
        <v xml:space="preserve">  _arr2, $P$12:$S$21,</v>
      </c>
    </row>
    <row r="512" spans="2:15" x14ac:dyDescent="0.3">
      <c r="C512" s="143" t="str">
        <v>X-004</v>
      </c>
      <c r="D512" s="144">
        <v>4</v>
      </c>
      <c r="E512" s="143" t="str">
        <v>X-002</v>
      </c>
      <c r="G512" s="115" t="str">
        <v>X-004</v>
      </c>
      <c r="H512" s="115" t="str">
        <v>DDD</v>
      </c>
      <c r="I512" s="115">
        <v>4</v>
      </c>
      <c r="J512" s="115" t="str">
        <v>$</v>
      </c>
      <c r="K512" s="115" t="str">
        <v>four</v>
      </c>
      <c r="L512" s="115">
        <v>4</v>
      </c>
      <c r="M512" s="115"/>
      <c r="N512" s="115"/>
      <c r="O512" s="52" t="str">
        <f ca="1"/>
        <v xml:space="preserve">  _col1, $C$506,</v>
      </c>
    </row>
    <row r="513" spans="3:15" x14ac:dyDescent="0.3">
      <c r="C513" s="143" t="str">
        <v>X-005</v>
      </c>
      <c r="D513" s="144">
        <v>5</v>
      </c>
      <c r="E513" s="143" t="str">
        <v>X-004</v>
      </c>
      <c r="G513" s="115" t="str">
        <v>X-005</v>
      </c>
      <c r="H513" s="115" t="str">
        <v>EEE</v>
      </c>
      <c r="I513" s="115">
        <v>5</v>
      </c>
      <c r="J513" s="115" t="str">
        <v>%</v>
      </c>
      <c r="K513" s="115" t="e">
        <v>#N/A</v>
      </c>
      <c r="L513" s="115" t="e">
        <v>#N/A</v>
      </c>
      <c r="M513" s="115"/>
      <c r="N513" s="115"/>
      <c r="O513" s="52" t="str">
        <f ca="1"/>
        <v xml:space="preserve">  _col2, $E$506,</v>
      </c>
    </row>
    <row r="514" spans="3:15" x14ac:dyDescent="0.3">
      <c r="C514" s="143" t="str">
        <v>X-006</v>
      </c>
      <c r="D514" s="144">
        <v>6</v>
      </c>
      <c r="E514" s="143" t="str">
        <v>X-008</v>
      </c>
      <c r="G514" s="115" t="str">
        <v>X-006</v>
      </c>
      <c r="H514" s="115" t="str">
        <v>FFF</v>
      </c>
      <c r="I514" s="115">
        <v>6</v>
      </c>
      <c r="J514" s="115" t="str">
        <v>^</v>
      </c>
      <c r="K514" s="115" t="str">
        <v>six</v>
      </c>
      <c r="L514" s="115">
        <v>6</v>
      </c>
      <c r="M514" s="115"/>
      <c r="N514" s="115"/>
      <c r="O514" s="52" t="str">
        <f ca="1"/>
        <v xml:space="preserve">  _idx1, $H$502#,</v>
      </c>
    </row>
    <row r="515" spans="3:15" x14ac:dyDescent="0.3">
      <c r="C515" s="143" t="str">
        <v>X-007</v>
      </c>
      <c r="D515" s="144">
        <v>7</v>
      </c>
      <c r="E515" s="143" t="str">
        <v>X-012</v>
      </c>
      <c r="G515" s="115" t="str">
        <v>X-007</v>
      </c>
      <c r="H515" s="115" t="str">
        <v>GGG</v>
      </c>
      <c r="I515" s="115">
        <v>7</v>
      </c>
      <c r="J515" s="115" t="str">
        <v>&amp;</v>
      </c>
      <c r="K515" s="115" t="str">
        <v>seven</v>
      </c>
      <c r="L515" s="115">
        <v>7</v>
      </c>
      <c r="M515" s="115"/>
      <c r="N515" s="115"/>
      <c r="O515" s="52" t="str">
        <f ca="1"/>
        <v xml:space="preserve">  _idx2, $H$503#,</v>
      </c>
    </row>
    <row r="516" spans="3:15" x14ac:dyDescent="0.3">
      <c r="C516" s="143" t="str">
        <v>X-008</v>
      </c>
      <c r="D516" s="144">
        <v>8</v>
      </c>
      <c r="E516" s="143" t="str">
        <v>X-001</v>
      </c>
      <c r="G516" s="115" t="str">
        <v>X-008</v>
      </c>
      <c r="H516" s="115" t="str">
        <v>HHH</v>
      </c>
      <c r="I516" s="115">
        <v>8</v>
      </c>
      <c r="J516" s="115" t="str">
        <v>*</v>
      </c>
      <c r="K516" s="115" t="str">
        <v>eight</v>
      </c>
      <c r="L516" s="115">
        <v>8</v>
      </c>
      <c r="M516" s="115"/>
      <c r="N516" s="115"/>
      <c r="O516" s="52" t="str">
        <f ca="1"/>
        <v xml:space="preserve">  join_type, $H$504,</v>
      </c>
    </row>
    <row r="517" spans="3:15" x14ac:dyDescent="0.3">
      <c r="C517" s="143" t="str">
        <v>X-009</v>
      </c>
      <c r="D517" s="144">
        <v>9</v>
      </c>
      <c r="E517" s="143" t="str">
        <v>X-006</v>
      </c>
      <c r="G517" s="115" t="str">
        <v>X-009</v>
      </c>
      <c r="H517" s="115" t="str">
        <v>III</v>
      </c>
      <c r="I517" s="115">
        <v>9</v>
      </c>
      <c r="J517" s="115" t="str">
        <v>(</v>
      </c>
      <c r="K517" s="115" t="str">
        <v>nine</v>
      </c>
      <c r="L517" s="115">
        <v>9</v>
      </c>
      <c r="M517" s="115"/>
      <c r="N517" s="115"/>
      <c r="O517" s="52" t="str">
        <f ca="1"/>
        <v xml:space="preserve">  sort, $H$505,</v>
      </c>
    </row>
    <row r="518" spans="3:15" x14ac:dyDescent="0.3">
      <c r="C518" s="143" t="str">
        <v>X-010</v>
      </c>
      <c r="D518" s="144">
        <v>10</v>
      </c>
      <c r="E518" s="143" t="str">
        <v>X-011</v>
      </c>
      <c r="G518" s="115" t="str">
        <v>X-010</v>
      </c>
      <c r="H518" s="115" t="str">
        <v>JJJ</v>
      </c>
      <c r="I518" s="115">
        <v>10</v>
      </c>
      <c r="J518" s="115" t="str">
        <v>)</v>
      </c>
      <c r="K518" s="115" t="str">
        <v>ten</v>
      </c>
      <c r="L518" s="115">
        <v>10</v>
      </c>
      <c r="M518" s="115"/>
      <c r="N518" s="115"/>
      <c r="O518" s="52" t="str">
        <f ca="1"/>
        <v xml:space="preserve">  replace_na, $H$506,</v>
      </c>
    </row>
    <row r="519" spans="3:15" x14ac:dyDescent="0.3">
      <c r="G519" s="115" t="e">
        <v>#N/A</v>
      </c>
      <c r="H519" s="115" t="e">
        <v>#N/A</v>
      </c>
      <c r="I519" s="115" t="e">
        <v>#N/A</v>
      </c>
      <c r="J519" s="115" t="e">
        <v>#N/A</v>
      </c>
      <c r="K519" s="115" t="str">
        <v>eleven</v>
      </c>
      <c r="L519" s="115">
        <v>11</v>
      </c>
      <c r="M519" s="115"/>
      <c r="N519" s="115"/>
      <c r="O519" s="52" t="str">
        <f ca="1"/>
        <v xml:space="preserve">  _inpT, IF( ISBLANK(join_type), 0, INT(join_type)),</v>
      </c>
    </row>
    <row r="520" spans="3:15" x14ac:dyDescent="0.3">
      <c r="G520" s="115" t="e">
        <v>#N/A</v>
      </c>
      <c r="H520" s="115" t="e">
        <v>#N/A</v>
      </c>
      <c r="I520" s="115" t="e">
        <v>#N/A</v>
      </c>
      <c r="J520" s="115" t="e">
        <v>#N/A</v>
      </c>
      <c r="K520" s="115" t="str">
        <v>twelve</v>
      </c>
      <c r="L520" s="115">
        <v>12</v>
      </c>
      <c r="M520" s="115"/>
      <c r="N520" s="115"/>
      <c r="O520" s="52" t="str">
        <f ca="1"/>
        <v xml:space="preserve">  _typ, IF( ISNUMBER(_inpT), _inpT + 1,</v>
      </c>
    </row>
    <row r="521" spans="3:15" x14ac:dyDescent="0.3">
      <c r="G521" s="115"/>
      <c r="H521" s="115"/>
      <c r="I521" s="115"/>
      <c r="J521" s="115"/>
      <c r="K521" s="115"/>
      <c r="L521" s="115"/>
      <c r="M521" s="115"/>
      <c r="N521" s="115"/>
      <c r="O521" s="52" t="str">
        <f ca="1"/>
        <v xml:space="preserve">    IFNA( MATCH( LOWER(join_type), {"left","right","inner","full"}, 0), -1)</v>
      </c>
    </row>
    <row r="522" spans="3:15" x14ac:dyDescent="0.3">
      <c r="G522" s="115"/>
      <c r="H522" s="115"/>
      <c r="I522" s="115"/>
      <c r="J522" s="115"/>
      <c r="K522" s="115"/>
      <c r="L522" s="115"/>
      <c r="M522" s="115"/>
      <c r="N522" s="115"/>
      <c r="O522" s="52" t="str">
        <f ca="1"/>
        <v xml:space="preserve">  ),</v>
      </c>
    </row>
    <row r="523" spans="3:15" x14ac:dyDescent="0.3">
      <c r="G523" s="115"/>
      <c r="H523" s="115"/>
      <c r="I523" s="115"/>
      <c r="J523" s="115"/>
      <c r="K523" s="115"/>
      <c r="L523" s="115"/>
      <c r="M523" s="115"/>
      <c r="N523" s="115"/>
      <c r="O523" s="52" t="str">
        <f ca="1"/>
        <v xml:space="preserve">  _srt, IF( ISBLANK(sort), 0, INT(sort)),</v>
      </c>
    </row>
    <row r="524" spans="3:15" x14ac:dyDescent="0.3">
      <c r="G524" s="115"/>
      <c r="H524" s="115"/>
      <c r="I524" s="115"/>
      <c r="J524" s="115"/>
      <c r="K524" s="115"/>
      <c r="L524" s="115"/>
      <c r="M524" s="115"/>
      <c r="N524" s="115"/>
      <c r="O524" s="52" t="str">
        <f ca="1"/>
        <v xml:space="preserve">  _inpR, IF( ISBLANK(replace_na), FALSE, replace_na),</v>
      </c>
    </row>
    <row r="525" spans="3:15" x14ac:dyDescent="0.3">
      <c r="G525" s="115"/>
      <c r="H525" s="115"/>
      <c r="I525" s="115"/>
      <c r="J525" s="115"/>
      <c r="K525" s="115"/>
      <c r="L525" s="115"/>
      <c r="M525" s="115"/>
      <c r="N525" s="115"/>
      <c r="O525" s="52" t="str">
        <f ca="1"/>
        <v xml:space="preserve">  _rep, IF( ISLOGICAL(_inpR),</v>
      </c>
    </row>
    <row r="526" spans="3:15" x14ac:dyDescent="0.3">
      <c r="G526" s="115"/>
      <c r="H526" s="115"/>
      <c r="I526" s="115"/>
      <c r="J526" s="115"/>
      <c r="K526" s="115"/>
      <c r="L526" s="115"/>
      <c r="M526" s="115"/>
      <c r="N526" s="115"/>
      <c r="O526" s="52" t="str">
        <f ca="1"/>
        <v xml:space="preserve">    IF(_inpR, "", NA()),</v>
      </c>
    </row>
    <row r="527" spans="3:15" x14ac:dyDescent="0.3">
      <c r="G527" s="115"/>
      <c r="H527" s="115"/>
      <c r="I527" s="115"/>
      <c r="J527" s="115"/>
      <c r="K527" s="115"/>
      <c r="L527" s="115"/>
      <c r="M527" s="115"/>
      <c r="N527" s="115"/>
      <c r="O527" s="52" t="str">
        <f ca="1"/>
        <v xml:space="preserve">    _inpR</v>
      </c>
    </row>
    <row r="528" spans="3:15" x14ac:dyDescent="0.3">
      <c r="G528" s="115"/>
      <c r="H528" s="115"/>
      <c r="I528" s="115"/>
      <c r="J528" s="115"/>
      <c r="K528" s="115"/>
      <c r="L528" s="115"/>
      <c r="M528" s="115"/>
      <c r="N528" s="115"/>
      <c r="O528" s="52" t="str">
        <f ca="1"/>
        <v xml:space="preserve">  ),</v>
      </c>
    </row>
    <row r="529" spans="15:15" x14ac:dyDescent="0.3">
      <c r="O529" s="52" t="str">
        <f ca="1"/>
        <v xml:space="preserve">  _inpChk, IF( OR(_typ &lt; 1, _typ &gt; 4), 2, 1),</v>
      </c>
    </row>
    <row r="530" spans="15:15" x14ac:dyDescent="0.3">
      <c r="O530" s="52" t="str">
        <f ca="1"/>
        <v xml:space="preserve">  _uId1, CHOOSECOLS(_arr1, _col1),</v>
      </c>
    </row>
    <row r="531" spans="15:15" x14ac:dyDescent="0.3">
      <c r="O531" s="52" t="str">
        <f ca="1"/>
        <v xml:space="preserve">  _uId2, CHOOSECOLS(_arr2, _col2),</v>
      </c>
    </row>
    <row r="532" spans="15:15" x14ac:dyDescent="0.3">
      <c r="O532" s="52" t="str">
        <f ca="1"/>
        <v xml:space="preserve">  _out1, CHOOSECOLS(_arr1, _idx1),</v>
      </c>
    </row>
    <row r="533" spans="15:15" x14ac:dyDescent="0.3">
      <c r="O533" s="52" t="str">
        <f ca="1"/>
        <v xml:space="preserve">  _out2, CHOOSECOLS(_arr2, _idx2),</v>
      </c>
    </row>
    <row r="534" spans="15:15" x14ac:dyDescent="0.3">
      <c r="O534" s="52" t="str">
        <f ca="1"/>
        <v xml:space="preserve">  _cc1, COLUMNS(_out1),</v>
      </c>
    </row>
    <row r="535" spans="15:15" x14ac:dyDescent="0.3">
      <c r="O535" s="52" t="str">
        <f ca="1"/>
        <v xml:space="preserve">  _cc2, COLUMNS(_out2),</v>
      </c>
    </row>
    <row r="536" spans="15:15" x14ac:dyDescent="0.3">
      <c r="O536" s="52" t="str">
        <f ca="1"/>
        <v xml:space="preserve">  _ccS, _cc1 + IF(_srt &lt;&gt; 0, 1, 0),</v>
      </c>
    </row>
    <row r="537" spans="15:15" x14ac:dyDescent="0.3">
      <c r="O537" s="52" t="str">
        <f ca="1"/>
        <v xml:space="preserve">  _mtch, DROP(REDUCE(0, _uId1, LAMBDA(_acc,_val, VSTACK(_acc, IFNA(MATCH(_val, _uId2, 0), 0)))), 1),</v>
      </c>
    </row>
    <row r="538" spans="15:15" x14ac:dyDescent="0.3">
      <c r="O538" s="52" t="str">
        <f ca="1"/>
        <v xml:space="preserve">  _blnk, MAKEARRAY(1, _cc2, LAMBDA(_r,_c, NA())),</v>
      </c>
    </row>
    <row r="539" spans="15:15" x14ac:dyDescent="0.3">
      <c r="O539" s="52" t="str">
        <f ca="1"/>
        <v xml:space="preserve">  _arrN, DROP(REDUCE(0, _mtch, LAMBDA(_acc,_val, VSTACK(_acc, IF(_val = 0, _blnk, INDEX(_out2, _val, SEQUENCE(1, _cc2)))))), 1),</v>
      </c>
    </row>
    <row r="540" spans="15:15" x14ac:dyDescent="0.3">
      <c r="O540" s="52" t="str">
        <f ca="1"/>
        <v xml:space="preserve">  _arrR, LET(</v>
      </c>
    </row>
    <row r="541" spans="15:15" x14ac:dyDescent="0.3">
      <c r="O541" s="52" t="str">
        <f ca="1"/>
        <v xml:space="preserve">    _fltr, SCAN(0, SEQUENCE( ROWS(_out2), 1), LAMBDA(_acc,_val, IF( ISNA(MATCH(_val, _mtch, 0)), 1, 0))),</v>
      </c>
    </row>
    <row r="542" spans="15:15" x14ac:dyDescent="0.3">
      <c r="O542" s="52" t="str">
        <f ca="1"/>
        <v xml:space="preserve">    _arr, FILTER(_out2, _fltr = 1, "#[Empty]"),</v>
      </c>
    </row>
    <row r="543" spans="15:15" x14ac:dyDescent="0.3">
      <c r="O543" s="52" t="str">
        <f ca="1"/>
        <v xml:space="preserve">    _mCl, FILTER(_uId2, _fltr = 1, NA()),</v>
      </c>
    </row>
    <row r="544" spans="15:15" x14ac:dyDescent="0.3">
      <c r="O544" s="52" t="str">
        <f ca="1"/>
        <v xml:space="preserve">    _blnk, MAKEARRAY( ROWS(_arr), _cc1, LAMBDA(_r,_c, NA())),</v>
      </c>
    </row>
    <row r="545" spans="15:15" x14ac:dyDescent="0.3">
      <c r="O545" s="52" t="str">
        <f ca="1"/>
        <v xml:space="preserve">    IF(_srt &lt;&gt; 0,</v>
      </c>
    </row>
    <row r="546" spans="15:15" x14ac:dyDescent="0.3">
      <c r="O546" s="52" t="str">
        <f ca="1"/>
        <v xml:space="preserve">      HSTACK(_mCl, _blnk, _arr),</v>
      </c>
    </row>
    <row r="547" spans="15:15" x14ac:dyDescent="0.3">
      <c r="O547" s="52" t="str">
        <f ca="1"/>
        <v xml:space="preserve">      HSTACK(_blnk, _arr)</v>
      </c>
    </row>
    <row r="548" spans="15:15" x14ac:dyDescent="0.3">
      <c r="O548" s="52" t="str">
        <f ca="1"/>
        <v xml:space="preserve">    )</v>
      </c>
    </row>
    <row r="549" spans="15:15" x14ac:dyDescent="0.3">
      <c r="O549" s="52" t="str">
        <f ca="1"/>
        <v xml:space="preserve">  ),</v>
      </c>
    </row>
    <row r="550" spans="15:15" x14ac:dyDescent="0.3">
      <c r="O550" s="52" t="str">
        <f ca="1"/>
        <v xml:space="preserve">  _arrC, IF(_srt &lt;&gt; 0,</v>
      </c>
    </row>
    <row r="551" spans="15:15" x14ac:dyDescent="0.3">
      <c r="O551" s="52" t="str">
        <f ca="1"/>
        <v xml:space="preserve">    HSTACK(_uId1, _out1, _arrN),</v>
      </c>
    </row>
    <row r="552" spans="15:15" x14ac:dyDescent="0.3">
      <c r="O552" s="52" t="str">
        <f ca="1"/>
        <v xml:space="preserve">    HSTACK(_out1, _arrN)</v>
      </c>
    </row>
    <row r="553" spans="15:15" x14ac:dyDescent="0.3">
      <c r="O553" s="52" t="str">
        <f ca="1"/>
        <v xml:space="preserve">  ),</v>
      </c>
    </row>
    <row r="554" spans="15:15" x14ac:dyDescent="0.3">
      <c r="O554" s="52" t="str">
        <f ca="1"/>
        <v xml:space="preserve">  _arrL, IF( OR(_typ = 2, _typ = 3),</v>
      </c>
    </row>
    <row r="555" spans="15:15" x14ac:dyDescent="0.3">
      <c r="O555" s="52" t="str">
        <f ca="1"/>
        <v xml:space="preserve">    FILTER(_arrC, _mtch &lt;&gt; 0, "#[Empty]"),</v>
      </c>
    </row>
    <row r="556" spans="15:15" x14ac:dyDescent="0.3">
      <c r="O556" s="52" t="str">
        <f ca="1"/>
        <v xml:space="preserve">    _arrC</v>
      </c>
    </row>
    <row r="557" spans="15:15" x14ac:dyDescent="0.3">
      <c r="O557" s="52" t="str">
        <f ca="1"/>
        <v xml:space="preserve">  ),</v>
      </c>
    </row>
    <row r="558" spans="15:15" x14ac:dyDescent="0.3">
      <c r="O558" s="52" t="str">
        <f ca="1"/>
        <v xml:space="preserve">  _calc, CHOOSE(_typ,</v>
      </c>
    </row>
    <row r="559" spans="15:15" x14ac:dyDescent="0.3">
      <c r="O559" s="52" t="str">
        <f ca="1"/>
        <v xml:space="preserve">    _arrL,</v>
      </c>
    </row>
    <row r="560" spans="15:15" x14ac:dyDescent="0.3">
      <c r="O560" s="52" t="str">
        <f ca="1"/>
        <v xml:space="preserve">    IF( INDEX(_arrL, 1, 1) = "#[Empty]",</v>
      </c>
    </row>
    <row r="561" spans="15:15" x14ac:dyDescent="0.3">
      <c r="O561" s="52" t="str">
        <f ca="1"/>
        <v xml:space="preserve">      _arrR,</v>
      </c>
    </row>
    <row r="562" spans="15:15" x14ac:dyDescent="0.3">
      <c r="O562" s="52" t="str">
        <f ca="1"/>
        <v xml:space="preserve">      IF( INDEX(_arrR, 1, _ccS + 1) = "#[Empty]",</v>
      </c>
    </row>
    <row r="563" spans="15:15" x14ac:dyDescent="0.3">
      <c r="O563" s="52" t="str">
        <f ca="1"/>
        <v xml:space="preserve">        _arrL,</v>
      </c>
    </row>
    <row r="564" spans="15:15" x14ac:dyDescent="0.3">
      <c r="O564" s="52" t="str">
        <f ca="1"/>
        <v xml:space="preserve">        VSTACK(_arrL, _arrR)</v>
      </c>
    </row>
    <row r="565" spans="15:15" x14ac:dyDescent="0.3">
      <c r="O565" s="52" t="str">
        <f ca="1"/>
        <v xml:space="preserve">      )</v>
      </c>
    </row>
    <row r="566" spans="15:15" x14ac:dyDescent="0.3">
      <c r="O566" s="52" t="str">
        <f ca="1"/>
        <v xml:space="preserve">    ),</v>
      </c>
    </row>
    <row r="567" spans="15:15" x14ac:dyDescent="0.3">
      <c r="O567" s="52" t="str">
        <f ca="1"/>
        <v xml:space="preserve">    IF( INDEX(_arrL, 1, 1) = "#[Empty]",</v>
      </c>
    </row>
    <row r="568" spans="15:15" x14ac:dyDescent="0.3">
      <c r="O568" s="52" t="str">
        <f ca="1"/>
        <v xml:space="preserve">      MAKEARRAY(1, _ccS + _cc2, LAMBDA(_r,_c, NA())),</v>
      </c>
    </row>
    <row r="569" spans="15:15" x14ac:dyDescent="0.3">
      <c r="O569" s="52" t="str">
        <f ca="1"/>
        <v xml:space="preserve">      _arrL</v>
      </c>
    </row>
    <row r="570" spans="15:15" x14ac:dyDescent="0.3">
      <c r="O570" s="52" t="str">
        <f ca="1"/>
        <v xml:space="preserve">    ),</v>
      </c>
    </row>
    <row r="571" spans="15:15" x14ac:dyDescent="0.3">
      <c r="O571" s="52" t="str">
        <f ca="1"/>
        <v xml:space="preserve">    IF( INDEX(_arrR, 1, _ccS + 1) = "#[Empty]",</v>
      </c>
    </row>
    <row r="572" spans="15:15" x14ac:dyDescent="0.3">
      <c r="O572" s="52" t="str">
        <f ca="1"/>
        <v xml:space="preserve">      _arrL,</v>
      </c>
    </row>
    <row r="573" spans="15:15" x14ac:dyDescent="0.3">
      <c r="O573" s="52" t="str">
        <f ca="1"/>
        <v xml:space="preserve">      VSTACK(_arrL, _arrR)</v>
      </c>
    </row>
    <row r="574" spans="15:15" x14ac:dyDescent="0.3">
      <c r="O574" s="52" t="str">
        <f ca="1"/>
        <v xml:space="preserve">    )</v>
      </c>
    </row>
    <row r="575" spans="15:15" x14ac:dyDescent="0.3">
      <c r="O575" s="52" t="str">
        <f ca="1"/>
        <v xml:space="preserve">  ),</v>
      </c>
    </row>
    <row r="576" spans="15:15" x14ac:dyDescent="0.3">
      <c r="O576" s="52" t="str">
        <f ca="1"/>
        <v xml:space="preserve">  _rtn, LET(</v>
      </c>
    </row>
    <row r="577" spans="2:20" x14ac:dyDescent="0.3">
      <c r="O577" s="52" t="str">
        <f ca="1"/>
        <v xml:space="preserve">    _arrS, IF(_srt &lt;&gt; 0,</v>
      </c>
    </row>
    <row r="578" spans="2:20" x14ac:dyDescent="0.3">
      <c r="O578" s="52" t="str">
        <f ca="1"/>
        <v xml:space="preserve">      DROP( SORTBY(_calc, CHOOSECOLS(_calc, 1), _srt), 0, 1),</v>
      </c>
    </row>
    <row r="579" spans="2:20" x14ac:dyDescent="0.3">
      <c r="O579" s="52" t="str">
        <f ca="1"/>
        <v xml:space="preserve">      _calc</v>
      </c>
    </row>
    <row r="580" spans="2:20" x14ac:dyDescent="0.3">
      <c r="O580" s="52" t="str">
        <f ca="1"/>
        <v xml:space="preserve">    ),</v>
      </c>
    </row>
    <row r="581" spans="2:20" x14ac:dyDescent="0.3">
      <c r="O581" s="52" t="str">
        <f ca="1"/>
        <v xml:space="preserve">    _arrR, IF( ISNA(_rep),</v>
      </c>
    </row>
    <row r="582" spans="2:20" x14ac:dyDescent="0.3">
      <c r="O582" s="52" t="str">
        <f ca="1"/>
        <v xml:space="preserve">      _arrS,</v>
      </c>
    </row>
    <row r="583" spans="2:20" x14ac:dyDescent="0.3">
      <c r="O583" s="52" t="str">
        <f ca="1"/>
        <v xml:space="preserve">      IF( ISNA(_arrS), _rep, _arrS)</v>
      </c>
    </row>
    <row r="584" spans="2:20" x14ac:dyDescent="0.3">
      <c r="O584" s="52" t="str">
        <f ca="1"/>
        <v xml:space="preserve">    ),</v>
      </c>
    </row>
    <row r="585" spans="2:20" x14ac:dyDescent="0.3">
      <c r="O585" s="52" t="str">
        <f ca="1"/>
        <v xml:space="preserve">    _arrR</v>
      </c>
    </row>
    <row r="586" spans="2:20" x14ac:dyDescent="0.3">
      <c r="O586" s="52" t="str">
        <f ca="1"/>
        <v xml:space="preserve">  ),</v>
      </c>
    </row>
    <row r="587" spans="2:20" x14ac:dyDescent="0.3">
      <c r="O587" s="52" t="str">
        <f ca="1"/>
        <v xml:space="preserve">  CHOOSE(_inpChk, _rtn, #VALUE!)</v>
      </c>
    </row>
    <row r="588" spans="2:20" x14ac:dyDescent="0.3">
      <c r="O588" s="52" t="str">
        <f ca="1"/>
        <v>)</v>
      </c>
    </row>
    <row r="590" spans="2:20" x14ac:dyDescent="0.3">
      <c r="B590" s="28" t="s">
        <v>1309</v>
      </c>
      <c r="C590" s="27"/>
      <c r="D590" s="27"/>
      <c r="E590" s="27"/>
      <c r="F590" s="27"/>
      <c r="G590" s="27"/>
      <c r="H590" s="27"/>
      <c r="I590" s="27"/>
      <c r="J590" s="27"/>
      <c r="K590" s="27"/>
      <c r="L590" s="27"/>
      <c r="M590" s="27"/>
      <c r="N590" s="27"/>
      <c r="O590" s="27"/>
      <c r="P590" s="27"/>
      <c r="Q590" s="27"/>
      <c r="R590" s="27"/>
      <c r="S590" s="27"/>
      <c r="T590" s="27"/>
    </row>
    <row r="592" spans="2:20" x14ac:dyDescent="0.3">
      <c r="B592" s="74" t="str" cm="1">
        <f t="array" ref="B592" xml:space="preserve"> "(" &amp; _xlfn.UNICHAR( 65 + SUMPRODUCT(--(_xlfn.REGEXTEST(B$1:B591, "^\([A-Z]\)$")))) &amp; ")"</f>
        <v>(O)</v>
      </c>
      <c r="C592" s="13" t="s">
        <v>1310</v>
      </c>
    </row>
    <row r="594" spans="4:9" x14ac:dyDescent="0.3">
      <c r="D594" s="151" t="s">
        <v>1064</v>
      </c>
      <c r="E594" s="155" t="str">
        <f xml:space="preserve"> _xlfn.LET(
  _xlpm._fst, $K$12,
  _xlpm._lst, $N$21,
  ADDRESS(ROW(_xlpm._fst),COLUMN(_xlpm._fst)) &amp; ":" &amp; ADDRESS(ROW(_xlpm._lst),COLUMN(_xlpm._lst))
)</f>
        <v>$K$12:$N$21</v>
      </c>
      <c r="F594" s="156"/>
    </row>
    <row r="595" spans="4:9" x14ac:dyDescent="0.3">
      <c r="D595" s="151" t="s">
        <v>1065</v>
      </c>
      <c r="E595" s="155" t="str">
        <f xml:space="preserve"> _xlfn.LET(
  _xlpm._fst, $P$12,
  _xlpm._lst, $S$21,
  ADDRESS(ROW(_xlpm._fst),COLUMN(_xlpm._fst)) &amp; ":" &amp; ADDRESS(ROW(_xlpm._lst),COLUMN(_xlpm._lst))
)</f>
        <v>$P$12:$S$21</v>
      </c>
      <c r="F595" s="156"/>
    </row>
    <row r="596" spans="4:9" x14ac:dyDescent="0.3">
      <c r="D596" s="151" t="s">
        <v>1311</v>
      </c>
      <c r="E596" s="154">
        <v>1</v>
      </c>
    </row>
    <row r="597" spans="4:9" x14ac:dyDescent="0.3">
      <c r="D597" s="151" t="s">
        <v>1312</v>
      </c>
      <c r="E597" s="154">
        <v>1</v>
      </c>
    </row>
    <row r="598" spans="4:9" x14ac:dyDescent="0.3">
      <c r="D598" s="151" t="s">
        <v>1294</v>
      </c>
      <c r="E598" s="152"/>
    </row>
    <row r="599" spans="4:9" x14ac:dyDescent="0.3">
      <c r="D599" s="151" t="s">
        <v>1302</v>
      </c>
      <c r="E599" s="154" cm="1">
        <f t="array" ref="E599:G599" xml:space="preserve"> {2,3,4}</f>
        <v>2</v>
      </c>
      <c r="F599" s="154">
        <v>3</v>
      </c>
      <c r="G599" s="154">
        <v>4</v>
      </c>
      <c r="H599" s="154"/>
      <c r="I599" s="157"/>
    </row>
    <row r="600" spans="4:9" x14ac:dyDescent="0.3">
      <c r="D600" s="151" t="s">
        <v>1303</v>
      </c>
      <c r="E600" s="154" cm="1">
        <f t="array" ref="E600:F600" xml:space="preserve"> {4,2}</f>
        <v>4</v>
      </c>
      <c r="F600" s="154">
        <v>2</v>
      </c>
      <c r="G600" s="154"/>
      <c r="H600" s="154"/>
    </row>
    <row r="601" spans="4:9" x14ac:dyDescent="0.3">
      <c r="D601" s="151" t="s">
        <v>1305</v>
      </c>
      <c r="E601" s="154"/>
    </row>
    <row r="602" spans="4:9" x14ac:dyDescent="0.3">
      <c r="D602" s="151" t="s">
        <v>1060</v>
      </c>
      <c r="E602" s="152" t="b">
        <v>0</v>
      </c>
    </row>
    <row r="604" spans="4:9" x14ac:dyDescent="0.3">
      <c r="D604" s="24" t="s">
        <v>1307</v>
      </c>
      <c r="E604" s="115" t="str" cm="1">
        <f t="array" ref="E604" xml:space="preserve"> _xlfn.LAMBDA(_xlpm.first_array,_xlpm.second_array,_xlpm.first_array_index,_xlpm.second_array_index,_xlop.join_type,_xlop.first_array_cols,_xlop.second_array_cols,_xlop.sort,_xlop.replace_na,
  _xlfn.LET(
    _xlpm._arr1, _xlpm.first_array,
    _xlpm._arr2, _xlpm.second_array,
    _xlpm._col1, INDEX(_xlpm.first_array_index, 1, 1),
    _xlpm._col2, INDEX(_xlpm.second_array_index, 1, 1),
    _xlpm._idx1, IF( _xlfn.ISOMITTED(_xlpm.first_array_cols), _xlfn.SEQUENCE(1, COLUMNS(_xlpm._arr1)),
      IF( SUM(--ISERROR(_xlpm.first_array_cols)) &gt; 0, 0, _xlpm.first_array_cols)),
    _xlpm._idx2, IF( _xlfn.ISOMITTED(_xlpm.second_array_cols), _xlfn.SEQUENCE(1, COLUMNS(_xlpm._arr2)),
      IF( SUM(--ISERROR(_xlpm.second_array_cols)) &gt; 0, 0, _xlpm.second_array_cols)),
    _xlpm._inpT, IF( _xlfn.ISOMITTED(_xlpm.join_type), 0, INT(_xlpm.join_type)),
    _xlpm._typ, IF( ISNUMBER(_xlpm._inpT), _xlpm._inpT + 1,
      _xlfn.IFNA( MATCH( LOWER(_xlpm.join_type), {"left","right","inner","full"}, 0), -1)
    ),
    _xlpm._srt, IF( _xlfn.ISOMITTED(_xlpm.sort), 0,
      IF( ISERROR(_xlpm.sort), "", INT(_xlpm.sort))),
    _xlpm._inpR, IF( _xlfn.ISOMITTED(_xlpm.replace_na), FALSE, INDEX(_xlpm.replace_na, 1, 1)),
    _xlpm._rep, IF( ISLOGICAL(_xlpm._inpR),
      IF(_xlpm._inpR, "", NA()),
      _xlpm._inpR
    ),
    _xlpm._inpChk, IF(
      OR(
        _xlpm._col1 &lt; 1, _xlpm._col1 &gt; COLUMNS(_xlpm._arr1),
        _xlpm._col2 &lt; 1, _xlpm._col2 &gt; COLUMNS(_xlpm._arr2),
        MIN(_xlpm._idx1) &lt; 1, MAX(_xlpm._idx1) &gt; COLUMNS(_xlpm._arr1),
        MIN(_xlpm._idx2) &lt; 1, MAX(_xlpm._idx2) &gt; COLUMNS(_xlpm._arr2)
      ), 2,
      IF( OR(
        NOT(ISNUMBER(_xlpm._col1)), NOT(ISNUMBER(_xlpm._col2)),
        _xlpm._typ &lt; 1, _xlpm._typ &gt; 4,
        ISERROR(_xlpm._srt), _xlpm._srt &lt; -1, _xlpm._srt &gt; 1
      ), 3,
      1)
    ),
    _xlpm._rtn, CHOOSE(_xlpm._inpChk, "OK", _xlfn.LAMBDA(0), #VALUE!),
    _xlpm._rtn
  )
)($K$12:$N$21, $P$12:$S$21, E596, E597, E598,_xlfn.ANCHORARRAY( E599),_xlfn.ANCHORARRAY( E600), E601, E602)</f>
        <v>OK</v>
      </c>
      <c r="F604" s="52" t="str" cm="1">
        <f t="array" aca="1" ref="F604:F642" ca="1" xml:space="preserve"> _xlfn.TEXTSPLIT( _xlfn.FORMULATEXT(E604), , CHAR(10))</f>
        <v>= LAMBDA(first_array,second_array,first_array_index,second_array_index,[join_type],[first_array_cols],[second_array_cols],[sort],[replace_na],</v>
      </c>
    </row>
    <row r="605" spans="4:9" x14ac:dyDescent="0.3">
      <c r="F605" s="52" t="str">
        <f ca="1"/>
        <v xml:space="preserve">  LET(</v>
      </c>
    </row>
    <row r="606" spans="4:9" x14ac:dyDescent="0.3">
      <c r="F606" s="52" t="str">
        <f ca="1"/>
        <v xml:space="preserve">    _arr1, first_array,</v>
      </c>
    </row>
    <row r="607" spans="4:9" x14ac:dyDescent="0.3">
      <c r="F607" s="52" t="str">
        <f ca="1"/>
        <v xml:space="preserve">    _arr2, second_array,</v>
      </c>
    </row>
    <row r="608" spans="4:9" x14ac:dyDescent="0.3">
      <c r="F608" s="52" t="str">
        <f ca="1"/>
        <v xml:space="preserve">    _col1, INDEX(first_array_index, 1, 1),</v>
      </c>
    </row>
    <row r="609" spans="6:6" x14ac:dyDescent="0.3">
      <c r="F609" s="52" t="str">
        <f ca="1"/>
        <v xml:space="preserve">    _col2, INDEX(second_array_index, 1, 1),</v>
      </c>
    </row>
    <row r="610" spans="6:6" x14ac:dyDescent="0.3">
      <c r="F610" s="52" t="str">
        <f ca="1"/>
        <v xml:space="preserve">    _idx1, IF( ISOMITTED(first_array_cols), SEQUENCE(1, COLUMNS(_arr1)),</v>
      </c>
    </row>
    <row r="611" spans="6:6" x14ac:dyDescent="0.3">
      <c r="F611" s="52" t="str">
        <f ca="1"/>
        <v xml:space="preserve">      IF( SUM(--ISERROR(first_array_cols)) &gt; 0, 0, first_array_cols)),</v>
      </c>
    </row>
    <row r="612" spans="6:6" x14ac:dyDescent="0.3">
      <c r="F612" s="52" t="str">
        <f ca="1"/>
        <v xml:space="preserve">    _idx2, IF( ISOMITTED(second_array_cols), SEQUENCE(1, COLUMNS(_arr2)),</v>
      </c>
    </row>
    <row r="613" spans="6:6" x14ac:dyDescent="0.3">
      <c r="F613" s="52" t="str">
        <f ca="1"/>
        <v xml:space="preserve">      IF( SUM(--ISERROR(second_array_cols)) &gt; 0, 0, second_array_cols)),</v>
      </c>
    </row>
    <row r="614" spans="6:6" x14ac:dyDescent="0.3">
      <c r="F614" s="52" t="str">
        <f ca="1"/>
        <v xml:space="preserve">    _inpT, IF( ISOMITTED(join_type), 0, INT(join_type)),</v>
      </c>
    </row>
    <row r="615" spans="6:6" x14ac:dyDescent="0.3">
      <c r="F615" s="52" t="str">
        <f ca="1"/>
        <v xml:space="preserve">    _typ, IF( ISNUMBER(_inpT), _inpT + 1,</v>
      </c>
    </row>
    <row r="616" spans="6:6" x14ac:dyDescent="0.3">
      <c r="F616" s="52" t="str">
        <f ca="1"/>
        <v xml:space="preserve">      IFNA( MATCH( LOWER(join_type), {"left","right","inner","full"}, 0), -1)</v>
      </c>
    </row>
    <row r="617" spans="6:6" x14ac:dyDescent="0.3">
      <c r="F617" s="52" t="str">
        <f ca="1"/>
        <v xml:space="preserve">    ),</v>
      </c>
    </row>
    <row r="618" spans="6:6" x14ac:dyDescent="0.3">
      <c r="F618" s="52" t="str">
        <f ca="1"/>
        <v xml:space="preserve">    _srt, IF( ISOMITTED(sort), 0,</v>
      </c>
    </row>
    <row r="619" spans="6:6" x14ac:dyDescent="0.3">
      <c r="F619" s="52" t="str">
        <f ca="1"/>
        <v xml:space="preserve">      IF( ISERROR(sort), "", INT(sort))),</v>
      </c>
    </row>
    <row r="620" spans="6:6" x14ac:dyDescent="0.3">
      <c r="F620" s="52" t="str">
        <f ca="1"/>
        <v xml:space="preserve">    _inpR, IF( ISOMITTED(replace_na), FALSE, INDEX(replace_na, 1, 1)),</v>
      </c>
    </row>
    <row r="621" spans="6:6" x14ac:dyDescent="0.3">
      <c r="F621" s="52" t="str">
        <f ca="1"/>
        <v xml:space="preserve">    _rep, IF( ISLOGICAL(_inpR),</v>
      </c>
    </row>
    <row r="622" spans="6:6" x14ac:dyDescent="0.3">
      <c r="F622" s="52" t="str">
        <f ca="1"/>
        <v xml:space="preserve">      IF(_inpR, "", NA()),</v>
      </c>
    </row>
    <row r="623" spans="6:6" x14ac:dyDescent="0.3">
      <c r="F623" s="52" t="str">
        <f ca="1"/>
        <v xml:space="preserve">      _inpR</v>
      </c>
    </row>
    <row r="624" spans="6:6" x14ac:dyDescent="0.3">
      <c r="F624" s="52" t="str">
        <f ca="1"/>
        <v xml:space="preserve">    ),</v>
      </c>
    </row>
    <row r="625" spans="6:6" x14ac:dyDescent="0.3">
      <c r="F625" s="52" t="str">
        <f ca="1"/>
        <v xml:space="preserve">    _inpChk, IF(</v>
      </c>
    </row>
    <row r="626" spans="6:6" x14ac:dyDescent="0.3">
      <c r="F626" s="52" t="str">
        <f ca="1"/>
        <v xml:space="preserve">      OR(</v>
      </c>
    </row>
    <row r="627" spans="6:6" x14ac:dyDescent="0.3">
      <c r="F627" s="52" t="str">
        <f ca="1"/>
        <v xml:space="preserve">        _col1 &lt; 1, _col1 &gt; COLUMNS(_arr1),</v>
      </c>
    </row>
    <row r="628" spans="6:6" x14ac:dyDescent="0.3">
      <c r="F628" s="52" t="str">
        <f ca="1"/>
        <v xml:space="preserve">        _col2 &lt; 1, _col2 &gt; COLUMNS(_arr2),</v>
      </c>
    </row>
    <row r="629" spans="6:6" x14ac:dyDescent="0.3">
      <c r="F629" s="52" t="str">
        <f ca="1"/>
        <v xml:space="preserve">        MIN(_idx1) &lt; 1, MAX(_idx1) &gt; COLUMNS(_arr1),</v>
      </c>
    </row>
    <row r="630" spans="6:6" x14ac:dyDescent="0.3">
      <c r="F630" s="52" t="str">
        <f ca="1"/>
        <v xml:space="preserve">        MIN(_idx2) &lt; 1, MAX(_idx2) &gt; COLUMNS(_arr2)</v>
      </c>
    </row>
    <row r="631" spans="6:6" x14ac:dyDescent="0.3">
      <c r="F631" s="52" t="str">
        <f ca="1"/>
        <v xml:space="preserve">      ), 2,</v>
      </c>
    </row>
    <row r="632" spans="6:6" x14ac:dyDescent="0.3">
      <c r="F632" s="52" t="str">
        <f ca="1"/>
        <v xml:space="preserve">      IF( OR(</v>
      </c>
    </row>
    <row r="633" spans="6:6" x14ac:dyDescent="0.3">
      <c r="F633" s="52" t="str">
        <f ca="1"/>
        <v xml:space="preserve">        NOT(ISNUMBER(_col1)), NOT(ISNUMBER(_col2)),</v>
      </c>
    </row>
    <row r="634" spans="6:6" x14ac:dyDescent="0.3">
      <c r="F634" s="52" t="str">
        <f ca="1"/>
        <v xml:space="preserve">        _typ &lt; 1, _typ &gt; 4,</v>
      </c>
    </row>
    <row r="635" spans="6:6" x14ac:dyDescent="0.3">
      <c r="F635" s="52" t="str">
        <f ca="1"/>
        <v xml:space="preserve">        ISERROR(_srt), _srt &lt; -1, _srt &gt; 1</v>
      </c>
    </row>
    <row r="636" spans="6:6" x14ac:dyDescent="0.3">
      <c r="F636" s="52" t="str">
        <f ca="1"/>
        <v xml:space="preserve">      ), 3,</v>
      </c>
    </row>
    <row r="637" spans="6:6" x14ac:dyDescent="0.3">
      <c r="F637" s="52" t="str">
        <f ca="1"/>
        <v xml:space="preserve">      1)</v>
      </c>
    </row>
    <row r="638" spans="6:6" x14ac:dyDescent="0.3">
      <c r="F638" s="52" t="str">
        <f ca="1"/>
        <v xml:space="preserve">    ),</v>
      </c>
    </row>
    <row r="639" spans="6:6" x14ac:dyDescent="0.3">
      <c r="F639" s="52" t="str">
        <f ca="1"/>
        <v xml:space="preserve">    _rtn, CHOOSE(_inpChk, "OK", LAMBDA(0), #VALUE!),</v>
      </c>
    </row>
    <row r="640" spans="6:6" x14ac:dyDescent="0.3">
      <c r="F640" s="52" t="str">
        <f ca="1"/>
        <v xml:space="preserve">    _rtn</v>
      </c>
    </row>
    <row r="641" spans="2:15" x14ac:dyDescent="0.3">
      <c r="F641" s="52" t="str">
        <f ca="1"/>
        <v xml:space="preserve">  )</v>
      </c>
    </row>
    <row r="642" spans="2:15" x14ac:dyDescent="0.3">
      <c r="F642" s="52" t="str">
        <f ca="1"/>
        <v>)($K$12:$N$21, $P$12:$S$21, E596, E597, E598, E599#, E600#, E601, E602)</v>
      </c>
    </row>
    <row r="644" spans="2:15" x14ac:dyDescent="0.3">
      <c r="B644" s="74" t="str" cm="1">
        <f t="array" ref="B644" xml:space="preserve"> "(" &amp; _xlfn.UNICHAR( 65 + SUMPRODUCT(--(_xlfn.REGEXTEST(B$1:B643, "^\([A-Z]\)$")))) &amp; ")"</f>
        <v>(P)</v>
      </c>
      <c r="C644" s="13" t="s">
        <v>1313</v>
      </c>
    </row>
    <row r="645" spans="2:15" x14ac:dyDescent="0.3">
      <c r="C645" s="13" t="s">
        <v>1278</v>
      </c>
    </row>
    <row r="646" spans="2:15" x14ac:dyDescent="0.3">
      <c r="G646" s="151" t="s">
        <v>1302</v>
      </c>
      <c r="H646" s="154" cm="1">
        <f t="array" ref="H646:K646" xml:space="preserve"> {1,2,3,4}</f>
        <v>1</v>
      </c>
      <c r="I646" s="154">
        <v>2</v>
      </c>
      <c r="J646" s="154">
        <v>3</v>
      </c>
      <c r="K646" s="154">
        <v>4</v>
      </c>
      <c r="L646" s="52" t="str">
        <f ca="1" xml:space="preserve"> _xlfn.FORMULATEXT(H646)</f>
        <v>= {1,2,3,4}</v>
      </c>
    </row>
    <row r="647" spans="2:15" x14ac:dyDescent="0.3">
      <c r="G647" s="151" t="s">
        <v>1303</v>
      </c>
      <c r="H647" s="154" cm="1">
        <f t="array" ref="H647:I647" xml:space="preserve"> {4,2}</f>
        <v>4</v>
      </c>
      <c r="I647" s="154">
        <v>2</v>
      </c>
      <c r="J647" s="154"/>
      <c r="K647" s="154"/>
      <c r="L647" s="52" t="str">
        <f ca="1" xml:space="preserve"> _xlfn.FORMULATEXT(H647)</f>
        <v>= {4,2}</v>
      </c>
    </row>
    <row r="648" spans="2:15" x14ac:dyDescent="0.3">
      <c r="G648" s="151" t="s">
        <v>1294</v>
      </c>
      <c r="H648" s="152" t="s">
        <v>1292</v>
      </c>
    </row>
    <row r="649" spans="2:15" x14ac:dyDescent="0.3">
      <c r="G649" s="151" t="s">
        <v>1305</v>
      </c>
      <c r="H649" s="154">
        <v>1</v>
      </c>
    </row>
    <row r="650" spans="2:15" x14ac:dyDescent="0.3">
      <c r="C650" s="154">
        <v>1</v>
      </c>
      <c r="E650" s="154">
        <v>1</v>
      </c>
      <c r="G650" s="151" t="s">
        <v>1060</v>
      </c>
      <c r="H650" s="154" t="b">
        <v>0</v>
      </c>
    </row>
    <row r="651" spans="2:15" x14ac:dyDescent="0.3">
      <c r="C651" s="142" t="s">
        <v>1070</v>
      </c>
      <c r="E651" s="142" t="s">
        <v>1072</v>
      </c>
      <c r="G651" t="s">
        <v>1272</v>
      </c>
    </row>
    <row r="652" spans="2:15" ht="14.4" thickBot="1" x14ac:dyDescent="0.35">
      <c r="C652" s="51" t="str" cm="1">
        <f t="array" ref="C652" xml:space="preserve"> _xlfn.CHOOSECOLS($K$11:$N$11, $C$650)</f>
        <v>ID</v>
      </c>
      <c r="E652" s="51" t="str" cm="1">
        <f t="array" ref="E652" xml:space="preserve"> _xlfn.CHOOSECOLS($P$11:$S$11, $E$650)</f>
        <v>ID</v>
      </c>
      <c r="G652" s="51" t="str" cm="1">
        <f t="array" ref="G652:L652" xml:space="preserve"> _xlfn.HSTACK(
  _xlfn.CHOOSECOLS($K$11:$N$11,_xlfn.ANCHORARRAY( $H$646)),
  _xlfn.CHOOSECOLS($P$11:$S$11,_xlfn.ANCHORARRAY( $H$647))
)</f>
        <v>ID</v>
      </c>
      <c r="H652" s="51" t="str">
        <v>Col.1</v>
      </c>
      <c r="I652" s="51" t="str">
        <v>Col.2</v>
      </c>
      <c r="J652" s="51" t="str">
        <v>Col.3</v>
      </c>
      <c r="K652" s="51" t="str">
        <v>Col.30</v>
      </c>
      <c r="L652" s="51" t="str">
        <v>Col.10</v>
      </c>
      <c r="M652" s="51"/>
      <c r="N652" s="51"/>
    </row>
    <row r="653" spans="2:15" x14ac:dyDescent="0.3">
      <c r="C653" s="143" t="str" cm="1">
        <f t="array" ref="C653:C662" xml:space="preserve"> _xlfn.CHOOSECOLS($K$12:$N$21, $C$650)</f>
        <v>X-001</v>
      </c>
      <c r="D653" s="144">
        <v>1</v>
      </c>
      <c r="E653" s="143" t="str" cm="1">
        <f t="array" ref="E653:E662" xml:space="preserve"> _xlfn.CHOOSECOLS($P$12:$S$21, $E$650)</f>
        <v>X-009</v>
      </c>
      <c r="G653" s="115" t="str" cm="1">
        <f t="array" ref="G653:L664" xml:space="preserve"> _xlfn.LAMBDA(_xlpm.first_array,_xlpm.second_array,_xlpm.first_array_index,_xlpm.second_array_index,_xlop.join_type,_xlop.first_array_cols,_xlop.second_array_cols,_xlop.sort,_xlop.replace_na,
  _xlfn.LET(
    _xlpm._arr1, _xlpm.first_array,
    _xlpm._arr2, _xlpm.second_array,
    _xlpm._col1, INDEX(_xlpm.first_array_index, 1, 1),
    _xlpm._col2, INDEX(_xlpm.second_array_index, 1, 1),
    _xlpm._idx1, IF( _xlfn.ISOMITTED(_xlpm.first_array_cols), _xlfn.SEQUENCE(1, COLUMNS(_xlpm._arr1)),
      IF( SUM(--ISERROR(_xlpm.first_array_cols)) &gt; 0, 0, _xlpm.first_array_cols)),
    _xlpm._idx2, IF( _xlfn.ISOMITTED(_xlpm.second_array_cols), _xlfn.SEQUENCE(1, COLUMNS(_xlpm._arr2)),
      IF( SUM(--ISERROR(_xlpm.second_array_cols)) &gt; 0, 0, _xlpm.second_array_cols)),
    _xlpm._inpT, IF( _xlfn.ISOMITTED(_xlpm.join_type), 0, INT(_xlpm.join_type)),
    _xlpm._typ, IF( ISNUMBER(_xlpm._inpT), _xlpm._inpT + 1,
      _xlfn.IFNA( MATCH( LOWER(_xlpm.join_type), {"left","right","inner","full"}, 0), -1)
    ),
    _xlpm._srt, IF( _xlfn.ISOMITTED(_xlpm.sort), 0,
      IF( ISERROR(_xlpm.sort), "", INT(_xlpm.sort))),
    _xlpm._inpR, IF( _xlfn.ISOMITTED(_xlpm.replace_na), FALSE, INDEX(_xlpm.replace_na, 1, 1)),
    _xlpm._rep, IF( ISLOGICAL(_xlpm._inpR),
      IF(_xlpm._inpR, "", NA()),
      _xlpm._inpR
    ),
    _xlpm._inpChk, IF(
      OR(
        _xlpm._col1 &lt; 1, _xlpm._col1 &gt; COLUMNS(_xlpm._arr1),
        _xlpm._col2 &lt; 1, _xlpm._col2 &gt; COLUMNS(_xlpm._arr2),
        MIN(_xlpm._idx1) &lt; 1, MAX(_xlpm._idx1) &gt; COLUMNS(_xlpm._arr1),
        MIN(_xlpm._idx2) &lt; 1, MAX(_xlpm._idx2) &gt; COLUMNS(_xlpm._arr2)
      ), 2,
      IF( OR(
        NOT(ISNUMBER(_xlpm._col1)), NOT(ISNUMBER(_xlpm._col2)),
        _xlpm._typ &lt; 1, _xlpm._typ &gt; 4,
        ISERROR(_xlpm._srt), _xlpm._srt &lt; -1, _xlpm._srt &gt; 1
      ), 3,
      1)
    ),
    _xlpm._uId1, _xlfn.CHOOSECOLS(_xlpm._arr1, _xlpm._col1),
    _xlpm._uId2, _xlfn.CHOOSECOLS(_xlpm._arr2, _xlpm._col2),
    _xlpm._out1, _xlfn.CHOOSECOLS(_xlpm._arr1, _xlpm._idx1),
    _xlpm._out2, _xlfn.CHOOSECOLS(_xlpm._arr2, _xlpm._idx2),
    _xlpm._cc1, COLUMNS(_xlpm._out1),
    _xlpm._cc2, COLUMNS(_xlpm._out2),
    _xlpm._ccS, _xlpm._cc1 + IF(_xlpm._srt &lt;&gt; 0, 1, 0),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
      _xlpm._fltr, _xlfn.SCAN(0, _xlfn.SEQUENCE( ROWS(_xlpm._out2), 1), _xlfn.LAMBDA(_xlpm._acc,_xlpm._val, IF( ISNA(MATCH(_xlpm._val, _xlpm._mtch, 0)), 1, 0))),
      _xlpm._arr, _xlfn._xlws.FILTER(_xlpm._out2, _xlpm._fltr = 1, "#[Empty]"),
      _xlpm._mCl, _xlfn._xlws.FILTER(_xlpm._uId2, _xlpm._fltr = 1, NA()),
      _xlpm._blnk, _xlfn.MAKEARRAY( ROWS(_xlpm._arr), _xlpm._cc1, _xlfn.LAMBDA(_xlpm._r,_xlpm._c, NA())),
      IF(_xlpm._srt &lt;&gt; 0,
        _xlfn.HSTACK(_xlpm._mCl, _xlpm._blnk, _xlpm._arr),
        _xlfn.HSTACK(_xlpm._blnk, _xlpm._arr)
      )
    ),
    _xlpm._arrC, IF(_xlpm._srt &lt;&gt; 0,
      _xlfn.HSTACK(_xlpm._uId1, _xlpm._out1, _xlpm._arrN),
      _xlfn.HSTACK(_xlpm._out1, _xlpm._arrN)
    ),
    _xlpm._arrL, IF( OR(_xlpm._typ = 2, _xlpm._typ = 3),
      _xlfn._xlws.FILTER(_xlpm._arrC, _xlpm._mtch &lt;&gt; 0, "#[Empty]"),
      _xlpm._arrC
    ),
    _xlpm._calc, CHOOSE(_xlpm._typ,
      _xlpm._arrL,
      IF( INDEX(_xlpm._arrL, 1, 1) = "#[Empty]",
        _xlpm._arrR,
        IF( INDEX(_xlpm._arrR, 1, _xlpm._ccS + 1) = "#[Empty]",
          _xlpm._arrL,
          _xlfn.VSTACK(_xlpm._arrL, _xlpm._arrR)
        )
      ),
      IF( INDEX(_xlpm._arrL, 1, 1) = "#[Empty]",
        _xlfn.MAKEARRAY(1, _xlpm._ccS + _xlpm._cc2, _xlfn.LAMBDA(_xlpm._r,_xlpm._c, NA())),
        _xlpm._arrL
      ),
      IF( INDEX(_xlpm._arrR, 1, _xlpm._ccS + 1) = "#[Empty]",
        _xlpm._arrL,
        _xlfn.VSTACK(_xlpm._arrL, _xlpm._arrR)
      )
    ),
    _xlpm._rtn, _xlfn.LET(
      _xlpm._arrS, IF(_xlpm._srt &lt;&gt; 0,
        _xlfn.DROP( _xlfn.SORTBY(_xlpm._calc, _xlfn.CHOOSECOLS(_xlpm._calc, 1), _xlpm._srt), 0, 1),
        _xlpm._calc
      ),
      _xlpm._aRep, IF( ISNA(_xlpm._rep),
        _xlpm._arrS,
        IF( ISNA(_xlpm._arrS), _xlpm._rep, _xlpm._arrS)
      ),
      _xlpm._aRep
    ),
    CHOOSE(_xlpm._inpChk, _xlpm._rtn, _xlfn.LAMBDA(0), #VALUE!)
  )
)($K$12:$N$21, $P$12:$S$21, C650, E650, H648,_xlfn.ANCHORARRAY( H646),_xlfn.ANCHORARRAY( H647), H649, H650)</f>
        <v>X-001</v>
      </c>
      <c r="H653" s="115" t="str">
        <v>AAA</v>
      </c>
      <c r="I653" s="115">
        <v>1</v>
      </c>
      <c r="J653" s="115" t="str">
        <v>!</v>
      </c>
      <c r="K653" s="115" t="str">
        <v>one</v>
      </c>
      <c r="L653" s="115">
        <v>1</v>
      </c>
      <c r="M653" s="115"/>
      <c r="N653" s="115"/>
      <c r="O653" s="52" t="str" cm="1">
        <f t="array" aca="1" ref="O653:O747" ca="1" xml:space="preserve"> _xlfn.TEXTSPLIT( _xlfn.FORMULATEXT(G653), , CHAR(10))</f>
        <v>= LAMBDA(first_array,second_array,first_array_index,second_array_index,[join_type],[first_array_cols],[second_array_cols],[sort],[replace_na],</v>
      </c>
    </row>
    <row r="654" spans="2:15" x14ac:dyDescent="0.3">
      <c r="C654" s="143" t="str">
        <v>X-002</v>
      </c>
      <c r="D654" s="144">
        <v>2</v>
      </c>
      <c r="E654" s="143" t="str">
        <v>X-007</v>
      </c>
      <c r="G654" s="115" t="str">
        <v>X-002</v>
      </c>
      <c r="H654" s="115" t="str">
        <v>BBB</v>
      </c>
      <c r="I654" s="115">
        <v>2</v>
      </c>
      <c r="J654" s="115" t="str">
        <v>"</v>
      </c>
      <c r="K654" s="115" t="str">
        <v>two</v>
      </c>
      <c r="L654" s="115">
        <v>2</v>
      </c>
      <c r="M654" s="115"/>
      <c r="N654" s="115"/>
      <c r="O654" s="52" t="str">
        <f ca="1"/>
        <v xml:space="preserve">  LET(</v>
      </c>
    </row>
    <row r="655" spans="2:15" x14ac:dyDescent="0.3">
      <c r="C655" s="143" t="str">
        <v>X-003</v>
      </c>
      <c r="D655" s="144">
        <v>3</v>
      </c>
      <c r="E655" s="143" t="str">
        <v>X-010</v>
      </c>
      <c r="G655" s="115" t="str">
        <v>X-003</v>
      </c>
      <c r="H655" s="115" t="str">
        <v>CCC</v>
      </c>
      <c r="I655" s="115">
        <v>3</v>
      </c>
      <c r="J655" s="115" t="str">
        <v>£</v>
      </c>
      <c r="K655" s="115" t="e">
        <v>#N/A</v>
      </c>
      <c r="L655" s="115" t="e">
        <v>#N/A</v>
      </c>
      <c r="M655" s="115"/>
      <c r="N655" s="115"/>
      <c r="O655" s="52" t="str">
        <f ca="1"/>
        <v xml:space="preserve">    _arr1, first_array,</v>
      </c>
    </row>
    <row r="656" spans="2:15" x14ac:dyDescent="0.3">
      <c r="C656" s="143" t="str">
        <v>X-004</v>
      </c>
      <c r="D656" s="144">
        <v>4</v>
      </c>
      <c r="E656" s="143" t="str">
        <v>X-002</v>
      </c>
      <c r="G656" s="115" t="str">
        <v>X-004</v>
      </c>
      <c r="H656" s="115" t="str">
        <v>DDD</v>
      </c>
      <c r="I656" s="115">
        <v>4</v>
      </c>
      <c r="J656" s="115" t="str">
        <v>$</v>
      </c>
      <c r="K656" s="115" t="str">
        <v>four</v>
      </c>
      <c r="L656" s="115">
        <v>4</v>
      </c>
      <c r="M656" s="115"/>
      <c r="N656" s="115"/>
      <c r="O656" s="52" t="str">
        <f ca="1"/>
        <v xml:space="preserve">    _arr2, second_array,</v>
      </c>
    </row>
    <row r="657" spans="3:15" x14ac:dyDescent="0.3">
      <c r="C657" s="143" t="str">
        <v>X-005</v>
      </c>
      <c r="D657" s="144">
        <v>5</v>
      </c>
      <c r="E657" s="143" t="str">
        <v>X-004</v>
      </c>
      <c r="G657" s="115" t="str">
        <v>X-005</v>
      </c>
      <c r="H657" s="115" t="str">
        <v>EEE</v>
      </c>
      <c r="I657" s="115">
        <v>5</v>
      </c>
      <c r="J657" s="115" t="str">
        <v>%</v>
      </c>
      <c r="K657" s="115" t="e">
        <v>#N/A</v>
      </c>
      <c r="L657" s="115" t="e">
        <v>#N/A</v>
      </c>
      <c r="M657" s="115"/>
      <c r="N657" s="115"/>
      <c r="O657" s="52" t="str">
        <f ca="1"/>
        <v xml:space="preserve">    _col1, INDEX(first_array_index, 1, 1),</v>
      </c>
    </row>
    <row r="658" spans="3:15" x14ac:dyDescent="0.3">
      <c r="C658" s="143" t="str">
        <v>X-006</v>
      </c>
      <c r="D658" s="144">
        <v>6</v>
      </c>
      <c r="E658" s="143" t="str">
        <v>X-008</v>
      </c>
      <c r="G658" s="115" t="str">
        <v>X-006</v>
      </c>
      <c r="H658" s="115" t="str">
        <v>FFF</v>
      </c>
      <c r="I658" s="115">
        <v>6</v>
      </c>
      <c r="J658" s="115" t="str">
        <v>^</v>
      </c>
      <c r="K658" s="115" t="str">
        <v>six</v>
      </c>
      <c r="L658" s="115">
        <v>6</v>
      </c>
      <c r="M658" s="115"/>
      <c r="N658" s="115"/>
      <c r="O658" s="52" t="str">
        <f ca="1"/>
        <v xml:space="preserve">    _col2, INDEX(second_array_index, 1, 1),</v>
      </c>
    </row>
    <row r="659" spans="3:15" x14ac:dyDescent="0.3">
      <c r="C659" s="143" t="str">
        <v>X-007</v>
      </c>
      <c r="D659" s="144">
        <v>7</v>
      </c>
      <c r="E659" s="143" t="str">
        <v>X-012</v>
      </c>
      <c r="G659" s="115" t="str">
        <v>X-007</v>
      </c>
      <c r="H659" s="115" t="str">
        <v>GGG</v>
      </c>
      <c r="I659" s="115">
        <v>7</v>
      </c>
      <c r="J659" s="115" t="str">
        <v>&amp;</v>
      </c>
      <c r="K659" s="115" t="str">
        <v>seven</v>
      </c>
      <c r="L659" s="115">
        <v>7</v>
      </c>
      <c r="M659" s="115"/>
      <c r="N659" s="115"/>
      <c r="O659" s="52" t="str">
        <f ca="1"/>
        <v xml:space="preserve">    _idx1, IF( ISOMITTED(first_array_cols), SEQUENCE(1, COLUMNS(_arr1)),</v>
      </c>
    </row>
    <row r="660" spans="3:15" x14ac:dyDescent="0.3">
      <c r="C660" s="143" t="str">
        <v>X-008</v>
      </c>
      <c r="D660" s="144">
        <v>8</v>
      </c>
      <c r="E660" s="143" t="str">
        <v>X-001</v>
      </c>
      <c r="G660" s="115" t="str">
        <v>X-008</v>
      </c>
      <c r="H660" s="115" t="str">
        <v>HHH</v>
      </c>
      <c r="I660" s="115">
        <v>8</v>
      </c>
      <c r="J660" s="115" t="str">
        <v>*</v>
      </c>
      <c r="K660" s="115" t="str">
        <v>eight</v>
      </c>
      <c r="L660" s="115">
        <v>8</v>
      </c>
      <c r="M660" s="115"/>
      <c r="N660" s="115"/>
      <c r="O660" s="52" t="str">
        <f ca="1"/>
        <v xml:space="preserve">      IF( SUM(--ISERROR(first_array_cols)) &gt; 0, 0, first_array_cols)),</v>
      </c>
    </row>
    <row r="661" spans="3:15" x14ac:dyDescent="0.3">
      <c r="C661" s="143" t="str">
        <v>X-009</v>
      </c>
      <c r="D661" s="144">
        <v>9</v>
      </c>
      <c r="E661" s="143" t="str">
        <v>X-006</v>
      </c>
      <c r="G661" s="115" t="str">
        <v>X-009</v>
      </c>
      <c r="H661" s="115" t="str">
        <v>III</v>
      </c>
      <c r="I661" s="115">
        <v>9</v>
      </c>
      <c r="J661" s="115" t="str">
        <v>(</v>
      </c>
      <c r="K661" s="115" t="str">
        <v>nine</v>
      </c>
      <c r="L661" s="115">
        <v>9</v>
      </c>
      <c r="M661" s="115"/>
      <c r="N661" s="115"/>
      <c r="O661" s="52" t="str">
        <f ca="1"/>
        <v xml:space="preserve">    _idx2, IF( ISOMITTED(second_array_cols), SEQUENCE(1, COLUMNS(_arr2)),</v>
      </c>
    </row>
    <row r="662" spans="3:15" x14ac:dyDescent="0.3">
      <c r="C662" s="143" t="str">
        <v>X-010</v>
      </c>
      <c r="D662" s="144">
        <v>10</v>
      </c>
      <c r="E662" s="143" t="str">
        <v>X-011</v>
      </c>
      <c r="G662" s="115" t="str">
        <v>X-010</v>
      </c>
      <c r="H662" s="115" t="str">
        <v>JJJ</v>
      </c>
      <c r="I662" s="115">
        <v>10</v>
      </c>
      <c r="J662" s="115" t="str">
        <v>)</v>
      </c>
      <c r="K662" s="115" t="str">
        <v>ten</v>
      </c>
      <c r="L662" s="115">
        <v>10</v>
      </c>
      <c r="M662" s="115"/>
      <c r="N662" s="115"/>
      <c r="O662" s="52" t="str">
        <f ca="1"/>
        <v xml:space="preserve">      IF( SUM(--ISERROR(second_array_cols)) &gt; 0, 0, second_array_cols)),</v>
      </c>
    </row>
    <row r="663" spans="3:15" x14ac:dyDescent="0.3">
      <c r="G663" s="115" t="e">
        <v>#N/A</v>
      </c>
      <c r="H663" s="115" t="e">
        <v>#N/A</v>
      </c>
      <c r="I663" s="115" t="e">
        <v>#N/A</v>
      </c>
      <c r="J663" s="115" t="e">
        <v>#N/A</v>
      </c>
      <c r="K663" s="115" t="str">
        <v>eleven</v>
      </c>
      <c r="L663" s="115">
        <v>11</v>
      </c>
      <c r="M663" s="115"/>
      <c r="N663" s="115"/>
      <c r="O663" s="52" t="str">
        <f ca="1"/>
        <v xml:space="preserve">    _inpT, IF( ISOMITTED(join_type), 0, INT(join_type)),</v>
      </c>
    </row>
    <row r="664" spans="3:15" x14ac:dyDescent="0.3">
      <c r="G664" s="115" t="e">
        <v>#N/A</v>
      </c>
      <c r="H664" s="115" t="e">
        <v>#N/A</v>
      </c>
      <c r="I664" s="115" t="e">
        <v>#N/A</v>
      </c>
      <c r="J664" s="115" t="e">
        <v>#N/A</v>
      </c>
      <c r="K664" s="115" t="str">
        <v>twelve</v>
      </c>
      <c r="L664" s="115">
        <v>12</v>
      </c>
      <c r="M664" s="115"/>
      <c r="N664" s="115"/>
      <c r="O664" s="52" t="str">
        <f ca="1"/>
        <v xml:space="preserve">    _typ, IF( ISNUMBER(_inpT), _inpT + 1,</v>
      </c>
    </row>
    <row r="665" spans="3:15" x14ac:dyDescent="0.3">
      <c r="G665" s="115"/>
      <c r="H665" s="115"/>
      <c r="I665" s="115"/>
      <c r="J665" s="115"/>
      <c r="K665" s="115"/>
      <c r="L665" s="115"/>
      <c r="M665" s="115"/>
      <c r="N665" s="115"/>
      <c r="O665" s="52" t="str">
        <f ca="1"/>
        <v xml:space="preserve">      IFNA( MATCH( LOWER(join_type), {"left","right","inner","full"}, 0), -1)</v>
      </c>
    </row>
    <row r="666" spans="3:15" x14ac:dyDescent="0.3">
      <c r="G666" s="115"/>
      <c r="H666" s="115"/>
      <c r="I666" s="115"/>
      <c r="J666" s="115"/>
      <c r="K666" s="115"/>
      <c r="L666" s="115"/>
      <c r="M666" s="115"/>
      <c r="N666" s="115"/>
      <c r="O666" s="52" t="str">
        <f ca="1"/>
        <v xml:space="preserve">    ),</v>
      </c>
    </row>
    <row r="667" spans="3:15" x14ac:dyDescent="0.3">
      <c r="G667" s="115"/>
      <c r="H667" s="115"/>
      <c r="I667" s="115"/>
      <c r="J667" s="115"/>
      <c r="K667" s="115"/>
      <c r="L667" s="115"/>
      <c r="M667" s="115"/>
      <c r="N667" s="115"/>
      <c r="O667" s="52" t="str">
        <f ca="1"/>
        <v xml:space="preserve">    _srt, IF( ISOMITTED(sort), 0,</v>
      </c>
    </row>
    <row r="668" spans="3:15" x14ac:dyDescent="0.3">
      <c r="G668" s="115"/>
      <c r="H668" s="115"/>
      <c r="I668" s="115"/>
      <c r="J668" s="115"/>
      <c r="K668" s="115"/>
      <c r="L668" s="115"/>
      <c r="M668" s="115"/>
      <c r="N668" s="115"/>
      <c r="O668" s="52" t="str">
        <f ca="1"/>
        <v xml:space="preserve">      IF( ISERROR(sort), "", INT(sort))),</v>
      </c>
    </row>
    <row r="669" spans="3:15" x14ac:dyDescent="0.3">
      <c r="G669" s="115"/>
      <c r="H669" s="115"/>
      <c r="I669" s="115"/>
      <c r="J669" s="115"/>
      <c r="K669" s="115"/>
      <c r="L669" s="115"/>
      <c r="M669" s="115"/>
      <c r="N669" s="115"/>
      <c r="O669" s="52" t="str">
        <f ca="1"/>
        <v xml:space="preserve">    _inpR, IF( ISOMITTED(replace_na), FALSE, INDEX(replace_na, 1, 1)),</v>
      </c>
    </row>
    <row r="670" spans="3:15" x14ac:dyDescent="0.3">
      <c r="G670" s="115"/>
      <c r="H670" s="115"/>
      <c r="I670" s="115"/>
      <c r="J670" s="115"/>
      <c r="K670" s="115"/>
      <c r="L670" s="115"/>
      <c r="M670" s="115"/>
      <c r="N670" s="115"/>
      <c r="O670" s="52" t="str">
        <f ca="1"/>
        <v xml:space="preserve">    _rep, IF( ISLOGICAL(_inpR),</v>
      </c>
    </row>
    <row r="671" spans="3:15" x14ac:dyDescent="0.3">
      <c r="G671" s="115"/>
      <c r="H671" s="115"/>
      <c r="I671" s="115"/>
      <c r="J671" s="115"/>
      <c r="K671" s="115"/>
      <c r="L671" s="115"/>
      <c r="M671" s="115"/>
      <c r="N671" s="115"/>
      <c r="O671" s="52" t="str">
        <f ca="1"/>
        <v xml:space="preserve">      IF(_inpR, "", NA()),</v>
      </c>
    </row>
    <row r="672" spans="3:15" x14ac:dyDescent="0.3">
      <c r="G672" s="115"/>
      <c r="H672" s="115"/>
      <c r="I672" s="115"/>
      <c r="J672" s="115"/>
      <c r="K672" s="115"/>
      <c r="L672" s="115"/>
      <c r="M672" s="115"/>
      <c r="N672" s="115"/>
      <c r="O672" s="52" t="str">
        <f ca="1"/>
        <v xml:space="preserve">      _inpR</v>
      </c>
    </row>
    <row r="673" spans="15:15" x14ac:dyDescent="0.3">
      <c r="O673" s="52" t="str">
        <f ca="1"/>
        <v xml:space="preserve">    ),</v>
      </c>
    </row>
    <row r="674" spans="15:15" x14ac:dyDescent="0.3">
      <c r="O674" s="52" t="str">
        <f ca="1"/>
        <v xml:space="preserve">    _inpChk, IF(</v>
      </c>
    </row>
    <row r="675" spans="15:15" x14ac:dyDescent="0.3">
      <c r="O675" s="52" t="str">
        <f ca="1"/>
        <v xml:space="preserve">      OR(</v>
      </c>
    </row>
    <row r="676" spans="15:15" x14ac:dyDescent="0.3">
      <c r="O676" s="52" t="str">
        <f ca="1"/>
        <v xml:space="preserve">        _col1 &lt; 1, _col1 &gt; COLUMNS(_arr1),</v>
      </c>
    </row>
    <row r="677" spans="15:15" x14ac:dyDescent="0.3">
      <c r="O677" s="52" t="str">
        <f ca="1"/>
        <v xml:space="preserve">        _col2 &lt; 1, _col2 &gt; COLUMNS(_arr2),</v>
      </c>
    </row>
    <row r="678" spans="15:15" x14ac:dyDescent="0.3">
      <c r="O678" s="52" t="str">
        <f ca="1"/>
        <v xml:space="preserve">        MIN(_idx1) &lt; 1, MAX(_idx1) &gt; COLUMNS(_arr1),</v>
      </c>
    </row>
    <row r="679" spans="15:15" x14ac:dyDescent="0.3">
      <c r="O679" s="52" t="str">
        <f ca="1"/>
        <v xml:space="preserve">        MIN(_idx2) &lt; 1, MAX(_idx2) &gt; COLUMNS(_arr2)</v>
      </c>
    </row>
    <row r="680" spans="15:15" x14ac:dyDescent="0.3">
      <c r="O680" s="52" t="str">
        <f ca="1"/>
        <v xml:space="preserve">      ), 2,</v>
      </c>
    </row>
    <row r="681" spans="15:15" x14ac:dyDescent="0.3">
      <c r="O681" s="52" t="str">
        <f ca="1"/>
        <v xml:space="preserve">      IF( OR(</v>
      </c>
    </row>
    <row r="682" spans="15:15" x14ac:dyDescent="0.3">
      <c r="O682" s="52" t="str">
        <f ca="1"/>
        <v xml:space="preserve">        NOT(ISNUMBER(_col1)), NOT(ISNUMBER(_col2)),</v>
      </c>
    </row>
    <row r="683" spans="15:15" x14ac:dyDescent="0.3">
      <c r="O683" s="52" t="str">
        <f ca="1"/>
        <v xml:space="preserve">        _typ &lt; 1, _typ &gt; 4,</v>
      </c>
    </row>
    <row r="684" spans="15:15" x14ac:dyDescent="0.3">
      <c r="O684" s="52" t="str">
        <f ca="1"/>
        <v xml:space="preserve">        ISERROR(_srt), _srt &lt; -1, _srt &gt; 1</v>
      </c>
    </row>
    <row r="685" spans="15:15" x14ac:dyDescent="0.3">
      <c r="O685" s="52" t="str">
        <f ca="1"/>
        <v xml:space="preserve">      ), 3,</v>
      </c>
    </row>
    <row r="686" spans="15:15" x14ac:dyDescent="0.3">
      <c r="O686" s="52" t="str">
        <f ca="1"/>
        <v xml:space="preserve">      1)</v>
      </c>
    </row>
    <row r="687" spans="15:15" x14ac:dyDescent="0.3">
      <c r="O687" s="52" t="str">
        <f ca="1"/>
        <v xml:space="preserve">    ),</v>
      </c>
    </row>
    <row r="688" spans="15:15" x14ac:dyDescent="0.3">
      <c r="O688" s="52" t="str">
        <f ca="1"/>
        <v xml:space="preserve">    _uId1, CHOOSECOLS(_arr1, _col1),</v>
      </c>
    </row>
    <row r="689" spans="15:15" x14ac:dyDescent="0.3">
      <c r="O689" s="52" t="str">
        <f ca="1"/>
        <v xml:space="preserve">    _uId2, CHOOSECOLS(_arr2, _col2),</v>
      </c>
    </row>
    <row r="690" spans="15:15" x14ac:dyDescent="0.3">
      <c r="O690" s="52" t="str">
        <f ca="1"/>
        <v xml:space="preserve">    _out1, CHOOSECOLS(_arr1, _idx1),</v>
      </c>
    </row>
    <row r="691" spans="15:15" x14ac:dyDescent="0.3">
      <c r="O691" s="52" t="str">
        <f ca="1"/>
        <v xml:space="preserve">    _out2, CHOOSECOLS(_arr2, _idx2),</v>
      </c>
    </row>
    <row r="692" spans="15:15" x14ac:dyDescent="0.3">
      <c r="O692" s="52" t="str">
        <f ca="1"/>
        <v xml:space="preserve">    _cc1, COLUMNS(_out1),</v>
      </c>
    </row>
    <row r="693" spans="15:15" x14ac:dyDescent="0.3">
      <c r="O693" s="52" t="str">
        <f ca="1"/>
        <v xml:space="preserve">    _cc2, COLUMNS(_out2),</v>
      </c>
    </row>
    <row r="694" spans="15:15" x14ac:dyDescent="0.3">
      <c r="O694" s="52" t="str">
        <f ca="1"/>
        <v xml:space="preserve">    _ccS, _cc1 + IF(_srt &lt;&gt; 0, 1, 0),</v>
      </c>
    </row>
    <row r="695" spans="15:15" x14ac:dyDescent="0.3">
      <c r="O695" s="52" t="str">
        <f ca="1"/>
        <v xml:space="preserve">    _mtch, DROP(REDUCE(0, _uId1, LAMBDA(_acc,_val, VSTACK(_acc, IFNA(MATCH(_val, _uId2, 0), 0)))), 1),</v>
      </c>
    </row>
    <row r="696" spans="15:15" x14ac:dyDescent="0.3">
      <c r="O696" s="52" t="str">
        <f ca="1"/>
        <v xml:space="preserve">    _blnk, MAKEARRAY(1, _cc2, LAMBDA(_r,_c, NA())),</v>
      </c>
    </row>
    <row r="697" spans="15:15" x14ac:dyDescent="0.3">
      <c r="O697" s="52" t="str">
        <f ca="1"/>
        <v xml:space="preserve">    _arrN, DROP(REDUCE(0, _mtch, LAMBDA(_acc,_val, VSTACK(_acc, IF(_val = 0, _blnk, INDEX(_out2, _val, SEQUENCE(1, _cc2)))))), 1),</v>
      </c>
    </row>
    <row r="698" spans="15:15" x14ac:dyDescent="0.3">
      <c r="O698" s="52" t="str">
        <f ca="1"/>
        <v xml:space="preserve">    _arrR, LET(</v>
      </c>
    </row>
    <row r="699" spans="15:15" x14ac:dyDescent="0.3">
      <c r="O699" s="52" t="str">
        <f ca="1"/>
        <v xml:space="preserve">      _fltr, SCAN(0, SEQUENCE( ROWS(_out2), 1), LAMBDA(_acc,_val, IF( ISNA(MATCH(_val, _mtch, 0)), 1, 0))),</v>
      </c>
    </row>
    <row r="700" spans="15:15" x14ac:dyDescent="0.3">
      <c r="O700" s="52" t="str">
        <f ca="1"/>
        <v xml:space="preserve">      _arr, FILTER(_out2, _fltr = 1, "#[Empty]"),</v>
      </c>
    </row>
    <row r="701" spans="15:15" x14ac:dyDescent="0.3">
      <c r="O701" s="52" t="str">
        <f ca="1"/>
        <v xml:space="preserve">      _mCl, FILTER(_uId2, _fltr = 1, NA()),</v>
      </c>
    </row>
    <row r="702" spans="15:15" x14ac:dyDescent="0.3">
      <c r="O702" s="52" t="str">
        <f ca="1"/>
        <v xml:space="preserve">      _blnk, MAKEARRAY( ROWS(_arr), _cc1, LAMBDA(_r,_c, NA())),</v>
      </c>
    </row>
    <row r="703" spans="15:15" x14ac:dyDescent="0.3">
      <c r="O703" s="52" t="str">
        <f ca="1"/>
        <v xml:space="preserve">      IF(_srt &lt;&gt; 0,</v>
      </c>
    </row>
    <row r="704" spans="15:15" x14ac:dyDescent="0.3">
      <c r="O704" s="52" t="str">
        <f ca="1"/>
        <v xml:space="preserve">        HSTACK(_mCl, _blnk, _arr),</v>
      </c>
    </row>
    <row r="705" spans="15:15" x14ac:dyDescent="0.3">
      <c r="O705" s="52" t="str">
        <f ca="1"/>
        <v xml:space="preserve">        HSTACK(_blnk, _arr)</v>
      </c>
    </row>
    <row r="706" spans="15:15" x14ac:dyDescent="0.3">
      <c r="O706" s="52" t="str">
        <f ca="1"/>
        <v xml:space="preserve">      )</v>
      </c>
    </row>
    <row r="707" spans="15:15" x14ac:dyDescent="0.3">
      <c r="O707" s="52" t="str">
        <f ca="1"/>
        <v xml:space="preserve">    ),</v>
      </c>
    </row>
    <row r="708" spans="15:15" x14ac:dyDescent="0.3">
      <c r="O708" s="52" t="str">
        <f ca="1"/>
        <v xml:space="preserve">    _arrC, IF(_srt &lt;&gt; 0,</v>
      </c>
    </row>
    <row r="709" spans="15:15" x14ac:dyDescent="0.3">
      <c r="O709" s="52" t="str">
        <f ca="1"/>
        <v xml:space="preserve">      HSTACK(_uId1, _out1, _arrN),</v>
      </c>
    </row>
    <row r="710" spans="15:15" x14ac:dyDescent="0.3">
      <c r="O710" s="52" t="str">
        <f ca="1"/>
        <v xml:space="preserve">      HSTACK(_out1, _arrN)</v>
      </c>
    </row>
    <row r="711" spans="15:15" x14ac:dyDescent="0.3">
      <c r="O711" s="52" t="str">
        <f ca="1"/>
        <v xml:space="preserve">    ),</v>
      </c>
    </row>
    <row r="712" spans="15:15" x14ac:dyDescent="0.3">
      <c r="O712" s="52" t="str">
        <f ca="1"/>
        <v xml:space="preserve">    _arrL, IF( OR(_typ = 2, _typ = 3),</v>
      </c>
    </row>
    <row r="713" spans="15:15" x14ac:dyDescent="0.3">
      <c r="O713" s="52" t="str">
        <f ca="1"/>
        <v xml:space="preserve">      FILTER(_arrC, _mtch &lt;&gt; 0, "#[Empty]"),</v>
      </c>
    </row>
    <row r="714" spans="15:15" x14ac:dyDescent="0.3">
      <c r="O714" s="52" t="str">
        <f ca="1"/>
        <v xml:space="preserve">      _arrC</v>
      </c>
    </row>
    <row r="715" spans="15:15" x14ac:dyDescent="0.3">
      <c r="O715" s="52" t="str">
        <f ca="1"/>
        <v xml:space="preserve">    ),</v>
      </c>
    </row>
    <row r="716" spans="15:15" x14ac:dyDescent="0.3">
      <c r="O716" s="52" t="str">
        <f ca="1"/>
        <v xml:space="preserve">    _calc, CHOOSE(_typ,</v>
      </c>
    </row>
    <row r="717" spans="15:15" x14ac:dyDescent="0.3">
      <c r="O717" s="52" t="str">
        <f ca="1"/>
        <v xml:space="preserve">      _arrL,</v>
      </c>
    </row>
    <row r="718" spans="15:15" x14ac:dyDescent="0.3">
      <c r="O718" s="52" t="str">
        <f ca="1"/>
        <v xml:space="preserve">      IF( INDEX(_arrL, 1, 1) = "#[Empty]",</v>
      </c>
    </row>
    <row r="719" spans="15:15" x14ac:dyDescent="0.3">
      <c r="O719" s="52" t="str">
        <f ca="1"/>
        <v xml:space="preserve">        _arrR,</v>
      </c>
    </row>
    <row r="720" spans="15:15" x14ac:dyDescent="0.3">
      <c r="O720" s="52" t="str">
        <f ca="1"/>
        <v xml:space="preserve">        IF( INDEX(_arrR, 1, _ccS + 1) = "#[Empty]",</v>
      </c>
    </row>
    <row r="721" spans="15:15" x14ac:dyDescent="0.3">
      <c r="O721" s="52" t="str">
        <f ca="1"/>
        <v xml:space="preserve">          _arrL,</v>
      </c>
    </row>
    <row r="722" spans="15:15" x14ac:dyDescent="0.3">
      <c r="O722" s="52" t="str">
        <f ca="1"/>
        <v xml:space="preserve">          VSTACK(_arrL, _arrR)</v>
      </c>
    </row>
    <row r="723" spans="15:15" x14ac:dyDescent="0.3">
      <c r="O723" s="52" t="str">
        <f ca="1"/>
        <v xml:space="preserve">        )</v>
      </c>
    </row>
    <row r="724" spans="15:15" x14ac:dyDescent="0.3">
      <c r="O724" s="52" t="str">
        <f ca="1"/>
        <v xml:space="preserve">      ),</v>
      </c>
    </row>
    <row r="725" spans="15:15" x14ac:dyDescent="0.3">
      <c r="O725" s="52" t="str">
        <f ca="1"/>
        <v xml:space="preserve">      IF( INDEX(_arrL, 1, 1) = "#[Empty]",</v>
      </c>
    </row>
    <row r="726" spans="15:15" x14ac:dyDescent="0.3">
      <c r="O726" s="52" t="str">
        <f ca="1"/>
        <v xml:space="preserve">        MAKEARRAY(1, _ccS + _cc2, LAMBDA(_r,_c, NA())),</v>
      </c>
    </row>
    <row r="727" spans="15:15" x14ac:dyDescent="0.3">
      <c r="O727" s="52" t="str">
        <f ca="1"/>
        <v xml:space="preserve">        _arrL</v>
      </c>
    </row>
    <row r="728" spans="15:15" x14ac:dyDescent="0.3">
      <c r="O728" s="52" t="str">
        <f ca="1"/>
        <v xml:space="preserve">      ),</v>
      </c>
    </row>
    <row r="729" spans="15:15" x14ac:dyDescent="0.3">
      <c r="O729" s="52" t="str">
        <f ca="1"/>
        <v xml:space="preserve">      IF( INDEX(_arrR, 1, _ccS + 1) = "#[Empty]",</v>
      </c>
    </row>
    <row r="730" spans="15:15" x14ac:dyDescent="0.3">
      <c r="O730" s="52" t="str">
        <f ca="1"/>
        <v xml:space="preserve">        _arrL,</v>
      </c>
    </row>
    <row r="731" spans="15:15" x14ac:dyDescent="0.3">
      <c r="O731" s="52" t="str">
        <f ca="1"/>
        <v xml:space="preserve">        VSTACK(_arrL, _arrR)</v>
      </c>
    </row>
    <row r="732" spans="15:15" x14ac:dyDescent="0.3">
      <c r="O732" s="52" t="str">
        <f ca="1"/>
        <v xml:space="preserve">      )</v>
      </c>
    </row>
    <row r="733" spans="15:15" x14ac:dyDescent="0.3">
      <c r="O733" s="52" t="str">
        <f ca="1"/>
        <v xml:space="preserve">    ),</v>
      </c>
    </row>
    <row r="734" spans="15:15" x14ac:dyDescent="0.3">
      <c r="O734" s="52" t="str">
        <f ca="1"/>
        <v xml:space="preserve">    _rtn, LET(</v>
      </c>
    </row>
    <row r="735" spans="15:15" x14ac:dyDescent="0.3">
      <c r="O735" s="52" t="str">
        <f ca="1"/>
        <v xml:space="preserve">      _arrS, IF(_srt &lt;&gt; 0,</v>
      </c>
    </row>
    <row r="736" spans="15:15" x14ac:dyDescent="0.3">
      <c r="O736" s="52" t="str">
        <f ca="1"/>
        <v xml:space="preserve">        DROP( SORTBY(_calc, CHOOSECOLS(_calc, 1), _srt), 0, 1),</v>
      </c>
    </row>
    <row r="737" spans="2:20" x14ac:dyDescent="0.3">
      <c r="O737" s="52" t="str">
        <f ca="1"/>
        <v xml:space="preserve">        _calc</v>
      </c>
    </row>
    <row r="738" spans="2:20" x14ac:dyDescent="0.3">
      <c r="O738" s="52" t="str">
        <f ca="1"/>
        <v xml:space="preserve">      ),</v>
      </c>
    </row>
    <row r="739" spans="2:20" x14ac:dyDescent="0.3">
      <c r="O739" s="52" t="str">
        <f ca="1"/>
        <v xml:space="preserve">      _aRep, IF( ISNA(_rep),</v>
      </c>
    </row>
    <row r="740" spans="2:20" x14ac:dyDescent="0.3">
      <c r="O740" s="52" t="str">
        <f ca="1"/>
        <v xml:space="preserve">        _arrS,</v>
      </c>
    </row>
    <row r="741" spans="2:20" x14ac:dyDescent="0.3">
      <c r="O741" s="52" t="str">
        <f ca="1"/>
        <v xml:space="preserve">        IF( ISNA(_arrS), _rep, _arrS)</v>
      </c>
    </row>
    <row r="742" spans="2:20" x14ac:dyDescent="0.3">
      <c r="O742" s="52" t="str">
        <f ca="1"/>
        <v xml:space="preserve">      ),</v>
      </c>
    </row>
    <row r="743" spans="2:20" x14ac:dyDescent="0.3">
      <c r="O743" s="52" t="str">
        <f ca="1"/>
        <v xml:space="preserve">      _aRep</v>
      </c>
    </row>
    <row r="744" spans="2:20" x14ac:dyDescent="0.3">
      <c r="O744" s="52" t="str">
        <f ca="1"/>
        <v xml:space="preserve">    ),</v>
      </c>
    </row>
    <row r="745" spans="2:20" x14ac:dyDescent="0.3">
      <c r="O745" s="52" t="str">
        <f ca="1"/>
        <v xml:space="preserve">    CHOOSE(_inpChk, _rtn, LAMBDA(0), #VALUE!)</v>
      </c>
    </row>
    <row r="746" spans="2:20" x14ac:dyDescent="0.3">
      <c r="O746" s="52" t="str">
        <f ca="1"/>
        <v xml:space="preserve">  )</v>
      </c>
    </row>
    <row r="747" spans="2:20" x14ac:dyDescent="0.3">
      <c r="O747" s="52" t="str">
        <f ca="1"/>
        <v>)($K$12:$N$21, $P$12:$S$21, C650, E650, H648, H646#, H647#, H649, H650)</v>
      </c>
    </row>
    <row r="749" spans="2:20" x14ac:dyDescent="0.3">
      <c r="B749" s="28" t="s">
        <v>1314</v>
      </c>
      <c r="C749" s="27"/>
      <c r="D749" s="27"/>
      <c r="E749" s="27"/>
      <c r="F749" s="27"/>
      <c r="G749" s="27"/>
      <c r="H749" s="27"/>
      <c r="I749" s="27"/>
      <c r="J749" s="27"/>
      <c r="K749" s="27"/>
      <c r="L749" s="27"/>
      <c r="M749" s="27"/>
      <c r="N749" s="27"/>
      <c r="O749" s="27"/>
      <c r="P749" s="27"/>
      <c r="Q749" s="27"/>
      <c r="R749" s="27"/>
      <c r="S749" s="27"/>
      <c r="T749" s="27"/>
    </row>
    <row r="751" spans="2:20" x14ac:dyDescent="0.3">
      <c r="B751" s="74" t="str" cm="1">
        <f t="array" ref="B751" xml:space="preserve"> "(" &amp; _xlfn.UNICHAR( 65 + SUMPRODUCT(--(_xlfn.REGEXTEST(B$1:B750, "^\([A-Z]\)$")))) &amp; ")"</f>
        <v>(Q)</v>
      </c>
      <c r="C751" s="13" t="s">
        <v>1315</v>
      </c>
    </row>
    <row r="752" spans="2:20" x14ac:dyDescent="0.3">
      <c r="G752" s="151" t="s">
        <v>1316</v>
      </c>
      <c r="H752" s="154" cm="1">
        <f t="array" ref="H752:I752" xml:space="preserve"> {1,4}</f>
        <v>1</v>
      </c>
      <c r="I752" s="154">
        <v>4</v>
      </c>
      <c r="J752" s="154"/>
      <c r="K752" s="154"/>
      <c r="L752" s="52" t="str">
        <f ca="1" xml:space="preserve"> _xlfn.FORMULATEXT(H752)</f>
        <v>= {1,4}</v>
      </c>
    </row>
    <row r="753" spans="3:15" x14ac:dyDescent="0.3">
      <c r="G753" s="151" t="s">
        <v>1317</v>
      </c>
      <c r="H753" s="154" cm="1">
        <f t="array" ref="H753:I753" xml:space="preserve"> {1,3}</f>
        <v>1</v>
      </c>
      <c r="I753" s="154">
        <v>3</v>
      </c>
      <c r="J753" s="154"/>
      <c r="K753" s="154"/>
      <c r="L753" s="52" t="str">
        <f ca="1" xml:space="preserve"> _xlfn.FORMULATEXT(H753)</f>
        <v>= {1,3}</v>
      </c>
    </row>
    <row r="754" spans="3:15" x14ac:dyDescent="0.3">
      <c r="G754" s="151" t="s">
        <v>1302</v>
      </c>
      <c r="H754" s="154" cm="1">
        <f t="array" ref="H754:K754" xml:space="preserve"> {1,2,3,4}</f>
        <v>1</v>
      </c>
      <c r="I754" s="154">
        <v>2</v>
      </c>
      <c r="J754" s="154">
        <v>3</v>
      </c>
      <c r="K754" s="154">
        <v>4</v>
      </c>
      <c r="L754" s="52" t="str">
        <f ca="1" xml:space="preserve"> _xlfn.FORMULATEXT(H754)</f>
        <v>= {1,2,3,4}</v>
      </c>
    </row>
    <row r="755" spans="3:15" x14ac:dyDescent="0.3">
      <c r="G755" s="151" t="s">
        <v>1303</v>
      </c>
      <c r="H755" s="154" cm="1">
        <f t="array" ref="H755:I755" xml:space="preserve"> {4,2}</f>
        <v>4</v>
      </c>
      <c r="I755" s="154">
        <v>2</v>
      </c>
      <c r="J755" s="154"/>
      <c r="K755" s="154"/>
      <c r="L755" s="52" t="str">
        <f ca="1" xml:space="preserve"> _xlfn.FORMULATEXT(H755)</f>
        <v>= {4,2}</v>
      </c>
    </row>
    <row r="756" spans="3:15" x14ac:dyDescent="0.3">
      <c r="G756" s="151" t="s">
        <v>1294</v>
      </c>
      <c r="H756" s="152" t="s">
        <v>1292</v>
      </c>
    </row>
    <row r="757" spans="3:15" x14ac:dyDescent="0.3">
      <c r="G757" s="151" t="s">
        <v>1305</v>
      </c>
      <c r="H757" s="154">
        <v>1</v>
      </c>
    </row>
    <row r="758" spans="3:15" x14ac:dyDescent="0.3">
      <c r="G758" s="151" t="s">
        <v>1060</v>
      </c>
      <c r="H758" s="154" t="b">
        <v>0</v>
      </c>
    </row>
    <row r="759" spans="3:15" x14ac:dyDescent="0.3">
      <c r="C759" s="142" t="s">
        <v>1070</v>
      </c>
      <c r="E759" s="142" t="s">
        <v>1072</v>
      </c>
      <c r="G759" t="s">
        <v>1272</v>
      </c>
    </row>
    <row r="760" spans="3:15" ht="14.4" thickBot="1" x14ac:dyDescent="0.35">
      <c r="C760" s="51" t="str" cm="1">
        <f t="array" ref="C760" xml:space="preserve"> _xlfn.CHOOSECOLS($K$11:$N$11, H752)</f>
        <v>ID</v>
      </c>
      <c r="E760" s="51" t="str" cm="1">
        <f t="array" ref="E760" xml:space="preserve"> _xlfn.CHOOSECOLS($P$11:$S$11, H753)</f>
        <v>ID</v>
      </c>
      <c r="G760" s="51" t="str" cm="1">
        <f t="array" ref="G760:L760" xml:space="preserve"> _xlfn.HSTACK(
  _xlfn.CHOOSECOLS($K$11:$N$11,_xlfn.ANCHORARRAY( H754)),
  _xlfn.CHOOSECOLS($P$11:$S$11,_xlfn.ANCHORARRAY( H755))
)</f>
        <v>ID</v>
      </c>
      <c r="H760" s="51" t="str">
        <v>Col.1</v>
      </c>
      <c r="I760" s="51" t="str">
        <v>Col.2</v>
      </c>
      <c r="J760" s="51" t="str">
        <v>Col.3</v>
      </c>
      <c r="K760" s="51" t="str">
        <v>Col.30</v>
      </c>
      <c r="L760" s="51" t="str">
        <v>Col.10</v>
      </c>
      <c r="M760" s="51"/>
      <c r="N760" s="51"/>
    </row>
    <row r="761" spans="3:15" x14ac:dyDescent="0.3">
      <c r="C761" s="143" t="str" cm="1">
        <f t="array" ref="C761:C770" xml:space="preserve"> _xlfn.CHOOSECOLS($K$12:$N$21, H752)</f>
        <v>X-001</v>
      </c>
      <c r="D761" s="144">
        <v>1</v>
      </c>
      <c r="E761" s="143" t="str" cm="1">
        <f t="array" ref="E761:E770" xml:space="preserve"> _xlfn.CHOOSECOLS($P$12:$S$21, H753)</f>
        <v>X-009</v>
      </c>
      <c r="G761" s="115" t="str" cm="1">
        <f t="array" ref="G761:L772" xml:space="preserve"> _xlfn.LAMBDA(_xlpm.first_array,_xlpm.second_array,_xlpm.first_match_index,_xlpm.second_match_index,_xlop.join_type,_xlop.first_array_cols,_xlop.second_array_cols,_xlop.sort,_xlop.replace_na,
  _xlfn.LET(
    _xlpm._arr1, _xlpm.first_array,
    _xlpm._arr2, _xlpm.second_array,
    _xlpm._col1, _xlpm.first_match_index,
    _xlpm._col2, _xlpm.second_match_index,
    _xlpm._idx1, IF( _xlfn.ISOMITTED(_xlpm.first_array_cols), _xlfn.SEQUENCE(1, COLUMNS(_xlpm._arr1)),
      IF( SUM(--ISERROR(_xlpm.first_array_cols)) &gt; 0, 0, _xlpm.first_array_cols)),
    _xlpm._idx2, IF( _xlfn.ISOMITTED(_xlpm.second_array_cols), _xlfn.SEQUENCE(1, COLUMNS(_xlpm._arr2)),
      IF( SUM(--ISERROR(_xlpm.second_array_cols)) &gt; 0, 0, _xlpm.second_array_cols)),
    _xlpm._inpT, IF( _xlfn.ISOMITTED(_xlpm.join_type), 0, INT(_xlpm.join_type)),
    _xlpm._typ, IF( ISNUMBER(_xlpm._inpT), _xlpm._inpT + 1,
      _xlfn.IFNA( MATCH( LOWER(_xlpm.join_type), {"left","right","inner","full"}, 0), -1)
    ),
    _xlpm._srt, IF( _xlfn.ISOMITTED(_xlpm.sort), 0,
      IF( ISERROR(_xlpm.sort), "", INT(_xlpm.sort))),
    _xlpm._inpR, IF( _xlfn.ISOMITTED(_xlpm.replace_na), FALSE, INDEX(_xlpm.replace_na, 1, 1)),
    _xlpm._rep, IF( ISLOGICAL(_xlpm._inpR),
      IF(_xlpm._inpR, "", NA()),
      _xlpm._inpR
    ),
    _xlpm._inpChk, IF(
      OR(
        NOT(ISNUMBER(_xlpm._col1)), NOT(ISNUMBER(_xlpm._col2)),
        MIN(_xlpm._col1) &lt; 1, MAX(_xlpm._col1) &gt; COLUMNS(_xlpm._arr1),
        MIN(_xlpm._col2) &lt; 1, MAX(_xlpm._col2) &gt; COLUMNS(_xlpm._arr2),
        NOT(ISNUMBER(_xlpm._idx1)), NOT(ISNUMBER(_xlpm._idx2)),
        MIN(_xlpm._idx1) &lt; 1, MAX(_xlpm._idx1) &gt; COLUMNS(_xlpm._arr1),
        MIN(_xlpm._idx2) &lt; 1, MAX(_xlpm._idx2) &gt; COLUMNS(_xlpm._arr2)
      ), 2,
      IF( OR(
        _xlpm._typ &lt; 1, _xlpm._typ &gt; 4,
        ISERROR(_xlpm._srt), _xlpm._srt &lt; -1, _xlpm._srt &gt; 1
      ), 3,
      1)
    ),
    _xlpm._uId1, _xlfn.SCAN(0, _xlfn.SEQUENCE(ROWS(_xlpm._arr1)), _xlfn.LAMBDA(_xlpm._acc,_xlpm._val, _xlfn.CONCAT(INDEX(_xlpm._arr1, _xlpm._val, _xlpm._col1)))),
    _xlpm._uId2, _xlfn.SCAN(0, _xlfn.SEQUENCE(ROWS(_xlpm._arr2)), _xlfn.LAMBDA(_xlpm._acc,_xlpm._val, _xlfn.CONCAT(INDEX(_xlpm._arr2, _xlpm._val, _xlpm._col2)))),
    _xlpm._out1, _xlfn.CHOOSECOLS(_xlpm._arr1, _xlpm._idx1),
    _xlpm._out2, _xlfn.CHOOSECOLS(_xlpm._arr2, _xlpm._idx2),
    _xlpm._cc1, COLUMNS(_xlpm._out1),
    _xlpm._cc2, COLUMNS(_xlpm._out2),
    _xlpm._ccS, _xlpm._cc1 + IF(_xlpm._srt &lt;&gt; 0, 1, 0),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
      _xlpm._fltr, _xlfn.SCAN(0, _xlfn.SEQUENCE( ROWS(_xlpm._out2), 1), _xlfn.LAMBDA(_xlpm._acc,_xlpm._val, IF( ISNA(MATCH(_xlpm._val, _xlpm._mtch, 0)), 1, 0))),
      _xlpm._arr, _xlfn._xlws.FILTER(_xlpm._out2, _xlpm._fltr = 1, "#[Empty]"),
      _xlpm._mCl, _xlfn._xlws.FILTER(_xlpm._uId2, _xlpm._fltr = 1, NA()),
      _xlpm._blnk, _xlfn.MAKEARRAY( ROWS(_xlpm._arr), _xlpm._cc1, _xlfn.LAMBDA(_xlpm._r,_xlpm._c, NA())),
      IF(_xlpm._srt &lt;&gt; 0,
        _xlfn.HSTACK(_xlpm._mCl, _xlpm._blnk, _xlpm._arr),
        _xlfn.HSTACK(_xlpm._blnk, _xlpm._arr)
      )
    ),
    _xlpm._arrC, IF(_xlpm._srt &lt;&gt; 0,
      _xlfn.HSTACK(_xlpm._uId1, _xlpm._out1, _xlpm._arrN),
      _xlfn.HSTACK(_xlpm._out1, _xlpm._arrN)
    ),
    _xlpm._arrL, IF( OR(_xlpm._typ = 2, _xlpm._typ = 3),
      _xlfn._xlws.FILTER(_xlpm._arrC, _xlpm._mtch &lt;&gt; 0, "#[Empty]"),
      _xlpm._arrC
    ),
    _xlpm._calc, CHOOSE(_xlpm._typ,
      _xlpm._arrL,
      IF( INDEX(_xlpm._arrL, 1, 1) = "#[Empty]",
        _xlpm._arrR,
        IF( INDEX(_xlpm._arrR, 1, _xlpm._ccS + 1) = "#[Empty]",
          _xlpm._arrL,
          _xlfn.VSTACK(_xlpm._arrL, _xlpm._arrR)
        )
      ),
      IF( INDEX(_xlpm._arrL, 1, 1) = "#[Empty]",
        _xlfn.MAKEARRAY(1, _xlpm._ccS + _xlpm._cc2, _xlfn.LAMBDA(_xlpm._r,_xlpm._c, NA())),
        _xlpm._arrL
      ),
      IF( INDEX(_xlpm._arrR, 1, _xlpm._ccS + 1) = "#[Empty]",
        _xlpm._arrL,
        _xlfn.VSTACK(_xlpm._arrL, _xlpm._arrR)
      )
    ),
    _xlpm._rtn, _xlfn.LET(
      _xlpm._arrS, IF(_xlpm._srt &lt;&gt; 0,
        _xlfn.DROP( _xlfn.SORTBY(_xlpm._calc, _xlfn.CHOOSECOLS(_xlpm._calc, 1), _xlpm._srt), 0, 1),
        _xlpm._calc
      ),
      _xlpm._aRep, IF( ISNA(_xlpm._rep),
        _xlpm._arrS,
        IF( ISNA(_xlpm._arrS), _xlpm._rep, _xlpm._arrS)
      ),
      _xlpm._aRep
    ),
    CHOOSE(_xlpm._inpChk, _xlpm._rtn, _xlfn.LAMBDA(0), #VALUE!)
  )
)($K$12:$N$21, $P$12:$S$21,_xlfn.ANCHORARRAY( H752),_xlfn.ANCHORARRAY( H753), H756,_xlfn.ANCHORARRAY( H754),_xlfn.ANCHORARRAY( H755), H757, H758)</f>
        <v>X-001</v>
      </c>
      <c r="H761" s="115" t="str">
        <v>AAA</v>
      </c>
      <c r="I761" s="115">
        <v>1</v>
      </c>
      <c r="J761" s="115" t="str">
        <v>!</v>
      </c>
      <c r="K761" s="115" t="str">
        <v>one</v>
      </c>
      <c r="L761" s="115">
        <v>1</v>
      </c>
      <c r="M761" s="115"/>
      <c r="N761" s="115"/>
      <c r="O761" s="52" t="str" cm="1">
        <f t="array" aca="1" ref="O761:O856" ca="1" xml:space="preserve"> _xlfn.TEXTSPLIT( _xlfn.FORMULATEXT(G761), , CHAR(10))</f>
        <v>= LAMBDA(first_array,second_array,first_match_index,second_match_index,[join_type],[first_array_cols],[second_array_cols],[sort],[replace_na],</v>
      </c>
    </row>
    <row r="762" spans="3:15" x14ac:dyDescent="0.3">
      <c r="C762" s="143" t="str">
        <v>X-002</v>
      </c>
      <c r="D762" s="144">
        <v>2</v>
      </c>
      <c r="E762" s="143" t="str">
        <v>X-007</v>
      </c>
      <c r="G762" s="115" t="str">
        <v>X-002</v>
      </c>
      <c r="H762" s="115" t="str">
        <v>BBB</v>
      </c>
      <c r="I762" s="115">
        <v>2</v>
      </c>
      <c r="J762" s="115" t="str">
        <v>"</v>
      </c>
      <c r="K762" s="115" t="str">
        <v>two</v>
      </c>
      <c r="L762" s="115">
        <v>2</v>
      </c>
      <c r="M762" s="115"/>
      <c r="N762" s="115"/>
      <c r="O762" s="52" t="str">
        <f ca="1"/>
        <v xml:space="preserve">  LET(</v>
      </c>
    </row>
    <row r="763" spans="3:15" x14ac:dyDescent="0.3">
      <c r="C763" s="143" t="str">
        <v>X-003</v>
      </c>
      <c r="D763" s="144">
        <v>3</v>
      </c>
      <c r="E763" s="143" t="str">
        <v>X-010</v>
      </c>
      <c r="G763" s="115" t="str">
        <v>X-003</v>
      </c>
      <c r="H763" s="115" t="str">
        <v>CCC</v>
      </c>
      <c r="I763" s="115">
        <v>3</v>
      </c>
      <c r="J763" s="115" t="str">
        <v>£</v>
      </c>
      <c r="K763" s="115" t="e">
        <v>#N/A</v>
      </c>
      <c r="L763" s="115" t="e">
        <v>#N/A</v>
      </c>
      <c r="M763" s="115"/>
      <c r="N763" s="115"/>
      <c r="O763" s="52" t="str">
        <f ca="1"/>
        <v xml:space="preserve">    _arr1, first_array,</v>
      </c>
    </row>
    <row r="764" spans="3:15" x14ac:dyDescent="0.3">
      <c r="C764" s="143" t="str">
        <v>X-004</v>
      </c>
      <c r="D764" s="144">
        <v>4</v>
      </c>
      <c r="E764" s="143" t="str">
        <v>X-002</v>
      </c>
      <c r="G764" s="115" t="str">
        <v>X-004</v>
      </c>
      <c r="H764" s="115" t="str">
        <v>DDD</v>
      </c>
      <c r="I764" s="115">
        <v>4</v>
      </c>
      <c r="J764" s="115" t="str">
        <v>$</v>
      </c>
      <c r="K764" s="115" t="str">
        <v>four</v>
      </c>
      <c r="L764" s="115">
        <v>4</v>
      </c>
      <c r="M764" s="115"/>
      <c r="N764" s="115"/>
      <c r="O764" s="52" t="str">
        <f ca="1"/>
        <v xml:space="preserve">    _arr2, second_array,</v>
      </c>
    </row>
    <row r="765" spans="3:15" x14ac:dyDescent="0.3">
      <c r="C765" s="143" t="str">
        <v>X-005</v>
      </c>
      <c r="D765" s="144">
        <v>5</v>
      </c>
      <c r="E765" s="143" t="str">
        <v>X-004</v>
      </c>
      <c r="G765" s="115" t="str">
        <v>X-005</v>
      </c>
      <c r="H765" s="115" t="str">
        <v>EEE</v>
      </c>
      <c r="I765" s="115">
        <v>5</v>
      </c>
      <c r="J765" s="115" t="str">
        <v>%</v>
      </c>
      <c r="K765" s="115" t="e">
        <v>#N/A</v>
      </c>
      <c r="L765" s="115" t="e">
        <v>#N/A</v>
      </c>
      <c r="M765" s="115"/>
      <c r="N765" s="115"/>
      <c r="O765" s="52" t="str">
        <f ca="1"/>
        <v xml:space="preserve">    _col1, first_match_index,</v>
      </c>
    </row>
    <row r="766" spans="3:15" x14ac:dyDescent="0.3">
      <c r="C766" s="143" t="str">
        <v>X-006</v>
      </c>
      <c r="D766" s="144">
        <v>6</v>
      </c>
      <c r="E766" s="143" t="str">
        <v>X-008</v>
      </c>
      <c r="G766" s="115" t="str">
        <v>X-006</v>
      </c>
      <c r="H766" s="115" t="str">
        <v>FFF</v>
      </c>
      <c r="I766" s="115">
        <v>6</v>
      </c>
      <c r="J766" s="115" t="str">
        <v>^</v>
      </c>
      <c r="K766" s="115" t="str">
        <v>six</v>
      </c>
      <c r="L766" s="115">
        <v>6</v>
      </c>
      <c r="M766" s="115"/>
      <c r="N766" s="115"/>
      <c r="O766" s="52" t="str">
        <f ca="1"/>
        <v xml:space="preserve">    _col2, second_match_index,</v>
      </c>
    </row>
    <row r="767" spans="3:15" x14ac:dyDescent="0.3">
      <c r="C767" s="143" t="str">
        <v>X-007</v>
      </c>
      <c r="D767" s="144">
        <v>7</v>
      </c>
      <c r="E767" s="143" t="str">
        <v>X-012</v>
      </c>
      <c r="G767" s="115" t="str">
        <v>X-007</v>
      </c>
      <c r="H767" s="115" t="str">
        <v>GGG</v>
      </c>
      <c r="I767" s="115">
        <v>7</v>
      </c>
      <c r="J767" s="115" t="str">
        <v>&amp;</v>
      </c>
      <c r="K767" s="115" t="str">
        <v>seven</v>
      </c>
      <c r="L767" s="115">
        <v>7</v>
      </c>
      <c r="M767" s="115"/>
      <c r="N767" s="115"/>
      <c r="O767" s="52" t="str">
        <f ca="1"/>
        <v xml:space="preserve">    _idx1, IF( ISOMITTED(first_array_cols), SEQUENCE(1, COLUMNS(_arr1)),</v>
      </c>
    </row>
    <row r="768" spans="3:15" x14ac:dyDescent="0.3">
      <c r="C768" s="143" t="str">
        <v>X-008</v>
      </c>
      <c r="D768" s="144">
        <v>8</v>
      </c>
      <c r="E768" s="143" t="str">
        <v>X-001</v>
      </c>
      <c r="G768" s="115" t="str">
        <v>X-008</v>
      </c>
      <c r="H768" s="115" t="str">
        <v>HHH</v>
      </c>
      <c r="I768" s="115">
        <v>8</v>
      </c>
      <c r="J768" s="115" t="str">
        <v>*</v>
      </c>
      <c r="K768" s="115" t="str">
        <v>eight</v>
      </c>
      <c r="L768" s="115">
        <v>8</v>
      </c>
      <c r="M768" s="115"/>
      <c r="N768" s="115"/>
      <c r="O768" s="52" t="str">
        <f ca="1"/>
        <v xml:space="preserve">      IF( SUM(--ISERROR(first_array_cols)) &gt; 0, 0, first_array_cols)),</v>
      </c>
    </row>
    <row r="769" spans="3:15" x14ac:dyDescent="0.3">
      <c r="C769" s="143" t="str">
        <v>X-009</v>
      </c>
      <c r="D769" s="144">
        <v>9</v>
      </c>
      <c r="E769" s="143" t="str">
        <v>X-006</v>
      </c>
      <c r="G769" s="115" t="str">
        <v>X-009</v>
      </c>
      <c r="H769" s="115" t="str">
        <v>III</v>
      </c>
      <c r="I769" s="115">
        <v>9</v>
      </c>
      <c r="J769" s="115" t="str">
        <v>(</v>
      </c>
      <c r="K769" s="115" t="str">
        <v>nine</v>
      </c>
      <c r="L769" s="115">
        <v>9</v>
      </c>
      <c r="M769" s="115"/>
      <c r="N769" s="115"/>
      <c r="O769" s="52" t="str">
        <f ca="1"/>
        <v xml:space="preserve">    _idx2, IF( ISOMITTED(second_array_cols), SEQUENCE(1, COLUMNS(_arr2)),</v>
      </c>
    </row>
    <row r="770" spans="3:15" x14ac:dyDescent="0.3">
      <c r="C770" s="143" t="str">
        <v>X-010</v>
      </c>
      <c r="D770" s="144">
        <v>10</v>
      </c>
      <c r="E770" s="143" t="str">
        <v>X-011</v>
      </c>
      <c r="G770" s="115" t="str">
        <v>X-010</v>
      </c>
      <c r="H770" s="115" t="str">
        <v>JJJ</v>
      </c>
      <c r="I770" s="115">
        <v>10</v>
      </c>
      <c r="J770" s="115" t="str">
        <v>)</v>
      </c>
      <c r="K770" s="115" t="str">
        <v>ten</v>
      </c>
      <c r="L770" s="115">
        <v>10</v>
      </c>
      <c r="M770" s="115"/>
      <c r="N770" s="115"/>
      <c r="O770" s="52" t="str">
        <f ca="1"/>
        <v xml:space="preserve">      IF( SUM(--ISERROR(second_array_cols)) &gt; 0, 0, second_array_cols)),</v>
      </c>
    </row>
    <row r="771" spans="3:15" x14ac:dyDescent="0.3">
      <c r="G771" s="115" t="e">
        <v>#N/A</v>
      </c>
      <c r="H771" s="115" t="e">
        <v>#N/A</v>
      </c>
      <c r="I771" s="115" t="e">
        <v>#N/A</v>
      </c>
      <c r="J771" s="115" t="e">
        <v>#N/A</v>
      </c>
      <c r="K771" s="115" t="str">
        <v>eleven</v>
      </c>
      <c r="L771" s="115">
        <v>11</v>
      </c>
      <c r="M771" s="115"/>
      <c r="N771" s="115"/>
      <c r="O771" s="52" t="str">
        <f ca="1"/>
        <v xml:space="preserve">    _inpT, IF( ISOMITTED(join_type), 0, INT(join_type)),</v>
      </c>
    </row>
    <row r="772" spans="3:15" x14ac:dyDescent="0.3">
      <c r="G772" s="115" t="e">
        <v>#N/A</v>
      </c>
      <c r="H772" s="115" t="e">
        <v>#N/A</v>
      </c>
      <c r="I772" s="115" t="e">
        <v>#N/A</v>
      </c>
      <c r="J772" s="115" t="e">
        <v>#N/A</v>
      </c>
      <c r="K772" s="115" t="str">
        <v>twelve</v>
      </c>
      <c r="L772" s="115">
        <v>12</v>
      </c>
      <c r="M772" s="115"/>
      <c r="N772" s="115"/>
      <c r="O772" s="52" t="str">
        <f ca="1"/>
        <v xml:space="preserve">    _typ, IF( ISNUMBER(_inpT), _inpT + 1,</v>
      </c>
    </row>
    <row r="773" spans="3:15" x14ac:dyDescent="0.3">
      <c r="G773" s="115"/>
      <c r="H773" s="115"/>
      <c r="I773" s="115"/>
      <c r="J773" s="115"/>
      <c r="K773" s="115"/>
      <c r="L773" s="115"/>
      <c r="M773" s="115"/>
      <c r="N773" s="115"/>
      <c r="O773" s="52" t="str">
        <f ca="1"/>
        <v xml:space="preserve">      IFNA( MATCH( LOWER(join_type), {"left","right","inner","full"}, 0), -1)</v>
      </c>
    </row>
    <row r="774" spans="3:15" x14ac:dyDescent="0.3">
      <c r="G774" s="115"/>
      <c r="H774" s="115"/>
      <c r="I774" s="115"/>
      <c r="J774" s="115"/>
      <c r="K774" s="115"/>
      <c r="L774" s="115"/>
      <c r="M774" s="115"/>
      <c r="N774" s="115"/>
      <c r="O774" s="52" t="str">
        <f ca="1"/>
        <v xml:space="preserve">    ),</v>
      </c>
    </row>
    <row r="775" spans="3:15" x14ac:dyDescent="0.3">
      <c r="G775" s="115"/>
      <c r="H775" s="115"/>
      <c r="I775" s="115"/>
      <c r="J775" s="115"/>
      <c r="K775" s="115"/>
      <c r="L775" s="115"/>
      <c r="M775" s="115"/>
      <c r="N775" s="115"/>
      <c r="O775" s="52" t="str">
        <f ca="1"/>
        <v xml:space="preserve">    _srt, IF( ISOMITTED(sort), 0,</v>
      </c>
    </row>
    <row r="776" spans="3:15" x14ac:dyDescent="0.3">
      <c r="G776" s="115"/>
      <c r="H776" s="115"/>
      <c r="I776" s="115"/>
      <c r="J776" s="115"/>
      <c r="K776" s="115"/>
      <c r="L776" s="115"/>
      <c r="M776" s="115"/>
      <c r="N776" s="115"/>
      <c r="O776" s="52" t="str">
        <f ca="1"/>
        <v xml:space="preserve">      IF( ISERROR(sort), "", INT(sort))),</v>
      </c>
    </row>
    <row r="777" spans="3:15" x14ac:dyDescent="0.3">
      <c r="G777" s="115"/>
      <c r="H777" s="115"/>
      <c r="I777" s="115"/>
      <c r="J777" s="115"/>
      <c r="K777" s="115"/>
      <c r="L777" s="115"/>
      <c r="M777" s="115"/>
      <c r="N777" s="115"/>
      <c r="O777" s="52" t="str">
        <f ca="1"/>
        <v xml:space="preserve">    _inpR, IF( ISOMITTED(replace_na), FALSE, INDEX(replace_na, 1, 1)),</v>
      </c>
    </row>
    <row r="778" spans="3:15" x14ac:dyDescent="0.3">
      <c r="G778" s="115"/>
      <c r="H778" s="115"/>
      <c r="I778" s="115"/>
      <c r="J778" s="115"/>
      <c r="K778" s="115"/>
      <c r="L778" s="115"/>
      <c r="M778" s="115"/>
      <c r="N778" s="115"/>
      <c r="O778" s="52" t="str">
        <f ca="1"/>
        <v xml:space="preserve">    _rep, IF( ISLOGICAL(_inpR),</v>
      </c>
    </row>
    <row r="779" spans="3:15" x14ac:dyDescent="0.3">
      <c r="G779" s="115"/>
      <c r="H779" s="115"/>
      <c r="I779" s="115"/>
      <c r="J779" s="115"/>
      <c r="K779" s="115"/>
      <c r="L779" s="115"/>
      <c r="M779" s="115"/>
      <c r="N779" s="115"/>
      <c r="O779" s="52" t="str">
        <f ca="1"/>
        <v xml:space="preserve">      IF(_inpR, "", NA()),</v>
      </c>
    </row>
    <row r="780" spans="3:15" x14ac:dyDescent="0.3">
      <c r="G780" s="115"/>
      <c r="H780" s="115"/>
      <c r="I780" s="115"/>
      <c r="J780" s="115"/>
      <c r="K780" s="115"/>
      <c r="L780" s="115"/>
      <c r="M780" s="115"/>
      <c r="N780" s="115"/>
      <c r="O780" s="52" t="str">
        <f ca="1"/>
        <v xml:space="preserve">      _inpR</v>
      </c>
    </row>
    <row r="781" spans="3:15" x14ac:dyDescent="0.3">
      <c r="O781" s="52" t="str">
        <f ca="1"/>
        <v xml:space="preserve">    ),</v>
      </c>
    </row>
    <row r="782" spans="3:15" x14ac:dyDescent="0.3">
      <c r="O782" s="52" t="str">
        <f ca="1"/>
        <v xml:space="preserve">    _inpChk, IF(</v>
      </c>
    </row>
    <row r="783" spans="3:15" x14ac:dyDescent="0.3">
      <c r="O783" s="52" t="str">
        <f ca="1"/>
        <v xml:space="preserve">      OR(</v>
      </c>
    </row>
    <row r="784" spans="3:15" x14ac:dyDescent="0.3">
      <c r="O784" s="52" t="str">
        <f ca="1"/>
        <v xml:space="preserve">        NOT(ISNUMBER(_col1)), NOT(ISNUMBER(_col2)),</v>
      </c>
    </row>
    <row r="785" spans="15:15" x14ac:dyDescent="0.3">
      <c r="O785" s="52" t="str">
        <f ca="1"/>
        <v xml:space="preserve">        MIN(_col1) &lt; 1, MAX(_col1) &gt; COLUMNS(_arr1),</v>
      </c>
    </row>
    <row r="786" spans="15:15" x14ac:dyDescent="0.3">
      <c r="O786" s="52" t="str">
        <f ca="1"/>
        <v xml:space="preserve">        MIN(_col2) &lt; 1, MAX(_col2) &gt; COLUMNS(_arr2),</v>
      </c>
    </row>
    <row r="787" spans="15:15" x14ac:dyDescent="0.3">
      <c r="O787" s="52" t="str">
        <f ca="1"/>
        <v xml:space="preserve">        NOT(ISNUMBER(_idx1)), NOT(ISNUMBER(_idx2)),</v>
      </c>
    </row>
    <row r="788" spans="15:15" x14ac:dyDescent="0.3">
      <c r="O788" s="52" t="str">
        <f ca="1"/>
        <v xml:space="preserve">        MIN(_idx1) &lt; 1, MAX(_idx1) &gt; COLUMNS(_arr1),</v>
      </c>
    </row>
    <row r="789" spans="15:15" x14ac:dyDescent="0.3">
      <c r="O789" s="52" t="str">
        <f ca="1"/>
        <v xml:space="preserve">        MIN(_idx2) &lt; 1, MAX(_idx2) &gt; COLUMNS(_arr2)</v>
      </c>
    </row>
    <row r="790" spans="15:15" x14ac:dyDescent="0.3">
      <c r="O790" s="52" t="str">
        <f ca="1"/>
        <v xml:space="preserve">      ), 2,</v>
      </c>
    </row>
    <row r="791" spans="15:15" x14ac:dyDescent="0.3">
      <c r="O791" s="52" t="str">
        <f ca="1"/>
        <v xml:space="preserve">      IF( OR(</v>
      </c>
    </row>
    <row r="792" spans="15:15" x14ac:dyDescent="0.3">
      <c r="O792" s="52" t="str">
        <f ca="1"/>
        <v xml:space="preserve">        _typ &lt; 1, _typ &gt; 4,</v>
      </c>
    </row>
    <row r="793" spans="15:15" x14ac:dyDescent="0.3">
      <c r="O793" s="52" t="str">
        <f ca="1"/>
        <v xml:space="preserve">        ISERROR(_srt), _srt &lt; -1, _srt &gt; 1</v>
      </c>
    </row>
    <row r="794" spans="15:15" x14ac:dyDescent="0.3">
      <c r="O794" s="52" t="str">
        <f ca="1"/>
        <v xml:space="preserve">      ), 3,</v>
      </c>
    </row>
    <row r="795" spans="15:15" x14ac:dyDescent="0.3">
      <c r="O795" s="52" t="str">
        <f ca="1"/>
        <v xml:space="preserve">      1)</v>
      </c>
    </row>
    <row r="796" spans="15:15" x14ac:dyDescent="0.3">
      <c r="O796" s="52" t="str">
        <f ca="1"/>
        <v xml:space="preserve">    ),</v>
      </c>
    </row>
    <row r="797" spans="15:15" x14ac:dyDescent="0.3">
      <c r="O797" s="52" t="str">
        <f ca="1"/>
        <v xml:space="preserve">    _uId1, SCAN(0, SEQUENCE(ROWS(_arr1)), LAMBDA(_acc,_val, CONCAT(INDEX(_arr1, _val, _col1)))),</v>
      </c>
    </row>
    <row r="798" spans="15:15" x14ac:dyDescent="0.3">
      <c r="O798" s="52" t="str">
        <f ca="1"/>
        <v xml:space="preserve">    _uId2, SCAN(0, SEQUENCE(ROWS(_arr2)), LAMBDA(_acc,_val, CONCAT(INDEX(_arr2, _val, _col2)))),</v>
      </c>
    </row>
    <row r="799" spans="15:15" x14ac:dyDescent="0.3">
      <c r="O799" s="52" t="str">
        <f ca="1"/>
        <v xml:space="preserve">    _out1, CHOOSECOLS(_arr1, _idx1),</v>
      </c>
    </row>
    <row r="800" spans="15:15" x14ac:dyDescent="0.3">
      <c r="O800" s="52" t="str">
        <f ca="1"/>
        <v xml:space="preserve">    _out2, CHOOSECOLS(_arr2, _idx2),</v>
      </c>
    </row>
    <row r="801" spans="15:15" x14ac:dyDescent="0.3">
      <c r="O801" s="52" t="str">
        <f ca="1"/>
        <v xml:space="preserve">    _cc1, COLUMNS(_out1),</v>
      </c>
    </row>
    <row r="802" spans="15:15" x14ac:dyDescent="0.3">
      <c r="O802" s="52" t="str">
        <f ca="1"/>
        <v xml:space="preserve">    _cc2, COLUMNS(_out2),</v>
      </c>
    </row>
    <row r="803" spans="15:15" x14ac:dyDescent="0.3">
      <c r="O803" s="52" t="str">
        <f ca="1"/>
        <v xml:space="preserve">    _ccS, _cc1 + IF(_srt &lt;&gt; 0, 1, 0),</v>
      </c>
    </row>
    <row r="804" spans="15:15" x14ac:dyDescent="0.3">
      <c r="O804" s="52" t="str">
        <f ca="1"/>
        <v xml:space="preserve">    _mtch, DROP(REDUCE(0, _uId1, LAMBDA(_acc,_val, VSTACK(_acc, IFNA(MATCH(_val, _uId2, 0), 0)))), 1),</v>
      </c>
    </row>
    <row r="805" spans="15:15" x14ac:dyDescent="0.3">
      <c r="O805" s="52" t="str">
        <f ca="1"/>
        <v xml:space="preserve">    _blnk, MAKEARRAY(1, _cc2, LAMBDA(_r,_c, NA())),</v>
      </c>
    </row>
    <row r="806" spans="15:15" x14ac:dyDescent="0.3">
      <c r="O806" s="52" t="str">
        <f ca="1"/>
        <v xml:space="preserve">    _arrN, DROP(REDUCE(0, _mtch, LAMBDA(_acc,_val, VSTACK(_acc, IF(_val = 0, _blnk, INDEX(_out2, _val, SEQUENCE(1, _cc2)))))), 1),</v>
      </c>
    </row>
    <row r="807" spans="15:15" x14ac:dyDescent="0.3">
      <c r="O807" s="52" t="str">
        <f ca="1"/>
        <v xml:space="preserve">    _arrR, LET(</v>
      </c>
    </row>
    <row r="808" spans="15:15" x14ac:dyDescent="0.3">
      <c r="O808" s="52" t="str">
        <f ca="1"/>
        <v xml:space="preserve">      _fltr, SCAN(0, SEQUENCE( ROWS(_out2), 1), LAMBDA(_acc,_val, IF( ISNA(MATCH(_val, _mtch, 0)), 1, 0))),</v>
      </c>
    </row>
    <row r="809" spans="15:15" x14ac:dyDescent="0.3">
      <c r="O809" s="52" t="str">
        <f ca="1"/>
        <v xml:space="preserve">      _arr, FILTER(_out2, _fltr = 1, "#[Empty]"),</v>
      </c>
    </row>
    <row r="810" spans="15:15" x14ac:dyDescent="0.3">
      <c r="O810" s="52" t="str">
        <f ca="1"/>
        <v xml:space="preserve">      _mCl, FILTER(_uId2, _fltr = 1, NA()),</v>
      </c>
    </row>
    <row r="811" spans="15:15" x14ac:dyDescent="0.3">
      <c r="O811" s="52" t="str">
        <f ca="1"/>
        <v xml:space="preserve">      _blnk, MAKEARRAY( ROWS(_arr), _cc1, LAMBDA(_r,_c, NA())),</v>
      </c>
    </row>
    <row r="812" spans="15:15" x14ac:dyDescent="0.3">
      <c r="O812" s="52" t="str">
        <f ca="1"/>
        <v xml:space="preserve">      IF(_srt &lt;&gt; 0,</v>
      </c>
    </row>
    <row r="813" spans="15:15" x14ac:dyDescent="0.3">
      <c r="O813" s="52" t="str">
        <f ca="1"/>
        <v xml:space="preserve">        HSTACK(_mCl, _blnk, _arr),</v>
      </c>
    </row>
    <row r="814" spans="15:15" x14ac:dyDescent="0.3">
      <c r="O814" s="52" t="str">
        <f ca="1"/>
        <v xml:space="preserve">        HSTACK(_blnk, _arr)</v>
      </c>
    </row>
    <row r="815" spans="15:15" x14ac:dyDescent="0.3">
      <c r="O815" s="52" t="str">
        <f ca="1"/>
        <v xml:space="preserve">      )</v>
      </c>
    </row>
    <row r="816" spans="15:15" x14ac:dyDescent="0.3">
      <c r="O816" s="52" t="str">
        <f ca="1"/>
        <v xml:space="preserve">    ),</v>
      </c>
    </row>
    <row r="817" spans="15:15" x14ac:dyDescent="0.3">
      <c r="O817" s="52" t="str">
        <f ca="1"/>
        <v xml:space="preserve">    _arrC, IF(_srt &lt;&gt; 0,</v>
      </c>
    </row>
    <row r="818" spans="15:15" x14ac:dyDescent="0.3">
      <c r="O818" s="52" t="str">
        <f ca="1"/>
        <v xml:space="preserve">      HSTACK(_uId1, _out1, _arrN),</v>
      </c>
    </row>
    <row r="819" spans="15:15" x14ac:dyDescent="0.3">
      <c r="O819" s="52" t="str">
        <f ca="1"/>
        <v xml:space="preserve">      HSTACK(_out1, _arrN)</v>
      </c>
    </row>
    <row r="820" spans="15:15" x14ac:dyDescent="0.3">
      <c r="O820" s="52" t="str">
        <f ca="1"/>
        <v xml:space="preserve">    ),</v>
      </c>
    </row>
    <row r="821" spans="15:15" x14ac:dyDescent="0.3">
      <c r="O821" s="52" t="str">
        <f ca="1"/>
        <v xml:space="preserve">    _arrL, IF( OR(_typ = 2, _typ = 3),</v>
      </c>
    </row>
    <row r="822" spans="15:15" x14ac:dyDescent="0.3">
      <c r="O822" s="52" t="str">
        <f ca="1"/>
        <v xml:space="preserve">      FILTER(_arrC, _mtch &lt;&gt; 0, "#[Empty]"),</v>
      </c>
    </row>
    <row r="823" spans="15:15" x14ac:dyDescent="0.3">
      <c r="O823" s="52" t="str">
        <f ca="1"/>
        <v xml:space="preserve">      _arrC</v>
      </c>
    </row>
    <row r="824" spans="15:15" x14ac:dyDescent="0.3">
      <c r="O824" s="52" t="str">
        <f ca="1"/>
        <v xml:space="preserve">    ),</v>
      </c>
    </row>
    <row r="825" spans="15:15" x14ac:dyDescent="0.3">
      <c r="O825" s="52" t="str">
        <f ca="1"/>
        <v xml:space="preserve">    _calc, CHOOSE(_typ,</v>
      </c>
    </row>
    <row r="826" spans="15:15" x14ac:dyDescent="0.3">
      <c r="O826" s="52" t="str">
        <f ca="1"/>
        <v xml:space="preserve">      _arrL,</v>
      </c>
    </row>
    <row r="827" spans="15:15" x14ac:dyDescent="0.3">
      <c r="O827" s="52" t="str">
        <f ca="1"/>
        <v xml:space="preserve">      IF( INDEX(_arrL, 1, 1) = "#[Empty]",</v>
      </c>
    </row>
    <row r="828" spans="15:15" x14ac:dyDescent="0.3">
      <c r="O828" s="52" t="str">
        <f ca="1"/>
        <v xml:space="preserve">        _arrR,</v>
      </c>
    </row>
    <row r="829" spans="15:15" x14ac:dyDescent="0.3">
      <c r="O829" s="52" t="str">
        <f ca="1"/>
        <v xml:space="preserve">        IF( INDEX(_arrR, 1, _ccS + 1) = "#[Empty]",</v>
      </c>
    </row>
    <row r="830" spans="15:15" x14ac:dyDescent="0.3">
      <c r="O830" s="52" t="str">
        <f ca="1"/>
        <v xml:space="preserve">          _arrL,</v>
      </c>
    </row>
    <row r="831" spans="15:15" x14ac:dyDescent="0.3">
      <c r="O831" s="52" t="str">
        <f ca="1"/>
        <v xml:space="preserve">          VSTACK(_arrL, _arrR)</v>
      </c>
    </row>
    <row r="832" spans="15:15" x14ac:dyDescent="0.3">
      <c r="O832" s="52" t="str">
        <f ca="1"/>
        <v xml:space="preserve">        )</v>
      </c>
    </row>
    <row r="833" spans="15:15" x14ac:dyDescent="0.3">
      <c r="O833" s="52" t="str">
        <f ca="1"/>
        <v xml:space="preserve">      ),</v>
      </c>
    </row>
    <row r="834" spans="15:15" x14ac:dyDescent="0.3">
      <c r="O834" s="52" t="str">
        <f ca="1"/>
        <v xml:space="preserve">      IF( INDEX(_arrL, 1, 1) = "#[Empty]",</v>
      </c>
    </row>
    <row r="835" spans="15:15" x14ac:dyDescent="0.3">
      <c r="O835" s="52" t="str">
        <f ca="1"/>
        <v xml:space="preserve">        MAKEARRAY(1, _ccS + _cc2, LAMBDA(_r,_c, NA())),</v>
      </c>
    </row>
    <row r="836" spans="15:15" x14ac:dyDescent="0.3">
      <c r="O836" s="52" t="str">
        <f ca="1"/>
        <v xml:space="preserve">        _arrL</v>
      </c>
    </row>
    <row r="837" spans="15:15" x14ac:dyDescent="0.3">
      <c r="O837" s="52" t="str">
        <f ca="1"/>
        <v xml:space="preserve">      ),</v>
      </c>
    </row>
    <row r="838" spans="15:15" x14ac:dyDescent="0.3">
      <c r="O838" s="52" t="str">
        <f ca="1"/>
        <v xml:space="preserve">      IF( INDEX(_arrR, 1, _ccS + 1) = "#[Empty]",</v>
      </c>
    </row>
    <row r="839" spans="15:15" x14ac:dyDescent="0.3">
      <c r="O839" s="52" t="str">
        <f ca="1"/>
        <v xml:space="preserve">        _arrL,</v>
      </c>
    </row>
    <row r="840" spans="15:15" x14ac:dyDescent="0.3">
      <c r="O840" s="52" t="str">
        <f ca="1"/>
        <v xml:space="preserve">        VSTACK(_arrL, _arrR)</v>
      </c>
    </row>
    <row r="841" spans="15:15" x14ac:dyDescent="0.3">
      <c r="O841" s="52" t="str">
        <f ca="1"/>
        <v xml:space="preserve">      )</v>
      </c>
    </row>
    <row r="842" spans="15:15" x14ac:dyDescent="0.3">
      <c r="O842" s="52" t="str">
        <f ca="1"/>
        <v xml:space="preserve">    ),</v>
      </c>
    </row>
    <row r="843" spans="15:15" x14ac:dyDescent="0.3">
      <c r="O843" s="52" t="str">
        <f ca="1"/>
        <v xml:space="preserve">    _rtn, LET(</v>
      </c>
    </row>
    <row r="844" spans="15:15" x14ac:dyDescent="0.3">
      <c r="O844" s="52" t="str">
        <f ca="1"/>
        <v xml:space="preserve">      _arrS, IF(_srt &lt;&gt; 0,</v>
      </c>
    </row>
    <row r="845" spans="15:15" x14ac:dyDescent="0.3">
      <c r="O845" s="52" t="str">
        <f ca="1"/>
        <v xml:space="preserve">        DROP( SORTBY(_calc, CHOOSECOLS(_calc, 1), _srt), 0, 1),</v>
      </c>
    </row>
    <row r="846" spans="15:15" x14ac:dyDescent="0.3">
      <c r="O846" s="52" t="str">
        <f ca="1"/>
        <v xml:space="preserve">        _calc</v>
      </c>
    </row>
    <row r="847" spans="15:15" x14ac:dyDescent="0.3">
      <c r="O847" s="52" t="str">
        <f ca="1"/>
        <v xml:space="preserve">      ),</v>
      </c>
    </row>
    <row r="848" spans="15:15" x14ac:dyDescent="0.3">
      <c r="O848" s="52" t="str">
        <f ca="1"/>
        <v xml:space="preserve">      _aRep, IF( ISNA(_rep),</v>
      </c>
    </row>
    <row r="849" spans="2:15" x14ac:dyDescent="0.3">
      <c r="O849" s="52" t="str">
        <f ca="1"/>
        <v xml:space="preserve">        _arrS,</v>
      </c>
    </row>
    <row r="850" spans="2:15" x14ac:dyDescent="0.3">
      <c r="O850" s="52" t="str">
        <f ca="1"/>
        <v xml:space="preserve">        IF( ISNA(_arrS), _rep, _arrS)</v>
      </c>
    </row>
    <row r="851" spans="2:15" x14ac:dyDescent="0.3">
      <c r="O851" s="52" t="str">
        <f ca="1"/>
        <v xml:space="preserve">      ),</v>
      </c>
    </row>
    <row r="852" spans="2:15" x14ac:dyDescent="0.3">
      <c r="O852" s="52" t="str">
        <f ca="1"/>
        <v xml:space="preserve">      _aRep</v>
      </c>
    </row>
    <row r="853" spans="2:15" x14ac:dyDescent="0.3">
      <c r="O853" s="52" t="str">
        <f ca="1"/>
        <v xml:space="preserve">    ),</v>
      </c>
    </row>
    <row r="854" spans="2:15" x14ac:dyDescent="0.3">
      <c r="O854" s="52" t="str">
        <f ca="1"/>
        <v xml:space="preserve">    CHOOSE(_inpChk, _rtn, LAMBDA(0), #VALUE!)</v>
      </c>
    </row>
    <row r="855" spans="2:15" x14ac:dyDescent="0.3">
      <c r="O855" s="52" t="str">
        <f ca="1"/>
        <v xml:space="preserve">  )</v>
      </c>
    </row>
    <row r="856" spans="2:15" x14ac:dyDescent="0.3">
      <c r="O856" s="52" t="str">
        <f ca="1"/>
        <v>)($K$12:$N$21, $P$12:$S$21, H752#, H753#, H756, H754#, H755#, H757, H758)</v>
      </c>
    </row>
    <row r="858" spans="2:15" s="8" customFormat="1" ht="16.2" thickBot="1" x14ac:dyDescent="0.35">
      <c r="B858" s="9">
        <f xml:space="preserve"> MAX(B$1:B857) + 1</f>
        <v>2</v>
      </c>
      <c r="C858" s="8" t="s">
        <v>6</v>
      </c>
    </row>
    <row r="860" spans="2:15" x14ac:dyDescent="0.3">
      <c r="B860" s="13" t="s">
        <v>72</v>
      </c>
    </row>
    <row r="861" spans="2:15" x14ac:dyDescent="0.3">
      <c r="C861" t="s">
        <v>1318</v>
      </c>
    </row>
    <row r="862" spans="2:15" x14ac:dyDescent="0.3">
      <c r="C862" t="s">
        <v>1319</v>
      </c>
    </row>
    <row r="865" spans="2:11" x14ac:dyDescent="0.3">
      <c r="B865" s="13" t="s">
        <v>73</v>
      </c>
    </row>
    <row r="866" spans="2:11" x14ac:dyDescent="0.3">
      <c r="C866" s="119" t="s">
        <v>1070</v>
      </c>
      <c r="F866" s="62" t="s">
        <v>258</v>
      </c>
      <c r="G866" t="s">
        <v>1320</v>
      </c>
    </row>
    <row r="867" spans="2:11" x14ac:dyDescent="0.3">
      <c r="C867" s="119" t="s">
        <v>1072</v>
      </c>
      <c r="F867" s="62" t="s">
        <v>258</v>
      </c>
      <c r="G867" t="s">
        <v>1321</v>
      </c>
    </row>
    <row r="868" spans="2:11" x14ac:dyDescent="0.3">
      <c r="C868" s="119" t="s">
        <v>1322</v>
      </c>
      <c r="F868" s="62" t="s">
        <v>258</v>
      </c>
      <c r="G868" t="s">
        <v>1323</v>
      </c>
    </row>
    <row r="869" spans="2:11" x14ac:dyDescent="0.3">
      <c r="C869" s="119" t="s">
        <v>1324</v>
      </c>
      <c r="F869" s="62" t="s">
        <v>258</v>
      </c>
      <c r="G869" t="s">
        <v>1325</v>
      </c>
    </row>
    <row r="870" spans="2:11" x14ac:dyDescent="0.3">
      <c r="C870" s="119" t="s">
        <v>1286</v>
      </c>
      <c r="F870" s="63" t="s">
        <v>261</v>
      </c>
      <c r="G870" t="s">
        <v>1326</v>
      </c>
    </row>
    <row r="871" spans="2:11" x14ac:dyDescent="0.3">
      <c r="G871" t="s">
        <v>1327</v>
      </c>
    </row>
    <row r="872" spans="2:11" x14ac:dyDescent="0.3">
      <c r="G872" s="58">
        <v>0</v>
      </c>
      <c r="H872" s="58" t="s">
        <v>1328</v>
      </c>
      <c r="I872" s="30" t="s">
        <v>1329</v>
      </c>
      <c r="K872" s="30" t="s">
        <v>1330</v>
      </c>
    </row>
    <row r="873" spans="2:11" x14ac:dyDescent="0.3">
      <c r="G873" s="58">
        <v>1</v>
      </c>
      <c r="H873" s="58" t="s">
        <v>1331</v>
      </c>
      <c r="I873" s="30" t="s">
        <v>1332</v>
      </c>
      <c r="K873" s="30" t="s">
        <v>1333</v>
      </c>
    </row>
    <row r="874" spans="2:11" x14ac:dyDescent="0.3">
      <c r="G874" s="58">
        <v>2</v>
      </c>
      <c r="H874" s="58" t="s">
        <v>1334</v>
      </c>
      <c r="I874" s="30" t="s">
        <v>1335</v>
      </c>
      <c r="K874" s="30" t="s">
        <v>1336</v>
      </c>
    </row>
    <row r="875" spans="2:11" x14ac:dyDescent="0.3">
      <c r="G875" s="58">
        <v>3</v>
      </c>
      <c r="H875" s="58" t="s">
        <v>1337</v>
      </c>
      <c r="I875" s="30" t="s">
        <v>1338</v>
      </c>
      <c r="K875" s="30" t="s">
        <v>1339</v>
      </c>
    </row>
    <row r="876" spans="2:11" x14ac:dyDescent="0.3">
      <c r="G876" t="s">
        <v>1340</v>
      </c>
    </row>
    <row r="877" spans="2:11" x14ac:dyDescent="0.3">
      <c r="C877" s="119" t="s">
        <v>1341</v>
      </c>
      <c r="F877" s="63" t="s">
        <v>261</v>
      </c>
      <c r="G877" t="s">
        <v>1342</v>
      </c>
    </row>
    <row r="878" spans="2:11" x14ac:dyDescent="0.3">
      <c r="G878" t="s">
        <v>1343</v>
      </c>
    </row>
    <row r="879" spans="2:11" x14ac:dyDescent="0.3">
      <c r="G879" t="s">
        <v>1344</v>
      </c>
    </row>
    <row r="880" spans="2:11" x14ac:dyDescent="0.3">
      <c r="C880" s="119" t="s">
        <v>1345</v>
      </c>
      <c r="F880" s="63" t="s">
        <v>261</v>
      </c>
      <c r="G880" t="s">
        <v>1346</v>
      </c>
    </row>
    <row r="881" spans="3:8" x14ac:dyDescent="0.3">
      <c r="G881" t="s">
        <v>1343</v>
      </c>
    </row>
    <row r="882" spans="3:8" x14ac:dyDescent="0.3">
      <c r="G882" t="s">
        <v>1347</v>
      </c>
    </row>
    <row r="883" spans="3:8" x14ac:dyDescent="0.3">
      <c r="C883" s="119" t="s">
        <v>1348</v>
      </c>
      <c r="F883" s="63" t="s">
        <v>261</v>
      </c>
      <c r="G883" t="s">
        <v>1349</v>
      </c>
    </row>
    <row r="884" spans="3:8" x14ac:dyDescent="0.3">
      <c r="G884" t="s">
        <v>1350</v>
      </c>
    </row>
    <row r="885" spans="3:8" x14ac:dyDescent="0.3">
      <c r="G885" s="58">
        <v>0</v>
      </c>
      <c r="H885" s="30" t="s">
        <v>1351</v>
      </c>
    </row>
    <row r="886" spans="3:8" x14ac:dyDescent="0.3">
      <c r="G886" s="58">
        <v>1</v>
      </c>
      <c r="H886" s="30" t="s">
        <v>1352</v>
      </c>
    </row>
    <row r="887" spans="3:8" x14ac:dyDescent="0.3">
      <c r="G887" s="58">
        <v>-1</v>
      </c>
      <c r="H887" s="30" t="s">
        <v>1353</v>
      </c>
    </row>
    <row r="888" spans="3:8" x14ac:dyDescent="0.3">
      <c r="G888" s="59" t="b">
        <v>1</v>
      </c>
      <c r="H888" s="30" t="s">
        <v>1352</v>
      </c>
    </row>
    <row r="889" spans="3:8" x14ac:dyDescent="0.3">
      <c r="G889" s="59" t="b">
        <v>0</v>
      </c>
      <c r="H889" s="30" t="s">
        <v>1351</v>
      </c>
    </row>
    <row r="890" spans="3:8" x14ac:dyDescent="0.3">
      <c r="G890" t="s">
        <v>1354</v>
      </c>
    </row>
    <row r="891" spans="3:8" x14ac:dyDescent="0.3">
      <c r="C891" s="119" t="s">
        <v>1091</v>
      </c>
      <c r="F891" s="63" t="s">
        <v>261</v>
      </c>
      <c r="G891" t="s">
        <v>1355</v>
      </c>
    </row>
    <row r="892" spans="3:8" x14ac:dyDescent="0.3">
      <c r="G892" t="s">
        <v>1356</v>
      </c>
    </row>
    <row r="893" spans="3:8" x14ac:dyDescent="0.3">
      <c r="G893" s="59" t="b">
        <v>0</v>
      </c>
      <c r="H893" s="30" t="s">
        <v>1357</v>
      </c>
    </row>
    <row r="894" spans="3:8" x14ac:dyDescent="0.3">
      <c r="G894" s="59" t="b">
        <v>1</v>
      </c>
      <c r="H894" s="30" t="s">
        <v>1358</v>
      </c>
    </row>
    <row r="895" spans="3:8" x14ac:dyDescent="0.3">
      <c r="G895" s="59" t="s">
        <v>1359</v>
      </c>
      <c r="H895" s="30" t="s">
        <v>1360</v>
      </c>
    </row>
    <row r="896" spans="3:8" x14ac:dyDescent="0.3">
      <c r="G896" t="s">
        <v>1361</v>
      </c>
    </row>
    <row r="898" spans="2:5" x14ac:dyDescent="0.3">
      <c r="B898" s="13" t="s">
        <v>74</v>
      </c>
    </row>
    <row r="899" spans="2:5" x14ac:dyDescent="0.3">
      <c r="C899" s="120" t="e">
        <v>#VALUE!</v>
      </c>
      <c r="E899" t="s">
        <v>1362</v>
      </c>
    </row>
    <row r="900" spans="2:5" x14ac:dyDescent="0.3">
      <c r="C900" s="120" t="e" vm="1">
        <v>#VALUE!</v>
      </c>
      <c r="E900" t="s">
        <v>1363</v>
      </c>
    </row>
    <row r="901" spans="2:5" x14ac:dyDescent="0.3">
      <c r="E901" s="39" t="s">
        <v>1364</v>
      </c>
    </row>
    <row r="902" spans="2:5" x14ac:dyDescent="0.3">
      <c r="C902" s="120" t="e" vm="1">
        <v>#VALUE!</v>
      </c>
      <c r="E902" t="s">
        <v>1365</v>
      </c>
    </row>
    <row r="903" spans="2:5" x14ac:dyDescent="0.3">
      <c r="E903" s="39" t="s">
        <v>1364</v>
      </c>
    </row>
    <row r="904" spans="2:5" x14ac:dyDescent="0.3">
      <c r="C904" s="120" t="e">
        <v>#VALUE!</v>
      </c>
      <c r="E904" t="s">
        <v>1366</v>
      </c>
    </row>
    <row r="905" spans="2:5" x14ac:dyDescent="0.3">
      <c r="E905" s="39" t="s">
        <v>1367</v>
      </c>
    </row>
    <row r="907" spans="2:5" x14ac:dyDescent="0.3">
      <c r="B907" s="13" t="s">
        <v>1100</v>
      </c>
    </row>
    <row r="908" spans="2:5" x14ac:dyDescent="0.3">
      <c r="C908" t="s">
        <v>1368</v>
      </c>
    </row>
    <row r="909" spans="2:5" x14ac:dyDescent="0.3">
      <c r="C909" t="s">
        <v>1369</v>
      </c>
    </row>
    <row r="910" spans="2:5" x14ac:dyDescent="0.3">
      <c r="C910" t="s">
        <v>1370</v>
      </c>
    </row>
    <row r="911" spans="2:5" x14ac:dyDescent="0.3">
      <c r="C911" t="s">
        <v>1371</v>
      </c>
    </row>
    <row r="912" spans="2:5" x14ac:dyDescent="0.3">
      <c r="C912" t="s">
        <v>1372</v>
      </c>
    </row>
    <row r="913" spans="2:3" x14ac:dyDescent="0.3">
      <c r="C913" t="s">
        <v>1373</v>
      </c>
    </row>
    <row r="914" spans="2:3" x14ac:dyDescent="0.3">
      <c r="C914" t="s">
        <v>1374</v>
      </c>
    </row>
    <row r="915" spans="2:3" x14ac:dyDescent="0.3">
      <c r="C915" t="s">
        <v>1375</v>
      </c>
    </row>
    <row r="916" spans="2:3" x14ac:dyDescent="0.3">
      <c r="C916" t="s">
        <v>1376</v>
      </c>
    </row>
    <row r="918" spans="2:3" x14ac:dyDescent="0.3">
      <c r="B918" s="13" t="s">
        <v>75</v>
      </c>
    </row>
    <row r="919" spans="2:3" x14ac:dyDescent="0.3">
      <c r="C919" s="121" t="s">
        <v>107</v>
      </c>
    </row>
    <row r="920" spans="2:3" x14ac:dyDescent="0.3">
      <c r="C920" s="35" t="s">
        <v>126</v>
      </c>
    </row>
    <row r="921" spans="2:3" x14ac:dyDescent="0.3">
      <c r="C921" s="122" t="s">
        <v>1104</v>
      </c>
    </row>
    <row r="922" spans="2:3" x14ac:dyDescent="0.3">
      <c r="C922" s="122" t="s">
        <v>1105</v>
      </c>
    </row>
    <row r="923" spans="2:3" x14ac:dyDescent="0.3">
      <c r="C923" s="122" t="s">
        <v>1377</v>
      </c>
    </row>
    <row r="924" spans="2:3" x14ac:dyDescent="0.3">
      <c r="C924" s="122" t="s">
        <v>1378</v>
      </c>
    </row>
    <row r="925" spans="2:3" x14ac:dyDescent="0.3">
      <c r="C925" s="122" t="s">
        <v>1379</v>
      </c>
    </row>
    <row r="926" spans="2:3" x14ac:dyDescent="0.3">
      <c r="C926" s="122" t="s">
        <v>1380</v>
      </c>
    </row>
    <row r="927" spans="2:3" x14ac:dyDescent="0.3">
      <c r="C927" s="122" t="s">
        <v>1381</v>
      </c>
    </row>
    <row r="928" spans="2:3" x14ac:dyDescent="0.3">
      <c r="C928" s="122" t="s">
        <v>1382</v>
      </c>
    </row>
    <row r="929" spans="3:3" x14ac:dyDescent="0.3">
      <c r="C929" s="122" t="s">
        <v>1110</v>
      </c>
    </row>
    <row r="930" spans="3:3" x14ac:dyDescent="0.3">
      <c r="C930" s="35" t="s">
        <v>127</v>
      </c>
    </row>
    <row r="931" spans="3:3" x14ac:dyDescent="0.3">
      <c r="C931" s="123" t="s">
        <v>80</v>
      </c>
    </row>
    <row r="932" spans="3:3" x14ac:dyDescent="0.3">
      <c r="C932" s="124" t="s">
        <v>1383</v>
      </c>
    </row>
    <row r="933" spans="3:3" x14ac:dyDescent="0.3">
      <c r="C933" s="124" t="s">
        <v>1384</v>
      </c>
    </row>
    <row r="934" spans="3:3" x14ac:dyDescent="0.3">
      <c r="C934" s="124" t="s">
        <v>1385</v>
      </c>
    </row>
    <row r="935" spans="3:3" x14ac:dyDescent="0.3">
      <c r="C935" s="124" t="s">
        <v>1386</v>
      </c>
    </row>
    <row r="936" spans="3:3" x14ac:dyDescent="0.3">
      <c r="C936" s="36" t="s">
        <v>582</v>
      </c>
    </row>
    <row r="937" spans="3:3" x14ac:dyDescent="0.3">
      <c r="C937" s="124" t="s">
        <v>1387</v>
      </c>
    </row>
    <row r="938" spans="3:3" x14ac:dyDescent="0.3">
      <c r="C938" s="125" t="s">
        <v>1388</v>
      </c>
    </row>
    <row r="939" spans="3:3" x14ac:dyDescent="0.3">
      <c r="C939" s="124" t="s">
        <v>1389</v>
      </c>
    </row>
    <row r="940" spans="3:3" x14ac:dyDescent="0.3">
      <c r="C940" s="125" t="s">
        <v>1390</v>
      </c>
    </row>
    <row r="941" spans="3:3" x14ac:dyDescent="0.3">
      <c r="C941" s="124" t="s">
        <v>1391</v>
      </c>
    </row>
    <row r="942" spans="3:3" x14ac:dyDescent="0.3">
      <c r="C942" s="124" t="s">
        <v>1392</v>
      </c>
    </row>
    <row r="943" spans="3:3" x14ac:dyDescent="0.3">
      <c r="C943" s="125" t="s">
        <v>1393</v>
      </c>
    </row>
    <row r="944" spans="3:3" x14ac:dyDescent="0.3">
      <c r="C944" s="124" t="s">
        <v>88</v>
      </c>
    </row>
    <row r="945" spans="3:3" x14ac:dyDescent="0.3">
      <c r="C945" s="124" t="s">
        <v>1394</v>
      </c>
    </row>
    <row r="946" spans="3:3" x14ac:dyDescent="0.3">
      <c r="C946" s="125" t="s">
        <v>1395</v>
      </c>
    </row>
    <row r="947" spans="3:3" x14ac:dyDescent="0.3">
      <c r="C947" s="124" t="s">
        <v>1396</v>
      </c>
    </row>
    <row r="948" spans="3:3" x14ac:dyDescent="0.3">
      <c r="C948" s="124" t="s">
        <v>1397</v>
      </c>
    </row>
    <row r="949" spans="3:3" x14ac:dyDescent="0.3">
      <c r="C949" s="125" t="s">
        <v>1398</v>
      </c>
    </row>
    <row r="950" spans="3:3" x14ac:dyDescent="0.3">
      <c r="C950" s="125" t="s">
        <v>1399</v>
      </c>
    </row>
    <row r="951" spans="3:3" x14ac:dyDescent="0.3">
      <c r="C951" s="124" t="s">
        <v>88</v>
      </c>
    </row>
    <row r="952" spans="3:3" x14ac:dyDescent="0.3">
      <c r="C952" s="36" t="s">
        <v>590</v>
      </c>
    </row>
    <row r="953" spans="3:3" x14ac:dyDescent="0.3">
      <c r="C953" s="124" t="s">
        <v>420</v>
      </c>
    </row>
    <row r="954" spans="3:3" x14ac:dyDescent="0.3">
      <c r="C954" s="125" t="s">
        <v>858</v>
      </c>
    </row>
    <row r="955" spans="3:3" x14ac:dyDescent="0.3">
      <c r="C955" s="126" t="s">
        <v>1400</v>
      </c>
    </row>
    <row r="956" spans="3:3" x14ac:dyDescent="0.3">
      <c r="C956" s="126" t="s">
        <v>1401</v>
      </c>
    </row>
    <row r="957" spans="3:3" x14ac:dyDescent="0.3">
      <c r="C957" s="126" t="s">
        <v>1402</v>
      </c>
    </row>
    <row r="958" spans="3:3" x14ac:dyDescent="0.3">
      <c r="C958" s="126" t="s">
        <v>1403</v>
      </c>
    </row>
    <row r="959" spans="3:3" x14ac:dyDescent="0.3">
      <c r="C959" s="126" t="s">
        <v>1404</v>
      </c>
    </row>
    <row r="960" spans="3:3" x14ac:dyDescent="0.3">
      <c r="C960" s="126" t="s">
        <v>1405</v>
      </c>
    </row>
    <row r="961" spans="3:3" x14ac:dyDescent="0.3">
      <c r="C961" s="125" t="s">
        <v>1139</v>
      </c>
    </row>
    <row r="962" spans="3:3" x14ac:dyDescent="0.3">
      <c r="C962" s="125" t="s">
        <v>1406</v>
      </c>
    </row>
    <row r="963" spans="3:3" x14ac:dyDescent="0.3">
      <c r="C963" s="126" t="s">
        <v>1407</v>
      </c>
    </row>
    <row r="964" spans="3:3" x14ac:dyDescent="0.3">
      <c r="C964" s="126" t="s">
        <v>1408</v>
      </c>
    </row>
    <row r="965" spans="3:3" x14ac:dyDescent="0.3">
      <c r="C965" s="125" t="s">
        <v>1144</v>
      </c>
    </row>
    <row r="966" spans="3:3" x14ac:dyDescent="0.3">
      <c r="C966" s="125" t="s">
        <v>596</v>
      </c>
    </row>
    <row r="967" spans="3:3" x14ac:dyDescent="0.3">
      <c r="C967" s="124" t="s">
        <v>88</v>
      </c>
    </row>
    <row r="968" spans="3:3" x14ac:dyDescent="0.3">
      <c r="C968" s="36" t="s">
        <v>1409</v>
      </c>
    </row>
    <row r="969" spans="3:3" x14ac:dyDescent="0.3">
      <c r="C969" s="124" t="s">
        <v>1410</v>
      </c>
    </row>
    <row r="970" spans="3:3" x14ac:dyDescent="0.3">
      <c r="C970" s="124" t="s">
        <v>1411</v>
      </c>
    </row>
    <row r="971" spans="3:3" x14ac:dyDescent="0.3">
      <c r="C971" s="124" t="s">
        <v>1412</v>
      </c>
    </row>
    <row r="972" spans="3:3" x14ac:dyDescent="0.3">
      <c r="C972" s="124" t="s">
        <v>1413</v>
      </c>
    </row>
    <row r="973" spans="3:3" x14ac:dyDescent="0.3">
      <c r="C973" s="36" t="s">
        <v>1414</v>
      </c>
    </row>
    <row r="974" spans="3:3" x14ac:dyDescent="0.3">
      <c r="C974" s="124" t="s">
        <v>1415</v>
      </c>
    </row>
    <row r="975" spans="3:3" x14ac:dyDescent="0.3">
      <c r="C975" s="124" t="s">
        <v>1416</v>
      </c>
    </row>
    <row r="976" spans="3:3" x14ac:dyDescent="0.3">
      <c r="C976" s="124" t="s">
        <v>1417</v>
      </c>
    </row>
    <row r="977" spans="3:3" x14ac:dyDescent="0.3">
      <c r="C977" s="36" t="s">
        <v>1418</v>
      </c>
    </row>
    <row r="978" spans="3:3" x14ac:dyDescent="0.3">
      <c r="C978" s="36" t="s">
        <v>1419</v>
      </c>
    </row>
    <row r="979" spans="3:3" x14ac:dyDescent="0.3">
      <c r="C979" s="36" t="s">
        <v>1420</v>
      </c>
    </row>
    <row r="980" spans="3:3" x14ac:dyDescent="0.3">
      <c r="C980" s="36" t="s">
        <v>1421</v>
      </c>
    </row>
    <row r="981" spans="3:3" x14ac:dyDescent="0.3">
      <c r="C981" s="124" t="s">
        <v>1422</v>
      </c>
    </row>
    <row r="982" spans="3:3" x14ac:dyDescent="0.3">
      <c r="C982" s="124" t="s">
        <v>1423</v>
      </c>
    </row>
    <row r="983" spans="3:3" x14ac:dyDescent="0.3">
      <c r="C983" s="124" t="s">
        <v>1424</v>
      </c>
    </row>
    <row r="984" spans="3:3" x14ac:dyDescent="0.3">
      <c r="C984" s="36" t="s">
        <v>1425</v>
      </c>
    </row>
    <row r="985" spans="3:3" x14ac:dyDescent="0.3">
      <c r="C985" s="36" t="s">
        <v>1426</v>
      </c>
    </row>
    <row r="986" spans="3:3" x14ac:dyDescent="0.3">
      <c r="C986" s="124" t="s">
        <v>1427</v>
      </c>
    </row>
    <row r="987" spans="3:3" x14ac:dyDescent="0.3">
      <c r="C987" s="125" t="s">
        <v>1428</v>
      </c>
    </row>
    <row r="988" spans="3:3" x14ac:dyDescent="0.3">
      <c r="C988" s="125" t="s">
        <v>1429</v>
      </c>
    </row>
    <row r="989" spans="3:3" x14ac:dyDescent="0.3">
      <c r="C989" s="125" t="s">
        <v>1430</v>
      </c>
    </row>
    <row r="990" spans="3:3" x14ac:dyDescent="0.3">
      <c r="C990" s="125" t="s">
        <v>1431</v>
      </c>
    </row>
    <row r="991" spans="3:3" x14ac:dyDescent="0.3">
      <c r="C991" s="125" t="s">
        <v>1432</v>
      </c>
    </row>
    <row r="992" spans="3:3" x14ac:dyDescent="0.3">
      <c r="C992" s="126" t="s">
        <v>1433</v>
      </c>
    </row>
    <row r="993" spans="3:3" x14ac:dyDescent="0.3">
      <c r="C993" s="126" t="s">
        <v>1434</v>
      </c>
    </row>
    <row r="994" spans="3:3" x14ac:dyDescent="0.3">
      <c r="C994" s="125" t="s">
        <v>106</v>
      </c>
    </row>
    <row r="995" spans="3:3" x14ac:dyDescent="0.3">
      <c r="C995" s="124" t="s">
        <v>88</v>
      </c>
    </row>
    <row r="996" spans="3:3" x14ac:dyDescent="0.3">
      <c r="C996" s="36" t="s">
        <v>1435</v>
      </c>
    </row>
    <row r="997" spans="3:3" x14ac:dyDescent="0.3">
      <c r="C997" s="36" t="s">
        <v>1436</v>
      </c>
    </row>
    <row r="998" spans="3:3" x14ac:dyDescent="0.3">
      <c r="C998" s="124" t="s">
        <v>1437</v>
      </c>
    </row>
    <row r="999" spans="3:3" x14ac:dyDescent="0.3">
      <c r="C999" s="125" t="s">
        <v>1438</v>
      </c>
    </row>
    <row r="1000" spans="3:3" x14ac:dyDescent="0.3">
      <c r="C1000" s="125" t="s">
        <v>1439</v>
      </c>
    </row>
    <row r="1001" spans="3:3" x14ac:dyDescent="0.3">
      <c r="C1001" s="124" t="s">
        <v>88</v>
      </c>
    </row>
    <row r="1002" spans="3:3" x14ac:dyDescent="0.3">
      <c r="C1002" s="36" t="s">
        <v>1440</v>
      </c>
    </row>
    <row r="1003" spans="3:3" x14ac:dyDescent="0.3">
      <c r="C1003" s="124" t="s">
        <v>1441</v>
      </c>
    </row>
    <row r="1004" spans="3:3" x14ac:dyDescent="0.3">
      <c r="C1004" s="125" t="s">
        <v>1442</v>
      </c>
    </row>
    <row r="1005" spans="3:3" x14ac:dyDescent="0.3">
      <c r="C1005" s="125" t="s">
        <v>1443</v>
      </c>
    </row>
    <row r="1006" spans="3:3" x14ac:dyDescent="0.3">
      <c r="C1006" s="124" t="s">
        <v>88</v>
      </c>
    </row>
    <row r="1007" spans="3:3" x14ac:dyDescent="0.3">
      <c r="C1007" s="36" t="s">
        <v>1444</v>
      </c>
    </row>
    <row r="1008" spans="3:3" x14ac:dyDescent="0.3">
      <c r="C1008" s="36" t="s">
        <v>1445</v>
      </c>
    </row>
    <row r="1009" spans="3:3" x14ac:dyDescent="0.3">
      <c r="C1009" s="36" t="s">
        <v>1446</v>
      </c>
    </row>
    <row r="1010" spans="3:3" x14ac:dyDescent="0.3">
      <c r="C1010" s="124" t="s">
        <v>1447</v>
      </c>
    </row>
    <row r="1011" spans="3:3" x14ac:dyDescent="0.3">
      <c r="C1011" s="125" t="s">
        <v>1448</v>
      </c>
    </row>
    <row r="1012" spans="3:3" x14ac:dyDescent="0.3">
      <c r="C1012" s="125" t="s">
        <v>1449</v>
      </c>
    </row>
    <row r="1013" spans="3:3" x14ac:dyDescent="0.3">
      <c r="C1013" s="126" t="s">
        <v>1450</v>
      </c>
    </row>
    <row r="1014" spans="3:3" x14ac:dyDescent="0.3">
      <c r="C1014" s="126" t="s">
        <v>1451</v>
      </c>
    </row>
    <row r="1015" spans="3:3" x14ac:dyDescent="0.3">
      <c r="C1015" s="158" t="s">
        <v>1448</v>
      </c>
    </row>
    <row r="1016" spans="3:3" x14ac:dyDescent="0.3">
      <c r="C1016" s="158" t="s">
        <v>1452</v>
      </c>
    </row>
    <row r="1017" spans="3:3" x14ac:dyDescent="0.3">
      <c r="C1017" s="126" t="s">
        <v>106</v>
      </c>
    </row>
    <row r="1018" spans="3:3" x14ac:dyDescent="0.3">
      <c r="C1018" s="125" t="s">
        <v>88</v>
      </c>
    </row>
    <row r="1019" spans="3:3" x14ac:dyDescent="0.3">
      <c r="C1019" s="125" t="s">
        <v>1449</v>
      </c>
    </row>
    <row r="1020" spans="3:3" x14ac:dyDescent="0.3">
      <c r="C1020" s="126" t="s">
        <v>1453</v>
      </c>
    </row>
    <row r="1021" spans="3:3" x14ac:dyDescent="0.3">
      <c r="C1021" s="126" t="s">
        <v>1454</v>
      </c>
    </row>
    <row r="1022" spans="3:3" x14ac:dyDescent="0.3">
      <c r="C1022" s="125" t="s">
        <v>88</v>
      </c>
    </row>
    <row r="1023" spans="3:3" x14ac:dyDescent="0.3">
      <c r="C1023" s="125" t="s">
        <v>1451</v>
      </c>
    </row>
    <row r="1024" spans="3:3" x14ac:dyDescent="0.3">
      <c r="C1024" s="126" t="s">
        <v>1448</v>
      </c>
    </row>
    <row r="1025" spans="3:3" x14ac:dyDescent="0.3">
      <c r="C1025" s="126" t="s">
        <v>1452</v>
      </c>
    </row>
    <row r="1026" spans="3:3" x14ac:dyDescent="0.3">
      <c r="C1026" s="125" t="s">
        <v>106</v>
      </c>
    </row>
    <row r="1027" spans="3:3" x14ac:dyDescent="0.3">
      <c r="C1027" s="124" t="s">
        <v>88</v>
      </c>
    </row>
    <row r="1028" spans="3:3" x14ac:dyDescent="0.3">
      <c r="C1028" s="124" t="s">
        <v>101</v>
      </c>
    </row>
    <row r="1029" spans="3:3" x14ac:dyDescent="0.3">
      <c r="C1029" s="37" t="s">
        <v>1455</v>
      </c>
    </row>
    <row r="1030" spans="3:3" x14ac:dyDescent="0.3">
      <c r="C1030" s="125" t="s">
        <v>1456</v>
      </c>
    </row>
    <row r="1031" spans="3:3" x14ac:dyDescent="0.3">
      <c r="C1031" s="126" t="s">
        <v>1457</v>
      </c>
    </row>
    <row r="1032" spans="3:3" x14ac:dyDescent="0.3">
      <c r="C1032" s="126" t="s">
        <v>1458</v>
      </c>
    </row>
    <row r="1033" spans="3:3" x14ac:dyDescent="0.3">
      <c r="C1033" s="125" t="s">
        <v>88</v>
      </c>
    </row>
    <row r="1034" spans="3:3" x14ac:dyDescent="0.3">
      <c r="C1034" s="37" t="s">
        <v>1459</v>
      </c>
    </row>
    <row r="1035" spans="3:3" x14ac:dyDescent="0.3">
      <c r="C1035" s="125" t="s">
        <v>1460</v>
      </c>
    </row>
    <row r="1036" spans="3:3" x14ac:dyDescent="0.3">
      <c r="C1036" s="126" t="s">
        <v>1461</v>
      </c>
    </row>
    <row r="1037" spans="3:3" x14ac:dyDescent="0.3">
      <c r="C1037" s="126" t="s">
        <v>1462</v>
      </c>
    </row>
    <row r="1038" spans="3:3" x14ac:dyDescent="0.3">
      <c r="C1038" s="125" t="s">
        <v>88</v>
      </c>
    </row>
    <row r="1039" spans="3:3" x14ac:dyDescent="0.3">
      <c r="C1039" s="125" t="s">
        <v>1463</v>
      </c>
    </row>
    <row r="1040" spans="3:3" x14ac:dyDescent="0.3">
      <c r="C1040" s="124" t="s">
        <v>88</v>
      </c>
    </row>
    <row r="1041" spans="2:3" x14ac:dyDescent="0.3">
      <c r="C1041" s="36" t="s">
        <v>1464</v>
      </c>
    </row>
    <row r="1042" spans="2:3" x14ac:dyDescent="0.3">
      <c r="C1042" s="124" t="s">
        <v>105</v>
      </c>
    </row>
    <row r="1043" spans="2:3" x14ac:dyDescent="0.3">
      <c r="C1043" s="123" t="s">
        <v>106</v>
      </c>
    </row>
    <row r="1044" spans="2:3" x14ac:dyDescent="0.3">
      <c r="C1044" s="66" t="s">
        <v>106</v>
      </c>
    </row>
    <row r="1046" spans="2:3" x14ac:dyDescent="0.3">
      <c r="C1046" s="13" t="s">
        <v>115</v>
      </c>
    </row>
    <row r="1047" spans="2:3" x14ac:dyDescent="0.3">
      <c r="C1047" s="121" t="s">
        <v>1465</v>
      </c>
    </row>
    <row r="1049" spans="2:3" ht="14.4" thickBot="1" x14ac:dyDescent="0.35"/>
    <row r="1050" spans="2:3" s="5" customFormat="1" x14ac:dyDescent="0.3">
      <c r="B1050" s="5" t="s">
        <v>0</v>
      </c>
    </row>
  </sheetData>
  <conditionalFormatting sqref="C409:C410">
    <cfRule type="duplicateValues" dxfId="30" priority="3"/>
  </conditionalFormatting>
  <conditionalFormatting sqref="C500:C501">
    <cfRule type="duplicateValues" dxfId="29" priority="2"/>
  </conditionalFormatting>
  <conditionalFormatting sqref="C644:C645">
    <cfRule type="duplicateValues" dxfId="28" priority="1"/>
  </conditionalFormatting>
  <conditionalFormatting sqref="G306:N325 G355:N374 G417:N436 G509:N528 G653:N672 G761:N780">
    <cfRule type="expression" dxfId="27" priority="4">
      <formula>ISNA(G306)</formula>
    </cfRule>
  </conditionalFormatting>
  <conditionalFormatting sqref="I38:K45 I61:K68 G84:L91 G137:N148 G176:N183 G227:N238 G281:N300">
    <cfRule type="expression" dxfId="26" priority="5">
      <formula>ISNA(G38)</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15F27-6108-4BCF-8CE1-916D41088FDA}">
  <sheetPr codeName="Sheet4"/>
  <dimension ref="A1:Z616"/>
  <sheetViews>
    <sheetView showGridLines="0" zoomScaleNormal="100" workbookViewId="0">
      <pane ySplit="1" topLeftCell="A2" activePane="bottomLeft" state="frozen"/>
      <selection pane="bottomLeft"/>
    </sheetView>
  </sheetViews>
  <sheetFormatPr defaultRowHeight="13.8" x14ac:dyDescent="0.3"/>
  <cols>
    <col min="1" max="2" width="4.33203125" customWidth="1"/>
    <col min="3" max="15" width="5.6640625" customWidth="1"/>
  </cols>
  <sheetData>
    <row r="1" spans="1:23" s="4" customFormat="1" ht="30" customHeight="1" x14ac:dyDescent="0.3">
      <c r="A1" s="12"/>
      <c r="C1" s="2" t="s">
        <v>681</v>
      </c>
    </row>
    <row r="2" spans="1:23" s="8" customFormat="1" ht="16.2" thickBot="1" x14ac:dyDescent="0.35">
      <c r="B2" s="9">
        <f xml:space="preserve"> MAX(B$1:B1) + 1</f>
        <v>1</v>
      </c>
      <c r="C2" s="8" t="s">
        <v>4</v>
      </c>
    </row>
    <row r="4" spans="1:23" x14ac:dyDescent="0.3">
      <c r="B4" s="6" t="s">
        <v>1</v>
      </c>
    </row>
    <row r="5" spans="1:23" x14ac:dyDescent="0.3">
      <c r="C5" t="s">
        <v>682</v>
      </c>
    </row>
    <row r="6" spans="1:23" x14ac:dyDescent="0.3">
      <c r="C6" t="s">
        <v>683</v>
      </c>
    </row>
    <row r="7" spans="1:23" x14ac:dyDescent="0.3">
      <c r="F7" s="24" t="s">
        <v>684</v>
      </c>
      <c r="G7" t="s">
        <v>685</v>
      </c>
    </row>
    <row r="8" spans="1:23" x14ac:dyDescent="0.3">
      <c r="G8" t="s">
        <v>686</v>
      </c>
    </row>
    <row r="9" spans="1:23" x14ac:dyDescent="0.3">
      <c r="G9" t="s">
        <v>687</v>
      </c>
    </row>
    <row r="11" spans="1:23" x14ac:dyDescent="0.3">
      <c r="B11" s="14" t="s">
        <v>688</v>
      </c>
    </row>
    <row r="12" spans="1:23" x14ac:dyDescent="0.3">
      <c r="D12" s="71">
        <v>1</v>
      </c>
      <c r="E12" s="71">
        <v>2</v>
      </c>
      <c r="F12" s="71">
        <v>3</v>
      </c>
      <c r="G12" s="71">
        <v>4</v>
      </c>
      <c r="H12" s="71">
        <v>5</v>
      </c>
      <c r="I12" s="71">
        <v>6</v>
      </c>
      <c r="J12" s="71">
        <v>7</v>
      </c>
      <c r="K12" s="71">
        <v>8</v>
      </c>
      <c r="L12" s="71">
        <v>9</v>
      </c>
      <c r="M12" s="71">
        <v>10</v>
      </c>
      <c r="N12" s="71">
        <v>11</v>
      </c>
      <c r="O12" s="71">
        <v>12</v>
      </c>
      <c r="R12" s="71">
        <v>1</v>
      </c>
      <c r="S12" s="71">
        <v>2</v>
      </c>
      <c r="T12" s="71">
        <v>3</v>
      </c>
      <c r="U12" s="71">
        <v>4</v>
      </c>
      <c r="V12" s="71">
        <v>5</v>
      </c>
      <c r="W12" s="71">
        <v>6</v>
      </c>
    </row>
    <row r="13" spans="1:23" ht="14.4" thickBot="1" x14ac:dyDescent="0.35">
      <c r="C13" s="84"/>
      <c r="D13" s="84" t="s">
        <v>37</v>
      </c>
      <c r="E13" s="84" t="s">
        <v>38</v>
      </c>
      <c r="F13" s="84" t="s">
        <v>39</v>
      </c>
      <c r="G13" s="84" t="s">
        <v>40</v>
      </c>
      <c r="H13" s="84" t="s">
        <v>41</v>
      </c>
      <c r="I13" s="84" t="s">
        <v>42</v>
      </c>
      <c r="J13" s="84" t="s">
        <v>43</v>
      </c>
      <c r="K13" s="84" t="s">
        <v>44</v>
      </c>
      <c r="L13" s="84" t="s">
        <v>689</v>
      </c>
      <c r="M13" s="84" t="s">
        <v>690</v>
      </c>
      <c r="N13" s="84" t="s">
        <v>691</v>
      </c>
      <c r="O13" s="84" t="s">
        <v>692</v>
      </c>
      <c r="Q13" s="84"/>
      <c r="R13" s="84" t="s">
        <v>338</v>
      </c>
      <c r="S13" s="84" t="s">
        <v>339</v>
      </c>
      <c r="T13" s="84" t="s">
        <v>340</v>
      </c>
      <c r="U13" s="84" t="s">
        <v>341</v>
      </c>
      <c r="V13" s="84" t="s">
        <v>693</v>
      </c>
      <c r="W13" s="84" t="s">
        <v>694</v>
      </c>
    </row>
    <row r="14" spans="1:23" x14ac:dyDescent="0.3">
      <c r="C14" s="85">
        <v>1</v>
      </c>
      <c r="D14" s="86">
        <v>2</v>
      </c>
      <c r="E14" s="47">
        <v>28</v>
      </c>
      <c r="F14" s="47">
        <v>20</v>
      </c>
      <c r="G14" s="47">
        <v>96</v>
      </c>
      <c r="H14" s="47">
        <v>47</v>
      </c>
      <c r="I14" s="47">
        <v>5</v>
      </c>
      <c r="J14" s="47">
        <v>14</v>
      </c>
      <c r="K14" s="47">
        <v>11</v>
      </c>
      <c r="L14" s="47">
        <v>76</v>
      </c>
      <c r="M14" s="47">
        <v>40</v>
      </c>
      <c r="N14" s="47">
        <v>64</v>
      </c>
      <c r="O14" s="47">
        <v>63</v>
      </c>
      <c r="Q14" s="87">
        <v>1</v>
      </c>
      <c r="R14" s="25" t="s">
        <v>342</v>
      </c>
      <c r="S14" s="25" t="s">
        <v>695</v>
      </c>
      <c r="T14" s="25" t="s">
        <v>696</v>
      </c>
      <c r="U14" s="25" t="s">
        <v>697</v>
      </c>
      <c r="V14" s="25" t="s">
        <v>698</v>
      </c>
      <c r="W14" s="25" t="s">
        <v>699</v>
      </c>
    </row>
    <row r="15" spans="1:23" x14ac:dyDescent="0.3">
      <c r="C15" s="87">
        <v>2</v>
      </c>
      <c r="D15" s="88">
        <v>32</v>
      </c>
      <c r="E15" s="46">
        <v>20</v>
      </c>
      <c r="F15" s="46">
        <v>55</v>
      </c>
      <c r="G15" s="46">
        <v>5</v>
      </c>
      <c r="H15" s="46">
        <v>80</v>
      </c>
      <c r="I15" s="46">
        <v>27</v>
      </c>
      <c r="J15" s="46">
        <v>44</v>
      </c>
      <c r="K15" s="46">
        <v>67</v>
      </c>
      <c r="L15" s="46">
        <v>69</v>
      </c>
      <c r="M15" s="46">
        <v>16</v>
      </c>
      <c r="N15" s="46">
        <v>7</v>
      </c>
      <c r="O15" s="46">
        <v>80</v>
      </c>
      <c r="Q15" s="87">
        <v>2</v>
      </c>
      <c r="R15" s="25" t="s">
        <v>345</v>
      </c>
      <c r="S15" s="25" t="s">
        <v>342</v>
      </c>
      <c r="T15" s="25" t="s">
        <v>695</v>
      </c>
      <c r="U15" s="25" t="s">
        <v>696</v>
      </c>
      <c r="V15" s="25" t="s">
        <v>697</v>
      </c>
      <c r="W15" s="25" t="s">
        <v>698</v>
      </c>
    </row>
    <row r="16" spans="1:23" x14ac:dyDescent="0.3">
      <c r="C16" s="87">
        <v>3</v>
      </c>
      <c r="D16" s="88">
        <v>89</v>
      </c>
      <c r="E16" s="46">
        <v>74</v>
      </c>
      <c r="F16" s="46">
        <v>71</v>
      </c>
      <c r="G16" s="46">
        <v>25</v>
      </c>
      <c r="H16" s="46">
        <v>61</v>
      </c>
      <c r="I16" s="46">
        <v>50</v>
      </c>
      <c r="J16" s="46">
        <v>67</v>
      </c>
      <c r="K16" s="46">
        <v>44</v>
      </c>
      <c r="L16" s="46">
        <v>53</v>
      </c>
      <c r="M16" s="46">
        <v>75</v>
      </c>
      <c r="N16" s="46">
        <v>21</v>
      </c>
      <c r="O16" s="46">
        <v>31</v>
      </c>
      <c r="Q16" s="87">
        <v>3</v>
      </c>
      <c r="R16" s="25" t="s">
        <v>347</v>
      </c>
      <c r="S16" s="25" t="s">
        <v>345</v>
      </c>
      <c r="T16" s="25" t="s">
        <v>342</v>
      </c>
      <c r="U16" s="25" t="s">
        <v>695</v>
      </c>
      <c r="V16" s="25" t="s">
        <v>696</v>
      </c>
      <c r="W16" s="25" t="s">
        <v>697</v>
      </c>
    </row>
    <row r="17" spans="2:26" x14ac:dyDescent="0.3">
      <c r="C17" s="87">
        <v>4</v>
      </c>
      <c r="D17" s="88">
        <v>27</v>
      </c>
      <c r="E17" s="46">
        <v>60</v>
      </c>
      <c r="F17" s="46">
        <v>62</v>
      </c>
      <c r="G17" s="46">
        <v>92</v>
      </c>
      <c r="H17" s="46">
        <v>3</v>
      </c>
      <c r="I17" s="46">
        <v>55</v>
      </c>
      <c r="J17" s="46">
        <v>27</v>
      </c>
      <c r="K17" s="46">
        <v>14</v>
      </c>
      <c r="L17" s="46">
        <v>28</v>
      </c>
      <c r="M17" s="46">
        <v>80</v>
      </c>
      <c r="N17" s="46">
        <v>94</v>
      </c>
      <c r="O17" s="46">
        <v>94</v>
      </c>
      <c r="Q17" s="87">
        <v>4</v>
      </c>
      <c r="R17" s="25" t="s">
        <v>350</v>
      </c>
      <c r="S17" s="25" t="s">
        <v>347</v>
      </c>
      <c r="T17" s="25" t="s">
        <v>345</v>
      </c>
      <c r="U17" s="25" t="s">
        <v>342</v>
      </c>
      <c r="V17" s="25" t="s">
        <v>695</v>
      </c>
      <c r="W17" s="25" t="s">
        <v>696</v>
      </c>
    </row>
    <row r="18" spans="2:26" x14ac:dyDescent="0.3">
      <c r="C18" s="87">
        <v>5</v>
      </c>
      <c r="D18" s="88">
        <v>85</v>
      </c>
      <c r="E18" s="46">
        <v>33</v>
      </c>
      <c r="F18" s="46">
        <v>29</v>
      </c>
      <c r="G18" s="46">
        <v>80</v>
      </c>
      <c r="H18" s="46">
        <v>5</v>
      </c>
      <c r="I18" s="46">
        <v>32</v>
      </c>
      <c r="J18" s="46">
        <v>62</v>
      </c>
      <c r="K18" s="46">
        <v>67</v>
      </c>
      <c r="L18" s="46">
        <v>3</v>
      </c>
      <c r="M18" s="46">
        <v>15</v>
      </c>
      <c r="N18" s="46">
        <v>51</v>
      </c>
      <c r="O18" s="46">
        <v>37</v>
      </c>
      <c r="Q18" s="87">
        <v>5</v>
      </c>
      <c r="R18" s="25" t="s">
        <v>351</v>
      </c>
      <c r="S18" s="25" t="s">
        <v>350</v>
      </c>
      <c r="T18" s="25" t="s">
        <v>347</v>
      </c>
      <c r="U18" s="25" t="s">
        <v>345</v>
      </c>
      <c r="V18" s="25" t="s">
        <v>342</v>
      </c>
      <c r="W18" s="25" t="s">
        <v>695</v>
      </c>
    </row>
    <row r="19" spans="2:26" x14ac:dyDescent="0.3">
      <c r="C19" s="87">
        <v>6</v>
      </c>
      <c r="D19" s="88">
        <v>53</v>
      </c>
      <c r="E19" s="46">
        <v>2</v>
      </c>
      <c r="F19" s="46">
        <v>84</v>
      </c>
      <c r="G19" s="46">
        <v>70</v>
      </c>
      <c r="H19" s="46">
        <v>39</v>
      </c>
      <c r="I19" s="46">
        <v>11</v>
      </c>
      <c r="J19" s="46">
        <v>53</v>
      </c>
      <c r="K19" s="46">
        <v>82</v>
      </c>
      <c r="L19" s="46">
        <v>52</v>
      </c>
      <c r="M19" s="46">
        <v>77</v>
      </c>
      <c r="N19" s="46">
        <v>13</v>
      </c>
      <c r="O19" s="46">
        <v>27</v>
      </c>
      <c r="Q19" s="87">
        <v>6</v>
      </c>
      <c r="R19" s="25" t="s">
        <v>700</v>
      </c>
      <c r="S19" s="25" t="s">
        <v>351</v>
      </c>
      <c r="T19" s="25" t="s">
        <v>350</v>
      </c>
      <c r="U19" s="25" t="s">
        <v>347</v>
      </c>
      <c r="V19" s="25" t="s">
        <v>345</v>
      </c>
      <c r="W19" s="25" t="s">
        <v>342</v>
      </c>
    </row>
    <row r="20" spans="2:26" x14ac:dyDescent="0.3">
      <c r="C20" s="87">
        <v>7</v>
      </c>
      <c r="D20" s="88">
        <v>72</v>
      </c>
      <c r="E20" s="46">
        <v>93</v>
      </c>
      <c r="F20" s="46">
        <v>59</v>
      </c>
      <c r="G20" s="46">
        <v>67</v>
      </c>
      <c r="H20" s="46">
        <v>31</v>
      </c>
      <c r="I20" s="46">
        <v>96</v>
      </c>
      <c r="J20" s="46">
        <v>75</v>
      </c>
      <c r="K20" s="46">
        <v>85</v>
      </c>
      <c r="L20" s="46">
        <v>41</v>
      </c>
      <c r="M20" s="46">
        <v>28</v>
      </c>
      <c r="N20" s="46">
        <v>66</v>
      </c>
      <c r="O20" s="46">
        <v>72</v>
      </c>
      <c r="Q20" s="87">
        <v>7</v>
      </c>
      <c r="R20" s="25" t="s">
        <v>701</v>
      </c>
      <c r="S20" s="25" t="s">
        <v>700</v>
      </c>
      <c r="T20" s="25" t="s">
        <v>351</v>
      </c>
      <c r="U20" s="25" t="s">
        <v>350</v>
      </c>
      <c r="V20" s="25" t="s">
        <v>347</v>
      </c>
      <c r="W20" s="25" t="s">
        <v>345</v>
      </c>
    </row>
    <row r="21" spans="2:26" x14ac:dyDescent="0.3">
      <c r="C21" s="87">
        <v>8</v>
      </c>
      <c r="D21" s="88">
        <v>85</v>
      </c>
      <c r="E21" s="46">
        <v>60</v>
      </c>
      <c r="F21" s="46">
        <v>74</v>
      </c>
      <c r="G21" s="46">
        <v>76</v>
      </c>
      <c r="H21" s="46">
        <v>65</v>
      </c>
      <c r="I21" s="46">
        <v>93</v>
      </c>
      <c r="J21" s="46">
        <v>12</v>
      </c>
      <c r="K21" s="46">
        <v>4</v>
      </c>
      <c r="L21" s="46">
        <v>48</v>
      </c>
      <c r="M21" s="46">
        <v>81</v>
      </c>
      <c r="N21" s="46">
        <v>62</v>
      </c>
      <c r="O21" s="46">
        <v>31</v>
      </c>
      <c r="Q21" s="87">
        <v>8</v>
      </c>
      <c r="R21" s="25" t="s">
        <v>702</v>
      </c>
      <c r="S21" s="25" t="s">
        <v>701</v>
      </c>
      <c r="T21" s="25" t="s">
        <v>700</v>
      </c>
      <c r="U21" s="25" t="s">
        <v>351</v>
      </c>
      <c r="V21" s="25" t="s">
        <v>350</v>
      </c>
      <c r="W21" s="25" t="s">
        <v>347</v>
      </c>
    </row>
    <row r="22" spans="2:26" x14ac:dyDescent="0.3">
      <c r="C22" s="87">
        <v>9</v>
      </c>
      <c r="D22" s="88">
        <v>6</v>
      </c>
      <c r="E22" s="46">
        <v>67</v>
      </c>
      <c r="F22" s="46">
        <v>64</v>
      </c>
      <c r="G22" s="46">
        <v>34</v>
      </c>
      <c r="H22" s="46">
        <v>47</v>
      </c>
      <c r="I22" s="46">
        <v>93</v>
      </c>
      <c r="J22" s="46">
        <v>16</v>
      </c>
      <c r="K22" s="46">
        <v>5</v>
      </c>
      <c r="L22" s="46">
        <v>3</v>
      </c>
      <c r="M22" s="46">
        <v>27</v>
      </c>
      <c r="N22" s="46">
        <v>28</v>
      </c>
      <c r="O22" s="46">
        <v>99</v>
      </c>
      <c r="Q22" s="87">
        <v>9</v>
      </c>
      <c r="R22" s="25" t="s">
        <v>703</v>
      </c>
      <c r="S22" s="25" t="s">
        <v>702</v>
      </c>
      <c r="T22" s="25" t="s">
        <v>701</v>
      </c>
      <c r="U22" s="25" t="s">
        <v>700</v>
      </c>
      <c r="V22" s="25" t="s">
        <v>351</v>
      </c>
      <c r="W22" s="25" t="s">
        <v>350</v>
      </c>
    </row>
    <row r="23" spans="2:26" x14ac:dyDescent="0.3">
      <c r="C23" s="87">
        <v>10</v>
      </c>
      <c r="D23" s="88">
        <v>78</v>
      </c>
      <c r="E23" s="46">
        <v>34</v>
      </c>
      <c r="F23" s="46">
        <v>84</v>
      </c>
      <c r="G23" s="46">
        <v>11</v>
      </c>
      <c r="H23" s="46">
        <v>26</v>
      </c>
      <c r="I23" s="46">
        <v>76</v>
      </c>
      <c r="J23" s="46">
        <v>100</v>
      </c>
      <c r="K23" s="46">
        <v>50</v>
      </c>
      <c r="L23" s="46">
        <v>53</v>
      </c>
      <c r="M23" s="46">
        <v>61</v>
      </c>
      <c r="N23" s="46">
        <v>32</v>
      </c>
      <c r="O23" s="46">
        <v>44</v>
      </c>
      <c r="Q23" s="87">
        <v>10</v>
      </c>
      <c r="R23" s="25" t="s">
        <v>704</v>
      </c>
      <c r="S23" s="25" t="s">
        <v>703</v>
      </c>
      <c r="T23" s="25" t="s">
        <v>702</v>
      </c>
      <c r="U23" s="25" t="s">
        <v>701</v>
      </c>
      <c r="V23" s="25" t="s">
        <v>700</v>
      </c>
      <c r="W23" s="25" t="s">
        <v>351</v>
      </c>
    </row>
    <row r="24" spans="2:26" x14ac:dyDescent="0.3">
      <c r="C24" s="87">
        <v>11</v>
      </c>
      <c r="D24" s="88">
        <v>97</v>
      </c>
      <c r="E24" s="46">
        <v>76</v>
      </c>
      <c r="F24" s="46">
        <v>76</v>
      </c>
      <c r="G24" s="46">
        <v>35</v>
      </c>
      <c r="H24" s="46">
        <v>34</v>
      </c>
      <c r="I24" s="46">
        <v>25</v>
      </c>
      <c r="J24" s="46">
        <v>59</v>
      </c>
      <c r="K24" s="46">
        <v>36</v>
      </c>
      <c r="L24" s="46">
        <v>78</v>
      </c>
      <c r="M24" s="46">
        <v>42</v>
      </c>
      <c r="N24" s="46">
        <v>84</v>
      </c>
      <c r="O24" s="46">
        <v>77</v>
      </c>
      <c r="Q24" s="87">
        <v>11</v>
      </c>
      <c r="R24" s="25" t="s">
        <v>705</v>
      </c>
      <c r="S24" s="25" t="s">
        <v>704</v>
      </c>
      <c r="T24" s="25" t="s">
        <v>703</v>
      </c>
      <c r="U24" s="25" t="s">
        <v>702</v>
      </c>
      <c r="V24" s="25" t="s">
        <v>701</v>
      </c>
      <c r="W24" s="25" t="s">
        <v>700</v>
      </c>
    </row>
    <row r="25" spans="2:26" x14ac:dyDescent="0.3">
      <c r="C25" s="87">
        <v>12</v>
      </c>
      <c r="D25" s="88">
        <v>19</v>
      </c>
      <c r="E25" s="46">
        <v>13</v>
      </c>
      <c r="F25" s="46">
        <v>50</v>
      </c>
      <c r="G25" s="46">
        <v>40</v>
      </c>
      <c r="H25" s="46">
        <v>26</v>
      </c>
      <c r="I25" s="46">
        <v>5</v>
      </c>
      <c r="J25" s="46">
        <v>46</v>
      </c>
      <c r="K25" s="46">
        <v>16</v>
      </c>
      <c r="L25" s="46">
        <v>42</v>
      </c>
      <c r="M25" s="46">
        <v>16</v>
      </c>
      <c r="N25" s="46">
        <v>28</v>
      </c>
      <c r="O25" s="46">
        <v>43</v>
      </c>
      <c r="Q25" s="87">
        <v>12</v>
      </c>
      <c r="R25" s="25" t="s">
        <v>706</v>
      </c>
      <c r="S25" s="25" t="s">
        <v>705</v>
      </c>
      <c r="T25" s="25" t="s">
        <v>704</v>
      </c>
      <c r="U25" s="25" t="s">
        <v>703</v>
      </c>
      <c r="V25" s="25" t="s">
        <v>702</v>
      </c>
      <c r="W25" s="25" t="s">
        <v>701</v>
      </c>
    </row>
    <row r="28" spans="2:26" x14ac:dyDescent="0.3">
      <c r="B28" s="28" t="s">
        <v>352</v>
      </c>
      <c r="C28" s="27"/>
      <c r="D28" s="27"/>
      <c r="E28" s="27"/>
      <c r="F28" s="27"/>
      <c r="G28" s="27"/>
      <c r="H28" s="27"/>
      <c r="I28" s="27"/>
      <c r="J28" s="27"/>
      <c r="K28" s="27"/>
      <c r="L28" s="27"/>
      <c r="M28" s="27"/>
      <c r="N28" s="27"/>
      <c r="O28" s="27"/>
      <c r="P28" s="27"/>
      <c r="Q28" s="27"/>
      <c r="R28" s="27"/>
      <c r="S28" s="27"/>
      <c r="T28" s="27"/>
      <c r="U28" s="27"/>
      <c r="V28" s="27"/>
      <c r="W28" s="27"/>
      <c r="X28" s="27"/>
      <c r="Y28" s="27"/>
      <c r="Z28" s="27"/>
    </row>
    <row r="30" spans="2:26" x14ac:dyDescent="0.3">
      <c r="C30" t="s">
        <v>707</v>
      </c>
      <c r="D30" t="s">
        <v>708</v>
      </c>
    </row>
    <row r="31" spans="2:26" x14ac:dyDescent="0.3">
      <c r="D31" t="s">
        <v>709</v>
      </c>
    </row>
    <row r="33" spans="3:12" x14ac:dyDescent="0.3">
      <c r="E33" s="24" t="s">
        <v>710</v>
      </c>
      <c r="F33" s="46">
        <v>11</v>
      </c>
      <c r="H33" s="24" t="s">
        <v>711</v>
      </c>
      <c r="I33" s="102" cm="1">
        <f t="array" ref="I33:I35" xml:space="preserve"> _xlfn.LET(
  _xlpm._rng, $D$14:$O$25,
  _xlpm._itm, F33,
  _xlfn.TOCOL( IF(_xlpm._rng = _xlpm._itm, _xlpm._rng, NA()), 2)
)</f>
        <v>11</v>
      </c>
      <c r="J33" s="83"/>
      <c r="L33" s="52" t="str" cm="1">
        <f t="array" aca="1" ref="L33:L37" ca="1" xml:space="preserve"> _xlfn.TEXTSPLIT( _xlfn.FORMULATEXT(I33), , CHAR(10))</f>
        <v>= LET(</v>
      </c>
    </row>
    <row r="34" spans="3:12" x14ac:dyDescent="0.3">
      <c r="I34" s="89">
        <v>11</v>
      </c>
      <c r="J34" s="22"/>
      <c r="L34" s="52" t="str">
        <f ca="1"/>
        <v xml:space="preserve">  _rng, $D$14:$O$25,</v>
      </c>
    </row>
    <row r="35" spans="3:12" x14ac:dyDescent="0.3">
      <c r="I35" s="89">
        <v>11</v>
      </c>
      <c r="J35" s="22"/>
      <c r="L35" s="52" t="str">
        <f ca="1"/>
        <v xml:space="preserve">  _itm, F33,</v>
      </c>
    </row>
    <row r="36" spans="3:12" x14ac:dyDescent="0.3">
      <c r="I36" s="89"/>
      <c r="J36" s="22"/>
      <c r="L36" s="52" t="str">
        <f ca="1"/>
        <v xml:space="preserve">  TOCOL( IF(_rng = _itm, _rng, NA()), 2)</v>
      </c>
    </row>
    <row r="37" spans="3:12" x14ac:dyDescent="0.3">
      <c r="I37" s="89"/>
      <c r="J37" s="22"/>
      <c r="L37" s="52" t="str">
        <f ca="1"/>
        <v>)</v>
      </c>
    </row>
    <row r="40" spans="3:12" x14ac:dyDescent="0.3">
      <c r="C40" t="s">
        <v>712</v>
      </c>
      <c r="D40" t="s">
        <v>713</v>
      </c>
    </row>
    <row r="42" spans="3:12" x14ac:dyDescent="0.3">
      <c r="E42" s="24" t="s">
        <v>710</v>
      </c>
      <c r="F42" s="46">
        <v>0</v>
      </c>
      <c r="H42" s="24" t="s">
        <v>711</v>
      </c>
      <c r="I42" s="102" t="e" cm="1">
        <f t="array" ref="I42" xml:space="preserve"> _xlfn.LET(
  _xlpm._rng, $D$14:$O$25,
  _xlpm._itm, F42,
  _xlpm._out, _xlfn.TOCOL( IF(_xlpm._rng = _xlpm._itm, _xlpm._rng, NA()), 2),
  IF( ISERROR(_xlpm._out), NA(), _xlpm._out)
)</f>
        <v>#N/A</v>
      </c>
      <c r="J42" s="83"/>
      <c r="L42" s="52" t="str" cm="1">
        <f t="array" aca="1" ref="L42:L47" ca="1" xml:space="preserve"> _xlfn.TEXTSPLIT( _xlfn.FORMULATEXT(I42), , CHAR(10))</f>
        <v>= LET(</v>
      </c>
    </row>
    <row r="43" spans="3:12" x14ac:dyDescent="0.3">
      <c r="I43" s="89"/>
      <c r="J43" s="22"/>
      <c r="L43" s="52" t="str">
        <f ca="1"/>
        <v xml:space="preserve">  _rng, $D$14:$O$25,</v>
      </c>
    </row>
    <row r="44" spans="3:12" x14ac:dyDescent="0.3">
      <c r="I44" s="89"/>
      <c r="J44" s="22"/>
      <c r="L44" s="52" t="str">
        <f ca="1"/>
        <v xml:space="preserve">  _itm, F42,</v>
      </c>
    </row>
    <row r="45" spans="3:12" x14ac:dyDescent="0.3">
      <c r="I45" s="89"/>
      <c r="J45" s="22"/>
      <c r="L45" s="52" t="str">
        <f ca="1"/>
        <v xml:space="preserve">  _out, TOCOL( IF(_rng = _itm, _rng, NA()), 2),</v>
      </c>
    </row>
    <row r="46" spans="3:12" x14ac:dyDescent="0.3">
      <c r="I46" s="89"/>
      <c r="J46" s="22"/>
      <c r="L46" s="52" t="str">
        <f ca="1"/>
        <v xml:space="preserve">  IF( ISERROR(_out), NA(), _out)</v>
      </c>
    </row>
    <row r="47" spans="3:12" x14ac:dyDescent="0.3">
      <c r="L47" s="52" t="str">
        <f ca="1"/>
        <v>)</v>
      </c>
    </row>
    <row r="50" spans="3:12" x14ac:dyDescent="0.3">
      <c r="C50" t="s">
        <v>714</v>
      </c>
      <c r="D50" t="s">
        <v>715</v>
      </c>
    </row>
    <row r="52" spans="3:12" x14ac:dyDescent="0.3">
      <c r="E52" s="24" t="s">
        <v>710</v>
      </c>
      <c r="F52" s="46">
        <v>0</v>
      </c>
      <c r="H52" s="24" t="s">
        <v>711</v>
      </c>
      <c r="I52" s="102" t="str" cm="1">
        <f t="array" ref="I52" xml:space="preserve"> _xlfn.LET(
  _xlpm._rng, $D$14:$O$25,
  _xlpm._itm, F52,
  _xlpm._rep, IF( ISBLANK(F54), NA(), F54),
  _xlpm._out, _xlfn.TOCOL( IF(_xlpm._rng = _xlpm._itm, _xlpm._rng, NA()), 2),
  IF( ISERROR(_xlpm._out), _xlpm._rep, _xlpm._out)
)</f>
        <v>(not found)</v>
      </c>
      <c r="J52" s="83"/>
      <c r="L52" s="52" t="str" cm="1">
        <f t="array" aca="1" ref="L52:L58" ca="1" xml:space="preserve"> _xlfn.TEXTSPLIT( _xlfn.FORMULATEXT(I52), , CHAR(10))</f>
        <v>= LET(</v>
      </c>
    </row>
    <row r="53" spans="3:12" x14ac:dyDescent="0.3">
      <c r="I53" s="89"/>
      <c r="J53" s="22"/>
      <c r="L53" s="52" t="str">
        <f ca="1"/>
        <v xml:space="preserve">  _rng, $D$14:$O$25,</v>
      </c>
    </row>
    <row r="54" spans="3:12" x14ac:dyDescent="0.3">
      <c r="E54" s="24" t="s">
        <v>716</v>
      </c>
      <c r="F54" s="133" t="s">
        <v>717</v>
      </c>
      <c r="G54" s="134"/>
      <c r="I54" s="89"/>
      <c r="J54" s="22"/>
      <c r="L54" s="52" t="str">
        <f ca="1"/>
        <v xml:space="preserve">  _itm, F52,</v>
      </c>
    </row>
    <row r="55" spans="3:12" x14ac:dyDescent="0.3">
      <c r="I55" s="89"/>
      <c r="J55" s="22"/>
      <c r="L55" s="52" t="str">
        <f ca="1"/>
        <v xml:space="preserve">  _rep, IF( ISBLANK(F54), NA(), F54),</v>
      </c>
    </row>
    <row r="56" spans="3:12" x14ac:dyDescent="0.3">
      <c r="I56" s="89"/>
      <c r="J56" s="22"/>
      <c r="L56" s="52" t="str">
        <f ca="1"/>
        <v xml:space="preserve">  _out, TOCOL( IF(_rng = _itm, _rng, NA()), 2),</v>
      </c>
    </row>
    <row r="57" spans="3:12" x14ac:dyDescent="0.3">
      <c r="L57" s="52" t="str">
        <f ca="1"/>
        <v xml:space="preserve">  IF( ISERROR(_out), _rep, _out)</v>
      </c>
    </row>
    <row r="58" spans="3:12" x14ac:dyDescent="0.3">
      <c r="L58" s="52" t="str">
        <f ca="1"/>
        <v>)</v>
      </c>
    </row>
    <row r="61" spans="3:12" x14ac:dyDescent="0.3">
      <c r="C61" t="s">
        <v>718</v>
      </c>
      <c r="D61" t="s">
        <v>719</v>
      </c>
    </row>
    <row r="63" spans="3:12" x14ac:dyDescent="0.3">
      <c r="E63" s="24" t="s">
        <v>710</v>
      </c>
      <c r="F63" s="46">
        <v>1</v>
      </c>
      <c r="H63" s="24" t="s">
        <v>711</v>
      </c>
      <c r="I63" s="102" t="str" cm="1">
        <f t="array" ref="I63" xml:space="preserve"> _xlfn.LET(
  _xlpm._rng, $D$14:$O$25,
  _xlpm._itm, F63,
  _xlpm._optn, F66,
  _xlpm._rep, IF( ISBLANK(F65), NA(), F65),
  _xlpm._out, _xlfn.TOCOL( IF(_xlpm._rng = _xlpm._itm, _xlpm._rng, NA()), 2),
  _xlpm._rtn, CHOOSE(_xlpm._optn + 1,
    IF( ISERROR(_xlpm._out), _xlpm._rep, _xlpm._out),
    MAX( IF( ISERROR(_xlpm._out), 0, ROWS(_xlpm._out)))
  ),
  _xlpm._rtn
)</f>
        <v>(not found)</v>
      </c>
      <c r="J63" s="83"/>
      <c r="L63" s="52" t="str" cm="1">
        <f t="array" aca="1" ref="L63:L74" ca="1" xml:space="preserve"> _xlfn.TEXTSPLIT( _xlfn.FORMULATEXT(I63), , CHAR(10))</f>
        <v>= LET(</v>
      </c>
    </row>
    <row r="64" spans="3:12" x14ac:dyDescent="0.3">
      <c r="I64" s="89"/>
      <c r="J64" s="22"/>
      <c r="L64" s="52" t="str">
        <f ca="1"/>
        <v xml:space="preserve">  _rng, $D$14:$O$25,</v>
      </c>
    </row>
    <row r="65" spans="2:26" x14ac:dyDescent="0.3">
      <c r="E65" s="24" t="s">
        <v>716</v>
      </c>
      <c r="F65" s="133" t="s">
        <v>717</v>
      </c>
      <c r="G65" s="134"/>
      <c r="I65" s="89"/>
      <c r="J65" s="22"/>
      <c r="L65" s="52" t="str">
        <f ca="1"/>
        <v xml:space="preserve">  _itm, F63,</v>
      </c>
    </row>
    <row r="66" spans="2:26" x14ac:dyDescent="0.3">
      <c r="E66" s="24" t="s">
        <v>720</v>
      </c>
      <c r="F66" s="46">
        <v>0</v>
      </c>
      <c r="I66" s="89"/>
      <c r="J66" s="22"/>
      <c r="L66" s="52" t="str">
        <f ca="1"/>
        <v xml:space="preserve">  _optn, F66,</v>
      </c>
    </row>
    <row r="67" spans="2:26" x14ac:dyDescent="0.3">
      <c r="I67" s="89"/>
      <c r="J67" s="22"/>
      <c r="L67" s="52" t="str">
        <f ca="1"/>
        <v xml:space="preserve">  _rep, IF( ISBLANK(F65), NA(), F65),</v>
      </c>
    </row>
    <row r="68" spans="2:26" x14ac:dyDescent="0.3">
      <c r="L68" s="52" t="str">
        <f ca="1"/>
        <v xml:space="preserve">  _out, TOCOL( IF(_rng = _itm, _rng, NA()), 2),</v>
      </c>
    </row>
    <row r="69" spans="2:26" x14ac:dyDescent="0.3">
      <c r="L69" s="52" t="str">
        <f ca="1"/>
        <v xml:space="preserve">  _rtn, CHOOSE(_optn + 1,</v>
      </c>
    </row>
    <row r="70" spans="2:26" x14ac:dyDescent="0.3">
      <c r="L70" s="52" t="str">
        <f ca="1"/>
        <v xml:space="preserve">    IF( ISERROR(_out), _rep, _out),</v>
      </c>
    </row>
    <row r="71" spans="2:26" x14ac:dyDescent="0.3">
      <c r="L71" s="52" t="str">
        <f ca="1"/>
        <v xml:space="preserve">    MAX( IF( ISERROR(_out), 0, ROWS(_out)))</v>
      </c>
    </row>
    <row r="72" spans="2:26" x14ac:dyDescent="0.3">
      <c r="L72" s="52" t="str">
        <f ca="1"/>
        <v xml:space="preserve">  ),</v>
      </c>
    </row>
    <row r="73" spans="2:26" x14ac:dyDescent="0.3">
      <c r="L73" s="52" t="str">
        <f ca="1"/>
        <v xml:space="preserve">  _rtn</v>
      </c>
    </row>
    <row r="74" spans="2:26" x14ac:dyDescent="0.3">
      <c r="L74" s="52" t="str">
        <f ca="1"/>
        <v>)</v>
      </c>
    </row>
    <row r="77" spans="2:26" x14ac:dyDescent="0.3">
      <c r="B77" s="28" t="s">
        <v>721</v>
      </c>
      <c r="C77" s="27"/>
      <c r="D77" s="27"/>
      <c r="E77" s="27"/>
      <c r="F77" s="27"/>
      <c r="G77" s="27"/>
      <c r="H77" s="27"/>
      <c r="I77" s="27"/>
      <c r="J77" s="27"/>
      <c r="K77" s="27"/>
      <c r="L77" s="27"/>
      <c r="M77" s="27"/>
      <c r="N77" s="27"/>
      <c r="O77" s="27"/>
      <c r="P77" s="27"/>
      <c r="Q77" s="27"/>
      <c r="R77" s="27"/>
      <c r="S77" s="27"/>
      <c r="T77" s="27"/>
      <c r="U77" s="27"/>
      <c r="V77" s="27"/>
      <c r="W77" s="27"/>
      <c r="X77" s="27"/>
      <c r="Y77" s="27"/>
      <c r="Z77" s="27"/>
    </row>
    <row r="79" spans="2:26" x14ac:dyDescent="0.3">
      <c r="C79" t="s">
        <v>722</v>
      </c>
      <c r="D79" t="s">
        <v>723</v>
      </c>
    </row>
    <row r="81" spans="3:12" x14ac:dyDescent="0.3">
      <c r="E81" s="24" t="s">
        <v>710</v>
      </c>
      <c r="F81" s="46">
        <v>11</v>
      </c>
      <c r="H81" s="24" t="s">
        <v>711</v>
      </c>
      <c r="I81" s="102" t="str" cm="1">
        <f t="array" ref="I81:I83" xml:space="preserve"> _xlfn.LET(
  _xlpm._rng, $D$14:$O$25,
  _xlpm._itm, F81,
  _xlpm._rep, IF( ISBLANK(F83), NA(), F83),
  _xlpm._tbl, ROW(_xlpm._rng) &amp; "," &amp; COLUMN(_xlpm._rng),
  _xlpm._out, _xlfn.TOCOL( IF(_xlpm._rng = _xlpm._itm, _xlpm._tbl, NA()), 2),
  IF( ISERROR(_xlpm._out), _xlpm._rep, _xlpm._out)
)</f>
        <v>14,11</v>
      </c>
      <c r="J81" s="83"/>
      <c r="L81" s="52" t="str" cm="1">
        <f t="array" aca="1" ref="L81:L88" ca="1" xml:space="preserve"> _xlfn.TEXTSPLIT( _xlfn.FORMULATEXT(I81), , CHAR(10))</f>
        <v>= LET(</v>
      </c>
    </row>
    <row r="82" spans="3:12" x14ac:dyDescent="0.3">
      <c r="I82" s="89" t="str">
        <v>19,9</v>
      </c>
      <c r="J82" s="22"/>
      <c r="L82" s="52" t="str">
        <f ca="1"/>
        <v xml:space="preserve">  _rng, $D$14:$O$25,</v>
      </c>
    </row>
    <row r="83" spans="3:12" x14ac:dyDescent="0.3">
      <c r="E83" s="24" t="s">
        <v>716</v>
      </c>
      <c r="F83" s="133" t="s">
        <v>717</v>
      </c>
      <c r="G83" s="134"/>
      <c r="I83" s="89" t="str">
        <v>23,7</v>
      </c>
      <c r="J83" s="22"/>
      <c r="L83" s="52" t="str">
        <f ca="1"/>
        <v xml:space="preserve">  _itm, F81,</v>
      </c>
    </row>
    <row r="84" spans="3:12" x14ac:dyDescent="0.3">
      <c r="I84" s="89"/>
      <c r="J84" s="22"/>
      <c r="L84" s="52" t="str">
        <f ca="1"/>
        <v xml:space="preserve">  _rep, IF( ISBLANK(F83), NA(), F83),</v>
      </c>
    </row>
    <row r="85" spans="3:12" x14ac:dyDescent="0.3">
      <c r="I85" s="89"/>
      <c r="J85" s="22"/>
      <c r="L85" s="52" t="str">
        <f ca="1"/>
        <v xml:space="preserve">  _tbl, ROW(_rng) &amp; "," &amp; COLUMN(_rng),</v>
      </c>
    </row>
    <row r="86" spans="3:12" x14ac:dyDescent="0.3">
      <c r="L86" s="52" t="str">
        <f ca="1"/>
        <v xml:space="preserve">  _out, TOCOL( IF(_rng = _itm, _tbl, NA()), 2),</v>
      </c>
    </row>
    <row r="87" spans="3:12" x14ac:dyDescent="0.3">
      <c r="L87" s="52" t="str">
        <f ca="1"/>
        <v xml:space="preserve">  IF( ISERROR(_out), _rep, _out)</v>
      </c>
    </row>
    <row r="88" spans="3:12" x14ac:dyDescent="0.3">
      <c r="L88" s="52" t="str">
        <f ca="1"/>
        <v>)</v>
      </c>
    </row>
    <row r="91" spans="3:12" x14ac:dyDescent="0.3">
      <c r="C91" t="s">
        <v>724</v>
      </c>
      <c r="D91" t="s">
        <v>725</v>
      </c>
    </row>
    <row r="93" spans="3:12" x14ac:dyDescent="0.3">
      <c r="E93" s="24" t="s">
        <v>710</v>
      </c>
      <c r="F93" s="46">
        <v>11</v>
      </c>
      <c r="H93" s="24" t="s">
        <v>711</v>
      </c>
      <c r="I93" s="102" t="str" cm="1">
        <f t="array" ref="I93:I95" xml:space="preserve"> _xlfn.LET(
  _xlpm._rng, $D$14:$O$25,
  _xlpm._itm, F93,
  _xlpm._rep, IF( ISBLANK(F95), NA(), F95),
  _xlpm._tbl, (ROW(_xlpm._rng) - ROW( _xlfn.TAKE(_xlpm._rng, 1)) + 1) &amp; "," &amp; (COLUMN(_xlpm._rng) - COLUMN( _xlfn.TAKE(_xlpm._rng, , 1)) + 1),
  _xlpm._out, _xlfn.TOCOL( IF(_xlpm._rng = _xlpm._itm, _xlpm._tbl, NA()), 2),
  IF( ISERROR(_xlpm._out), _xlpm._rep, _xlpm._out)
)</f>
        <v>1,8</v>
      </c>
      <c r="J93" s="83"/>
      <c r="L93" s="52" t="str" cm="1">
        <f t="array" aca="1" ref="L93:L100" ca="1" xml:space="preserve"> _xlfn.TEXTSPLIT( _xlfn.FORMULATEXT(I93), , CHAR(10))</f>
        <v>= LET(</v>
      </c>
    </row>
    <row r="94" spans="3:12" x14ac:dyDescent="0.3">
      <c r="I94" s="89" t="str">
        <v>6,6</v>
      </c>
      <c r="J94" s="22"/>
      <c r="L94" s="52" t="str">
        <f ca="1"/>
        <v xml:space="preserve">  _rng, $D$14:$O$25,</v>
      </c>
    </row>
    <row r="95" spans="3:12" x14ac:dyDescent="0.3">
      <c r="E95" s="24" t="s">
        <v>716</v>
      </c>
      <c r="F95" s="133" t="s">
        <v>717</v>
      </c>
      <c r="G95" s="134"/>
      <c r="I95" s="89" t="str">
        <v>10,4</v>
      </c>
      <c r="J95" s="22"/>
      <c r="L95" s="52" t="str">
        <f ca="1"/>
        <v xml:space="preserve">  _itm, F93,</v>
      </c>
    </row>
    <row r="96" spans="3:12" x14ac:dyDescent="0.3">
      <c r="I96" s="89"/>
      <c r="J96" s="22"/>
      <c r="L96" s="52" t="str">
        <f ca="1"/>
        <v xml:space="preserve">  _rep, IF( ISBLANK(F95), NA(), F95),</v>
      </c>
    </row>
    <row r="97" spans="3:12" x14ac:dyDescent="0.3">
      <c r="I97" s="89"/>
      <c r="J97" s="22"/>
      <c r="L97" s="52" t="str">
        <f ca="1"/>
        <v xml:space="preserve">  _tbl, (ROW(_rng) - ROW( TAKE(_rng, 1)) + 1) &amp; "," &amp; (COLUMN(_rng) - COLUMN( TAKE(_rng, , 1)) + 1),</v>
      </c>
    </row>
    <row r="98" spans="3:12" x14ac:dyDescent="0.3">
      <c r="L98" s="52" t="str">
        <f ca="1"/>
        <v xml:space="preserve">  _out, TOCOL( IF(_rng = _itm, _tbl, NA()), 2),</v>
      </c>
    </row>
    <row r="99" spans="3:12" x14ac:dyDescent="0.3">
      <c r="L99" s="52" t="str">
        <f ca="1"/>
        <v xml:space="preserve">  IF( ISERROR(_out), _rep, _out)</v>
      </c>
    </row>
    <row r="100" spans="3:12" x14ac:dyDescent="0.3">
      <c r="L100" s="52" t="str">
        <f ca="1"/>
        <v>)</v>
      </c>
    </row>
    <row r="103" spans="3:12" x14ac:dyDescent="0.3">
      <c r="C103" t="s">
        <v>726</v>
      </c>
      <c r="D103" t="s">
        <v>727</v>
      </c>
    </row>
    <row r="105" spans="3:12" x14ac:dyDescent="0.3">
      <c r="E105" s="24" t="s">
        <v>710</v>
      </c>
      <c r="F105" s="46">
        <v>11</v>
      </c>
      <c r="H105" s="24" t="s">
        <v>711</v>
      </c>
      <c r="I105" s="102" t="str" cm="1">
        <f t="array" ref="I105:I107" xml:space="preserve"> _xlfn.LET(
  _xlpm._rng, $D$14:$O$25,
  _xlpm._itm, F105,
  _xlpm._rep, IF( ISBLANK(F107), NA(), F107),
  _xlpm._tbl, ADDRESS( ROW(_xlpm._rng), COLUMN(_xlpm._rng), 4, 1),
  _xlpm._out, _xlfn.TOCOL( IF(_xlpm._rng = _xlpm._itm, _xlpm._tbl, NA()), 2),
  IF( ISERROR(_xlpm._out), _xlpm._rep, _xlpm._out)
)</f>
        <v>K14</v>
      </c>
      <c r="J105" s="83"/>
      <c r="L105" s="52" t="str" cm="1">
        <f t="array" aca="1" ref="L105:L112" ca="1" xml:space="preserve"> _xlfn.TEXTSPLIT( _xlfn.FORMULATEXT(I105), , CHAR(10))</f>
        <v>= LET(</v>
      </c>
    </row>
    <row r="106" spans="3:12" x14ac:dyDescent="0.3">
      <c r="I106" s="89" t="str">
        <v>I19</v>
      </c>
      <c r="J106" s="22"/>
      <c r="L106" s="52" t="str">
        <f ca="1"/>
        <v xml:space="preserve">  _rng, $D$14:$O$25,</v>
      </c>
    </row>
    <row r="107" spans="3:12" x14ac:dyDescent="0.3">
      <c r="E107" s="24" t="s">
        <v>716</v>
      </c>
      <c r="F107" s="133" t="s">
        <v>717</v>
      </c>
      <c r="G107" s="134"/>
      <c r="I107" s="89" t="str">
        <v>G23</v>
      </c>
      <c r="J107" s="22"/>
      <c r="L107" s="52" t="str">
        <f ca="1"/>
        <v xml:space="preserve">  _itm, F105,</v>
      </c>
    </row>
    <row r="108" spans="3:12" x14ac:dyDescent="0.3">
      <c r="I108" s="89"/>
      <c r="J108" s="22"/>
      <c r="L108" s="52" t="str">
        <f ca="1"/>
        <v xml:space="preserve">  _rep, IF( ISBLANK(F107), NA(), F107),</v>
      </c>
    </row>
    <row r="109" spans="3:12" x14ac:dyDescent="0.3">
      <c r="I109" s="89"/>
      <c r="J109" s="22"/>
      <c r="L109" s="52" t="str">
        <f ca="1"/>
        <v xml:space="preserve">  _tbl, ADDRESS( ROW(_rng), COLUMN(_rng), 4, 1),</v>
      </c>
    </row>
    <row r="110" spans="3:12" x14ac:dyDescent="0.3">
      <c r="L110" s="52" t="str">
        <f ca="1"/>
        <v xml:space="preserve">  _out, TOCOL( IF(_rng = _itm, _tbl, NA()), 2),</v>
      </c>
    </row>
    <row r="111" spans="3:12" x14ac:dyDescent="0.3">
      <c r="L111" s="52" t="str">
        <f ca="1"/>
        <v xml:space="preserve">  IF( ISERROR(_out), _rep, _out)</v>
      </c>
    </row>
    <row r="112" spans="3:12" x14ac:dyDescent="0.3">
      <c r="L112" s="52" t="str">
        <f ca="1"/>
        <v>)</v>
      </c>
    </row>
    <row r="115" spans="2:26" x14ac:dyDescent="0.3">
      <c r="C115" t="s">
        <v>728</v>
      </c>
      <c r="D115" t="s">
        <v>729</v>
      </c>
    </row>
    <row r="117" spans="2:26" x14ac:dyDescent="0.3">
      <c r="E117" s="24" t="s">
        <v>710</v>
      </c>
      <c r="F117" s="46">
        <v>11</v>
      </c>
      <c r="H117" s="24" t="s">
        <v>711</v>
      </c>
      <c r="I117" s="102" t="str" cm="1">
        <f t="array" ref="I117:I119" xml:space="preserve"> _xlfn.LET(
  _xlpm._rng, $D$14:$O$25,
  _xlpm._itm, F117,
  _xlpm._rep, IF( ISBLANK(F119), NA(), F119),
  _xlpm._tbl, ADDRESS( ROW(_xlpm._rng), COLUMN(_xlpm._rng), IF(F121 = 1, 1, 4), F120),
  _xlpm._out, _xlfn.TOCOL( IF(_xlpm._rng = _xlpm._itm, _xlpm._tbl, NA()), 2),
  IF( ISERROR(_xlpm._out), _xlpm._rep, _xlpm._out)
)</f>
        <v>$K$14</v>
      </c>
      <c r="J117" s="83"/>
      <c r="L117" s="52" t="str" cm="1">
        <f t="array" aca="1" ref="L117:L124" ca="1" xml:space="preserve"> _xlfn.TEXTSPLIT( _xlfn.FORMULATEXT(I117), , CHAR(10))</f>
        <v>= LET(</v>
      </c>
    </row>
    <row r="118" spans="2:26" x14ac:dyDescent="0.3">
      <c r="I118" s="89" t="str">
        <v>$I$19</v>
      </c>
      <c r="J118" s="22"/>
      <c r="L118" s="52" t="str">
        <f ca="1"/>
        <v xml:space="preserve">  _rng, $D$14:$O$25,</v>
      </c>
    </row>
    <row r="119" spans="2:26" x14ac:dyDescent="0.3">
      <c r="E119" s="24" t="s">
        <v>716</v>
      </c>
      <c r="F119" s="133" t="s">
        <v>717</v>
      </c>
      <c r="G119" s="134"/>
      <c r="I119" s="89" t="str">
        <v>$G$23</v>
      </c>
      <c r="J119" s="22"/>
      <c r="L119" s="52" t="str">
        <f ca="1"/>
        <v xml:space="preserve">  _itm, F117,</v>
      </c>
    </row>
    <row r="120" spans="2:26" x14ac:dyDescent="0.3">
      <c r="E120" s="24" t="s">
        <v>730</v>
      </c>
      <c r="F120" s="135">
        <v>1</v>
      </c>
      <c r="G120" s="136"/>
      <c r="I120" s="89"/>
      <c r="J120" s="22"/>
      <c r="L120" s="52" t="str">
        <f ca="1"/>
        <v xml:space="preserve">  _rep, IF( ISBLANK(F119), NA(), F119),</v>
      </c>
    </row>
    <row r="121" spans="2:26" x14ac:dyDescent="0.3">
      <c r="E121" s="24" t="s">
        <v>731</v>
      </c>
      <c r="F121" s="135">
        <v>1</v>
      </c>
      <c r="G121" s="136"/>
      <c r="I121" s="89"/>
      <c r="J121" s="22"/>
      <c r="L121" s="52" t="str">
        <f ca="1"/>
        <v xml:space="preserve">  _tbl, ADDRESS( ROW(_rng), COLUMN(_rng), IF(F121 = 1, 1, 4), F120),</v>
      </c>
    </row>
    <row r="122" spans="2:26" x14ac:dyDescent="0.3">
      <c r="L122" s="52" t="str">
        <f ca="1"/>
        <v xml:space="preserve">  _out, TOCOL( IF(_rng = _itm, _tbl, NA()), 2),</v>
      </c>
    </row>
    <row r="123" spans="2:26" x14ac:dyDescent="0.3">
      <c r="L123" s="52" t="str">
        <f ca="1"/>
        <v xml:space="preserve">  IF( ISERROR(_out), _rep, _out)</v>
      </c>
    </row>
    <row r="124" spans="2:26" x14ac:dyDescent="0.3">
      <c r="L124" s="52" t="str">
        <f ca="1"/>
        <v>)</v>
      </c>
    </row>
    <row r="127" spans="2:26" x14ac:dyDescent="0.3">
      <c r="B127" s="28" t="s">
        <v>732</v>
      </c>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9" spans="3:12" x14ac:dyDescent="0.3">
      <c r="C129" t="s">
        <v>733</v>
      </c>
      <c r="D129" t="s">
        <v>734</v>
      </c>
    </row>
    <row r="131" spans="3:12" x14ac:dyDescent="0.3">
      <c r="E131" s="24" t="s">
        <v>710</v>
      </c>
      <c r="F131" s="25">
        <v>11</v>
      </c>
      <c r="H131" s="24" t="s">
        <v>711</v>
      </c>
      <c r="I131" s="102" cm="1">
        <f t="array" ref="I131" xml:space="preserve"> _xlfn.LET(
  _xlpm._rng, $D$14:$O$25,
  _xlpm._itm, F131,
  _xlpm._optn, F135,
  _xlpm._rep, IF( ISBLANK(F133), NA(), F133),
  _xlpm._tbl, CHOOSE(_xlpm._optn + 1,
    _xlpm._rng,
    (ROW(_xlpm._rng) - ROW( _xlfn.TAKE(_xlpm._rng, 1)) + 1) &amp; "," &amp; (COLUMN(_xlpm._rng) - COLUMN( _xlfn.TAKE(_xlpm._rng, , 1)) + 1),
    ROW(_xlpm._rng) &amp; "," &amp; COLUMN(_xlpm._rng),
    ADDRESS( ROW(_xlpm._rng), COLUMN(_xlpm._rng), 4, 1),
    ADDRESS( ROW(_xlpm._rng), COLUMN(_xlpm._rng), 1, 1),
    _xlpm._rng
  ),
  _xlpm._mtch, _xlfn.TOCOL( IF(_xlpm._rng = _xlpm._itm, _xlpm._tbl, NA()), 2),
  _xlpm._out, IF(_xlpm._optn &lt;&gt; 5, _xlpm._mtch, MAX( ROWS(_xlpm._mtch))),
  _xlpm._rtn, IF( ISERROR(_xlpm._out), IF(_xlpm._optn = 5, 0, _xlpm._rep), _xlpm._out),
  _xlpm._rtn
)</f>
        <v>3</v>
      </c>
      <c r="J131" s="83"/>
      <c r="L131" s="52" t="str" cm="1">
        <f t="array" aca="1" ref="L131:L148" ca="1" xml:space="preserve"> _xlfn.TEXTSPLIT( _xlfn.FORMULATEXT(I131), , CHAR(10))</f>
        <v>= LET(</v>
      </c>
    </row>
    <row r="132" spans="3:12" x14ac:dyDescent="0.3">
      <c r="I132" s="89"/>
      <c r="J132" s="22"/>
      <c r="L132" s="52" t="str">
        <f ca="1"/>
        <v xml:space="preserve">  _rng, $D$14:$O$25,</v>
      </c>
    </row>
    <row r="133" spans="3:12" x14ac:dyDescent="0.3">
      <c r="E133" s="24" t="s">
        <v>716</v>
      </c>
      <c r="F133" s="133" t="s">
        <v>717</v>
      </c>
      <c r="G133" s="134"/>
      <c r="I133" s="89"/>
      <c r="J133" s="22"/>
      <c r="L133" s="52" t="str">
        <f ca="1"/>
        <v xml:space="preserve">  _itm, F131,</v>
      </c>
    </row>
    <row r="134" spans="3:12" x14ac:dyDescent="0.3">
      <c r="E134" s="24"/>
      <c r="I134" s="89"/>
      <c r="J134" s="22"/>
      <c r="L134" s="52" t="str">
        <f ca="1"/>
        <v xml:space="preserve">  _optn, F135,</v>
      </c>
    </row>
    <row r="135" spans="3:12" x14ac:dyDescent="0.3">
      <c r="E135" s="24" t="s">
        <v>735</v>
      </c>
      <c r="F135" s="92">
        <v>5</v>
      </c>
      <c r="I135" s="89"/>
      <c r="J135" s="22"/>
      <c r="L135" s="52" t="str">
        <f ca="1"/>
        <v xml:space="preserve">  _rep, IF( ISBLANK(F133), NA(), F133),</v>
      </c>
    </row>
    <row r="136" spans="3:12" x14ac:dyDescent="0.3">
      <c r="L136" s="52" t="str">
        <f ca="1"/>
        <v xml:space="preserve">  _tbl, CHOOSE(_optn + 1,</v>
      </c>
    </row>
    <row r="137" spans="3:12" x14ac:dyDescent="0.3">
      <c r="D137" s="93" t="s">
        <v>736</v>
      </c>
      <c r="E137" s="94"/>
      <c r="L137" s="52" t="str">
        <f ca="1"/>
        <v xml:space="preserve">    _rng,</v>
      </c>
    </row>
    <row r="138" spans="3:12" x14ac:dyDescent="0.3">
      <c r="D138" s="95">
        <v>0</v>
      </c>
      <c r="E138" s="96" t="s">
        <v>737</v>
      </c>
      <c r="L138" s="52" t="str">
        <f ca="1"/>
        <v xml:space="preserve">    (ROW(_rng) - ROW( TAKE(_rng, 1)) + 1) &amp; "," &amp; (COLUMN(_rng) - COLUMN( TAKE(_rng, , 1)) + 1),</v>
      </c>
    </row>
    <row r="139" spans="3:12" x14ac:dyDescent="0.3">
      <c r="D139" s="95">
        <v>1</v>
      </c>
      <c r="E139" s="96" t="s">
        <v>738</v>
      </c>
      <c r="L139" s="52" t="str">
        <f ca="1"/>
        <v xml:space="preserve">    ROW(_rng) &amp; "," &amp; COLUMN(_rng),</v>
      </c>
    </row>
    <row r="140" spans="3:12" x14ac:dyDescent="0.3">
      <c r="D140" s="95">
        <v>2</v>
      </c>
      <c r="E140" s="96" t="s">
        <v>739</v>
      </c>
      <c r="L140" s="52" t="str">
        <f ca="1"/>
        <v xml:space="preserve">    ADDRESS( ROW(_rng), COLUMN(_rng), 4, 1),</v>
      </c>
    </row>
    <row r="141" spans="3:12" x14ac:dyDescent="0.3">
      <c r="D141" s="95">
        <v>3</v>
      </c>
      <c r="E141" s="96" t="s">
        <v>740</v>
      </c>
      <c r="L141" s="52" t="str">
        <f ca="1"/>
        <v xml:space="preserve">    ADDRESS( ROW(_rng), COLUMN(_rng), 1, 1),</v>
      </c>
    </row>
    <row r="142" spans="3:12" x14ac:dyDescent="0.3">
      <c r="D142" s="95">
        <v>4</v>
      </c>
      <c r="E142" s="96" t="s">
        <v>741</v>
      </c>
      <c r="L142" s="52" t="str">
        <f ca="1"/>
        <v xml:space="preserve">    _rng</v>
      </c>
    </row>
    <row r="143" spans="3:12" x14ac:dyDescent="0.3">
      <c r="D143" s="95">
        <v>5</v>
      </c>
      <c r="E143" s="96" t="s">
        <v>742</v>
      </c>
      <c r="L143" s="52" t="str">
        <f ca="1"/>
        <v xml:space="preserve">  ),</v>
      </c>
    </row>
    <row r="144" spans="3:12" x14ac:dyDescent="0.3">
      <c r="L144" s="52" t="str">
        <f ca="1"/>
        <v xml:space="preserve">  _mtch, TOCOL( IF(_rng = _itm, _tbl, NA()), 2),</v>
      </c>
    </row>
    <row r="145" spans="3:12" x14ac:dyDescent="0.3">
      <c r="L145" s="52" t="str">
        <f ca="1"/>
        <v xml:space="preserve">  _out, IF(_optn &lt;&gt; 5, _mtch, MAX( ROWS(_mtch))),</v>
      </c>
    </row>
    <row r="146" spans="3:12" x14ac:dyDescent="0.3">
      <c r="L146" s="52" t="str">
        <f ca="1"/>
        <v xml:space="preserve">  _rtn, IF( ISERROR(_out), IF(_optn = 5, 0, _rep), _out),</v>
      </c>
    </row>
    <row r="147" spans="3:12" x14ac:dyDescent="0.3">
      <c r="L147" s="52" t="str">
        <f ca="1"/>
        <v xml:space="preserve">  _rtn</v>
      </c>
    </row>
    <row r="148" spans="3:12" x14ac:dyDescent="0.3">
      <c r="L148" s="52" t="str">
        <f ca="1"/>
        <v>)</v>
      </c>
    </row>
    <row r="151" spans="3:12" x14ac:dyDescent="0.3">
      <c r="C151" t="s">
        <v>743</v>
      </c>
      <c r="D151" t="s">
        <v>744</v>
      </c>
    </row>
    <row r="153" spans="3:12" x14ac:dyDescent="0.3">
      <c r="E153" s="24" t="s">
        <v>745</v>
      </c>
      <c r="F153" s="25" t="s">
        <v>746</v>
      </c>
      <c r="H153" s="24" t="s">
        <v>711</v>
      </c>
      <c r="I153" s="89" t="str">
        <f xml:space="preserve"> _xlfn.LET(
  _xlpm.match_type, F153,
  _xlpm._mInp, IF( ISBLANK(_xlpm.match_type), 0, _xlpm.match_type),
  _xlpm._typ, IF( ISNUMBER(_xlpm._mInp), _xlpm._mInp + 1, MATCH( LOWER(_xlpm.match_type), {"=","&lt;&gt;","&gt;","&lt;","&gt;=","&lt;=","regex"}, 0)),
  _xlpm._rtn, IF(ISERROR(_xlpm._typ), NA(), CHOOSE(_xlpm._typ, "eq", "neq", "gt", "lt", "gteq", "lteq", "rgx")),
  _xlpm._rtn
)</f>
        <v>eq</v>
      </c>
      <c r="J153" s="22"/>
      <c r="L153" s="52" t="str" cm="1">
        <f t="array" aca="1" ref="L153:L159" ca="1" xml:space="preserve"> _xlfn.TEXTSPLIT( _xlfn.FORMULATEXT(I153), , CHAR(10))</f>
        <v>= LET(</v>
      </c>
    </row>
    <row r="154" spans="3:12" x14ac:dyDescent="0.3">
      <c r="L154" s="52" t="str">
        <f ca="1"/>
        <v xml:space="preserve">  match_type, F153,</v>
      </c>
    </row>
    <row r="155" spans="3:12" x14ac:dyDescent="0.3">
      <c r="D155" s="93" t="s">
        <v>747</v>
      </c>
      <c r="E155" s="94"/>
      <c r="F155" s="94"/>
      <c r="L155" s="52" t="str">
        <f ca="1"/>
        <v xml:space="preserve">  _mInp, IF( ISBLANK(match_type), 0, match_type),</v>
      </c>
    </row>
    <row r="156" spans="3:12" x14ac:dyDescent="0.3">
      <c r="D156" s="95">
        <v>0</v>
      </c>
      <c r="E156" s="96" t="s">
        <v>746</v>
      </c>
      <c r="F156" s="96" t="s">
        <v>748</v>
      </c>
      <c r="L156" s="52" t="str">
        <f ca="1"/>
        <v xml:space="preserve">  _typ, IF( ISNUMBER(_mInp), _mInp + 1, MATCH( LOWER(match_type), {"=","&lt;&gt;","&gt;","&lt;","&gt;=","&lt;=","regex"}, 0)),</v>
      </c>
    </row>
    <row r="157" spans="3:12" x14ac:dyDescent="0.3">
      <c r="D157" s="95">
        <v>1</v>
      </c>
      <c r="E157" s="96" t="s">
        <v>749</v>
      </c>
      <c r="F157" s="96" t="s">
        <v>750</v>
      </c>
      <c r="L157" s="52" t="str">
        <f ca="1"/>
        <v xml:space="preserve">  _rtn, IF(ISERROR(_typ), NA(), CHOOSE(_typ, "eq", "neq", "gt", "lt", "gteq", "lteq", "rgx")),</v>
      </c>
    </row>
    <row r="158" spans="3:12" x14ac:dyDescent="0.3">
      <c r="D158" s="95">
        <v>2</v>
      </c>
      <c r="E158" s="96" t="s">
        <v>751</v>
      </c>
      <c r="F158" s="96" t="s">
        <v>752</v>
      </c>
      <c r="L158" s="52" t="str">
        <f ca="1"/>
        <v xml:space="preserve">  _rtn</v>
      </c>
    </row>
    <row r="159" spans="3:12" x14ac:dyDescent="0.3">
      <c r="D159" s="95">
        <v>3</v>
      </c>
      <c r="E159" s="96" t="s">
        <v>753</v>
      </c>
      <c r="F159" s="96" t="s">
        <v>754</v>
      </c>
      <c r="L159" s="52" t="str">
        <f ca="1"/>
        <v>)</v>
      </c>
    </row>
    <row r="160" spans="3:12" x14ac:dyDescent="0.3">
      <c r="D160" s="95">
        <v>4</v>
      </c>
      <c r="E160" s="96" t="s">
        <v>755</v>
      </c>
      <c r="F160" s="96" t="s">
        <v>756</v>
      </c>
    </row>
    <row r="161" spans="3:12" x14ac:dyDescent="0.3">
      <c r="D161" s="95">
        <v>5</v>
      </c>
      <c r="E161" s="96" t="s">
        <v>757</v>
      </c>
      <c r="F161" s="96" t="s">
        <v>758</v>
      </c>
    </row>
    <row r="162" spans="3:12" x14ac:dyDescent="0.3">
      <c r="D162" s="95">
        <v>6</v>
      </c>
      <c r="E162" s="96" t="s">
        <v>759</v>
      </c>
      <c r="F162" s="96" t="s">
        <v>760</v>
      </c>
    </row>
    <row r="165" spans="3:12" x14ac:dyDescent="0.3">
      <c r="C165" t="s">
        <v>761</v>
      </c>
      <c r="D165" t="s">
        <v>762</v>
      </c>
    </row>
    <row r="167" spans="3:12" x14ac:dyDescent="0.3">
      <c r="E167" s="24" t="s">
        <v>710</v>
      </c>
      <c r="F167" s="25">
        <v>11</v>
      </c>
      <c r="H167" s="24" t="s">
        <v>711</v>
      </c>
      <c r="I167" s="102" cm="1">
        <f t="array" ref="I167:I169" xml:space="preserve"> _xlfn.LET(
  _xlpm._rng, $D$14:$O$25,
  _xlpm._itm, F167,
  _xlpm._mtch, F168,
  _xlpm._mInp, IF( ISBLANK(_xlpm._mtch), 0, _xlpm._mtch),
  _xlpm._typ, IF( ISNUMBER(_xlpm._mInp), _xlpm._mInp + 1, MATCH( LOWER(_xlpm._mtch), {"=","&lt;&gt;","&gt;","&lt;","&gt;=","&lt;=","regex"}, 0)),
  _xlpm._optn, F169,
  _xlpm._rep, IF( ISBLANK(F170), NA(), F170),
  _xlpm._tbl, CHOOSE(_xlpm._optn + 1,
    _xlpm._rng,
    (ROW(_xlpm._rng) - ROW( _xlfn.TAKE(_xlpm._rng, 1)) + 1) &amp; "," &amp; (COLUMN(_xlpm._rng) - COLUMN( _xlfn.TAKE(_xlpm._rng, , 1)) + 1),
    ROW(_xlpm._rng) &amp; "," &amp; COLUMN(_xlpm._rng),
    ADDRESS( ROW(_xlpm._rng), COLUMN(_xlpm._rng), 4, 1),
    ADDRESS( ROW(_xlpm._rng), COLUMN(_xlpm._rng), 1, 1),
    _xlpm._rng
  ),
  _xlpm._mRes, _xlfn.TOCOL( CHOOSE(_xlpm._typ,
    IF(_xlpm._rng = _xlpm._itm, _xlpm._tbl, NA()),
    IF(_xlpm._rng &lt;&gt; _xlpm._itm, _xlpm._tbl, NA()),
    IF(_xlpm._rng &gt; _xlpm._itm, _xlpm._tbl, NA()),
    IF(_xlpm._rng &lt; _xlpm._itm, _xlpm._tbl, NA()),
    IF(_xlpm._rng &gt;= _xlpm._itm, _xlpm._tbl, NA()),
    IF(_xlpm._rng &lt;= _xlpm._itm, _xlpm._tbl, NA()),
    IF( _xlfn.REGEXTEST(_xlpm._rng, _xlpm._itm), _xlpm._tbl, NA())),
  2),
  _xlpm._out, IF(_xlpm._optn &lt;&gt; 5, _xlpm._mRes, MAX( ROWS(_xlpm._mRes))),
  _xlpm._rtn, IF( ISERROR(_xlpm._out), IF(_xlpm._optn = 5, 0, _xlpm._rep), _xlpm._out),
  _xlpm._rtn
)</f>
        <v>11</v>
      </c>
      <c r="J167" s="83"/>
      <c r="L167" s="52" t="str" cm="1">
        <f t="array" aca="1" ref="L167:L195" ca="1" xml:space="preserve"> _xlfn.TEXTSPLIT( _xlfn.FORMULATEXT(I167), , CHAR(10))</f>
        <v>= LET(</v>
      </c>
    </row>
    <row r="168" spans="3:12" x14ac:dyDescent="0.3">
      <c r="E168" s="24" t="s">
        <v>745</v>
      </c>
      <c r="F168" s="25"/>
      <c r="I168" s="89">
        <v>11</v>
      </c>
      <c r="J168" s="22"/>
      <c r="L168" s="52" t="str">
        <f ca="1"/>
        <v xml:space="preserve">  _rng, $D$14:$O$25,</v>
      </c>
    </row>
    <row r="169" spans="3:12" x14ac:dyDescent="0.3">
      <c r="E169" s="24" t="s">
        <v>735</v>
      </c>
      <c r="F169" s="92"/>
      <c r="I169" s="89">
        <v>11</v>
      </c>
      <c r="J169" s="22"/>
      <c r="L169" s="52" t="str">
        <f ca="1"/>
        <v xml:space="preserve">  _itm, F167,</v>
      </c>
    </row>
    <row r="170" spans="3:12" x14ac:dyDescent="0.3">
      <c r="E170" s="24" t="s">
        <v>716</v>
      </c>
      <c r="F170" s="133"/>
      <c r="G170" s="134"/>
      <c r="I170" s="89"/>
      <c r="J170" s="22"/>
      <c r="L170" s="52" t="str">
        <f ca="1"/>
        <v xml:space="preserve">  _mtch, F168,</v>
      </c>
    </row>
    <row r="171" spans="3:12" x14ac:dyDescent="0.3">
      <c r="I171" s="89"/>
      <c r="J171" s="22"/>
      <c r="L171" s="52" t="str">
        <f ca="1"/>
        <v xml:space="preserve">  _mInp, IF( ISBLANK(_mtch), 0, _mtch),</v>
      </c>
    </row>
    <row r="172" spans="3:12" x14ac:dyDescent="0.3">
      <c r="D172" s="93" t="s">
        <v>747</v>
      </c>
      <c r="E172" s="94"/>
      <c r="F172" s="93" t="s">
        <v>736</v>
      </c>
      <c r="G172" s="94"/>
      <c r="L172" s="52" t="str">
        <f ca="1"/>
        <v xml:space="preserve">  _typ, IF( ISNUMBER(_mInp), _mInp + 1, MATCH( LOWER(_mtch), {"=","&lt;&gt;","&gt;","&lt;","&gt;=","&lt;=","regex"}, 0)),</v>
      </c>
    </row>
    <row r="173" spans="3:12" x14ac:dyDescent="0.3">
      <c r="D173" s="95">
        <v>0</v>
      </c>
      <c r="E173" s="96" t="s">
        <v>746</v>
      </c>
      <c r="F173" s="95">
        <v>0</v>
      </c>
      <c r="G173" s="96" t="s">
        <v>737</v>
      </c>
      <c r="L173" s="52" t="str">
        <f ca="1"/>
        <v xml:space="preserve">  _optn, F169,</v>
      </c>
    </row>
    <row r="174" spans="3:12" x14ac:dyDescent="0.3">
      <c r="D174" s="95">
        <v>1</v>
      </c>
      <c r="E174" s="96" t="s">
        <v>749</v>
      </c>
      <c r="F174" s="95">
        <v>1</v>
      </c>
      <c r="G174" s="96" t="s">
        <v>738</v>
      </c>
      <c r="L174" s="52" t="str">
        <f ca="1"/>
        <v xml:space="preserve">  _rep, IF( ISBLANK(F170), NA(), F170),</v>
      </c>
    </row>
    <row r="175" spans="3:12" x14ac:dyDescent="0.3">
      <c r="D175" s="95">
        <v>2</v>
      </c>
      <c r="E175" s="96" t="s">
        <v>751</v>
      </c>
      <c r="F175" s="95">
        <v>2</v>
      </c>
      <c r="G175" s="96" t="s">
        <v>739</v>
      </c>
      <c r="L175" s="52" t="str">
        <f ca="1"/>
        <v xml:space="preserve">  _tbl, CHOOSE(_optn + 1,</v>
      </c>
    </row>
    <row r="176" spans="3:12" x14ac:dyDescent="0.3">
      <c r="D176" s="95">
        <v>3</v>
      </c>
      <c r="E176" s="96" t="s">
        <v>753</v>
      </c>
      <c r="F176" s="95">
        <v>3</v>
      </c>
      <c r="G176" s="96" t="s">
        <v>740</v>
      </c>
      <c r="L176" s="52" t="str">
        <f ca="1"/>
        <v xml:space="preserve">    _rng,</v>
      </c>
    </row>
    <row r="177" spans="4:12" x14ac:dyDescent="0.3">
      <c r="D177" s="95">
        <v>4</v>
      </c>
      <c r="E177" s="96" t="s">
        <v>755</v>
      </c>
      <c r="F177" s="95">
        <v>4</v>
      </c>
      <c r="G177" s="96" t="s">
        <v>741</v>
      </c>
      <c r="L177" s="52" t="str">
        <f ca="1"/>
        <v xml:space="preserve">    (ROW(_rng) - ROW( TAKE(_rng, 1)) + 1) &amp; "," &amp; (COLUMN(_rng) - COLUMN( TAKE(_rng, , 1)) + 1),</v>
      </c>
    </row>
    <row r="178" spans="4:12" x14ac:dyDescent="0.3">
      <c r="D178" s="95">
        <v>5</v>
      </c>
      <c r="E178" s="96" t="s">
        <v>757</v>
      </c>
      <c r="F178" s="95">
        <v>5</v>
      </c>
      <c r="G178" s="96" t="s">
        <v>742</v>
      </c>
      <c r="L178" s="52" t="str">
        <f ca="1"/>
        <v xml:space="preserve">    ROW(_rng) &amp; "," &amp; COLUMN(_rng),</v>
      </c>
    </row>
    <row r="179" spans="4:12" x14ac:dyDescent="0.3">
      <c r="D179" s="95">
        <v>6</v>
      </c>
      <c r="E179" s="96" t="s">
        <v>759</v>
      </c>
      <c r="F179" s="97"/>
      <c r="L179" s="52" t="str">
        <f ca="1"/>
        <v xml:space="preserve">    ADDRESS( ROW(_rng), COLUMN(_rng), 4, 1),</v>
      </c>
    </row>
    <row r="180" spans="4:12" x14ac:dyDescent="0.3">
      <c r="L180" s="52" t="str">
        <f ca="1"/>
        <v xml:space="preserve">    ADDRESS( ROW(_rng), COLUMN(_rng), 1, 1),</v>
      </c>
    </row>
    <row r="181" spans="4:12" x14ac:dyDescent="0.3">
      <c r="L181" s="52" t="str">
        <f ca="1"/>
        <v xml:space="preserve">    _rng</v>
      </c>
    </row>
    <row r="182" spans="4:12" x14ac:dyDescent="0.3">
      <c r="L182" s="52" t="str">
        <f ca="1"/>
        <v xml:space="preserve">  ),</v>
      </c>
    </row>
    <row r="183" spans="4:12" x14ac:dyDescent="0.3">
      <c r="L183" s="52" t="str">
        <f ca="1"/>
        <v xml:space="preserve">  _mRes, TOCOL( CHOOSE(_typ,</v>
      </c>
    </row>
    <row r="184" spans="4:12" x14ac:dyDescent="0.3">
      <c r="L184" s="52" t="str">
        <f ca="1"/>
        <v xml:space="preserve">    IF(_rng = _itm, _tbl, NA()),</v>
      </c>
    </row>
    <row r="185" spans="4:12" x14ac:dyDescent="0.3">
      <c r="L185" s="52" t="str">
        <f ca="1"/>
        <v xml:space="preserve">    IF(_rng &lt;&gt; _itm, _tbl, NA()),</v>
      </c>
    </row>
    <row r="186" spans="4:12" x14ac:dyDescent="0.3">
      <c r="L186" s="52" t="str">
        <f ca="1"/>
        <v xml:space="preserve">    IF(_rng &gt; _itm, _tbl, NA()),</v>
      </c>
    </row>
    <row r="187" spans="4:12" x14ac:dyDescent="0.3">
      <c r="L187" s="52" t="str">
        <f ca="1"/>
        <v xml:space="preserve">    IF(_rng &lt; _itm, _tbl, NA()),</v>
      </c>
    </row>
    <row r="188" spans="4:12" x14ac:dyDescent="0.3">
      <c r="L188" s="52" t="str">
        <f ca="1"/>
        <v xml:space="preserve">    IF(_rng &gt;= _itm, _tbl, NA()),</v>
      </c>
    </row>
    <row r="189" spans="4:12" x14ac:dyDescent="0.3">
      <c r="L189" s="52" t="str">
        <f ca="1"/>
        <v xml:space="preserve">    IF(_rng &lt;= _itm, _tbl, NA()),</v>
      </c>
    </row>
    <row r="190" spans="4:12" x14ac:dyDescent="0.3">
      <c r="L190" s="52" t="str">
        <f ca="1"/>
        <v xml:space="preserve">    IF( REGEXTEST(_rng, _itm), _tbl, NA())),</v>
      </c>
    </row>
    <row r="191" spans="4:12" x14ac:dyDescent="0.3">
      <c r="L191" s="52" t="str">
        <f ca="1"/>
        <v xml:space="preserve">  2),</v>
      </c>
    </row>
    <row r="192" spans="4:12" x14ac:dyDescent="0.3">
      <c r="L192" s="52" t="str">
        <f ca="1"/>
        <v xml:space="preserve">  _out, IF(_optn &lt;&gt; 5, _mRes, MAX( ROWS(_mRes))),</v>
      </c>
    </row>
    <row r="193" spans="2:26" x14ac:dyDescent="0.3">
      <c r="L193" s="52" t="str">
        <f ca="1"/>
        <v xml:space="preserve">  _rtn, IF( ISERROR(_out), IF(_optn = 5, 0, _rep), _out),</v>
      </c>
    </row>
    <row r="194" spans="2:26" x14ac:dyDescent="0.3">
      <c r="L194" s="52" t="str">
        <f ca="1"/>
        <v xml:space="preserve">  _rtn</v>
      </c>
    </row>
    <row r="195" spans="2:26" x14ac:dyDescent="0.3">
      <c r="L195" s="52" t="str">
        <f ca="1"/>
        <v>)</v>
      </c>
    </row>
    <row r="198" spans="2:26" x14ac:dyDescent="0.3">
      <c r="B198" s="28" t="s">
        <v>763</v>
      </c>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200" spans="2:26" x14ac:dyDescent="0.3">
      <c r="C200" t="s">
        <v>764</v>
      </c>
      <c r="D200" t="s">
        <v>765</v>
      </c>
    </row>
    <row r="202" spans="2:26" x14ac:dyDescent="0.3">
      <c r="E202" s="24" t="s">
        <v>710</v>
      </c>
      <c r="F202" s="25">
        <v>11</v>
      </c>
      <c r="H202" s="24" t="s">
        <v>711</v>
      </c>
      <c r="I202" s="102" cm="1">
        <f t="array" ref="I202:I204" xml:space="preserve"> _xlfn.LAMBDA(_xlpm.range,_xlpm.find_item,_xlop.match_type,_xlop.output_type,_xlop.if_not_found,
  _xlfn.LET(
    _xlpm._rng, _xlpm.range,
    _xlpm._itm, _xlpm.find_item,
    _xlpm._mInp, IF( OR(_xlfn.ISOMITTED(_xlpm.match_type), ISBLANK(_xlpm.match_type)), 0, _xlpm.match_type),
    _xlpm._typ, IF( ISNUMBER(_xlpm._mInp), _xlpm._mInp + 1, MATCH( LOWER(_xlpm.match_type), {"=","&lt;&gt;","&gt;","&lt;","&gt;=","&lt;=","regex"}, 0)),
    _xlpm._optn, IF( _xlfn.ISOMITTED(_xlpm.output_type), 0, _xlpm.output_type),
    _xlpm._rep, IF( OR( _xlfn.ISOMITTED(_xlpm.if_not_found), ISBLANK(_xlpm.if_not_found)), NA(), _xlpm.if_not_found),
    _xlpm._tbl, CHOOSE(_xlpm._optn + 1,
      _xlpm._rng,
      (ROW(_xlpm._rng) - ROW( _xlfn.TAKE(_xlpm._rng, 1)) + 1) &amp; "," &amp; (COLUMN(_xlpm._rng) - COLUMN( _xlfn.TAKE(_xlpm._rng, , 1)) + 1),
      ROW(_xlpm._rng) &amp; "," &amp; COLUMN(_xlpm._rng),
      ADDRESS( ROW(_xlpm._rng), COLUMN(_xlpm._rng), 4, 1),
      ADDRESS( ROW(_xlpm._rng), COLUMN(_xlpm._rng), 1, 1),
      _xlpm._rng
    ),
    _xlpm._mtch, _xlfn.TOCOL( CHOOSE(_xlpm._typ,
      IF(_xlpm._rng = _xlpm._itm, _xlpm._tbl, NA()),
      IF(_xlpm._rng &lt;&gt; _xlpm._itm, _xlpm._tbl, NA()),
      IF(_xlpm._rng &gt; _xlpm._itm, _xlpm._tbl, NA()),
      IF(_xlpm._rng &lt; _xlpm._itm, _xlpm._tbl, NA()),
      IF(_xlpm._rng &gt;= _xlpm._itm, _xlpm._tbl, NA()),
      IF(_xlpm._rng &lt;= _xlpm._itm, _xlpm._tbl, NA()),
      IF( _xlfn.REGEXTEST(_xlpm._rng, _xlpm._itm), _xlpm._tbl, NA())),
    2),
    _xlpm._out, IF(_xlpm._optn &lt;&gt; 5, _xlpm._mtch, MAX( ROWS(_xlpm._mtch))),
    _xlpm._rtn, IF( ISERROR(_xlpm._out), IF(_xlpm._optn = 5, 0, _xlpm._rep), _xlpm._out),
    _xlpm._rtn
  )
)($D$14:$O$25, F202, F203, F204, F205)</f>
        <v>11</v>
      </c>
      <c r="J202" s="83"/>
      <c r="L202" s="52" t="str" cm="1">
        <f t="array" aca="1" ref="L202:L231" ca="1" xml:space="preserve"> _xlfn.TEXTSPLIT( _xlfn.FORMULATEXT(I202), , CHAR(10))</f>
        <v>= LAMBDA(range,find_item,[match_type],[output_type],[if_not_found],</v>
      </c>
    </row>
    <row r="203" spans="2:26" x14ac:dyDescent="0.3">
      <c r="E203" s="24" t="s">
        <v>745</v>
      </c>
      <c r="F203" s="25">
        <v>0</v>
      </c>
      <c r="I203" s="89">
        <v>11</v>
      </c>
      <c r="J203" s="22"/>
      <c r="L203" s="52" t="str">
        <f ca="1"/>
        <v xml:space="preserve">  LET(</v>
      </c>
    </row>
    <row r="204" spans="2:26" x14ac:dyDescent="0.3">
      <c r="E204" s="24" t="s">
        <v>735</v>
      </c>
      <c r="F204" s="92">
        <v>0</v>
      </c>
      <c r="I204" s="89">
        <v>11</v>
      </c>
      <c r="J204" s="22"/>
      <c r="L204" s="52" t="str">
        <f ca="1"/>
        <v xml:space="preserve">    _rng, range,</v>
      </c>
    </row>
    <row r="205" spans="2:26" x14ac:dyDescent="0.3">
      <c r="E205" s="24" t="s">
        <v>716</v>
      </c>
      <c r="F205" s="133" t="s">
        <v>717</v>
      </c>
      <c r="G205" s="134"/>
      <c r="I205" s="89"/>
      <c r="J205" s="22"/>
      <c r="L205" s="52" t="str">
        <f ca="1"/>
        <v xml:space="preserve">    _itm, find_item,</v>
      </c>
    </row>
    <row r="206" spans="2:26" x14ac:dyDescent="0.3">
      <c r="I206" s="89"/>
      <c r="J206" s="22"/>
      <c r="L206" s="52" t="str">
        <f ca="1"/>
        <v xml:space="preserve">    _mInp, IF( OR(ISOMITTED(match_type), ISBLANK(match_type)), 0, match_type),</v>
      </c>
    </row>
    <row r="207" spans="2:26" x14ac:dyDescent="0.3">
      <c r="D207" s="93" t="s">
        <v>747</v>
      </c>
      <c r="E207" s="94"/>
      <c r="F207" s="93" t="s">
        <v>736</v>
      </c>
      <c r="G207" s="94"/>
      <c r="L207" s="52" t="str">
        <f ca="1"/>
        <v xml:space="preserve">    _typ, IF( ISNUMBER(_mInp), _mInp + 1, MATCH( LOWER(match_type), {"=","&lt;&gt;","&gt;","&lt;","&gt;=","&lt;=","regex"}, 0)),</v>
      </c>
    </row>
    <row r="208" spans="2:26" x14ac:dyDescent="0.3">
      <c r="D208" s="95">
        <v>0</v>
      </c>
      <c r="E208" s="96" t="s">
        <v>746</v>
      </c>
      <c r="F208" s="95">
        <v>0</v>
      </c>
      <c r="G208" s="96" t="s">
        <v>737</v>
      </c>
      <c r="L208" s="52" t="str">
        <f ca="1"/>
        <v xml:space="preserve">    _optn, IF( ISOMITTED(output_type), 0, output_type),</v>
      </c>
    </row>
    <row r="209" spans="4:12" x14ac:dyDescent="0.3">
      <c r="D209" s="95">
        <v>1</v>
      </c>
      <c r="E209" s="96" t="s">
        <v>749</v>
      </c>
      <c r="F209" s="95">
        <v>1</v>
      </c>
      <c r="G209" s="96" t="s">
        <v>738</v>
      </c>
      <c r="L209" s="52" t="str">
        <f ca="1"/>
        <v xml:space="preserve">    _rep, IF( OR( ISOMITTED(if_not_found), ISBLANK(if_not_found)), NA(), if_not_found),</v>
      </c>
    </row>
    <row r="210" spans="4:12" x14ac:dyDescent="0.3">
      <c r="D210" s="95">
        <v>2</v>
      </c>
      <c r="E210" s="96" t="s">
        <v>751</v>
      </c>
      <c r="F210" s="95">
        <v>2</v>
      </c>
      <c r="G210" s="96" t="s">
        <v>739</v>
      </c>
      <c r="L210" s="52" t="str">
        <f ca="1"/>
        <v xml:space="preserve">    _tbl, CHOOSE(_optn + 1,</v>
      </c>
    </row>
    <row r="211" spans="4:12" x14ac:dyDescent="0.3">
      <c r="D211" s="95">
        <v>3</v>
      </c>
      <c r="E211" s="96" t="s">
        <v>753</v>
      </c>
      <c r="F211" s="95">
        <v>3</v>
      </c>
      <c r="G211" s="96" t="s">
        <v>740</v>
      </c>
      <c r="L211" s="52" t="str">
        <f ca="1"/>
        <v xml:space="preserve">      _rng,</v>
      </c>
    </row>
    <row r="212" spans="4:12" x14ac:dyDescent="0.3">
      <c r="D212" s="95">
        <v>4</v>
      </c>
      <c r="E212" s="96" t="s">
        <v>755</v>
      </c>
      <c r="F212" s="95">
        <v>4</v>
      </c>
      <c r="G212" s="96" t="s">
        <v>741</v>
      </c>
      <c r="L212" s="52" t="str">
        <f ca="1"/>
        <v xml:space="preserve">      (ROW(_rng) - ROW( TAKE(_rng, 1)) + 1) &amp; "," &amp; (COLUMN(_rng) - COLUMN( TAKE(_rng, , 1)) + 1),</v>
      </c>
    </row>
    <row r="213" spans="4:12" x14ac:dyDescent="0.3">
      <c r="D213" s="95">
        <v>5</v>
      </c>
      <c r="E213" s="96" t="s">
        <v>757</v>
      </c>
      <c r="F213" s="95">
        <v>5</v>
      </c>
      <c r="G213" s="96" t="s">
        <v>742</v>
      </c>
      <c r="L213" s="52" t="str">
        <f ca="1"/>
        <v xml:space="preserve">      ROW(_rng) &amp; "," &amp; COLUMN(_rng),</v>
      </c>
    </row>
    <row r="214" spans="4:12" x14ac:dyDescent="0.3">
      <c r="D214" s="95">
        <v>6</v>
      </c>
      <c r="E214" s="96" t="s">
        <v>759</v>
      </c>
      <c r="F214" s="97"/>
      <c r="L214" s="52" t="str">
        <f ca="1"/>
        <v xml:space="preserve">      ADDRESS( ROW(_rng), COLUMN(_rng), 4, 1),</v>
      </c>
    </row>
    <row r="215" spans="4:12" x14ac:dyDescent="0.3">
      <c r="L215" s="52" t="str">
        <f ca="1"/>
        <v xml:space="preserve">      ADDRESS( ROW(_rng), COLUMN(_rng), 1, 1),</v>
      </c>
    </row>
    <row r="216" spans="4:12" x14ac:dyDescent="0.3">
      <c r="L216" s="52" t="str">
        <f ca="1"/>
        <v xml:space="preserve">      _rng</v>
      </c>
    </row>
    <row r="217" spans="4:12" x14ac:dyDescent="0.3">
      <c r="L217" s="52" t="str">
        <f ca="1"/>
        <v xml:space="preserve">    ),</v>
      </c>
    </row>
    <row r="218" spans="4:12" x14ac:dyDescent="0.3">
      <c r="L218" s="52" t="str">
        <f ca="1"/>
        <v xml:space="preserve">    _mtch, TOCOL( CHOOSE(_typ,</v>
      </c>
    </row>
    <row r="219" spans="4:12" x14ac:dyDescent="0.3">
      <c r="L219" s="52" t="str">
        <f ca="1"/>
        <v xml:space="preserve">      IF(_rng = _itm, _tbl, NA()),</v>
      </c>
    </row>
    <row r="220" spans="4:12" x14ac:dyDescent="0.3">
      <c r="L220" s="52" t="str">
        <f ca="1"/>
        <v xml:space="preserve">      IF(_rng &lt;&gt; _itm, _tbl, NA()),</v>
      </c>
    </row>
    <row r="221" spans="4:12" x14ac:dyDescent="0.3">
      <c r="L221" s="52" t="str">
        <f ca="1"/>
        <v xml:space="preserve">      IF(_rng &gt; _itm, _tbl, NA()),</v>
      </c>
    </row>
    <row r="222" spans="4:12" x14ac:dyDescent="0.3">
      <c r="L222" s="52" t="str">
        <f ca="1"/>
        <v xml:space="preserve">      IF(_rng &lt; _itm, _tbl, NA()),</v>
      </c>
    </row>
    <row r="223" spans="4:12" x14ac:dyDescent="0.3">
      <c r="L223" s="52" t="str">
        <f ca="1"/>
        <v xml:space="preserve">      IF(_rng &gt;= _itm, _tbl, NA()),</v>
      </c>
    </row>
    <row r="224" spans="4:12" x14ac:dyDescent="0.3">
      <c r="L224" s="52" t="str">
        <f ca="1"/>
        <v xml:space="preserve">      IF(_rng &lt;= _itm, _tbl, NA()),</v>
      </c>
    </row>
    <row r="225" spans="3:12" x14ac:dyDescent="0.3">
      <c r="L225" s="52" t="str">
        <f ca="1"/>
        <v xml:space="preserve">      IF( REGEXTEST(_rng, _itm), _tbl, NA())),</v>
      </c>
    </row>
    <row r="226" spans="3:12" x14ac:dyDescent="0.3">
      <c r="L226" s="52" t="str">
        <f ca="1"/>
        <v xml:space="preserve">    2),</v>
      </c>
    </row>
    <row r="227" spans="3:12" x14ac:dyDescent="0.3">
      <c r="L227" s="52" t="str">
        <f ca="1"/>
        <v xml:space="preserve">    _out, IF(_optn &lt;&gt; 5, _mtch, MAX( ROWS(_mtch))),</v>
      </c>
    </row>
    <row r="228" spans="3:12" x14ac:dyDescent="0.3">
      <c r="L228" s="52" t="str">
        <f ca="1"/>
        <v xml:space="preserve">    _rtn, IF( ISERROR(_out), IF(_optn = 5, 0, _rep), _out),</v>
      </c>
    </row>
    <row r="229" spans="3:12" x14ac:dyDescent="0.3">
      <c r="L229" s="52" t="str">
        <f ca="1"/>
        <v xml:space="preserve">    _rtn</v>
      </c>
    </row>
    <row r="230" spans="3:12" x14ac:dyDescent="0.3">
      <c r="L230" s="52" t="str">
        <f ca="1"/>
        <v xml:space="preserve">  )</v>
      </c>
    </row>
    <row r="231" spans="3:12" x14ac:dyDescent="0.3">
      <c r="L231" s="52" t="str">
        <f ca="1"/>
        <v>)($D$14:$O$25, F202, F203, F204, F205)</v>
      </c>
    </row>
    <row r="234" spans="3:12" x14ac:dyDescent="0.3">
      <c r="C234" t="s">
        <v>766</v>
      </c>
      <c r="D234" t="s">
        <v>767</v>
      </c>
    </row>
    <row r="236" spans="3:12" x14ac:dyDescent="0.3">
      <c r="E236" s="24" t="s">
        <v>710</v>
      </c>
      <c r="F236" s="25"/>
      <c r="H236" s="24" t="s">
        <v>711</v>
      </c>
      <c r="I236" s="131" t="e" cm="1">
        <f t="array" ref="I236" xml:space="preserve"> _xlfn.LAMBDA(_xlpm.range,_xlpm.find_item,_xlop.match_type,_xlop.output_type,_xlop.if_not_found,
  _xlfn.LET(
    _xlpm._rng, _xlpm.range,
    _xlpm._itm, _xlpm.find_item,
    _xlpm._mInp, IF( OR( _xlfn.ISOMITTED(_xlpm.match_type), ISBLANK(_xlpm.match_type)), 0, _xlpm.match_type),
    _xlpm._typ, IF( ISNUMBER(_xlpm._mInp), _xlpm._mInp + 1, _xlfn.IFNA( MATCH( LOWER(_xlpm.match_type), {"=","&lt;&gt;","&gt;","&lt;","&gt;=","&lt;=","regex"}, 0), -1)),
    _xlpm._optn, IF( OR( _xlfn.ISOMITTED(_xlpm.output_type), ISBLANK(_xlpm.output_type)), 0, _xlpm.output_type),
    _xlpm._rep, IF( OR( _xlfn.ISOMITTED(_xlpm.if_not_found), ISBLANK(_xlpm.if_not_found)), NA(), _xlpm.if_not_found),
    _xlpm._inpChk, IF(
      NOT(ISREF(_xlpm.range)), 2,
      IF(
        OR(
          _xlpm._typ &lt; 1, _xlpm._typ &gt; 7,
          NOT(ISNUMBER(_xlpm._optn)), _xlpm._optn &lt; 0, _xlpm._optn &gt; 5
        ),
      3, 1)
    ),
    _xlpm._rtn, "OK",
    CHOOSE(_xlpm._inpChk, _xlpm._rtn,#REF!, #VALUE!)
  )
)("Hello World!", F236, F237, F238, F239)</f>
        <v>#REF!</v>
      </c>
      <c r="J236" s="132"/>
      <c r="L236" s="52" t="str" cm="1">
        <f t="array" aca="1" ref="L236:L256" ca="1" xml:space="preserve"> _xlfn.TEXTSPLIT( _xlfn.FORMULATEXT(I236), , CHAR(10))</f>
        <v>= LAMBDA(range,find_item,[match_type],[output_type],[if_not_found],</v>
      </c>
    </row>
    <row r="237" spans="3:12" x14ac:dyDescent="0.3">
      <c r="E237" s="24" t="s">
        <v>745</v>
      </c>
      <c r="F237" s="25"/>
      <c r="L237" s="52" t="str">
        <f ca="1"/>
        <v xml:space="preserve">  LET(</v>
      </c>
    </row>
    <row r="238" spans="3:12" x14ac:dyDescent="0.3">
      <c r="E238" s="24" t="s">
        <v>735</v>
      </c>
      <c r="F238" s="92"/>
      <c r="L238" s="52" t="str">
        <f ca="1"/>
        <v xml:space="preserve">    _rng, range,</v>
      </c>
    </row>
    <row r="239" spans="3:12" x14ac:dyDescent="0.3">
      <c r="E239" s="24" t="s">
        <v>716</v>
      </c>
      <c r="F239" s="133"/>
      <c r="G239" s="134"/>
      <c r="L239" s="52" t="str">
        <f ca="1"/>
        <v xml:space="preserve">    _itm, find_item,</v>
      </c>
    </row>
    <row r="240" spans="3:12" x14ac:dyDescent="0.3">
      <c r="L240" s="52" t="str">
        <f ca="1"/>
        <v xml:space="preserve">    _mInp, IF( OR( ISOMITTED(match_type), ISBLANK(match_type)), 0, match_type),</v>
      </c>
    </row>
    <row r="241" spans="4:12" x14ac:dyDescent="0.3">
      <c r="D241" s="93" t="s">
        <v>747</v>
      </c>
      <c r="E241" s="94"/>
      <c r="F241" s="93" t="s">
        <v>736</v>
      </c>
      <c r="G241" s="94"/>
      <c r="L241" s="52" t="str">
        <f ca="1"/>
        <v xml:space="preserve">    _typ, IF( ISNUMBER(_mInp), _mInp + 1, IFNA( MATCH( LOWER(match_type), {"=","&lt;&gt;","&gt;","&lt;","&gt;=","&lt;=","regex"}, 0), -1)),</v>
      </c>
    </row>
    <row r="242" spans="4:12" x14ac:dyDescent="0.3">
      <c r="D242" s="95">
        <v>0</v>
      </c>
      <c r="E242" s="96" t="s">
        <v>746</v>
      </c>
      <c r="F242" s="95">
        <v>0</v>
      </c>
      <c r="G242" s="96" t="s">
        <v>737</v>
      </c>
      <c r="L242" s="52" t="str">
        <f ca="1"/>
        <v xml:space="preserve">    _optn, IF( OR( ISOMITTED(output_type), ISBLANK(output_type)), 0, output_type),</v>
      </c>
    </row>
    <row r="243" spans="4:12" x14ac:dyDescent="0.3">
      <c r="D243" s="95">
        <v>1</v>
      </c>
      <c r="E243" s="96" t="s">
        <v>749</v>
      </c>
      <c r="F243" s="95">
        <v>1</v>
      </c>
      <c r="G243" s="96" t="s">
        <v>738</v>
      </c>
      <c r="L243" s="52" t="str">
        <f ca="1"/>
        <v xml:space="preserve">    _rep, IF( OR( ISOMITTED(if_not_found), ISBLANK(if_not_found)), NA(), if_not_found),</v>
      </c>
    </row>
    <row r="244" spans="4:12" x14ac:dyDescent="0.3">
      <c r="D244" s="95">
        <v>2</v>
      </c>
      <c r="E244" s="96" t="s">
        <v>751</v>
      </c>
      <c r="F244" s="95">
        <v>2</v>
      </c>
      <c r="G244" s="96" t="s">
        <v>739</v>
      </c>
      <c r="L244" s="52" t="str">
        <f ca="1"/>
        <v xml:space="preserve">    _inpChk, IF(</v>
      </c>
    </row>
    <row r="245" spans="4:12" x14ac:dyDescent="0.3">
      <c r="D245" s="95">
        <v>3</v>
      </c>
      <c r="E245" s="96" t="s">
        <v>753</v>
      </c>
      <c r="F245" s="95">
        <v>3</v>
      </c>
      <c r="G245" s="96" t="s">
        <v>740</v>
      </c>
      <c r="L245" s="52" t="str">
        <f ca="1"/>
        <v xml:space="preserve">      NOT(ISREF(range)), 2,</v>
      </c>
    </row>
    <row r="246" spans="4:12" x14ac:dyDescent="0.3">
      <c r="D246" s="95">
        <v>4</v>
      </c>
      <c r="E246" s="96" t="s">
        <v>755</v>
      </c>
      <c r="F246" s="95">
        <v>4</v>
      </c>
      <c r="G246" s="96" t="s">
        <v>741</v>
      </c>
      <c r="L246" s="52" t="str">
        <f ca="1"/>
        <v xml:space="preserve">      IF(</v>
      </c>
    </row>
    <row r="247" spans="4:12" x14ac:dyDescent="0.3">
      <c r="D247" s="95">
        <v>5</v>
      </c>
      <c r="E247" s="96" t="s">
        <v>757</v>
      </c>
      <c r="F247" s="95">
        <v>5</v>
      </c>
      <c r="G247" s="96" t="s">
        <v>742</v>
      </c>
      <c r="L247" s="52" t="str">
        <f ca="1"/>
        <v xml:space="preserve">        OR(</v>
      </c>
    </row>
    <row r="248" spans="4:12" x14ac:dyDescent="0.3">
      <c r="D248" s="95">
        <v>6</v>
      </c>
      <c r="E248" s="96" t="s">
        <v>759</v>
      </c>
      <c r="F248" s="97"/>
      <c r="L248" s="52" t="str">
        <f ca="1"/>
        <v xml:space="preserve">          _typ &lt; 1, _typ &gt; 7,</v>
      </c>
    </row>
    <row r="249" spans="4:12" x14ac:dyDescent="0.3">
      <c r="L249" s="52" t="str">
        <f ca="1"/>
        <v xml:space="preserve">          NOT(ISNUMBER(_optn)), _optn &lt; 0, _optn &gt; 5</v>
      </c>
    </row>
    <row r="250" spans="4:12" x14ac:dyDescent="0.3">
      <c r="L250" s="52" t="str">
        <f ca="1"/>
        <v xml:space="preserve">        ),</v>
      </c>
    </row>
    <row r="251" spans="4:12" x14ac:dyDescent="0.3">
      <c r="L251" s="52" t="str">
        <f ca="1"/>
        <v xml:space="preserve">      3, 1)</v>
      </c>
    </row>
    <row r="252" spans="4:12" x14ac:dyDescent="0.3">
      <c r="L252" s="52" t="str">
        <f ca="1"/>
        <v xml:space="preserve">    ),</v>
      </c>
    </row>
    <row r="253" spans="4:12" x14ac:dyDescent="0.3">
      <c r="L253" s="52" t="str">
        <f ca="1"/>
        <v xml:space="preserve">    _rtn, "OK",</v>
      </c>
    </row>
    <row r="254" spans="4:12" x14ac:dyDescent="0.3">
      <c r="L254" s="52" t="str">
        <f ca="1"/>
        <v xml:space="preserve">    CHOOSE(_inpChk, _rtn,#REF!, #VALUE!)</v>
      </c>
    </row>
    <row r="255" spans="4:12" x14ac:dyDescent="0.3">
      <c r="L255" s="52" t="str">
        <f ca="1"/>
        <v xml:space="preserve">  )</v>
      </c>
    </row>
    <row r="256" spans="4:12" x14ac:dyDescent="0.3">
      <c r="L256" s="52" t="str">
        <f ca="1"/>
        <v>)("Hello World!", F236, F237, F238, F239)</v>
      </c>
    </row>
    <row r="259" spans="3:12" x14ac:dyDescent="0.3">
      <c r="C259" t="s">
        <v>768</v>
      </c>
      <c r="D259" t="s">
        <v>769</v>
      </c>
    </row>
    <row r="261" spans="3:12" x14ac:dyDescent="0.3">
      <c r="E261" s="24" t="s">
        <v>710</v>
      </c>
      <c r="F261" s="25"/>
      <c r="H261" s="24" t="s">
        <v>711</v>
      </c>
      <c r="I261" s="102" t="str" cm="1">
        <f t="array" ref="I261" xml:space="preserve"> _xlfn.LAMBDA(_xlpm.range,_xlpm.find_item,_xlop.match_type,_xlop.output_type,_xlop.if_not_found,
  _xlfn.LET(
    _xlpm._rng, _xlpm.range,
    _xlpm._itm, _xlpm.find_item,
    _xlpm._mInp, IF( OR( _xlfn.ISOMITTED(_xlpm.match_type), ISBLANK(_xlpm.match_type)), 0, _xlpm.match_type),
    _xlpm._typ, IF( ISNUMBER(_xlpm._mInp), _xlpm._mInp + 1, _xlfn.IFNA( MATCH( LOWER(_xlpm.match_type), {"=","&lt;&gt;","&gt;","&lt;","&gt;=","&lt;=","regex"}, 0), -1)),
    _xlpm._optn, IF( OR( _xlfn.ISOMITTED(_xlpm.output_type), ISBLANK(_xlpm.output_type)), 0, _xlpm.output_type),
    _xlpm._rep, IF( OR( _xlfn.ISOMITTED(_xlpm.if_not_found), ISBLANK(_xlpm.if_not_found)), NA(), _xlpm.if_not_found),
    _xlpm._inpChk, IF(
      NOT(ISREF(_xlpm.range)), 2,
      IF(
        OR(
          _xlpm._typ &lt; 1, _xlpm._typ &gt; 7,
          NOT(ISNUMBER(_xlpm._optn)), _xlpm._optn &lt; 0, _xlpm._optn &gt; 5
        ),
      3, 1)
    ),
    _xlpm._tbl, CHOOSE(_xlpm._optn + 1,
      _xlpm._rng,
      (ROW(_xlpm._rng) - ROW( _xlfn.TAKE(_xlpm._rng, 1)) + 1) &amp; "," &amp; (COLUMN(_xlpm._rng) - COLUMN( _xlfn.TAKE(_xlpm._rng, , 1)) + 1),
      ROW(_xlpm._rng) &amp; "," &amp; COLUMN(_xlpm._rng),
      ADDRESS( ROW(_xlpm._rng), COLUMN(_xlpm._rng), 4, 1),
      ADDRESS( ROW(_xlpm._rng), COLUMN(_xlpm._rng), 1, 1),
      _xlpm._rng
    ),
    _xlpm._mtch, _xlfn.TOCOL( CHOOSE(_xlpm._typ,
      IF(_xlpm._rng = _xlpm._itm, _xlpm._tbl, NA()),
      IF(_xlpm._rng &lt;&gt; _xlpm._itm, _xlpm._tbl, NA()),
      IF(_xlpm._rng &gt; _xlpm._itm, _xlpm._tbl, NA()),
      IF(_xlpm._rng &lt; _xlpm._itm, _xlpm._tbl, NA()),
      IF(_xlpm._rng &gt;= _xlpm._itm, _xlpm._tbl, NA()),
      IF(_xlpm._rng &lt;= _xlpm._itm, _xlpm._tbl, NA()),
      IF( _xlfn.REGEXTEST(_xlpm._rng, _xlpm._itm), _xlpm._tbl, NA())),
    2),
    _xlpm._out, IF(_xlpm._optn &lt;&gt; 5, _xlpm._mtch, MAX( ROWS(_xlpm._mtch))),
    _xlpm._rtn, IF( ISERROR(_xlpm._out), IF(_xlpm._optn = 5, 0, _xlpm._rep), _xlpm._out),
    CHOOSE(_xlpm._inpChk, _xlpm._rtn,#REF!, #VALUE!)
  )
)($D$14:$O$25, F261, F262, F263, F264)</f>
        <v>(not found)</v>
      </c>
      <c r="J261" s="83"/>
      <c r="L261" s="52" t="str" cm="1">
        <f t="array" aca="1" ref="L261:L299" ca="1" xml:space="preserve"> _xlfn.TEXTSPLIT( _xlfn.FORMULATEXT(I261), , CHAR(10))</f>
        <v>= LAMBDA(range,find_item,[match_type],[output_type],[if_not_found],</v>
      </c>
    </row>
    <row r="262" spans="3:12" x14ac:dyDescent="0.3">
      <c r="E262" s="24" t="s">
        <v>745</v>
      </c>
      <c r="F262" s="25"/>
      <c r="I262" s="89"/>
      <c r="J262" s="22"/>
      <c r="L262" s="52" t="str">
        <f ca="1"/>
        <v xml:space="preserve">  LET(</v>
      </c>
    </row>
    <row r="263" spans="3:12" x14ac:dyDescent="0.3">
      <c r="E263" s="24" t="s">
        <v>735</v>
      </c>
      <c r="F263" s="92"/>
      <c r="I263" s="89"/>
      <c r="J263" s="22"/>
      <c r="L263" s="52" t="str">
        <f ca="1"/>
        <v xml:space="preserve">    _rng, range,</v>
      </c>
    </row>
    <row r="264" spans="3:12" x14ac:dyDescent="0.3">
      <c r="E264" s="24" t="s">
        <v>716</v>
      </c>
      <c r="F264" s="133" t="s">
        <v>717</v>
      </c>
      <c r="G264" s="134"/>
      <c r="I264" s="89"/>
      <c r="J264" s="22"/>
      <c r="L264" s="52" t="str">
        <f ca="1"/>
        <v xml:space="preserve">    _itm, find_item,</v>
      </c>
    </row>
    <row r="265" spans="3:12" x14ac:dyDescent="0.3">
      <c r="I265" s="89"/>
      <c r="J265" s="22"/>
      <c r="L265" s="52" t="str">
        <f ca="1"/>
        <v xml:space="preserve">    _mInp, IF( OR( ISOMITTED(match_type), ISBLANK(match_type)), 0, match_type),</v>
      </c>
    </row>
    <row r="266" spans="3:12" x14ac:dyDescent="0.3">
      <c r="D266" s="93" t="s">
        <v>747</v>
      </c>
      <c r="E266" s="94"/>
      <c r="F266" s="93" t="s">
        <v>736</v>
      </c>
      <c r="G266" s="94"/>
      <c r="L266" s="52" t="str">
        <f ca="1"/>
        <v xml:space="preserve">    _typ, IF( ISNUMBER(_mInp), _mInp + 1, IFNA( MATCH( LOWER(match_type), {"=","&lt;&gt;","&gt;","&lt;","&gt;=","&lt;=","regex"}, 0), -1)),</v>
      </c>
    </row>
    <row r="267" spans="3:12" x14ac:dyDescent="0.3">
      <c r="D267" s="95">
        <v>0</v>
      </c>
      <c r="E267" s="96" t="s">
        <v>746</v>
      </c>
      <c r="F267" s="95">
        <v>0</v>
      </c>
      <c r="G267" s="96" t="s">
        <v>737</v>
      </c>
      <c r="L267" s="52" t="str">
        <f ca="1"/>
        <v xml:space="preserve">    _optn, IF( OR( ISOMITTED(output_type), ISBLANK(output_type)), 0, output_type),</v>
      </c>
    </row>
    <row r="268" spans="3:12" x14ac:dyDescent="0.3">
      <c r="D268" s="95">
        <v>1</v>
      </c>
      <c r="E268" s="96" t="s">
        <v>749</v>
      </c>
      <c r="F268" s="95">
        <v>1</v>
      </c>
      <c r="G268" s="96" t="s">
        <v>738</v>
      </c>
      <c r="L268" s="52" t="str">
        <f ca="1"/>
        <v xml:space="preserve">    _rep, IF( OR( ISOMITTED(if_not_found), ISBLANK(if_not_found)), NA(), if_not_found),</v>
      </c>
    </row>
    <row r="269" spans="3:12" x14ac:dyDescent="0.3">
      <c r="D269" s="95">
        <v>2</v>
      </c>
      <c r="E269" s="96" t="s">
        <v>751</v>
      </c>
      <c r="F269" s="95">
        <v>2</v>
      </c>
      <c r="G269" s="96" t="s">
        <v>739</v>
      </c>
      <c r="L269" s="52" t="str">
        <f ca="1"/>
        <v xml:space="preserve">    _inpChk, IF(</v>
      </c>
    </row>
    <row r="270" spans="3:12" x14ac:dyDescent="0.3">
      <c r="D270" s="95">
        <v>3</v>
      </c>
      <c r="E270" s="96" t="s">
        <v>753</v>
      </c>
      <c r="F270" s="95">
        <v>3</v>
      </c>
      <c r="G270" s="96" t="s">
        <v>740</v>
      </c>
      <c r="L270" s="52" t="str">
        <f ca="1"/>
        <v xml:space="preserve">      NOT(ISREF(range)), 2,</v>
      </c>
    </row>
    <row r="271" spans="3:12" x14ac:dyDescent="0.3">
      <c r="D271" s="95">
        <v>4</v>
      </c>
      <c r="E271" s="96" t="s">
        <v>755</v>
      </c>
      <c r="F271" s="95">
        <v>4</v>
      </c>
      <c r="G271" s="96" t="s">
        <v>741</v>
      </c>
      <c r="L271" s="52" t="str">
        <f ca="1"/>
        <v xml:space="preserve">      IF(</v>
      </c>
    </row>
    <row r="272" spans="3:12" x14ac:dyDescent="0.3">
      <c r="D272" s="95">
        <v>5</v>
      </c>
      <c r="E272" s="96" t="s">
        <v>757</v>
      </c>
      <c r="F272" s="95">
        <v>5</v>
      </c>
      <c r="G272" s="96" t="s">
        <v>742</v>
      </c>
      <c r="L272" s="52" t="str">
        <f ca="1"/>
        <v xml:space="preserve">        OR(</v>
      </c>
    </row>
    <row r="273" spans="4:12" x14ac:dyDescent="0.3">
      <c r="D273" s="95">
        <v>6</v>
      </c>
      <c r="E273" s="96" t="s">
        <v>759</v>
      </c>
      <c r="F273" s="97"/>
      <c r="L273" s="52" t="str">
        <f ca="1"/>
        <v xml:space="preserve">          _typ &lt; 1, _typ &gt; 7,</v>
      </c>
    </row>
    <row r="274" spans="4:12" x14ac:dyDescent="0.3">
      <c r="L274" s="52" t="str">
        <f ca="1"/>
        <v xml:space="preserve">          NOT(ISNUMBER(_optn)), _optn &lt; 0, _optn &gt; 5</v>
      </c>
    </row>
    <row r="275" spans="4:12" x14ac:dyDescent="0.3">
      <c r="L275" s="52" t="str">
        <f ca="1"/>
        <v xml:space="preserve">        ),</v>
      </c>
    </row>
    <row r="276" spans="4:12" x14ac:dyDescent="0.3">
      <c r="L276" s="52" t="str">
        <f ca="1"/>
        <v xml:space="preserve">      3, 1)</v>
      </c>
    </row>
    <row r="277" spans="4:12" x14ac:dyDescent="0.3">
      <c r="L277" s="52" t="str">
        <f ca="1"/>
        <v xml:space="preserve">    ),</v>
      </c>
    </row>
    <row r="278" spans="4:12" x14ac:dyDescent="0.3">
      <c r="L278" s="52" t="str">
        <f ca="1"/>
        <v xml:space="preserve">    _tbl, CHOOSE(_optn + 1,</v>
      </c>
    </row>
    <row r="279" spans="4:12" x14ac:dyDescent="0.3">
      <c r="L279" s="52" t="str">
        <f ca="1"/>
        <v xml:space="preserve">      _rng,</v>
      </c>
    </row>
    <row r="280" spans="4:12" x14ac:dyDescent="0.3">
      <c r="L280" s="52" t="str">
        <f ca="1"/>
        <v xml:space="preserve">      (ROW(_rng) - ROW( TAKE(_rng, 1)) + 1) &amp; "," &amp; (COLUMN(_rng) - COLUMN( TAKE(_rng, , 1)) + 1),</v>
      </c>
    </row>
    <row r="281" spans="4:12" x14ac:dyDescent="0.3">
      <c r="L281" s="52" t="str">
        <f ca="1"/>
        <v xml:space="preserve">      ROW(_rng) &amp; "," &amp; COLUMN(_rng),</v>
      </c>
    </row>
    <row r="282" spans="4:12" x14ac:dyDescent="0.3">
      <c r="L282" s="52" t="str">
        <f ca="1"/>
        <v xml:space="preserve">      ADDRESS( ROW(_rng), COLUMN(_rng), 4, 1),</v>
      </c>
    </row>
    <row r="283" spans="4:12" x14ac:dyDescent="0.3">
      <c r="L283" s="52" t="str">
        <f ca="1"/>
        <v xml:space="preserve">      ADDRESS( ROW(_rng), COLUMN(_rng), 1, 1),</v>
      </c>
    </row>
    <row r="284" spans="4:12" x14ac:dyDescent="0.3">
      <c r="L284" s="52" t="str">
        <f ca="1"/>
        <v xml:space="preserve">      _rng</v>
      </c>
    </row>
    <row r="285" spans="4:12" x14ac:dyDescent="0.3">
      <c r="L285" s="52" t="str">
        <f ca="1"/>
        <v xml:space="preserve">    ),</v>
      </c>
    </row>
    <row r="286" spans="4:12" x14ac:dyDescent="0.3">
      <c r="L286" s="52" t="str">
        <f ca="1"/>
        <v xml:space="preserve">    _mtch, TOCOL( CHOOSE(_typ,</v>
      </c>
    </row>
    <row r="287" spans="4:12" x14ac:dyDescent="0.3">
      <c r="L287" s="52" t="str">
        <f ca="1"/>
        <v xml:space="preserve">      IF(_rng = _itm, _tbl, NA()),</v>
      </c>
    </row>
    <row r="288" spans="4:12" x14ac:dyDescent="0.3">
      <c r="L288" s="52" t="str">
        <f ca="1"/>
        <v xml:space="preserve">      IF(_rng &lt;&gt; _itm, _tbl, NA()),</v>
      </c>
    </row>
    <row r="289" spans="2:26" x14ac:dyDescent="0.3">
      <c r="L289" s="52" t="str">
        <f ca="1"/>
        <v xml:space="preserve">      IF(_rng &gt; _itm, _tbl, NA()),</v>
      </c>
    </row>
    <row r="290" spans="2:26" x14ac:dyDescent="0.3">
      <c r="L290" s="52" t="str">
        <f ca="1"/>
        <v xml:space="preserve">      IF(_rng &lt; _itm, _tbl, NA()),</v>
      </c>
    </row>
    <row r="291" spans="2:26" x14ac:dyDescent="0.3">
      <c r="L291" s="52" t="str">
        <f ca="1"/>
        <v xml:space="preserve">      IF(_rng &gt;= _itm, _tbl, NA()),</v>
      </c>
    </row>
    <row r="292" spans="2:26" x14ac:dyDescent="0.3">
      <c r="L292" s="52" t="str">
        <f ca="1"/>
        <v xml:space="preserve">      IF(_rng &lt;= _itm, _tbl, NA()),</v>
      </c>
    </row>
    <row r="293" spans="2:26" x14ac:dyDescent="0.3">
      <c r="L293" s="52" t="str">
        <f ca="1"/>
        <v xml:space="preserve">      IF( REGEXTEST(_rng, _itm), _tbl, NA())),</v>
      </c>
    </row>
    <row r="294" spans="2:26" x14ac:dyDescent="0.3">
      <c r="L294" s="52" t="str">
        <f ca="1"/>
        <v xml:space="preserve">    2),</v>
      </c>
    </row>
    <row r="295" spans="2:26" x14ac:dyDescent="0.3">
      <c r="L295" s="52" t="str">
        <f ca="1"/>
        <v xml:space="preserve">    _out, IF(_optn &lt;&gt; 5, _mtch, MAX( ROWS(_mtch))),</v>
      </c>
    </row>
    <row r="296" spans="2:26" x14ac:dyDescent="0.3">
      <c r="L296" s="52" t="str">
        <f ca="1"/>
        <v xml:space="preserve">    _rtn, IF( ISERROR(_out), IF(_optn = 5, 0, _rep), _out),</v>
      </c>
    </row>
    <row r="297" spans="2:26" x14ac:dyDescent="0.3">
      <c r="L297" s="52" t="str">
        <f ca="1"/>
        <v xml:space="preserve">    CHOOSE(_inpChk, _rtn,#REF!, #VALUE!)</v>
      </c>
    </row>
    <row r="298" spans="2:26" x14ac:dyDescent="0.3">
      <c r="L298" s="52" t="str">
        <f ca="1"/>
        <v xml:space="preserve">  )</v>
      </c>
    </row>
    <row r="299" spans="2:26" x14ac:dyDescent="0.3">
      <c r="L299" s="52" t="str">
        <f ca="1"/>
        <v>)($D$14:$O$25, F261, F262, F263, F264)</v>
      </c>
    </row>
    <row r="302" spans="2:26" x14ac:dyDescent="0.3">
      <c r="B302" s="28" t="s">
        <v>770</v>
      </c>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4" spans="2:26" x14ac:dyDescent="0.3">
      <c r="C304" t="s">
        <v>771</v>
      </c>
      <c r="D304" t="s">
        <v>772</v>
      </c>
    </row>
    <row r="306" spans="4:12" x14ac:dyDescent="0.3">
      <c r="E306" s="24" t="s">
        <v>710</v>
      </c>
      <c r="F306" s="25">
        <v>11</v>
      </c>
      <c r="H306" s="24" t="s">
        <v>711</v>
      </c>
      <c r="I306" s="102" t="str" cm="1">
        <f t="array" ref="I306:I309" xml:space="preserve"> _xlfn.LAMBDA(_xlpm.range,_xlpm.find_item,_xlop.match_type,_xlop.output_type,_xlop.if_not_found,_xlop.add_header,
  _xlfn.LET(
    _xlpm._rng, _xlpm.range,
    _xlpm._itm, _xlpm.find_item,
    _xlpm._mInp, IF( OR( _xlfn.ISOMITTED(_xlpm.match_type), ISBLANK(_xlpm.match_type)), 0, _xlpm.match_type),
    _xlpm._typ, IF( ISNUMBER(_xlpm._mInp), _xlpm._mInp + 1, _xlfn.IFNA( MATCH( LOWER(_xlpm.match_type), {"=","&lt;&gt;","&gt;","&lt;","&gt;=","&lt;=","regex"}, 0), -1)),
    _xlpm._optn, IF( OR( _xlfn.ISOMITTED(_xlpm.output_type), ISBLANK(_xlpm.output_type)), 0, _xlpm.output_type),
    _xlpm._rep, IF( OR( _xlfn.ISOMITTED(_xlpm.if_not_found), ISBLANK(_xlpm.if_not_found)), NA(), _xlpm.if_not_found),
    _xlpm._add, IF( OR( _xlfn.ISOMITTED(_xlpm.add_header), ISBLANK(_xlpm.add_header)), FALSE, _xlpm.add_header),
    _xlpm._inpChk, IF(
      NOT(ISREF(_xlpm.range)), 2,
      IF(
        OR(
          _xlpm._typ &lt; 1, _xlpm._typ &gt; 7,
          NOT(ISNUMBER(_xlpm._optn)), _xlpm._optn &lt; 0, _xlpm._optn &gt; 5
        ),
      3, 1)
    ),
    _xlpm._tbl, CHOOSE(_xlpm._optn + 1,
      _xlpm._rng,
      (ROW(_xlpm._rng) - ROW( _xlfn.TAKE(_xlpm._rng, 1)) + 1) &amp; "," &amp; (COLUMN(_xlpm._rng) - COLUMN( _xlfn.TAKE(_xlpm._rng, , 1)) + 1),
      ROW(_xlpm._rng) &amp; "," &amp; COLUMN(_xlpm._rng),
      ADDRESS( ROW(_xlpm._rng), COLUMN(_xlpm._rng), 4, 1),
      ADDRESS( ROW(_xlpm._rng), COLUMN(_xlpm._rng), 1, 1),
      _xlpm._rng
    ),
    _xlpm._mtch, _xlfn.TOCOL( CHOOSE(_xlpm._typ,
      IF(_xlpm._rng = _xlpm._itm, _xlpm._tbl, NA()),
      IF(_xlpm._rng &lt;&gt; _xlpm._itm, _xlpm._tbl, NA()),
      IF(_xlpm._rng &gt; _xlpm._itm, _xlpm._tbl, NA()),
      IF(_xlpm._rng &lt; _xlpm._itm, _xlpm._tbl, NA()),
      IF(_xlpm._rng &gt;= _xlpm._itm, _xlpm._tbl, NA()),
      IF(_xlpm._rng &lt;= _xlpm._itm, _xlpm._tbl, NA()),
      IF( _xlfn.REGEXTEST(_xlpm._rng, _xlpm._itm), _xlpm._tbl, NA())),
    2),
    _xlpm._calc, IF(_xlpm._optn &lt;&gt; 5, _xlpm._mtch, MAX( ROWS(_xlpm._mtch))),
    _xlpm._hdr, CHOOSE(_xlpm._optn + 1,
      "Matches",
      "Row,Column",
      "Row,Column",
      "Cell Address",
      "Cell Address",
      "Count of Matches"
    ),
    _xlpm._out, IF(_xlpm._add, _xlfn.VSTACK(_xlpm._hdr, _xlpm._calc), _xlpm._calc),
    _xlpm._rtn, IF( ISERROR(_xlpm._out), IF(_xlpm._optn = 5, 0, _xlpm._rep), _xlpm._out),
    CHOOSE(_xlpm._inpChk, _xlpm._rtn,#REF!, #VALUE!)
  )
)($D$14:$O$25, F306, F307, F308, F309, F310)</f>
        <v>Matches</v>
      </c>
      <c r="J306" s="83"/>
      <c r="L306" s="52" t="str" cm="1">
        <f t="array" aca="1" ref="L306:L354" ca="1" xml:space="preserve"> _xlfn.TEXTSPLIT( _xlfn.FORMULATEXT(I306), , CHAR(10))</f>
        <v>= LAMBDA(range,find_item,[match_type],[output_type],[if_not_found],[add_header],</v>
      </c>
    </row>
    <row r="307" spans="4:12" x14ac:dyDescent="0.3">
      <c r="E307" s="24" t="s">
        <v>745</v>
      </c>
      <c r="F307" s="25"/>
      <c r="I307" s="89">
        <v>11</v>
      </c>
      <c r="J307" s="22"/>
      <c r="L307" s="52" t="str">
        <f ca="1"/>
        <v xml:space="preserve">  LET(</v>
      </c>
    </row>
    <row r="308" spans="4:12" x14ac:dyDescent="0.3">
      <c r="E308" s="24" t="s">
        <v>735</v>
      </c>
      <c r="F308" s="92">
        <v>0</v>
      </c>
      <c r="I308" s="89">
        <v>11</v>
      </c>
      <c r="J308" s="22"/>
      <c r="L308" s="52" t="str">
        <f ca="1"/>
        <v xml:space="preserve">    _rng, range,</v>
      </c>
    </row>
    <row r="309" spans="4:12" x14ac:dyDescent="0.3">
      <c r="E309" s="24" t="s">
        <v>716</v>
      </c>
      <c r="F309" s="133" t="s">
        <v>717</v>
      </c>
      <c r="G309" s="134"/>
      <c r="I309" s="89">
        <v>11</v>
      </c>
      <c r="J309" s="22"/>
      <c r="L309" s="52" t="str">
        <f ca="1"/>
        <v xml:space="preserve">    _itm, find_item,</v>
      </c>
    </row>
    <row r="310" spans="4:12" x14ac:dyDescent="0.3">
      <c r="E310" s="24" t="s">
        <v>773</v>
      </c>
      <c r="F310" s="135">
        <v>1</v>
      </c>
      <c r="G310" s="136"/>
      <c r="I310" s="89"/>
      <c r="J310" s="22"/>
      <c r="L310" s="52" t="str">
        <f ca="1"/>
        <v xml:space="preserve">    _mInp, IF( OR( ISOMITTED(match_type), ISBLANK(match_type)), 0, match_type),</v>
      </c>
    </row>
    <row r="311" spans="4:12" x14ac:dyDescent="0.3">
      <c r="I311" s="89"/>
      <c r="J311" s="22"/>
      <c r="L311" s="52" t="str">
        <f ca="1"/>
        <v xml:space="preserve">    _typ, IF( ISNUMBER(_mInp), _mInp + 1, IFNA( MATCH( LOWER(match_type), {"=","&lt;&gt;","&gt;","&lt;","&gt;=","&lt;=","regex"}, 0), -1)),</v>
      </c>
    </row>
    <row r="312" spans="4:12" x14ac:dyDescent="0.3">
      <c r="D312" s="93" t="s">
        <v>747</v>
      </c>
      <c r="E312" s="94"/>
      <c r="F312" s="93" t="s">
        <v>736</v>
      </c>
      <c r="G312" s="94"/>
      <c r="L312" s="52" t="str">
        <f ca="1"/>
        <v xml:space="preserve">    _optn, IF( OR( ISOMITTED(output_type), ISBLANK(output_type)), 0, output_type),</v>
      </c>
    </row>
    <row r="313" spans="4:12" x14ac:dyDescent="0.3">
      <c r="D313" s="95">
        <v>0</v>
      </c>
      <c r="E313" s="96" t="s">
        <v>746</v>
      </c>
      <c r="F313" s="95">
        <v>0</v>
      </c>
      <c r="G313" s="96" t="s">
        <v>737</v>
      </c>
      <c r="L313" s="52" t="str">
        <f ca="1"/>
        <v xml:space="preserve">    _rep, IF( OR( ISOMITTED(if_not_found), ISBLANK(if_not_found)), NA(), if_not_found),</v>
      </c>
    </row>
    <row r="314" spans="4:12" x14ac:dyDescent="0.3">
      <c r="D314" s="95">
        <v>1</v>
      </c>
      <c r="E314" s="96" t="s">
        <v>749</v>
      </c>
      <c r="F314" s="95">
        <v>1</v>
      </c>
      <c r="G314" s="96" t="s">
        <v>738</v>
      </c>
      <c r="L314" s="52" t="str">
        <f ca="1"/>
        <v xml:space="preserve">    _add, IF( OR( ISOMITTED(add_header), ISBLANK(add_header)), FALSE, add_header),</v>
      </c>
    </row>
    <row r="315" spans="4:12" x14ac:dyDescent="0.3">
      <c r="D315" s="95">
        <v>2</v>
      </c>
      <c r="E315" s="96" t="s">
        <v>751</v>
      </c>
      <c r="F315" s="95">
        <v>2</v>
      </c>
      <c r="G315" s="96" t="s">
        <v>739</v>
      </c>
      <c r="L315" s="52" t="str">
        <f ca="1"/>
        <v xml:space="preserve">    _inpChk, IF(</v>
      </c>
    </row>
    <row r="316" spans="4:12" x14ac:dyDescent="0.3">
      <c r="D316" s="95">
        <v>3</v>
      </c>
      <c r="E316" s="96" t="s">
        <v>753</v>
      </c>
      <c r="F316" s="95">
        <v>3</v>
      </c>
      <c r="G316" s="96" t="s">
        <v>740</v>
      </c>
      <c r="L316" s="52" t="str">
        <f ca="1"/>
        <v xml:space="preserve">      NOT(ISREF(range)), 2,</v>
      </c>
    </row>
    <row r="317" spans="4:12" x14ac:dyDescent="0.3">
      <c r="D317" s="95">
        <v>4</v>
      </c>
      <c r="E317" s="96" t="s">
        <v>755</v>
      </c>
      <c r="F317" s="95">
        <v>4</v>
      </c>
      <c r="G317" s="96" t="s">
        <v>741</v>
      </c>
      <c r="L317" s="52" t="str">
        <f ca="1"/>
        <v xml:space="preserve">      IF(</v>
      </c>
    </row>
    <row r="318" spans="4:12" x14ac:dyDescent="0.3">
      <c r="D318" s="95">
        <v>5</v>
      </c>
      <c r="E318" s="96" t="s">
        <v>757</v>
      </c>
      <c r="F318" s="95">
        <v>5</v>
      </c>
      <c r="G318" s="96" t="s">
        <v>742</v>
      </c>
      <c r="L318" s="52" t="str">
        <f ca="1"/>
        <v xml:space="preserve">        OR(</v>
      </c>
    </row>
    <row r="319" spans="4:12" x14ac:dyDescent="0.3">
      <c r="D319" s="95">
        <v>6</v>
      </c>
      <c r="E319" s="96" t="s">
        <v>759</v>
      </c>
      <c r="F319" s="97"/>
      <c r="L319" s="52" t="str">
        <f ca="1"/>
        <v xml:space="preserve">          _typ &lt; 1, _typ &gt; 7,</v>
      </c>
    </row>
    <row r="320" spans="4:12" x14ac:dyDescent="0.3">
      <c r="L320" s="52" t="str">
        <f ca="1"/>
        <v xml:space="preserve">          NOT(ISNUMBER(_optn)), _optn &lt; 0, _optn &gt; 5</v>
      </c>
    </row>
    <row r="321" spans="12:12" x14ac:dyDescent="0.3">
      <c r="L321" s="52" t="str">
        <f ca="1"/>
        <v xml:space="preserve">        ),</v>
      </c>
    </row>
    <row r="322" spans="12:12" x14ac:dyDescent="0.3">
      <c r="L322" s="52" t="str">
        <f ca="1"/>
        <v xml:space="preserve">      3, 1)</v>
      </c>
    </row>
    <row r="323" spans="12:12" x14ac:dyDescent="0.3">
      <c r="L323" s="52" t="str">
        <f ca="1"/>
        <v xml:space="preserve">    ),</v>
      </c>
    </row>
    <row r="324" spans="12:12" x14ac:dyDescent="0.3">
      <c r="L324" s="52" t="str">
        <f ca="1"/>
        <v xml:space="preserve">    _tbl, CHOOSE(_optn + 1,</v>
      </c>
    </row>
    <row r="325" spans="12:12" x14ac:dyDescent="0.3">
      <c r="L325" s="52" t="str">
        <f ca="1"/>
        <v xml:space="preserve">      _rng,</v>
      </c>
    </row>
    <row r="326" spans="12:12" x14ac:dyDescent="0.3">
      <c r="L326" s="52" t="str">
        <f ca="1"/>
        <v xml:space="preserve">      (ROW(_rng) - ROW( TAKE(_rng, 1)) + 1) &amp; "," &amp; (COLUMN(_rng) - COLUMN( TAKE(_rng, , 1)) + 1),</v>
      </c>
    </row>
    <row r="327" spans="12:12" x14ac:dyDescent="0.3">
      <c r="L327" s="52" t="str">
        <f ca="1"/>
        <v xml:space="preserve">      ROW(_rng) &amp; "," &amp; COLUMN(_rng),</v>
      </c>
    </row>
    <row r="328" spans="12:12" x14ac:dyDescent="0.3">
      <c r="L328" s="52" t="str">
        <f ca="1"/>
        <v xml:space="preserve">      ADDRESS( ROW(_rng), COLUMN(_rng), 4, 1),</v>
      </c>
    </row>
    <row r="329" spans="12:12" x14ac:dyDescent="0.3">
      <c r="L329" s="52" t="str">
        <f ca="1"/>
        <v xml:space="preserve">      ADDRESS( ROW(_rng), COLUMN(_rng), 1, 1),</v>
      </c>
    </row>
    <row r="330" spans="12:12" x14ac:dyDescent="0.3">
      <c r="L330" s="52" t="str">
        <f ca="1"/>
        <v xml:space="preserve">      _rng</v>
      </c>
    </row>
    <row r="331" spans="12:12" x14ac:dyDescent="0.3">
      <c r="L331" s="52" t="str">
        <f ca="1"/>
        <v xml:space="preserve">    ),</v>
      </c>
    </row>
    <row r="332" spans="12:12" x14ac:dyDescent="0.3">
      <c r="L332" s="52" t="str">
        <f ca="1"/>
        <v xml:space="preserve">    _mtch, TOCOL( CHOOSE(_typ,</v>
      </c>
    </row>
    <row r="333" spans="12:12" x14ac:dyDescent="0.3">
      <c r="L333" s="52" t="str">
        <f ca="1"/>
        <v xml:space="preserve">      IF(_rng = _itm, _tbl, NA()),</v>
      </c>
    </row>
    <row r="334" spans="12:12" x14ac:dyDescent="0.3">
      <c r="L334" s="52" t="str">
        <f ca="1"/>
        <v xml:space="preserve">      IF(_rng &lt;&gt; _itm, _tbl, NA()),</v>
      </c>
    </row>
    <row r="335" spans="12:12" x14ac:dyDescent="0.3">
      <c r="L335" s="52" t="str">
        <f ca="1"/>
        <v xml:space="preserve">      IF(_rng &gt; _itm, _tbl, NA()),</v>
      </c>
    </row>
    <row r="336" spans="12:12" x14ac:dyDescent="0.3">
      <c r="L336" s="52" t="str">
        <f ca="1"/>
        <v xml:space="preserve">      IF(_rng &lt; _itm, _tbl, NA()),</v>
      </c>
    </row>
    <row r="337" spans="12:12" x14ac:dyDescent="0.3">
      <c r="L337" s="52" t="str">
        <f ca="1"/>
        <v xml:space="preserve">      IF(_rng &gt;= _itm, _tbl, NA()),</v>
      </c>
    </row>
    <row r="338" spans="12:12" x14ac:dyDescent="0.3">
      <c r="L338" s="52" t="str">
        <f ca="1"/>
        <v xml:space="preserve">      IF(_rng &lt;= _itm, _tbl, NA()),</v>
      </c>
    </row>
    <row r="339" spans="12:12" x14ac:dyDescent="0.3">
      <c r="L339" s="52" t="str">
        <f ca="1"/>
        <v xml:space="preserve">      IF( REGEXTEST(_rng, _itm), _tbl, NA())),</v>
      </c>
    </row>
    <row r="340" spans="12:12" x14ac:dyDescent="0.3">
      <c r="L340" s="52" t="str">
        <f ca="1"/>
        <v xml:space="preserve">    2),</v>
      </c>
    </row>
    <row r="341" spans="12:12" x14ac:dyDescent="0.3">
      <c r="L341" s="52" t="str">
        <f ca="1"/>
        <v xml:space="preserve">    _calc, IF(_optn &lt;&gt; 5, _mtch, MAX( ROWS(_mtch))),</v>
      </c>
    </row>
    <row r="342" spans="12:12" x14ac:dyDescent="0.3">
      <c r="L342" s="52" t="str">
        <f ca="1"/>
        <v xml:space="preserve">    _hdr, CHOOSE(_optn + 1,</v>
      </c>
    </row>
    <row r="343" spans="12:12" x14ac:dyDescent="0.3">
      <c r="L343" s="52" t="str">
        <f ca="1"/>
        <v xml:space="preserve">      "Matches",</v>
      </c>
    </row>
    <row r="344" spans="12:12" x14ac:dyDescent="0.3">
      <c r="L344" s="52" t="str">
        <f ca="1"/>
        <v xml:space="preserve">      "Row,Column",</v>
      </c>
    </row>
    <row r="345" spans="12:12" x14ac:dyDescent="0.3">
      <c r="L345" s="52" t="str">
        <f ca="1"/>
        <v xml:space="preserve">      "Row,Column",</v>
      </c>
    </row>
    <row r="346" spans="12:12" x14ac:dyDescent="0.3">
      <c r="L346" s="52" t="str">
        <f ca="1"/>
        <v xml:space="preserve">      "Cell Address",</v>
      </c>
    </row>
    <row r="347" spans="12:12" x14ac:dyDescent="0.3">
      <c r="L347" s="52" t="str">
        <f ca="1"/>
        <v xml:space="preserve">      "Cell Address",</v>
      </c>
    </row>
    <row r="348" spans="12:12" x14ac:dyDescent="0.3">
      <c r="L348" s="52" t="str">
        <f ca="1"/>
        <v xml:space="preserve">      "Count of Matches"</v>
      </c>
    </row>
    <row r="349" spans="12:12" x14ac:dyDescent="0.3">
      <c r="L349" s="52" t="str">
        <f ca="1"/>
        <v xml:space="preserve">    ),</v>
      </c>
    </row>
    <row r="350" spans="12:12" x14ac:dyDescent="0.3">
      <c r="L350" s="52" t="str">
        <f ca="1"/>
        <v xml:space="preserve">    _out, IF(_add, VSTACK(_hdr, _calc), _calc),</v>
      </c>
    </row>
    <row r="351" spans="12:12" x14ac:dyDescent="0.3">
      <c r="L351" s="52" t="str">
        <f ca="1"/>
        <v xml:space="preserve">    _rtn, IF( ISERROR(_out), IF(_optn = 5, 0, _rep), _out),</v>
      </c>
    </row>
    <row r="352" spans="12:12" x14ac:dyDescent="0.3">
      <c r="L352" s="52" t="str">
        <f ca="1"/>
        <v xml:space="preserve">    CHOOSE(_inpChk, _rtn,#REF!, #VALUE!)</v>
      </c>
    </row>
    <row r="353" spans="3:12" x14ac:dyDescent="0.3">
      <c r="L353" s="52" t="str">
        <f ca="1"/>
        <v xml:space="preserve">  )</v>
      </c>
    </row>
    <row r="354" spans="3:12" x14ac:dyDescent="0.3">
      <c r="L354" s="52" t="str">
        <f ca="1"/>
        <v>)($D$14:$O$25, F306, F307, F308, F309, F310)</v>
      </c>
    </row>
    <row r="357" spans="3:12" x14ac:dyDescent="0.3">
      <c r="C357" t="s">
        <v>774</v>
      </c>
      <c r="D357" t="s">
        <v>775</v>
      </c>
    </row>
    <row r="359" spans="3:12" x14ac:dyDescent="0.3">
      <c r="E359" s="24" t="s">
        <v>710</v>
      </c>
      <c r="F359" s="25">
        <v>10</v>
      </c>
      <c r="H359" s="24" t="s">
        <v>711</v>
      </c>
      <c r="I359" s="102" t="str" cm="1">
        <f t="array" ref="I359:J360" xml:space="preserve"> _xlfn.LAMBDA(_xlpm.range,_xlpm.find_item,_xlop.match_type,_xlop.output_type,_xlop.if_not_found,_xlop.add_header,_xlop.split_output,
  _xlfn.LET(
    _xlpm._rng, _xlpm.range,
    _xlpm._itm, _xlpm.find_item,
    _xlpm._mInp, IF( OR( _xlfn.ISOMITTED(_xlpm.match_type), ISBLANK(_xlpm.match_type)), 0, INT(_xlpm.match_type)),
    _xlpm._typ, IF( ISNUMBER(_xlpm._mInp), _xlpm._mInp + 1, _xlfn.IFNA( MATCH( LOWER(_xlpm.match_type), {"=","&lt;&gt;","&gt;","&lt;","&gt;=","&lt;=","regex"}, 0), -1)),
    _xlpm._optn, IF( OR( _xlfn.ISOMITTED(_xlpm.output_type), ISBLANK(_xlpm.output_type)), 0, INT(_xlpm.output_type)),
    _xlpm._rep, IF( OR( _xlfn.ISOMITTED(_xlpm.if_not_found), ISBLANK(_xlpm.if_not_found)), NA(), _xlpm.if_not_found),
    _xlpm._add, IF( OR( _xlfn.ISOMITTED(_xlpm.add_header), ISBLANK(_xlpm.add_header)), FALSE, _xlpm.add_header),
    _xlpm._splt, IF( OR( _xlfn.ISOMITTED(_xlpm.split_output), ISBLANK(_xlpm.split_output)), FALSE, _xlpm.split_output),
    _xlpm._inpChk, IF(
      NOT(ISREF(_xlpm.range)), 2,
      IF(
        OR(
          _xlpm._typ &lt; 1, _xlpm._typ &gt; 7,
          NOT(ISNUMBER(_xlpm._optn)), _xlpm._optn &lt; 0, _xlpm._optn &gt; 5
        ),
      3, 1)
    ),
    _xlpm._tbl, CHOOSE(_xlpm._optn + 1,
      _xlpm._rng,
      (ROW(_xlpm._rng) - ROW( _xlfn.TAKE(_xlpm._rng, 1)) + 1) &amp; "," &amp; (COLUMN(_xlpm._rng) - COLUMN( _xlfn.TAKE(_xlpm._rng, , 1)) + 1),
      ROW(_xlpm._rng) &amp; "," &amp; COLUMN(_xlpm._rng),
      ADDRESS( ROW(_xlpm._rng), COLUMN(_xlpm._rng), 4, 1),
      ADDRESS( ROW(_xlpm._rng), COLUMN(_xlpm._rng), 1, 1),
      _xlpm._rng
    ),
    _xlpm._mtch, _xlfn.TOCOL( CHOOSE(_xlpm._typ,
      IF(_xlpm._rng = _xlpm._itm, _xlpm._tbl, NA()),
      IF(_xlpm._rng &lt;&gt; _xlpm._itm, _xlpm._tbl, NA()),
      IF(_xlpm._rng &gt; _xlpm._itm, _xlpm._tbl, NA()),
      IF(_xlpm._rng &lt; _xlpm._itm, _xlpm._tbl, NA()),
      IF(_xlpm._rng &gt;= _xlpm._itm, _xlpm._tbl, NA()),
      IF(_xlpm._rng &lt;= _xlpm._itm, _xlpm._tbl, NA()),
      IF( _xlfn.REGEXTEST(_xlpm._rng, _xlpm._itm), _xlpm._tbl, NA())),
    2),
    _xlpm._calc, IF(_xlpm._optn &lt;&gt; 5, _xlpm._mtch, MAX( ROWS(_xlpm._mtch))),
    _xlpm._arr, IF( ISERROR(_xlpm._calc), IF(_xlpm._optn = 5, 0, _xlpm._rep), _xlpm._calc),
    _xlpm._hdr, CHOOSE(_xlpm._optn + 1,
      "Matches",
      "Row,Column",
      "Row,Column",
      "Cell Address",
      "Cell Address",
      "Count of Matches"
    ),
    _xlpm._inc, _xlfn.VSTACK(_xlpm._hdr, _xlpm._arr),
    _xlpm._rslt, IF( AND(_xlpm._splt, _xlpm._optn &gt; 0, _xlpm._optn &lt; 3),
      _xlfn.DROP( _xlfn.REDUCE("", _xlpm._inc, _xlfn.LAMBDA(_xlpm._acc,_xlpm._val, _xlfn.VSTACK(_xlpm._acc, _xlfn.TEXTSPLIT(_xlpm._val, ",", , TRUE)))), 1),
      _xlpm._inc
    ),
    _xlpm._out, _xlfn.DROP(_xlpm._rslt, IF(_xlpm._add, 0, 1)),
    _xlpm._rtn, IF( ISNA(_xlpm._out), _xlpm._rep, _xlpm._out),
    CHOOSE(_xlpm._inpChk, _xlpm._rtn,#REF!, #VALUE!)
  )
)($D$14:$O$25, F359, F360, F361, F362, F363, F364)</f>
        <v>Row</v>
      </c>
      <c r="J359" s="83" t="str">
        <v>Column</v>
      </c>
      <c r="L359" s="52" t="str" cm="1">
        <f t="array" aca="1" ref="L359:L414" ca="1" xml:space="preserve"> _xlfn.TEXTSPLIT( _xlfn.FORMULATEXT(I359), , CHAR(10))</f>
        <v>= LAMBDA(range,find_item,[match_type],[output_type],[if_not_found],[add_header],[split_output],</v>
      </c>
    </row>
    <row r="360" spans="3:12" x14ac:dyDescent="0.3">
      <c r="E360" s="24" t="s">
        <v>745</v>
      </c>
      <c r="F360" s="25"/>
      <c r="I360" s="89" t="str">
        <v>(none)</v>
      </c>
      <c r="J360" s="22" t="str">
        <v>(none)</v>
      </c>
      <c r="L360" s="52" t="str">
        <f ca="1"/>
        <v xml:space="preserve">  LET(</v>
      </c>
    </row>
    <row r="361" spans="3:12" x14ac:dyDescent="0.3">
      <c r="E361" s="24" t="s">
        <v>735</v>
      </c>
      <c r="F361" s="92">
        <v>1</v>
      </c>
      <c r="I361" s="89"/>
      <c r="J361" s="22"/>
      <c r="L361" s="52" t="str">
        <f ca="1"/>
        <v xml:space="preserve">    _rng, range,</v>
      </c>
    </row>
    <row r="362" spans="3:12" x14ac:dyDescent="0.3">
      <c r="E362" s="24" t="s">
        <v>716</v>
      </c>
      <c r="F362" s="133" t="s">
        <v>776</v>
      </c>
      <c r="G362" s="134"/>
      <c r="I362" s="89"/>
      <c r="J362" s="22"/>
      <c r="L362" s="52" t="str">
        <f ca="1"/>
        <v xml:space="preserve">    _itm, find_item,</v>
      </c>
    </row>
    <row r="363" spans="3:12" x14ac:dyDescent="0.3">
      <c r="E363" s="24" t="s">
        <v>773</v>
      </c>
      <c r="F363" s="135">
        <v>1</v>
      </c>
      <c r="G363" s="136"/>
      <c r="I363" s="89"/>
      <c r="J363" s="22"/>
      <c r="L363" s="52" t="str">
        <f ca="1"/>
        <v xml:space="preserve">    _mInp, IF( OR( ISOMITTED(match_type), ISBLANK(match_type)), 0, INT(match_type)),</v>
      </c>
    </row>
    <row r="364" spans="3:12" x14ac:dyDescent="0.3">
      <c r="E364" s="24" t="s">
        <v>777</v>
      </c>
      <c r="F364" s="135">
        <v>1</v>
      </c>
      <c r="G364" s="136"/>
      <c r="I364" s="89"/>
      <c r="J364" s="22"/>
      <c r="L364" s="52" t="str">
        <f ca="1"/>
        <v xml:space="preserve">    _typ, IF( ISNUMBER(_mInp), _mInp + 1, IFNA( MATCH( LOWER(match_type), {"=","&lt;&gt;","&gt;","&lt;","&gt;=","&lt;=","regex"}, 0), -1)),</v>
      </c>
    </row>
    <row r="365" spans="3:12" x14ac:dyDescent="0.3">
      <c r="L365" s="52" t="str">
        <f ca="1"/>
        <v xml:space="preserve">    _optn, IF( OR( ISOMITTED(output_type), ISBLANK(output_type)), 0, INT(output_type)),</v>
      </c>
    </row>
    <row r="366" spans="3:12" x14ac:dyDescent="0.3">
      <c r="D366" s="93" t="s">
        <v>747</v>
      </c>
      <c r="E366" s="94"/>
      <c r="F366" s="93" t="s">
        <v>736</v>
      </c>
      <c r="G366" s="94"/>
      <c r="L366" s="52" t="str">
        <f ca="1"/>
        <v xml:space="preserve">    _rep, IF( OR( ISOMITTED(if_not_found), ISBLANK(if_not_found)), NA(), if_not_found),</v>
      </c>
    </row>
    <row r="367" spans="3:12" x14ac:dyDescent="0.3">
      <c r="D367" s="95">
        <v>0</v>
      </c>
      <c r="E367" s="96" t="s">
        <v>746</v>
      </c>
      <c r="F367" s="95">
        <v>0</v>
      </c>
      <c r="G367" s="96" t="s">
        <v>737</v>
      </c>
      <c r="L367" s="52" t="str">
        <f ca="1"/>
        <v xml:space="preserve">    _add, IF( OR( ISOMITTED(add_header), ISBLANK(add_header)), FALSE, add_header),</v>
      </c>
    </row>
    <row r="368" spans="3:12" x14ac:dyDescent="0.3">
      <c r="D368" s="95">
        <v>1</v>
      </c>
      <c r="E368" s="96" t="s">
        <v>749</v>
      </c>
      <c r="F368" s="95">
        <v>1</v>
      </c>
      <c r="G368" s="96" t="s">
        <v>738</v>
      </c>
      <c r="L368" s="52" t="str">
        <f ca="1"/>
        <v xml:space="preserve">    _splt, IF( OR( ISOMITTED(split_output), ISBLANK(split_output)), FALSE, split_output),</v>
      </c>
    </row>
    <row r="369" spans="4:12" x14ac:dyDescent="0.3">
      <c r="D369" s="95">
        <v>2</v>
      </c>
      <c r="E369" s="96" t="s">
        <v>751</v>
      </c>
      <c r="F369" s="95">
        <v>2</v>
      </c>
      <c r="G369" s="96" t="s">
        <v>739</v>
      </c>
      <c r="L369" s="52" t="str">
        <f ca="1"/>
        <v xml:space="preserve">    _inpChk, IF(</v>
      </c>
    </row>
    <row r="370" spans="4:12" x14ac:dyDescent="0.3">
      <c r="D370" s="95">
        <v>3</v>
      </c>
      <c r="E370" s="96" t="s">
        <v>753</v>
      </c>
      <c r="F370" s="95">
        <v>3</v>
      </c>
      <c r="G370" s="96" t="s">
        <v>740</v>
      </c>
      <c r="L370" s="52" t="str">
        <f ca="1"/>
        <v xml:space="preserve">      NOT(ISREF(range)), 2,</v>
      </c>
    </row>
    <row r="371" spans="4:12" x14ac:dyDescent="0.3">
      <c r="D371" s="95">
        <v>4</v>
      </c>
      <c r="E371" s="96" t="s">
        <v>755</v>
      </c>
      <c r="F371" s="95">
        <v>4</v>
      </c>
      <c r="G371" s="96" t="s">
        <v>741</v>
      </c>
      <c r="L371" s="52" t="str">
        <f ca="1"/>
        <v xml:space="preserve">      IF(</v>
      </c>
    </row>
    <row r="372" spans="4:12" x14ac:dyDescent="0.3">
      <c r="D372" s="95">
        <v>5</v>
      </c>
      <c r="E372" s="96" t="s">
        <v>757</v>
      </c>
      <c r="F372" s="95">
        <v>5</v>
      </c>
      <c r="G372" s="96" t="s">
        <v>742</v>
      </c>
      <c r="L372" s="52" t="str">
        <f ca="1"/>
        <v xml:space="preserve">        OR(</v>
      </c>
    </row>
    <row r="373" spans="4:12" x14ac:dyDescent="0.3">
      <c r="D373" s="95">
        <v>6</v>
      </c>
      <c r="E373" s="96" t="s">
        <v>759</v>
      </c>
      <c r="F373" s="97"/>
      <c r="L373" s="52" t="str">
        <f ca="1"/>
        <v xml:space="preserve">          _typ &lt; 1, _typ &gt; 7,</v>
      </c>
    </row>
    <row r="374" spans="4:12" x14ac:dyDescent="0.3">
      <c r="L374" s="52" t="str">
        <f ca="1"/>
        <v xml:space="preserve">          NOT(ISNUMBER(_optn)), _optn &lt; 0, _optn &gt; 5</v>
      </c>
    </row>
    <row r="375" spans="4:12" x14ac:dyDescent="0.3">
      <c r="L375" s="52" t="str">
        <f ca="1"/>
        <v xml:space="preserve">        ),</v>
      </c>
    </row>
    <row r="376" spans="4:12" x14ac:dyDescent="0.3">
      <c r="L376" s="52" t="str">
        <f ca="1"/>
        <v xml:space="preserve">      3, 1)</v>
      </c>
    </row>
    <row r="377" spans="4:12" x14ac:dyDescent="0.3">
      <c r="L377" s="52" t="str">
        <f ca="1"/>
        <v xml:space="preserve">    ),</v>
      </c>
    </row>
    <row r="378" spans="4:12" x14ac:dyDescent="0.3">
      <c r="L378" s="52" t="str">
        <f ca="1"/>
        <v xml:space="preserve">    _tbl, CHOOSE(_optn + 1,</v>
      </c>
    </row>
    <row r="379" spans="4:12" x14ac:dyDescent="0.3">
      <c r="L379" s="52" t="str">
        <f ca="1"/>
        <v xml:space="preserve">      _rng,</v>
      </c>
    </row>
    <row r="380" spans="4:12" x14ac:dyDescent="0.3">
      <c r="L380" s="52" t="str">
        <f ca="1"/>
        <v xml:space="preserve">      (ROW(_rng) - ROW( TAKE(_rng, 1)) + 1) &amp; "," &amp; (COLUMN(_rng) - COLUMN( TAKE(_rng, , 1)) + 1),</v>
      </c>
    </row>
    <row r="381" spans="4:12" x14ac:dyDescent="0.3">
      <c r="L381" s="52" t="str">
        <f ca="1"/>
        <v xml:space="preserve">      ROW(_rng) &amp; "," &amp; COLUMN(_rng),</v>
      </c>
    </row>
    <row r="382" spans="4:12" x14ac:dyDescent="0.3">
      <c r="L382" s="52" t="str">
        <f ca="1"/>
        <v xml:space="preserve">      ADDRESS( ROW(_rng), COLUMN(_rng), 4, 1),</v>
      </c>
    </row>
    <row r="383" spans="4:12" x14ac:dyDescent="0.3">
      <c r="L383" s="52" t="str">
        <f ca="1"/>
        <v xml:space="preserve">      ADDRESS( ROW(_rng), COLUMN(_rng), 1, 1),</v>
      </c>
    </row>
    <row r="384" spans="4:12" x14ac:dyDescent="0.3">
      <c r="L384" s="52" t="str">
        <f ca="1"/>
        <v xml:space="preserve">      _rng</v>
      </c>
    </row>
    <row r="385" spans="12:12" x14ac:dyDescent="0.3">
      <c r="L385" s="52" t="str">
        <f ca="1"/>
        <v xml:space="preserve">    ),</v>
      </c>
    </row>
    <row r="386" spans="12:12" x14ac:dyDescent="0.3">
      <c r="L386" s="52" t="str">
        <f ca="1"/>
        <v xml:space="preserve">    _mtch, TOCOL( CHOOSE(_typ,</v>
      </c>
    </row>
    <row r="387" spans="12:12" x14ac:dyDescent="0.3">
      <c r="L387" s="52" t="str">
        <f ca="1"/>
        <v xml:space="preserve">      IF(_rng = _itm, _tbl, NA()),</v>
      </c>
    </row>
    <row r="388" spans="12:12" x14ac:dyDescent="0.3">
      <c r="L388" s="52" t="str">
        <f ca="1"/>
        <v xml:space="preserve">      IF(_rng &lt;&gt; _itm, _tbl, NA()),</v>
      </c>
    </row>
    <row r="389" spans="12:12" x14ac:dyDescent="0.3">
      <c r="L389" s="52" t="str">
        <f ca="1"/>
        <v xml:space="preserve">      IF(_rng &gt; _itm, _tbl, NA()),</v>
      </c>
    </row>
    <row r="390" spans="12:12" x14ac:dyDescent="0.3">
      <c r="L390" s="52" t="str">
        <f ca="1"/>
        <v xml:space="preserve">      IF(_rng &lt; _itm, _tbl, NA()),</v>
      </c>
    </row>
    <row r="391" spans="12:12" x14ac:dyDescent="0.3">
      <c r="L391" s="52" t="str">
        <f ca="1"/>
        <v xml:space="preserve">      IF(_rng &gt;= _itm, _tbl, NA()),</v>
      </c>
    </row>
    <row r="392" spans="12:12" x14ac:dyDescent="0.3">
      <c r="L392" s="52" t="str">
        <f ca="1"/>
        <v xml:space="preserve">      IF(_rng &lt;= _itm, _tbl, NA()),</v>
      </c>
    </row>
    <row r="393" spans="12:12" x14ac:dyDescent="0.3">
      <c r="L393" s="52" t="str">
        <f ca="1"/>
        <v xml:space="preserve">      IF( REGEXTEST(_rng, _itm), _tbl, NA())),</v>
      </c>
    </row>
    <row r="394" spans="12:12" x14ac:dyDescent="0.3">
      <c r="L394" s="52" t="str">
        <f ca="1"/>
        <v xml:space="preserve">    2),</v>
      </c>
    </row>
    <row r="395" spans="12:12" x14ac:dyDescent="0.3">
      <c r="L395" s="52" t="str">
        <f ca="1"/>
        <v xml:space="preserve">    _calc, IF(_optn &lt;&gt; 5, _mtch, MAX( ROWS(_mtch))),</v>
      </c>
    </row>
    <row r="396" spans="12:12" x14ac:dyDescent="0.3">
      <c r="L396" s="52" t="str">
        <f ca="1"/>
        <v xml:space="preserve">    _arr, IF( ISERROR(_calc), IF(_optn = 5, 0, _rep), _calc),</v>
      </c>
    </row>
    <row r="397" spans="12:12" x14ac:dyDescent="0.3">
      <c r="L397" s="52" t="str">
        <f ca="1"/>
        <v xml:space="preserve">    _hdr, CHOOSE(_optn + 1,</v>
      </c>
    </row>
    <row r="398" spans="12:12" x14ac:dyDescent="0.3">
      <c r="L398" s="52" t="str">
        <f ca="1"/>
        <v xml:space="preserve">      "Matches",</v>
      </c>
    </row>
    <row r="399" spans="12:12" x14ac:dyDescent="0.3">
      <c r="L399" s="52" t="str">
        <f ca="1"/>
        <v xml:space="preserve">      "Row,Column",</v>
      </c>
    </row>
    <row r="400" spans="12:12" x14ac:dyDescent="0.3">
      <c r="L400" s="52" t="str">
        <f ca="1"/>
        <v xml:space="preserve">      "Row,Column",</v>
      </c>
    </row>
    <row r="401" spans="12:12" x14ac:dyDescent="0.3">
      <c r="L401" s="52" t="str">
        <f ca="1"/>
        <v xml:space="preserve">      "Cell Address",</v>
      </c>
    </row>
    <row r="402" spans="12:12" x14ac:dyDescent="0.3">
      <c r="L402" s="52" t="str">
        <f ca="1"/>
        <v xml:space="preserve">      "Cell Address",</v>
      </c>
    </row>
    <row r="403" spans="12:12" x14ac:dyDescent="0.3">
      <c r="L403" s="52" t="str">
        <f ca="1"/>
        <v xml:space="preserve">      "Count of Matches"</v>
      </c>
    </row>
    <row r="404" spans="12:12" x14ac:dyDescent="0.3">
      <c r="L404" s="52" t="str">
        <f ca="1"/>
        <v xml:space="preserve">    ),</v>
      </c>
    </row>
    <row r="405" spans="12:12" x14ac:dyDescent="0.3">
      <c r="L405" s="52" t="str">
        <f ca="1"/>
        <v xml:space="preserve">    _inc, VSTACK(_hdr, _arr),</v>
      </c>
    </row>
    <row r="406" spans="12:12" x14ac:dyDescent="0.3">
      <c r="L406" s="52" t="str">
        <f ca="1"/>
        <v xml:space="preserve">    _rslt, IF( AND(_splt, _optn &gt; 0, _optn &lt; 3),</v>
      </c>
    </row>
    <row r="407" spans="12:12" x14ac:dyDescent="0.3">
      <c r="L407" s="52" t="str">
        <f ca="1"/>
        <v xml:space="preserve">      DROP( REDUCE("", _inc, LAMBDA(_acc,_val, VSTACK(_acc, TEXTSPLIT(_val, ",", , TRUE)))), 1),</v>
      </c>
    </row>
    <row r="408" spans="12:12" x14ac:dyDescent="0.3">
      <c r="L408" s="52" t="str">
        <f ca="1"/>
        <v xml:space="preserve">      _inc</v>
      </c>
    </row>
    <row r="409" spans="12:12" x14ac:dyDescent="0.3">
      <c r="L409" s="52" t="str">
        <f ca="1"/>
        <v xml:space="preserve">    ),</v>
      </c>
    </row>
    <row r="410" spans="12:12" x14ac:dyDescent="0.3">
      <c r="L410" s="52" t="str">
        <f ca="1"/>
        <v xml:space="preserve">    _out, DROP(_rslt, IF(_add, 0, 1)),</v>
      </c>
    </row>
    <row r="411" spans="12:12" x14ac:dyDescent="0.3">
      <c r="L411" s="52" t="str">
        <f ca="1"/>
        <v xml:space="preserve">    _rtn, IF( ISNA(_out), _rep, _out),</v>
      </c>
    </row>
    <row r="412" spans="12:12" x14ac:dyDescent="0.3">
      <c r="L412" s="52" t="str">
        <f ca="1"/>
        <v xml:space="preserve">    CHOOSE(_inpChk, _rtn,#REF!, #VALUE!)</v>
      </c>
    </row>
    <row r="413" spans="12:12" x14ac:dyDescent="0.3">
      <c r="L413" s="52" t="str">
        <f ca="1"/>
        <v xml:space="preserve">  )</v>
      </c>
    </row>
    <row r="414" spans="12:12" x14ac:dyDescent="0.3">
      <c r="L414" s="52" t="str">
        <f ca="1"/>
        <v>)($D$14:$O$25, F359, F360, F361, F362, F363, F364)</v>
      </c>
    </row>
    <row r="417" spans="3:12" x14ac:dyDescent="0.3">
      <c r="C417" t="s">
        <v>778</v>
      </c>
      <c r="D417" t="s">
        <v>779</v>
      </c>
    </row>
    <row r="419" spans="3:12" x14ac:dyDescent="0.3">
      <c r="E419" s="24" t="s">
        <v>710</v>
      </c>
      <c r="F419" s="25">
        <v>1</v>
      </c>
      <c r="H419" s="24" t="s">
        <v>711</v>
      </c>
      <c r="I419" s="102" t="str" cm="1">
        <f t="array" ref="I419:I420" xml:space="preserve"> _xlfn.LAMBDA(_xlpm.range,_xlpm.find_item,_xlop.match_type,_xlop.output_type,_xlop.if_not_found,_xlop.add_header,_xlop.split_output,
  _xlfn.LET(
    _xlpm._rng, _xlpm.range,
    _xlpm._itm, _xlpm.find_item,
    _xlpm._mInp, IF( OR( _xlfn.ISOMITTED(_xlpm.match_type), ISBLANK(_xlpm.match_type)), 0, INT(_xlpm.match_type)),
    _xlpm._typ, IF( ISNUMBER(_xlpm._mInp), _xlpm._mInp + 1, _xlfn.IFNA( MATCH( LOWER(_xlpm.match_type), {"=","&lt;&gt;","&gt;","&lt;","&gt;=","&lt;=","find","regex"}, 0), -1)),
    _xlpm._optn, IF( OR( _xlfn.ISOMITTED(_xlpm.output_type), ISBLANK(_xlpm.output_type)), 0, INT(_xlpm.output_type)),
    _xlpm._rep, IF( OR( _xlfn.ISOMITTED(_xlpm.if_not_found), ISBLANK(_xlpm.if_not_found)), NA(), _xlpm.if_not_found),
    _xlpm._add, IF( OR( _xlfn.ISOMITTED(_xlpm.add_header), ISBLANK(_xlpm.add_header)), FALSE, _xlpm.add_header),
    _xlpm._splt, IF( OR( _xlfn.ISOMITTED(_xlpm.split_output), ISBLANK(_xlpm.split_output)), FALSE, _xlpm.split_output),
    _xlpm._inpChk, IF(
      NOT(ISREF(_xlpm.range)), 2,
      IF(
        OR(
          _xlpm._typ &lt; 1, _xlpm._typ &gt; 8,
          NOT(ISNUMBER(_xlpm._optn)), _xlpm._optn &lt; 0, _xlpm._optn &gt; 5
        ),
      3, 1)
    ),
    _xlpm._tbl, CHOOSE(_xlpm._optn + 1,
      _xlpm._rng,
      (ROW(_xlpm._rng) - ROW( _xlfn.TAKE(_xlpm._rng, 1)) + 1) &amp; "," &amp; (COLUMN(_xlpm._rng) - COLUMN( _xlfn.TAKE(_xlpm._rng, , 1)) + 1),
      ROW(_xlpm._rng) &amp; "," &amp; COLUMN(_xlpm._rng),
      ADDRESS( ROW(_xlpm._rng), COLUMN(_xlpm._rng), 4, 1),
      ADDRESS( ROW(_xlpm._rng), COLUMN(_xlpm._rng), 1, 1),
      _xlpm._rng
    ),
    _xlpm._mtch, _xlfn.TOCOL( CHOOSE(_xlpm._typ,
      IF(_xlpm._rng = _xlpm._itm, _xlpm._tbl, NA()),
      IF(_xlpm._rng &lt;&gt; _xlpm._itm, _xlpm._tbl, NA()),
      IF(_xlpm._rng &gt; _xlpm._itm, _xlpm._tbl, NA()),
      IF(_xlpm._rng &lt; _xlpm._itm, _xlpm._tbl, NA()),
      IF(_xlpm._rng &gt;= _xlpm._itm, _xlpm._tbl, NA()),
      IF(_xlpm._rng &lt;= _xlpm._itm, _xlpm._tbl, NA()),
      IF( ISNUMBER( FIND( LOWER(_xlpm._itm), LOWER(_xlpm._rng))), _xlpm._tbl, NA()),
      IF( _xlfn.REGEXTEST(_xlpm._rng, _xlpm._itm), _xlpm._tbl, NA())),
    2),
    _xlpm._calc, IF(_xlpm._optn &lt;&gt; 5, _xlpm._mtch, MAX( ROWS(_xlpm._mtch))),
    _xlpm._arr, IF( ISERROR(_xlpm._calc), IF(_xlpm._optn = 5, 0, _xlpm._rep), _xlpm._calc),
    _xlpm._hdr, CHOOSE(_xlpm._optn + 1,
      "Matches",
      "Row,Column",
      "Row,Column",
      "Cell Address",
      "Cell Address",
      "Count of Matches"
    ),
    _xlpm._inc, _xlfn.VSTACK(_xlpm._hdr, _xlpm._arr),
    _xlpm._rslt, IF( AND(_xlpm._splt, _xlpm._optn &gt; 0, _xlpm._optn &lt; 3),
      _xlfn.DROP( _xlfn.REDUCE("", _xlpm._inc, _xlfn.LAMBDA(_xlpm._acc,_xlpm._val, _xlfn.VSTACK(_xlpm._acc, _xlfn.TEXTSPLIT(_xlpm._val, ",", , TRUE)))), 1),
      _xlpm._inc
    ),
    _xlpm._out, _xlfn.DROP(_xlpm._rslt, IF(_xlpm._add, 0, 1)),
    _xlpm._rtn, IF( ISNA(_xlpm._out), _xlpm._rep, _xlpm._out),
    CHOOSE(_xlpm._inpChk, _xlpm._rtn,#REF!, #VALUE!)
  )
)($R$14:$W$25, F419, F420, F421, F422, F423, F424)</f>
        <v>Matches</v>
      </c>
      <c r="J419" s="83"/>
      <c r="L419" s="52" t="str" cm="1">
        <f t="array" aca="1" ref="L419:L475" ca="1" xml:space="preserve"> _xlfn.TEXTSPLIT( _xlfn.FORMULATEXT(I419), , CHAR(10))</f>
        <v>= LAMBDA(range,find_item,[match_type],[output_type],[if_not_found],[add_header],[split_output],</v>
      </c>
    </row>
    <row r="420" spans="3:12" x14ac:dyDescent="0.3">
      <c r="E420" s="24" t="s">
        <v>745</v>
      </c>
      <c r="F420" s="25">
        <v>7</v>
      </c>
      <c r="I420" s="89" t="str">
        <v>(none)</v>
      </c>
      <c r="J420" s="22"/>
      <c r="L420" s="52" t="str">
        <f ca="1"/>
        <v xml:space="preserve">  LET(</v>
      </c>
    </row>
    <row r="421" spans="3:12" x14ac:dyDescent="0.3">
      <c r="E421" s="24" t="s">
        <v>735</v>
      </c>
      <c r="F421" s="92">
        <v>0</v>
      </c>
      <c r="I421" s="89"/>
      <c r="J421" s="22"/>
      <c r="L421" s="52" t="str">
        <f ca="1"/>
        <v xml:space="preserve">    _rng, range,</v>
      </c>
    </row>
    <row r="422" spans="3:12" x14ac:dyDescent="0.3">
      <c r="E422" s="24" t="s">
        <v>716</v>
      </c>
      <c r="F422" s="133" t="s">
        <v>776</v>
      </c>
      <c r="G422" s="134"/>
      <c r="I422" s="89"/>
      <c r="J422" s="22"/>
      <c r="L422" s="52" t="str">
        <f ca="1"/>
        <v xml:space="preserve">    _itm, find_item,</v>
      </c>
    </row>
    <row r="423" spans="3:12" x14ac:dyDescent="0.3">
      <c r="E423" s="24" t="s">
        <v>773</v>
      </c>
      <c r="F423" s="135">
        <v>1</v>
      </c>
      <c r="G423" s="136"/>
      <c r="I423" s="89"/>
      <c r="J423" s="22"/>
      <c r="L423" s="52" t="str">
        <f ca="1"/>
        <v xml:space="preserve">    _mInp, IF( OR( ISOMITTED(match_type), ISBLANK(match_type)), 0, INT(match_type)),</v>
      </c>
    </row>
    <row r="424" spans="3:12" x14ac:dyDescent="0.3">
      <c r="E424" s="24" t="s">
        <v>777</v>
      </c>
      <c r="F424" s="135">
        <v>1</v>
      </c>
      <c r="G424" s="136"/>
      <c r="I424" s="89"/>
      <c r="J424" s="22"/>
      <c r="L424" s="52" t="str">
        <f ca="1"/>
        <v xml:space="preserve">    _typ, IF( ISNUMBER(_mInp), _mInp + 1, IFNA( MATCH( LOWER(match_type), {"=","&lt;&gt;","&gt;","&lt;","&gt;=","&lt;=","find","regex"}, 0), -1)),</v>
      </c>
    </row>
    <row r="425" spans="3:12" x14ac:dyDescent="0.3">
      <c r="I425" s="89"/>
      <c r="J425" s="22"/>
      <c r="L425" s="52" t="str">
        <f ca="1"/>
        <v xml:space="preserve">    _optn, IF( OR( ISOMITTED(output_type), ISBLANK(output_type)), 0, INT(output_type)),</v>
      </c>
    </row>
    <row r="426" spans="3:12" x14ac:dyDescent="0.3">
      <c r="L426" s="52" t="str">
        <f ca="1"/>
        <v xml:space="preserve">    _rep, IF( OR( ISOMITTED(if_not_found), ISBLANK(if_not_found)), NA(), if_not_found),</v>
      </c>
    </row>
    <row r="427" spans="3:12" x14ac:dyDescent="0.3">
      <c r="D427" s="93" t="s">
        <v>747</v>
      </c>
      <c r="E427" s="94"/>
      <c r="F427" s="93" t="s">
        <v>736</v>
      </c>
      <c r="G427" s="94"/>
      <c r="L427" s="52" t="str">
        <f ca="1"/>
        <v xml:space="preserve">    _add, IF( OR( ISOMITTED(add_header), ISBLANK(add_header)), FALSE, add_header),</v>
      </c>
    </row>
    <row r="428" spans="3:12" x14ac:dyDescent="0.3">
      <c r="D428" s="95">
        <v>0</v>
      </c>
      <c r="E428" s="96" t="s">
        <v>746</v>
      </c>
      <c r="F428" s="95">
        <v>0</v>
      </c>
      <c r="G428" s="96" t="s">
        <v>737</v>
      </c>
      <c r="L428" s="52" t="str">
        <f ca="1"/>
        <v xml:space="preserve">    _splt, IF( OR( ISOMITTED(split_output), ISBLANK(split_output)), FALSE, split_output),</v>
      </c>
    </row>
    <row r="429" spans="3:12" x14ac:dyDescent="0.3">
      <c r="D429" s="95">
        <v>1</v>
      </c>
      <c r="E429" s="96" t="s">
        <v>749</v>
      </c>
      <c r="F429" s="95">
        <v>1</v>
      </c>
      <c r="G429" s="96" t="s">
        <v>738</v>
      </c>
      <c r="L429" s="52" t="str">
        <f ca="1"/>
        <v xml:space="preserve">    _inpChk, IF(</v>
      </c>
    </row>
    <row r="430" spans="3:12" x14ac:dyDescent="0.3">
      <c r="D430" s="95">
        <v>2</v>
      </c>
      <c r="E430" s="96" t="s">
        <v>751</v>
      </c>
      <c r="F430" s="95">
        <v>2</v>
      </c>
      <c r="G430" s="96" t="s">
        <v>739</v>
      </c>
      <c r="L430" s="52" t="str">
        <f ca="1"/>
        <v xml:space="preserve">      NOT(ISREF(range)), 2,</v>
      </c>
    </row>
    <row r="431" spans="3:12" x14ac:dyDescent="0.3">
      <c r="D431" s="95">
        <v>3</v>
      </c>
      <c r="E431" s="96" t="s">
        <v>753</v>
      </c>
      <c r="F431" s="95">
        <v>3</v>
      </c>
      <c r="G431" s="96" t="s">
        <v>740</v>
      </c>
      <c r="L431" s="52" t="str">
        <f ca="1"/>
        <v xml:space="preserve">      IF(</v>
      </c>
    </row>
    <row r="432" spans="3:12" x14ac:dyDescent="0.3">
      <c r="D432" s="95">
        <v>4</v>
      </c>
      <c r="E432" s="96" t="s">
        <v>755</v>
      </c>
      <c r="F432" s="95">
        <v>4</v>
      </c>
      <c r="G432" s="96" t="s">
        <v>741</v>
      </c>
      <c r="L432" s="52" t="str">
        <f ca="1"/>
        <v xml:space="preserve">        OR(</v>
      </c>
    </row>
    <row r="433" spans="4:12" x14ac:dyDescent="0.3">
      <c r="D433" s="95">
        <v>5</v>
      </c>
      <c r="E433" s="96" t="s">
        <v>757</v>
      </c>
      <c r="F433" s="95">
        <v>5</v>
      </c>
      <c r="G433" s="96" t="s">
        <v>742</v>
      </c>
      <c r="L433" s="52" t="str">
        <f ca="1"/>
        <v xml:space="preserve">          _typ &lt; 1, _typ &gt; 8,</v>
      </c>
    </row>
    <row r="434" spans="4:12" x14ac:dyDescent="0.3">
      <c r="D434" s="95">
        <v>6</v>
      </c>
      <c r="E434" s="96" t="s">
        <v>780</v>
      </c>
      <c r="F434" s="97"/>
      <c r="L434" s="52" t="str">
        <f ca="1"/>
        <v xml:space="preserve">          NOT(ISNUMBER(_optn)), _optn &lt; 0, _optn &gt; 5</v>
      </c>
    </row>
    <row r="435" spans="4:12" x14ac:dyDescent="0.3">
      <c r="D435" s="95">
        <v>7</v>
      </c>
      <c r="E435" s="96" t="s">
        <v>759</v>
      </c>
      <c r="L435" s="52" t="str">
        <f ca="1"/>
        <v xml:space="preserve">        ),</v>
      </c>
    </row>
    <row r="436" spans="4:12" x14ac:dyDescent="0.3">
      <c r="L436" s="52" t="str">
        <f ca="1"/>
        <v xml:space="preserve">      3, 1)</v>
      </c>
    </row>
    <row r="437" spans="4:12" x14ac:dyDescent="0.3">
      <c r="L437" s="52" t="str">
        <f ca="1"/>
        <v xml:space="preserve">    ),</v>
      </c>
    </row>
    <row r="438" spans="4:12" x14ac:dyDescent="0.3">
      <c r="L438" s="52" t="str">
        <f ca="1"/>
        <v xml:space="preserve">    _tbl, CHOOSE(_optn + 1,</v>
      </c>
    </row>
    <row r="439" spans="4:12" x14ac:dyDescent="0.3">
      <c r="L439" s="52" t="str">
        <f ca="1"/>
        <v xml:space="preserve">      _rng,</v>
      </c>
    </row>
    <row r="440" spans="4:12" x14ac:dyDescent="0.3">
      <c r="L440" s="52" t="str">
        <f ca="1"/>
        <v xml:space="preserve">      (ROW(_rng) - ROW( TAKE(_rng, 1)) + 1) &amp; "," &amp; (COLUMN(_rng) - COLUMN( TAKE(_rng, , 1)) + 1),</v>
      </c>
    </row>
    <row r="441" spans="4:12" x14ac:dyDescent="0.3">
      <c r="L441" s="52" t="str">
        <f ca="1"/>
        <v xml:space="preserve">      ROW(_rng) &amp; "," &amp; COLUMN(_rng),</v>
      </c>
    </row>
    <row r="442" spans="4:12" x14ac:dyDescent="0.3">
      <c r="L442" s="52" t="str">
        <f ca="1"/>
        <v xml:space="preserve">      ADDRESS( ROW(_rng), COLUMN(_rng), 4, 1),</v>
      </c>
    </row>
    <row r="443" spans="4:12" x14ac:dyDescent="0.3">
      <c r="L443" s="52" t="str">
        <f ca="1"/>
        <v xml:space="preserve">      ADDRESS( ROW(_rng), COLUMN(_rng), 1, 1),</v>
      </c>
    </row>
    <row r="444" spans="4:12" x14ac:dyDescent="0.3">
      <c r="L444" s="52" t="str">
        <f ca="1"/>
        <v xml:space="preserve">      _rng</v>
      </c>
    </row>
    <row r="445" spans="4:12" x14ac:dyDescent="0.3">
      <c r="L445" s="52" t="str">
        <f ca="1"/>
        <v xml:space="preserve">    ),</v>
      </c>
    </row>
    <row r="446" spans="4:12" x14ac:dyDescent="0.3">
      <c r="L446" s="52" t="str">
        <f ca="1"/>
        <v xml:space="preserve">    _mtch, TOCOL( CHOOSE(_typ,</v>
      </c>
    </row>
    <row r="447" spans="4:12" x14ac:dyDescent="0.3">
      <c r="L447" s="52" t="str">
        <f ca="1"/>
        <v xml:space="preserve">      IF(_rng = _itm, _tbl, NA()),</v>
      </c>
    </row>
    <row r="448" spans="4:12" x14ac:dyDescent="0.3">
      <c r="L448" s="52" t="str">
        <f ca="1"/>
        <v xml:space="preserve">      IF(_rng &lt;&gt; _itm, _tbl, NA()),</v>
      </c>
    </row>
    <row r="449" spans="12:12" x14ac:dyDescent="0.3">
      <c r="L449" s="52" t="str">
        <f ca="1"/>
        <v xml:space="preserve">      IF(_rng &gt; _itm, _tbl, NA()),</v>
      </c>
    </row>
    <row r="450" spans="12:12" x14ac:dyDescent="0.3">
      <c r="L450" s="52" t="str">
        <f ca="1"/>
        <v xml:space="preserve">      IF(_rng &lt; _itm, _tbl, NA()),</v>
      </c>
    </row>
    <row r="451" spans="12:12" x14ac:dyDescent="0.3">
      <c r="L451" s="52" t="str">
        <f ca="1"/>
        <v xml:space="preserve">      IF(_rng &gt;= _itm, _tbl, NA()),</v>
      </c>
    </row>
    <row r="452" spans="12:12" x14ac:dyDescent="0.3">
      <c r="L452" s="52" t="str">
        <f ca="1"/>
        <v xml:space="preserve">      IF(_rng &lt;= _itm, _tbl, NA()),</v>
      </c>
    </row>
    <row r="453" spans="12:12" x14ac:dyDescent="0.3">
      <c r="L453" s="52" t="str">
        <f ca="1"/>
        <v xml:space="preserve">      IF( ISNUMBER( FIND( LOWER(_itm), LOWER(_rng))), _tbl, NA()),</v>
      </c>
    </row>
    <row r="454" spans="12:12" x14ac:dyDescent="0.3">
      <c r="L454" s="52" t="str">
        <f ca="1"/>
        <v xml:space="preserve">      IF( REGEXTEST(_rng, _itm), _tbl, NA())),</v>
      </c>
    </row>
    <row r="455" spans="12:12" x14ac:dyDescent="0.3">
      <c r="L455" s="52" t="str">
        <f ca="1"/>
        <v xml:space="preserve">    2),</v>
      </c>
    </row>
    <row r="456" spans="12:12" x14ac:dyDescent="0.3">
      <c r="L456" s="52" t="str">
        <f ca="1"/>
        <v xml:space="preserve">    _calc, IF(_optn &lt;&gt; 5, _mtch, MAX( ROWS(_mtch))),</v>
      </c>
    </row>
    <row r="457" spans="12:12" x14ac:dyDescent="0.3">
      <c r="L457" s="52" t="str">
        <f ca="1"/>
        <v xml:space="preserve">    _arr, IF( ISERROR(_calc), IF(_optn = 5, 0, _rep), _calc),</v>
      </c>
    </row>
    <row r="458" spans="12:12" x14ac:dyDescent="0.3">
      <c r="L458" s="52" t="str">
        <f ca="1"/>
        <v xml:space="preserve">    _hdr, CHOOSE(_optn + 1,</v>
      </c>
    </row>
    <row r="459" spans="12:12" x14ac:dyDescent="0.3">
      <c r="L459" s="52" t="str">
        <f ca="1"/>
        <v xml:space="preserve">      "Matches",</v>
      </c>
    </row>
    <row r="460" spans="12:12" x14ac:dyDescent="0.3">
      <c r="L460" s="52" t="str">
        <f ca="1"/>
        <v xml:space="preserve">      "Row,Column",</v>
      </c>
    </row>
    <row r="461" spans="12:12" x14ac:dyDescent="0.3">
      <c r="L461" s="52" t="str">
        <f ca="1"/>
        <v xml:space="preserve">      "Row,Column",</v>
      </c>
    </row>
    <row r="462" spans="12:12" x14ac:dyDescent="0.3">
      <c r="L462" s="52" t="str">
        <f ca="1"/>
        <v xml:space="preserve">      "Cell Address",</v>
      </c>
    </row>
    <row r="463" spans="12:12" x14ac:dyDescent="0.3">
      <c r="L463" s="52" t="str">
        <f ca="1"/>
        <v xml:space="preserve">      "Cell Address",</v>
      </c>
    </row>
    <row r="464" spans="12:12" x14ac:dyDescent="0.3">
      <c r="L464" s="52" t="str">
        <f ca="1"/>
        <v xml:space="preserve">      "Count of Matches"</v>
      </c>
    </row>
    <row r="465" spans="2:12" x14ac:dyDescent="0.3">
      <c r="L465" s="52" t="str">
        <f ca="1"/>
        <v xml:space="preserve">    ),</v>
      </c>
    </row>
    <row r="466" spans="2:12" x14ac:dyDescent="0.3">
      <c r="L466" s="52" t="str">
        <f ca="1"/>
        <v xml:space="preserve">    _inc, VSTACK(_hdr, _arr),</v>
      </c>
    </row>
    <row r="467" spans="2:12" x14ac:dyDescent="0.3">
      <c r="L467" s="52" t="str">
        <f ca="1"/>
        <v xml:space="preserve">    _rslt, IF( AND(_splt, _optn &gt; 0, _optn &lt; 3),</v>
      </c>
    </row>
    <row r="468" spans="2:12" x14ac:dyDescent="0.3">
      <c r="L468" s="52" t="str">
        <f ca="1"/>
        <v xml:space="preserve">      DROP( REDUCE("", _inc, LAMBDA(_acc,_val, VSTACK(_acc, TEXTSPLIT(_val, ",", , TRUE)))), 1),</v>
      </c>
    </row>
    <row r="469" spans="2:12" x14ac:dyDescent="0.3">
      <c r="L469" s="52" t="str">
        <f ca="1"/>
        <v xml:space="preserve">      _inc</v>
      </c>
    </row>
    <row r="470" spans="2:12" x14ac:dyDescent="0.3">
      <c r="L470" s="52" t="str">
        <f ca="1"/>
        <v xml:space="preserve">    ),</v>
      </c>
    </row>
    <row r="471" spans="2:12" x14ac:dyDescent="0.3">
      <c r="L471" s="52" t="str">
        <f ca="1"/>
        <v xml:space="preserve">    _out, DROP(_rslt, IF(_add, 0, 1)),</v>
      </c>
    </row>
    <row r="472" spans="2:12" x14ac:dyDescent="0.3">
      <c r="L472" s="52" t="str">
        <f ca="1"/>
        <v xml:space="preserve">    _rtn, IF( ISNA(_out), _rep, _out),</v>
      </c>
    </row>
    <row r="473" spans="2:12" x14ac:dyDescent="0.3">
      <c r="L473" s="52" t="str">
        <f ca="1"/>
        <v xml:space="preserve">    CHOOSE(_inpChk, _rtn,#REF!, #VALUE!)</v>
      </c>
    </row>
    <row r="474" spans="2:12" x14ac:dyDescent="0.3">
      <c r="L474" s="52" t="str">
        <f ca="1"/>
        <v xml:space="preserve">  )</v>
      </c>
    </row>
    <row r="475" spans="2:12" x14ac:dyDescent="0.3">
      <c r="L475" s="52" t="str">
        <f ca="1"/>
        <v>)($R$14:$W$25, F419, F420, F421, F422, F423, F424)</v>
      </c>
    </row>
    <row r="478" spans="2:12" s="8" customFormat="1" ht="16.2" thickBot="1" x14ac:dyDescent="0.35">
      <c r="B478" s="9">
        <f xml:space="preserve"> MAX(B$1:B477) + 1</f>
        <v>2</v>
      </c>
      <c r="C478" s="8" t="s">
        <v>6</v>
      </c>
    </row>
    <row r="480" spans="2:12" x14ac:dyDescent="0.3">
      <c r="B480" s="13" t="s">
        <v>781</v>
      </c>
    </row>
    <row r="481" spans="2:9" x14ac:dyDescent="0.3">
      <c r="C481" t="s">
        <v>782</v>
      </c>
    </row>
    <row r="482" spans="2:9" x14ac:dyDescent="0.3">
      <c r="C482" t="s">
        <v>783</v>
      </c>
    </row>
    <row r="483" spans="2:9" x14ac:dyDescent="0.3">
      <c r="C483" t="s">
        <v>784</v>
      </c>
    </row>
    <row r="484" spans="2:9" x14ac:dyDescent="0.3">
      <c r="C484" t="s">
        <v>785</v>
      </c>
    </row>
    <row r="486" spans="2:9" x14ac:dyDescent="0.3">
      <c r="B486" s="13" t="s">
        <v>73</v>
      </c>
    </row>
    <row r="487" spans="2:9" x14ac:dyDescent="0.3">
      <c r="C487" s="98" t="s">
        <v>786</v>
      </c>
      <c r="F487" t="s">
        <v>787</v>
      </c>
    </row>
    <row r="488" spans="2:9" x14ac:dyDescent="0.3">
      <c r="C488" s="98" t="s">
        <v>788</v>
      </c>
      <c r="F488" t="s">
        <v>789</v>
      </c>
    </row>
    <row r="489" spans="2:9" x14ac:dyDescent="0.3">
      <c r="C489" s="98"/>
      <c r="H489" t="s">
        <v>790</v>
      </c>
    </row>
    <row r="490" spans="2:9" x14ac:dyDescent="0.3">
      <c r="C490" s="98"/>
      <c r="H490" t="s">
        <v>791</v>
      </c>
    </row>
    <row r="491" spans="2:9" x14ac:dyDescent="0.3">
      <c r="C491" s="98" t="s">
        <v>792</v>
      </c>
      <c r="F491" t="s">
        <v>793</v>
      </c>
    </row>
    <row r="492" spans="2:9" x14ac:dyDescent="0.3">
      <c r="C492" s="98"/>
      <c r="H492" t="s">
        <v>794</v>
      </c>
    </row>
    <row r="493" spans="2:9" x14ac:dyDescent="0.3">
      <c r="C493" s="98"/>
      <c r="H493" t="s">
        <v>795</v>
      </c>
    </row>
    <row r="494" spans="2:9" x14ac:dyDescent="0.3">
      <c r="C494" s="98"/>
      <c r="G494" s="58" t="s">
        <v>796</v>
      </c>
      <c r="H494" s="58">
        <v>0</v>
      </c>
      <c r="I494" s="30" t="s">
        <v>797</v>
      </c>
    </row>
    <row r="495" spans="2:9" x14ac:dyDescent="0.3">
      <c r="C495" s="98"/>
      <c r="G495" s="58" t="s">
        <v>798</v>
      </c>
      <c r="H495" s="58">
        <v>1</v>
      </c>
      <c r="I495" s="30" t="s">
        <v>799</v>
      </c>
    </row>
    <row r="496" spans="2:9" x14ac:dyDescent="0.3">
      <c r="C496" s="98"/>
      <c r="G496" s="58" t="s">
        <v>800</v>
      </c>
      <c r="H496" s="58">
        <v>2</v>
      </c>
      <c r="I496" s="30" t="s">
        <v>801</v>
      </c>
    </row>
    <row r="497" spans="3:9" x14ac:dyDescent="0.3">
      <c r="C497" s="98"/>
      <c r="G497" s="58" t="s">
        <v>802</v>
      </c>
      <c r="H497" s="58">
        <v>3</v>
      </c>
      <c r="I497" s="30" t="s">
        <v>803</v>
      </c>
    </row>
    <row r="498" spans="3:9" x14ac:dyDescent="0.3">
      <c r="C498" s="98"/>
      <c r="G498" s="58" t="s">
        <v>804</v>
      </c>
      <c r="H498" s="58">
        <v>4</v>
      </c>
      <c r="I498" s="30" t="s">
        <v>805</v>
      </c>
    </row>
    <row r="499" spans="3:9" x14ac:dyDescent="0.3">
      <c r="C499" s="98"/>
      <c r="G499" s="58" t="s">
        <v>806</v>
      </c>
      <c r="H499" s="58">
        <v>5</v>
      </c>
      <c r="I499" s="30" t="s">
        <v>807</v>
      </c>
    </row>
    <row r="500" spans="3:9" x14ac:dyDescent="0.3">
      <c r="C500" s="98"/>
      <c r="G500" s="41" t="s">
        <v>808</v>
      </c>
      <c r="H500" s="58">
        <v>6</v>
      </c>
      <c r="I500" s="30" t="s">
        <v>809</v>
      </c>
    </row>
    <row r="501" spans="3:9" x14ac:dyDescent="0.3">
      <c r="C501" s="98"/>
      <c r="G501" s="41" t="s">
        <v>810</v>
      </c>
      <c r="H501" s="58">
        <v>7</v>
      </c>
      <c r="I501" s="30" t="s">
        <v>811</v>
      </c>
    </row>
    <row r="502" spans="3:9" x14ac:dyDescent="0.3">
      <c r="C502" s="98" t="s">
        <v>812</v>
      </c>
      <c r="F502" t="s">
        <v>813</v>
      </c>
    </row>
    <row r="503" spans="3:9" x14ac:dyDescent="0.3">
      <c r="C503" s="98"/>
      <c r="H503" s="58">
        <v>0</v>
      </c>
      <c r="I503" s="30" t="s">
        <v>814</v>
      </c>
    </row>
    <row r="504" spans="3:9" x14ac:dyDescent="0.3">
      <c r="C504" s="98"/>
      <c r="H504" s="58">
        <v>1</v>
      </c>
      <c r="I504" s="30" t="s">
        <v>815</v>
      </c>
    </row>
    <row r="505" spans="3:9" x14ac:dyDescent="0.3">
      <c r="C505" s="98"/>
      <c r="H505" s="58">
        <v>2</v>
      </c>
      <c r="I505" s="30" t="s">
        <v>816</v>
      </c>
    </row>
    <row r="506" spans="3:9" x14ac:dyDescent="0.3">
      <c r="C506" s="98"/>
      <c r="H506" s="58">
        <v>3</v>
      </c>
      <c r="I506" s="30" t="s">
        <v>817</v>
      </c>
    </row>
    <row r="507" spans="3:9" x14ac:dyDescent="0.3">
      <c r="C507" s="98"/>
      <c r="H507" s="58">
        <v>4</v>
      </c>
      <c r="I507" s="30" t="s">
        <v>818</v>
      </c>
    </row>
    <row r="508" spans="3:9" x14ac:dyDescent="0.3">
      <c r="C508" s="98"/>
      <c r="H508" s="58">
        <v>5</v>
      </c>
      <c r="I508" s="30" t="s">
        <v>819</v>
      </c>
    </row>
    <row r="509" spans="3:9" x14ac:dyDescent="0.3">
      <c r="C509" s="98" t="s">
        <v>820</v>
      </c>
      <c r="F509" t="s">
        <v>821</v>
      </c>
    </row>
    <row r="510" spans="3:9" x14ac:dyDescent="0.3">
      <c r="C510" s="98"/>
      <c r="H510" t="s">
        <v>822</v>
      </c>
    </row>
    <row r="511" spans="3:9" x14ac:dyDescent="0.3">
      <c r="C511" s="98" t="s">
        <v>823</v>
      </c>
      <c r="F511" t="s">
        <v>824</v>
      </c>
    </row>
    <row r="512" spans="3:9" x14ac:dyDescent="0.3">
      <c r="C512" s="98"/>
      <c r="H512" t="s">
        <v>825</v>
      </c>
    </row>
    <row r="513" spans="2:8" x14ac:dyDescent="0.3">
      <c r="C513" s="98"/>
      <c r="H513" t="s">
        <v>826</v>
      </c>
    </row>
    <row r="514" spans="2:8" x14ac:dyDescent="0.3">
      <c r="C514" s="98" t="s">
        <v>827</v>
      </c>
      <c r="F514" t="s">
        <v>828</v>
      </c>
    </row>
    <row r="515" spans="2:8" x14ac:dyDescent="0.3">
      <c r="C515" s="98"/>
      <c r="H515" t="s">
        <v>829</v>
      </c>
    </row>
    <row r="516" spans="2:8" x14ac:dyDescent="0.3">
      <c r="C516" s="98"/>
      <c r="H516" t="s">
        <v>825</v>
      </c>
    </row>
    <row r="517" spans="2:8" x14ac:dyDescent="0.3">
      <c r="C517" s="98"/>
      <c r="H517" t="s">
        <v>826</v>
      </c>
    </row>
    <row r="519" spans="2:8" x14ac:dyDescent="0.3">
      <c r="B519" s="13" t="s">
        <v>830</v>
      </c>
    </row>
    <row r="520" spans="2:8" x14ac:dyDescent="0.3">
      <c r="C520" s="99" t="s">
        <v>831</v>
      </c>
      <c r="D520" s="78"/>
      <c r="F520" t="s">
        <v>832</v>
      </c>
    </row>
    <row r="521" spans="2:8" x14ac:dyDescent="0.3">
      <c r="C521" s="99" t="s">
        <v>833</v>
      </c>
      <c r="D521" s="78"/>
      <c r="F521" s="100" t="s">
        <v>834</v>
      </c>
    </row>
    <row r="522" spans="2:8" x14ac:dyDescent="0.3">
      <c r="C522" s="99" t="s">
        <v>833</v>
      </c>
      <c r="D522" s="78"/>
      <c r="F522" s="100" t="s">
        <v>835</v>
      </c>
    </row>
    <row r="524" spans="2:8" x14ac:dyDescent="0.3">
      <c r="B524" s="13" t="s">
        <v>75</v>
      </c>
    </row>
    <row r="525" spans="2:8" x14ac:dyDescent="0.3">
      <c r="C525" s="34" t="s">
        <v>107</v>
      </c>
    </row>
    <row r="526" spans="2:8" x14ac:dyDescent="0.3">
      <c r="C526" s="35" t="s">
        <v>836</v>
      </c>
    </row>
    <row r="527" spans="2:8" x14ac:dyDescent="0.3">
      <c r="C527" s="80" t="s">
        <v>837</v>
      </c>
    </row>
    <row r="528" spans="2:8" x14ac:dyDescent="0.3">
      <c r="C528" s="80" t="s">
        <v>838</v>
      </c>
    </row>
    <row r="529" spans="3:3" x14ac:dyDescent="0.3">
      <c r="C529" s="80" t="s">
        <v>839</v>
      </c>
    </row>
    <row r="530" spans="3:3" x14ac:dyDescent="0.3">
      <c r="C530" s="80" t="s">
        <v>840</v>
      </c>
    </row>
    <row r="531" spans="3:3" x14ac:dyDescent="0.3">
      <c r="C531" s="80" t="s">
        <v>841</v>
      </c>
    </row>
    <row r="532" spans="3:3" x14ac:dyDescent="0.3">
      <c r="C532" s="80" t="s">
        <v>842</v>
      </c>
    </row>
    <row r="533" spans="3:3" x14ac:dyDescent="0.3">
      <c r="C533" s="80" t="s">
        <v>843</v>
      </c>
    </row>
    <row r="534" spans="3:3" x14ac:dyDescent="0.3">
      <c r="C534" s="35" t="s">
        <v>844</v>
      </c>
    </row>
    <row r="535" spans="3:3" x14ac:dyDescent="0.3">
      <c r="C535" s="31" t="s">
        <v>80</v>
      </c>
    </row>
    <row r="536" spans="3:3" x14ac:dyDescent="0.3">
      <c r="C536" s="32" t="s">
        <v>845</v>
      </c>
    </row>
    <row r="537" spans="3:3" x14ac:dyDescent="0.3">
      <c r="C537" s="32" t="s">
        <v>846</v>
      </c>
    </row>
    <row r="538" spans="3:3" x14ac:dyDescent="0.3">
      <c r="C538" s="36" t="s">
        <v>847</v>
      </c>
    </row>
    <row r="539" spans="3:3" x14ac:dyDescent="0.3">
      <c r="C539" s="32" t="s">
        <v>848</v>
      </c>
    </row>
    <row r="540" spans="3:3" x14ac:dyDescent="0.3">
      <c r="C540" s="32" t="s">
        <v>849</v>
      </c>
    </row>
    <row r="541" spans="3:3" x14ac:dyDescent="0.3">
      <c r="C541" s="32" t="s">
        <v>850</v>
      </c>
    </row>
    <row r="542" spans="3:3" x14ac:dyDescent="0.3">
      <c r="C542" s="32" t="s">
        <v>851</v>
      </c>
    </row>
    <row r="543" spans="3:3" x14ac:dyDescent="0.3">
      <c r="C543" s="32" t="s">
        <v>852</v>
      </c>
    </row>
    <row r="544" spans="3:3" x14ac:dyDescent="0.3">
      <c r="C544" s="32" t="s">
        <v>853</v>
      </c>
    </row>
    <row r="545" spans="3:4" x14ac:dyDescent="0.3">
      <c r="C545" s="36" t="s">
        <v>854</v>
      </c>
    </row>
    <row r="546" spans="3:4" x14ac:dyDescent="0.3">
      <c r="C546" s="36" t="s">
        <v>855</v>
      </c>
    </row>
    <row r="547" spans="3:4" x14ac:dyDescent="0.3">
      <c r="C547" s="36" t="s">
        <v>856</v>
      </c>
    </row>
    <row r="548" spans="3:4" x14ac:dyDescent="0.3">
      <c r="C548" s="32" t="s">
        <v>420</v>
      </c>
    </row>
    <row r="549" spans="3:4" x14ac:dyDescent="0.3">
      <c r="C549" s="33" t="s">
        <v>857</v>
      </c>
    </row>
    <row r="550" spans="3:4" x14ac:dyDescent="0.3">
      <c r="C550" s="43" t="s">
        <v>423</v>
      </c>
    </row>
    <row r="551" spans="3:4" x14ac:dyDescent="0.3">
      <c r="C551" s="64" t="s">
        <v>858</v>
      </c>
      <c r="D551" s="54"/>
    </row>
    <row r="552" spans="3:4" x14ac:dyDescent="0.3">
      <c r="C552" s="65" t="s">
        <v>859</v>
      </c>
      <c r="D552" s="54"/>
    </row>
    <row r="553" spans="3:4" x14ac:dyDescent="0.3">
      <c r="C553" s="65" t="s">
        <v>860</v>
      </c>
      <c r="D553" s="54"/>
    </row>
    <row r="554" spans="3:4" x14ac:dyDescent="0.3">
      <c r="C554" s="64" t="s">
        <v>88</v>
      </c>
      <c r="D554" s="54"/>
    </row>
    <row r="555" spans="3:4" x14ac:dyDescent="0.3">
      <c r="C555" s="101" t="s">
        <v>861</v>
      </c>
    </row>
    <row r="556" spans="3:4" x14ac:dyDescent="0.3">
      <c r="C556" s="32" t="s">
        <v>88</v>
      </c>
    </row>
    <row r="557" spans="3:4" x14ac:dyDescent="0.3">
      <c r="C557" s="36" t="s">
        <v>862</v>
      </c>
    </row>
    <row r="558" spans="3:4" x14ac:dyDescent="0.3">
      <c r="C558" s="36" t="s">
        <v>863</v>
      </c>
    </row>
    <row r="559" spans="3:4" x14ac:dyDescent="0.3">
      <c r="C559" s="32" t="s">
        <v>864</v>
      </c>
    </row>
    <row r="560" spans="3:4" x14ac:dyDescent="0.3">
      <c r="C560" s="33" t="s">
        <v>865</v>
      </c>
    </row>
    <row r="561" spans="3:3" x14ac:dyDescent="0.3">
      <c r="C561" s="33" t="s">
        <v>866</v>
      </c>
    </row>
    <row r="562" spans="3:3" x14ac:dyDescent="0.3">
      <c r="C562" s="33" t="s">
        <v>867</v>
      </c>
    </row>
    <row r="563" spans="3:3" x14ac:dyDescent="0.3">
      <c r="C563" s="33" t="s">
        <v>868</v>
      </c>
    </row>
    <row r="564" spans="3:3" x14ac:dyDescent="0.3">
      <c r="C564" s="33" t="s">
        <v>869</v>
      </c>
    </row>
    <row r="565" spans="3:3" x14ac:dyDescent="0.3">
      <c r="C565" s="33" t="s">
        <v>870</v>
      </c>
    </row>
    <row r="566" spans="3:3" x14ac:dyDescent="0.3">
      <c r="C566" s="32" t="s">
        <v>88</v>
      </c>
    </row>
    <row r="567" spans="3:3" x14ac:dyDescent="0.3">
      <c r="C567" s="36" t="s">
        <v>624</v>
      </c>
    </row>
    <row r="568" spans="3:3" x14ac:dyDescent="0.3">
      <c r="C568" s="36" t="s">
        <v>871</v>
      </c>
    </row>
    <row r="569" spans="3:3" x14ac:dyDescent="0.3">
      <c r="C569" s="36" t="s">
        <v>872</v>
      </c>
    </row>
    <row r="570" spans="3:3" x14ac:dyDescent="0.3">
      <c r="C570" s="36" t="s">
        <v>873</v>
      </c>
    </row>
    <row r="571" spans="3:3" x14ac:dyDescent="0.3">
      <c r="C571" s="32" t="s">
        <v>981</v>
      </c>
    </row>
    <row r="572" spans="3:3" x14ac:dyDescent="0.3">
      <c r="C572" s="33" t="s">
        <v>982</v>
      </c>
    </row>
    <row r="573" spans="3:3" x14ac:dyDescent="0.3">
      <c r="C573" s="43" t="s">
        <v>874</v>
      </c>
    </row>
    <row r="574" spans="3:3" x14ac:dyDescent="0.3">
      <c r="C574" s="43" t="s">
        <v>875</v>
      </c>
    </row>
    <row r="575" spans="3:3" x14ac:dyDescent="0.3">
      <c r="C575" s="43" t="s">
        <v>876</v>
      </c>
    </row>
    <row r="576" spans="3:3" x14ac:dyDescent="0.3">
      <c r="C576" s="43" t="s">
        <v>877</v>
      </c>
    </row>
    <row r="577" spans="3:3" x14ac:dyDescent="0.3">
      <c r="C577" s="43" t="s">
        <v>878</v>
      </c>
    </row>
    <row r="578" spans="3:3" x14ac:dyDescent="0.3">
      <c r="C578" s="43" t="s">
        <v>879</v>
      </c>
    </row>
    <row r="579" spans="3:3" x14ac:dyDescent="0.3">
      <c r="C579" s="43" t="s">
        <v>880</v>
      </c>
    </row>
    <row r="580" spans="3:3" x14ac:dyDescent="0.3">
      <c r="C580" s="43" t="s">
        <v>983</v>
      </c>
    </row>
    <row r="581" spans="3:3" x14ac:dyDescent="0.3">
      <c r="C581" s="33" t="s">
        <v>88</v>
      </c>
    </row>
    <row r="582" spans="3:3" x14ac:dyDescent="0.3">
      <c r="C582" s="32" t="s">
        <v>881</v>
      </c>
    </row>
    <row r="583" spans="3:3" x14ac:dyDescent="0.3">
      <c r="C583" s="36" t="s">
        <v>882</v>
      </c>
    </row>
    <row r="584" spans="3:3" x14ac:dyDescent="0.3">
      <c r="C584" s="32" t="s">
        <v>984</v>
      </c>
    </row>
    <row r="585" spans="3:3" x14ac:dyDescent="0.3">
      <c r="C585" s="36" t="s">
        <v>883</v>
      </c>
    </row>
    <row r="586" spans="3:3" x14ac:dyDescent="0.3">
      <c r="C586" s="32" t="s">
        <v>884</v>
      </c>
    </row>
    <row r="587" spans="3:3" x14ac:dyDescent="0.3">
      <c r="C587" s="36" t="s">
        <v>885</v>
      </c>
    </row>
    <row r="588" spans="3:3" x14ac:dyDescent="0.3">
      <c r="C588" s="32" t="s">
        <v>886</v>
      </c>
    </row>
    <row r="589" spans="3:3" x14ac:dyDescent="0.3">
      <c r="C589" s="33" t="s">
        <v>887</v>
      </c>
    </row>
    <row r="590" spans="3:3" x14ac:dyDescent="0.3">
      <c r="C590" s="33" t="s">
        <v>888</v>
      </c>
    </row>
    <row r="591" spans="3:3" x14ac:dyDescent="0.3">
      <c r="C591" s="33" t="s">
        <v>888</v>
      </c>
    </row>
    <row r="592" spans="3:3" x14ac:dyDescent="0.3">
      <c r="C592" s="33" t="s">
        <v>889</v>
      </c>
    </row>
    <row r="593" spans="3:3" x14ac:dyDescent="0.3">
      <c r="C593" s="33" t="s">
        <v>889</v>
      </c>
    </row>
    <row r="594" spans="3:3" x14ac:dyDescent="0.3">
      <c r="C594" s="33" t="s">
        <v>890</v>
      </c>
    </row>
    <row r="595" spans="3:3" x14ac:dyDescent="0.3">
      <c r="C595" s="32" t="s">
        <v>88</v>
      </c>
    </row>
    <row r="596" spans="3:3" x14ac:dyDescent="0.3">
      <c r="C596" s="32" t="s">
        <v>891</v>
      </c>
    </row>
    <row r="597" spans="3:3" x14ac:dyDescent="0.3">
      <c r="C597" s="36" t="s">
        <v>892</v>
      </c>
    </row>
    <row r="598" spans="3:3" x14ac:dyDescent="0.3">
      <c r="C598" s="32" t="s">
        <v>893</v>
      </c>
    </row>
    <row r="599" spans="3:3" x14ac:dyDescent="0.3">
      <c r="C599" s="33" t="s">
        <v>894</v>
      </c>
    </row>
    <row r="600" spans="3:3" x14ac:dyDescent="0.3">
      <c r="C600" s="33" t="s">
        <v>895</v>
      </c>
    </row>
    <row r="601" spans="3:3" x14ac:dyDescent="0.3">
      <c r="C601" s="32" t="s">
        <v>88</v>
      </c>
    </row>
    <row r="602" spans="3:3" x14ac:dyDescent="0.3">
      <c r="C602" s="36" t="s">
        <v>896</v>
      </c>
    </row>
    <row r="603" spans="3:3" x14ac:dyDescent="0.3">
      <c r="C603" s="32" t="s">
        <v>897</v>
      </c>
    </row>
    <row r="604" spans="3:3" x14ac:dyDescent="0.3">
      <c r="C604" s="36" t="s">
        <v>898</v>
      </c>
    </row>
    <row r="605" spans="3:3" x14ac:dyDescent="0.3">
      <c r="C605" s="32" t="s">
        <v>899</v>
      </c>
    </row>
    <row r="606" spans="3:3" x14ac:dyDescent="0.3">
      <c r="C606" s="36" t="s">
        <v>900</v>
      </c>
    </row>
    <row r="607" spans="3:3" x14ac:dyDescent="0.3">
      <c r="C607" s="32" t="s">
        <v>641</v>
      </c>
    </row>
    <row r="608" spans="3:3" x14ac:dyDescent="0.3">
      <c r="C608" s="31" t="s">
        <v>106</v>
      </c>
    </row>
    <row r="609" spans="2:3" x14ac:dyDescent="0.3">
      <c r="C609" s="29" t="s">
        <v>106</v>
      </c>
    </row>
    <row r="612" spans="2:3" x14ac:dyDescent="0.3">
      <c r="C612" s="13" t="s">
        <v>115</v>
      </c>
    </row>
    <row r="613" spans="2:3" x14ac:dyDescent="0.3">
      <c r="C613" s="34" t="s">
        <v>985</v>
      </c>
    </row>
    <row r="615" spans="2:3" ht="14.4" thickBot="1" x14ac:dyDescent="0.35"/>
    <row r="616" spans="2:3" s="5" customFormat="1" x14ac:dyDescent="0.3">
      <c r="B616" s="5" t="s">
        <v>0</v>
      </c>
    </row>
  </sheetData>
  <mergeCells count="22">
    <mergeCell ref="F364:G364"/>
    <mergeCell ref="F422:G422"/>
    <mergeCell ref="F423:G423"/>
    <mergeCell ref="F424:G424"/>
    <mergeCell ref="F239:G239"/>
    <mergeCell ref="F264:G264"/>
    <mergeCell ref="F309:G309"/>
    <mergeCell ref="F310:G310"/>
    <mergeCell ref="F362:G362"/>
    <mergeCell ref="F363:G363"/>
    <mergeCell ref="I236:J236"/>
    <mergeCell ref="F54:G54"/>
    <mergeCell ref="F65:G65"/>
    <mergeCell ref="F83:G83"/>
    <mergeCell ref="F95:G95"/>
    <mergeCell ref="F107:G107"/>
    <mergeCell ref="F119:G119"/>
    <mergeCell ref="F120:G120"/>
    <mergeCell ref="F121:G121"/>
    <mergeCell ref="F133:G133"/>
    <mergeCell ref="F170:G170"/>
    <mergeCell ref="F205:G205"/>
  </mergeCells>
  <dataValidations count="1">
    <dataValidation type="list" allowBlank="1" showInputMessage="1" showErrorMessage="1" sqref="F120:G121 F310:G310 F363:G364 F423:F424" xr:uid="{773FC6C8-5F93-4419-9FC1-1FB396FA409E}">
      <formula1>_YesNo</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293B4-3ED3-416B-AEE1-83E8196054FD}">
  <sheetPr codeName="Sheet5"/>
  <dimension ref="B1:T637"/>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11" s="113" customFormat="1" ht="30" customHeight="1" x14ac:dyDescent="0.3">
      <c r="C1" s="2" t="s">
        <v>986</v>
      </c>
    </row>
    <row r="3" spans="2:11" x14ac:dyDescent="0.3">
      <c r="B3" s="14" t="s">
        <v>1</v>
      </c>
    </row>
    <row r="4" spans="2:11" x14ac:dyDescent="0.3">
      <c r="C4" t="s">
        <v>987</v>
      </c>
    </row>
    <row r="5" spans="2:11" x14ac:dyDescent="0.3">
      <c r="C5" t="s">
        <v>988</v>
      </c>
    </row>
    <row r="6" spans="2:11" x14ac:dyDescent="0.3">
      <c r="C6" t="s">
        <v>989</v>
      </c>
    </row>
    <row r="7" spans="2:11" x14ac:dyDescent="0.3">
      <c r="C7" t="s">
        <v>990</v>
      </c>
    </row>
    <row r="9" spans="2:11" x14ac:dyDescent="0.3">
      <c r="B9" s="14" t="s">
        <v>991</v>
      </c>
    </row>
    <row r="11" spans="2:11" x14ac:dyDescent="0.3">
      <c r="C11" s="128" t="s">
        <v>198</v>
      </c>
      <c r="D11" s="128" t="s">
        <v>992</v>
      </c>
      <c r="F11" s="128" t="s">
        <v>993</v>
      </c>
      <c r="G11" s="128" t="s">
        <v>994</v>
      </c>
      <c r="I11" s="128" t="s">
        <v>995</v>
      </c>
      <c r="J11" s="128" t="s">
        <v>994</v>
      </c>
      <c r="K11" s="128" t="s">
        <v>996</v>
      </c>
    </row>
    <row r="12" spans="2:11" x14ac:dyDescent="0.3">
      <c r="C12" s="75" t="s">
        <v>37</v>
      </c>
      <c r="D12" s="1">
        <v>111</v>
      </c>
      <c r="F12" s="75" t="s">
        <v>42</v>
      </c>
      <c r="G12" s="1">
        <v>666</v>
      </c>
      <c r="I12" s="75" t="s">
        <v>691</v>
      </c>
      <c r="J12" s="1">
        <v>1000</v>
      </c>
      <c r="K12" s="1">
        <v>10000</v>
      </c>
    </row>
    <row r="13" spans="2:11" x14ac:dyDescent="0.3">
      <c r="C13" s="75" t="s">
        <v>38</v>
      </c>
      <c r="D13" s="1">
        <v>222</v>
      </c>
      <c r="F13" s="75" t="s">
        <v>43</v>
      </c>
      <c r="G13" s="1">
        <v>777</v>
      </c>
      <c r="I13" s="75" t="s">
        <v>692</v>
      </c>
      <c r="J13" s="1">
        <v>2000</v>
      </c>
      <c r="K13" s="1">
        <v>20000</v>
      </c>
    </row>
    <row r="14" spans="2:11" x14ac:dyDescent="0.3">
      <c r="C14" s="75" t="s">
        <v>39</v>
      </c>
      <c r="D14" s="1">
        <v>333</v>
      </c>
      <c r="F14" s="75" t="s">
        <v>44</v>
      </c>
      <c r="G14" s="1">
        <v>888</v>
      </c>
      <c r="I14" s="75" t="s">
        <v>997</v>
      </c>
      <c r="J14" s="1">
        <v>3000</v>
      </c>
      <c r="K14" s="1">
        <v>30000</v>
      </c>
    </row>
    <row r="15" spans="2:11" x14ac:dyDescent="0.3">
      <c r="C15" s="75" t="s">
        <v>40</v>
      </c>
      <c r="D15" s="1">
        <v>444</v>
      </c>
      <c r="F15" s="75" t="s">
        <v>689</v>
      </c>
      <c r="G15" s="1">
        <v>999</v>
      </c>
      <c r="I15" s="75" t="s">
        <v>998</v>
      </c>
      <c r="J15" s="1">
        <v>4000</v>
      </c>
      <c r="K15" s="1">
        <v>40000</v>
      </c>
    </row>
    <row r="16" spans="2:11" x14ac:dyDescent="0.3">
      <c r="C16" s="75" t="s">
        <v>41</v>
      </c>
      <c r="D16" s="1">
        <v>555</v>
      </c>
      <c r="F16" s="75" t="s">
        <v>690</v>
      </c>
      <c r="G16" s="129">
        <v>1000</v>
      </c>
      <c r="I16" s="75" t="s">
        <v>999</v>
      </c>
      <c r="J16" s="1">
        <v>5000</v>
      </c>
      <c r="K16" s="1">
        <v>50000</v>
      </c>
    </row>
    <row r="19" spans="2:20" s="8" customFormat="1" ht="16.2" thickBot="1" x14ac:dyDescent="0.35">
      <c r="B19" s="9">
        <f xml:space="preserve"> MAX(B$1:B18) + 1</f>
        <v>1</v>
      </c>
      <c r="C19" s="8" t="s">
        <v>4</v>
      </c>
    </row>
    <row r="21" spans="2:20" x14ac:dyDescent="0.3">
      <c r="B21" s="28" t="s">
        <v>1000</v>
      </c>
      <c r="C21" s="27"/>
      <c r="D21" s="27"/>
      <c r="E21" s="27"/>
      <c r="F21" s="27"/>
      <c r="G21" s="27"/>
      <c r="H21" s="27"/>
      <c r="I21" s="27"/>
      <c r="J21" s="27"/>
      <c r="K21" s="27"/>
      <c r="L21" s="27"/>
      <c r="M21" s="27"/>
      <c r="N21" s="27"/>
      <c r="O21" s="27"/>
      <c r="P21" s="27"/>
      <c r="Q21" s="27"/>
      <c r="R21" s="27"/>
      <c r="S21" s="27"/>
      <c r="T21" s="27"/>
    </row>
    <row r="23" spans="2:20" x14ac:dyDescent="0.3">
      <c r="C23" s="69" t="s">
        <v>374</v>
      </c>
    </row>
    <row r="24" spans="2:20" x14ac:dyDescent="0.3">
      <c r="C24" t="s">
        <v>1001</v>
      </c>
    </row>
    <row r="25" spans="2:20" x14ac:dyDescent="0.3">
      <c r="C25" s="54" t="s">
        <v>1002</v>
      </c>
    </row>
    <row r="26" spans="2:20" x14ac:dyDescent="0.3">
      <c r="C26" s="39" t="s">
        <v>1003</v>
      </c>
    </row>
    <row r="27" spans="2:20" x14ac:dyDescent="0.3">
      <c r="C27" s="39" t="s">
        <v>1004</v>
      </c>
    </row>
    <row r="28" spans="2:20" x14ac:dyDescent="0.3">
      <c r="C28" s="39" t="s">
        <v>1005</v>
      </c>
    </row>
    <row r="29" spans="2:20" x14ac:dyDescent="0.3">
      <c r="C29" s="42" t="s">
        <v>1006</v>
      </c>
    </row>
    <row r="30" spans="2:20" x14ac:dyDescent="0.3">
      <c r="C30" s="54" t="s">
        <v>1007</v>
      </c>
    </row>
    <row r="31" spans="2:20" x14ac:dyDescent="0.3">
      <c r="C31" s="54" t="s">
        <v>1008</v>
      </c>
    </row>
    <row r="32" spans="2:20" x14ac:dyDescent="0.3">
      <c r="C32" s="54" t="s">
        <v>1009</v>
      </c>
    </row>
    <row r="33" spans="2:6" x14ac:dyDescent="0.3">
      <c r="C33" s="42"/>
    </row>
    <row r="34" spans="2:6" x14ac:dyDescent="0.3">
      <c r="C34" s="42"/>
    </row>
    <row r="35" spans="2:6" x14ac:dyDescent="0.3">
      <c r="B35" s="74" t="s">
        <v>1010</v>
      </c>
      <c r="C35" s="13" t="s">
        <v>1011</v>
      </c>
    </row>
    <row r="36" spans="2:6" x14ac:dyDescent="0.3">
      <c r="C36" s="114" t="str" cm="1">
        <f t="array" ref="C36:F36" xml:space="preserve"> _xlfn.LET(
  _xlpm._ttl1, $C$11:$D$11,
  _xlpm._ttl2, $F$11:$G$11,
  _xlpm._rtn, _xlfn.REDUCE(_xlpm._ttl1, _xlpm._ttl2, _xlfn.LAMBDA(_xlpm._acc,_xlpm._val, IF( ISNA( MATCH(_xlpm._val, _xlpm._ttl1, 0)), _xlfn.HSTACK(_xlpm._acc, _xlpm._val), _xlpm._acc))),
  _xlpm._rtn
)</f>
        <v>Alpha</v>
      </c>
      <c r="D36" s="115" t="str">
        <v>Num</v>
      </c>
      <c r="E36" s="115" t="str">
        <v>Letters</v>
      </c>
      <c r="F36" s="115" t="str">
        <v>Numbers</v>
      </c>
    </row>
    <row r="37" spans="2:6" x14ac:dyDescent="0.3">
      <c r="C37" s="52" t="str" cm="1">
        <f t="array" aca="1" ref="C37:C42" ca="1" xml:space="preserve"> _xlfn.TEXTSPLIT( _xlfn.FORMULATEXT(C36), , CHAR(10))</f>
        <v>= LET(</v>
      </c>
    </row>
    <row r="38" spans="2:6" x14ac:dyDescent="0.3">
      <c r="C38" s="52" t="str">
        <f ca="1"/>
        <v xml:space="preserve">  _ttl1, $C$11:$D$11,</v>
      </c>
    </row>
    <row r="39" spans="2:6" x14ac:dyDescent="0.3">
      <c r="C39" s="52" t="str">
        <f ca="1"/>
        <v xml:space="preserve">  _ttl2, $F$11:$G$11,</v>
      </c>
    </row>
    <row r="40" spans="2:6" x14ac:dyDescent="0.3">
      <c r="C40" s="52" t="str">
        <f ca="1"/>
        <v xml:space="preserve">  _rtn, REDUCE(_ttl1, _ttl2, LAMBDA(_acc,_val, IF( ISNA( MATCH(_val, _ttl1, 0)), HSTACK(_acc, _val), _acc))),</v>
      </c>
    </row>
    <row r="41" spans="2:6" x14ac:dyDescent="0.3">
      <c r="C41" s="52" t="str">
        <f ca="1"/>
        <v xml:space="preserve">  _rtn</v>
      </c>
    </row>
    <row r="42" spans="2:6" x14ac:dyDescent="0.3">
      <c r="C42" s="52" t="str">
        <f ca="1"/>
        <v>)</v>
      </c>
    </row>
    <row r="45" spans="2:6" x14ac:dyDescent="0.3">
      <c r="B45" s="74" t="s">
        <v>1012</v>
      </c>
      <c r="C45" s="13" t="s">
        <v>1013</v>
      </c>
    </row>
    <row r="46" spans="2:6" x14ac:dyDescent="0.3">
      <c r="C46" s="114" t="e" cm="1">
        <f t="array" ref="C46:F50" xml:space="preserve"> _xlfn.LET(
  _xlpm._inp2, $F$12:$G$16,
  _xlpm._ttl2, $F$11:$G$11,
  _xlpm._ttlC,_xlfn.ANCHORARRAY( C36),
  _xlpm._idx, _xlfn.DROP(
    _xlfn.REDUCE(0, _xlpm._ttlC, _xlfn.LAMBDA(_xlpm._acc,_xlpm._val, _xlfn.HSTACK(_xlpm._acc, _xlfn.IFNA(MATCH(_xlpm._val, _xlpm._ttl2, 0), 0)))),
  , 1),
  _xlpm._arr, _xlfn.DROP(
    _xlfn.REDUCE(0, _xlpm._idx, _xlfn.LAMBDA(_xlpm._acc,_xlpm._val, _xlfn.HSTACK(_xlpm._acc, IF(_xlpm._val &gt; 0, _xlfn.CHOOSECOLS(_xlpm._inp2, _xlpm._val), "¦")))),
  , 1),
  _xlpm._rtn, IF(_xlpm._arr = "¦", NA(), _xlpm._arr),
  _xlpm._rtn
)</f>
        <v>#N/A</v>
      </c>
      <c r="D46" s="115" t="e">
        <v>#N/A</v>
      </c>
      <c r="E46" s="115" t="str">
        <v>FFF</v>
      </c>
      <c r="F46" s="115">
        <v>666</v>
      </c>
    </row>
    <row r="47" spans="2:6" x14ac:dyDescent="0.3">
      <c r="C47" s="115" t="e">
        <v>#N/A</v>
      </c>
      <c r="D47" s="115" t="e">
        <v>#N/A</v>
      </c>
      <c r="E47" s="115" t="str">
        <v>GGG</v>
      </c>
      <c r="F47" s="115">
        <v>777</v>
      </c>
    </row>
    <row r="48" spans="2:6" x14ac:dyDescent="0.3">
      <c r="C48" s="115" t="e">
        <v>#N/A</v>
      </c>
      <c r="D48" s="115" t="e">
        <v>#N/A</v>
      </c>
      <c r="E48" s="115" t="str">
        <v>HHH</v>
      </c>
      <c r="F48" s="115">
        <v>888</v>
      </c>
    </row>
    <row r="49" spans="3:6" x14ac:dyDescent="0.3">
      <c r="C49" s="115" t="e">
        <v>#N/A</v>
      </c>
      <c r="D49" s="115" t="e">
        <v>#N/A</v>
      </c>
      <c r="E49" s="115" t="str">
        <v>III</v>
      </c>
      <c r="F49" s="115">
        <v>999</v>
      </c>
    </row>
    <row r="50" spans="3:6" x14ac:dyDescent="0.3">
      <c r="C50" s="115" t="e">
        <v>#N/A</v>
      </c>
      <c r="D50" s="115" t="e">
        <v>#N/A</v>
      </c>
      <c r="E50" s="115" t="str">
        <v>JJJ</v>
      </c>
      <c r="F50" s="115">
        <v>1000</v>
      </c>
    </row>
    <row r="51" spans="3:6" x14ac:dyDescent="0.3">
      <c r="C51" s="52" t="str" cm="1">
        <f t="array" aca="1" ref="C51:C63" ca="1" xml:space="preserve"> _xlfn.TEXTSPLIT( _xlfn.FORMULATEXT(C46), , CHAR(10))</f>
        <v>= LET(</v>
      </c>
    </row>
    <row r="52" spans="3:6" x14ac:dyDescent="0.3">
      <c r="C52" s="52" t="str">
        <f ca="1"/>
        <v xml:space="preserve">  _inp2, $F$12:$G$16,</v>
      </c>
    </row>
    <row r="53" spans="3:6" x14ac:dyDescent="0.3">
      <c r="C53" s="52" t="str">
        <f ca="1"/>
        <v xml:space="preserve">  _ttl2, $F$11:$G$11,</v>
      </c>
    </row>
    <row r="54" spans="3:6" x14ac:dyDescent="0.3">
      <c r="C54" s="52" t="str">
        <f ca="1"/>
        <v xml:space="preserve">  _ttlC, C36#,</v>
      </c>
    </row>
    <row r="55" spans="3:6" x14ac:dyDescent="0.3">
      <c r="C55" s="52" t="str">
        <f ca="1"/>
        <v xml:space="preserve">  _idx, DROP(</v>
      </c>
    </row>
    <row r="56" spans="3:6" x14ac:dyDescent="0.3">
      <c r="C56" s="52" t="str">
        <f ca="1"/>
        <v xml:space="preserve">    REDUCE(0, _ttlC, LAMBDA(_acc,_val, HSTACK(_acc, IFNA(MATCH(_val, _ttl2, 0), 0)))),</v>
      </c>
    </row>
    <row r="57" spans="3:6" x14ac:dyDescent="0.3">
      <c r="C57" s="52" t="str">
        <f ca="1"/>
        <v xml:space="preserve">  , 1),</v>
      </c>
    </row>
    <row r="58" spans="3:6" x14ac:dyDescent="0.3">
      <c r="C58" s="52" t="str">
        <f ca="1"/>
        <v xml:space="preserve">  _arr, DROP(</v>
      </c>
    </row>
    <row r="59" spans="3:6" x14ac:dyDescent="0.3">
      <c r="C59" s="52" t="str">
        <f ca="1"/>
        <v xml:space="preserve">    REDUCE(0, _idx, LAMBDA(_acc,_val, HSTACK(_acc, IF(_val &gt; 0, CHOOSECOLS(_inp2, _val), "¦")))),</v>
      </c>
    </row>
    <row r="60" spans="3:6" x14ac:dyDescent="0.3">
      <c r="C60" s="52" t="str">
        <f ca="1"/>
        <v xml:space="preserve">  , 1),</v>
      </c>
    </row>
    <row r="61" spans="3:6" x14ac:dyDescent="0.3">
      <c r="C61" s="52" t="str">
        <f ca="1"/>
        <v xml:space="preserve">  _rtn, IF(_arr = "¦", NA(), _arr),</v>
      </c>
    </row>
    <row r="62" spans="3:6" x14ac:dyDescent="0.3">
      <c r="C62" s="52" t="str">
        <f ca="1"/>
        <v xml:space="preserve">  _rtn</v>
      </c>
    </row>
    <row r="63" spans="3:6" x14ac:dyDescent="0.3">
      <c r="C63" s="52" t="str">
        <f ca="1"/>
        <v>)</v>
      </c>
    </row>
    <row r="66" spans="2:6" x14ac:dyDescent="0.3">
      <c r="B66" s="74" t="s">
        <v>1014</v>
      </c>
      <c r="C66" s="13" t="s">
        <v>1015</v>
      </c>
    </row>
    <row r="67" spans="2:6" x14ac:dyDescent="0.3">
      <c r="C67" s="114" t="str" cm="1">
        <f t="array" ref="C67:F76" xml:space="preserve"> _xlfn.VSTACK(C12:D16,_xlfn.ANCHORARRAY( C46))</f>
        <v>AAA</v>
      </c>
      <c r="D67" s="115">
        <v>111</v>
      </c>
      <c r="E67" s="115" t="e">
        <v>#N/A</v>
      </c>
      <c r="F67" s="115" t="e">
        <v>#N/A</v>
      </c>
    </row>
    <row r="68" spans="2:6" x14ac:dyDescent="0.3">
      <c r="C68" s="115" t="str">
        <v>BBB</v>
      </c>
      <c r="D68" s="115">
        <v>222</v>
      </c>
      <c r="E68" s="115" t="e">
        <v>#N/A</v>
      </c>
      <c r="F68" s="115" t="e">
        <v>#N/A</v>
      </c>
    </row>
    <row r="69" spans="2:6" x14ac:dyDescent="0.3">
      <c r="C69" s="115" t="str">
        <v>CCC</v>
      </c>
      <c r="D69" s="115">
        <v>333</v>
      </c>
      <c r="E69" s="115" t="e">
        <v>#N/A</v>
      </c>
      <c r="F69" s="115" t="e">
        <v>#N/A</v>
      </c>
    </row>
    <row r="70" spans="2:6" x14ac:dyDescent="0.3">
      <c r="C70" s="115" t="str">
        <v>DDD</v>
      </c>
      <c r="D70" s="115">
        <v>444</v>
      </c>
      <c r="E70" s="115" t="e">
        <v>#N/A</v>
      </c>
      <c r="F70" s="115" t="e">
        <v>#N/A</v>
      </c>
    </row>
    <row r="71" spans="2:6" x14ac:dyDescent="0.3">
      <c r="C71" s="115" t="str">
        <v>EEE</v>
      </c>
      <c r="D71" s="115">
        <v>555</v>
      </c>
      <c r="E71" s="115" t="e">
        <v>#N/A</v>
      </c>
      <c r="F71" s="115" t="e">
        <v>#N/A</v>
      </c>
    </row>
    <row r="72" spans="2:6" x14ac:dyDescent="0.3">
      <c r="C72" s="115" t="e">
        <v>#N/A</v>
      </c>
      <c r="D72" s="115" t="e">
        <v>#N/A</v>
      </c>
      <c r="E72" s="115" t="str">
        <v>FFF</v>
      </c>
      <c r="F72" s="115">
        <v>666</v>
      </c>
    </row>
    <row r="73" spans="2:6" x14ac:dyDescent="0.3">
      <c r="C73" s="115" t="e">
        <v>#N/A</v>
      </c>
      <c r="D73" s="115" t="e">
        <v>#N/A</v>
      </c>
      <c r="E73" s="115" t="str">
        <v>GGG</v>
      </c>
      <c r="F73" s="115">
        <v>777</v>
      </c>
    </row>
    <row r="74" spans="2:6" x14ac:dyDescent="0.3">
      <c r="C74" s="115" t="e">
        <v>#N/A</v>
      </c>
      <c r="D74" s="115" t="e">
        <v>#N/A</v>
      </c>
      <c r="E74" s="115" t="str">
        <v>HHH</v>
      </c>
      <c r="F74" s="115">
        <v>888</v>
      </c>
    </row>
    <row r="75" spans="2:6" x14ac:dyDescent="0.3">
      <c r="C75" s="115" t="e">
        <v>#N/A</v>
      </c>
      <c r="D75" s="115" t="e">
        <v>#N/A</v>
      </c>
      <c r="E75" s="115" t="str">
        <v>III</v>
      </c>
      <c r="F75" s="115">
        <v>999</v>
      </c>
    </row>
    <row r="76" spans="2:6" x14ac:dyDescent="0.3">
      <c r="C76" s="115" t="e">
        <v>#N/A</v>
      </c>
      <c r="D76" s="115" t="e">
        <v>#N/A</v>
      </c>
      <c r="E76" s="115" t="str">
        <v>JJJ</v>
      </c>
      <c r="F76" s="115">
        <v>1000</v>
      </c>
    </row>
    <row r="77" spans="2:6" x14ac:dyDescent="0.3">
      <c r="C77" s="52" t="str" cm="1">
        <f t="array" aca="1" ref="C77" ca="1" xml:space="preserve"> _xlfn.TEXTSPLIT( _xlfn.FORMULATEXT(C67), , CHAR(10))</f>
        <v>= VSTACK(C12:D16, C46#)</v>
      </c>
    </row>
    <row r="80" spans="2:6" x14ac:dyDescent="0.3">
      <c r="B80" s="74" t="s">
        <v>1016</v>
      </c>
      <c r="C80" s="13" t="s">
        <v>1017</v>
      </c>
    </row>
    <row r="81" spans="3:9" x14ac:dyDescent="0.3">
      <c r="C81" s="114" t="str" cm="1">
        <f t="array" ref="C81:F90" xml:space="preserve"> _xlfn.LET(
  _xlpm._rep, I82,
  _xlpm._arrC,_xlfn.ANCHORARRAY( C67),
  _xlpm._rtn, IF(I81 = 1,
    IF(ISNA(_xlpm._arrC), _xlpm._rep, _xlpm._arrC),
    _xlpm._arrC
  ),
  _xlpm._rtn
)</f>
        <v>AAA</v>
      </c>
      <c r="D81" s="115">
        <v>111</v>
      </c>
      <c r="E81" s="115">
        <v>0</v>
      </c>
      <c r="F81" s="115">
        <v>0</v>
      </c>
      <c r="H81" s="24" t="s">
        <v>1018</v>
      </c>
      <c r="I81" s="26">
        <v>1</v>
      </c>
    </row>
    <row r="82" spans="3:9" x14ac:dyDescent="0.3">
      <c r="C82" s="115" t="str">
        <v>BBB</v>
      </c>
      <c r="D82" s="115">
        <v>222</v>
      </c>
      <c r="E82" s="115">
        <v>0</v>
      </c>
      <c r="F82" s="115">
        <v>0</v>
      </c>
      <c r="H82" s="24" t="s">
        <v>1019</v>
      </c>
      <c r="I82" s="25">
        <v>0</v>
      </c>
    </row>
    <row r="83" spans="3:9" x14ac:dyDescent="0.3">
      <c r="C83" s="115" t="str">
        <v>CCC</v>
      </c>
      <c r="D83" s="115">
        <v>333</v>
      </c>
      <c r="E83" s="115">
        <v>0</v>
      </c>
      <c r="F83" s="115">
        <v>0</v>
      </c>
    </row>
    <row r="84" spans="3:9" x14ac:dyDescent="0.3">
      <c r="C84" s="115" t="str">
        <v>DDD</v>
      </c>
      <c r="D84" s="115">
        <v>444</v>
      </c>
      <c r="E84" s="115">
        <v>0</v>
      </c>
      <c r="F84" s="115">
        <v>0</v>
      </c>
    </row>
    <row r="85" spans="3:9" x14ac:dyDescent="0.3">
      <c r="C85" s="115" t="str">
        <v>EEE</v>
      </c>
      <c r="D85" s="115">
        <v>555</v>
      </c>
      <c r="E85" s="115">
        <v>0</v>
      </c>
      <c r="F85" s="115">
        <v>0</v>
      </c>
    </row>
    <row r="86" spans="3:9" x14ac:dyDescent="0.3">
      <c r="C86" s="115">
        <v>0</v>
      </c>
      <c r="D86" s="115">
        <v>0</v>
      </c>
      <c r="E86" s="115" t="str">
        <v>FFF</v>
      </c>
      <c r="F86" s="115">
        <v>666</v>
      </c>
    </row>
    <row r="87" spans="3:9" x14ac:dyDescent="0.3">
      <c r="C87" s="115">
        <v>0</v>
      </c>
      <c r="D87" s="115">
        <v>0</v>
      </c>
      <c r="E87" s="115" t="str">
        <v>GGG</v>
      </c>
      <c r="F87" s="115">
        <v>777</v>
      </c>
    </row>
    <row r="88" spans="3:9" x14ac:dyDescent="0.3">
      <c r="C88" s="115">
        <v>0</v>
      </c>
      <c r="D88" s="115">
        <v>0</v>
      </c>
      <c r="E88" s="115" t="str">
        <v>HHH</v>
      </c>
      <c r="F88" s="115">
        <v>888</v>
      </c>
    </row>
    <row r="89" spans="3:9" x14ac:dyDescent="0.3">
      <c r="C89" s="115">
        <v>0</v>
      </c>
      <c r="D89" s="115">
        <v>0</v>
      </c>
      <c r="E89" s="115" t="str">
        <v>III</v>
      </c>
      <c r="F89" s="115">
        <v>999</v>
      </c>
    </row>
    <row r="90" spans="3:9" x14ac:dyDescent="0.3">
      <c r="C90" s="115">
        <v>0</v>
      </c>
      <c r="D90" s="115">
        <v>0</v>
      </c>
      <c r="E90" s="115" t="str">
        <v>JJJ</v>
      </c>
      <c r="F90" s="115">
        <v>1000</v>
      </c>
    </row>
    <row r="91" spans="3:9" x14ac:dyDescent="0.3">
      <c r="C91" s="52" t="str" cm="1">
        <f t="array" aca="1" ref="C91:C99" ca="1" xml:space="preserve"> _xlfn.TEXTSPLIT( _xlfn.FORMULATEXT(C81), , CHAR(10))</f>
        <v>= LET(</v>
      </c>
    </row>
    <row r="92" spans="3:9" x14ac:dyDescent="0.3">
      <c r="C92" s="52" t="str">
        <f ca="1"/>
        <v xml:space="preserve">  _rep, I82,</v>
      </c>
    </row>
    <row r="93" spans="3:9" x14ac:dyDescent="0.3">
      <c r="C93" s="52" t="str">
        <f ca="1"/>
        <v xml:space="preserve">  _arrC, C67#,</v>
      </c>
    </row>
    <row r="94" spans="3:9" x14ac:dyDescent="0.3">
      <c r="C94" s="52" t="str">
        <f ca="1"/>
        <v xml:space="preserve">  _rtn, IF(I81 = 1,</v>
      </c>
    </row>
    <row r="95" spans="3:9" x14ac:dyDescent="0.3">
      <c r="C95" s="52" t="str">
        <f ca="1"/>
        <v xml:space="preserve">    IF(ISNA(_arrC), _rep, _arrC),</v>
      </c>
    </row>
    <row r="96" spans="3:9" x14ac:dyDescent="0.3">
      <c r="C96" s="52" t="str">
        <f ca="1"/>
        <v xml:space="preserve">    _arrC</v>
      </c>
    </row>
    <row r="97" spans="2:9" x14ac:dyDescent="0.3">
      <c r="C97" s="52" t="str">
        <f ca="1"/>
        <v xml:space="preserve">  ),</v>
      </c>
    </row>
    <row r="98" spans="2:9" x14ac:dyDescent="0.3">
      <c r="C98" s="52" t="str">
        <f ca="1"/>
        <v xml:space="preserve">  _rtn</v>
      </c>
    </row>
    <row r="99" spans="2:9" x14ac:dyDescent="0.3">
      <c r="C99" s="52" t="str">
        <f ca="1"/>
        <v>)</v>
      </c>
    </row>
    <row r="102" spans="2:9" x14ac:dyDescent="0.3">
      <c r="B102" s="74" t="s">
        <v>1020</v>
      </c>
      <c r="C102" s="13" t="s">
        <v>1021</v>
      </c>
    </row>
    <row r="103" spans="2:9" x14ac:dyDescent="0.3">
      <c r="C103" s="114" t="str" cm="1">
        <f t="array" ref="C103:F112" xml:space="preserve"> _xlfn.LET(
  _xlpm.replace_na, I103,
  _xlpm._rep, IF( AND( ISLOGICAL(_xlpm.replace_na), _xlpm.replace_na = FALSE), FALSE, TRUE),
  _xlpm._str, IF( AND( ISLOGICAL(_xlpm.replace_na), _xlpm.replace_na), "", _xlpm.replace_na),
  _xlpm._arrC,_xlfn.ANCHORARRAY( C67),
  _xlpm._rtn, IF(_xlpm._rep,
    IF(ISNA(_xlpm._arrC), _xlpm._str, _xlpm._arrC),
    _xlpm._arrC
  ),
  _xlpm._rtn
)</f>
        <v>AAA</v>
      </c>
      <c r="D103" s="115">
        <v>111</v>
      </c>
      <c r="E103" s="115">
        <v>0</v>
      </c>
      <c r="F103" s="115">
        <v>0</v>
      </c>
      <c r="H103" s="24" t="s">
        <v>1018</v>
      </c>
      <c r="I103" s="25"/>
    </row>
    <row r="104" spans="2:9" x14ac:dyDescent="0.3">
      <c r="C104" s="115" t="str">
        <v>BBB</v>
      </c>
      <c r="D104" s="115">
        <v>222</v>
      </c>
      <c r="E104" s="115">
        <v>0</v>
      </c>
      <c r="F104" s="115">
        <v>0</v>
      </c>
    </row>
    <row r="105" spans="2:9" x14ac:dyDescent="0.3">
      <c r="C105" s="115" t="str">
        <v>CCC</v>
      </c>
      <c r="D105" s="115">
        <v>333</v>
      </c>
      <c r="E105" s="115">
        <v>0</v>
      </c>
      <c r="F105" s="115">
        <v>0</v>
      </c>
    </row>
    <row r="106" spans="2:9" x14ac:dyDescent="0.3">
      <c r="C106" s="115" t="str">
        <v>DDD</v>
      </c>
      <c r="D106" s="115">
        <v>444</v>
      </c>
      <c r="E106" s="115">
        <v>0</v>
      </c>
      <c r="F106" s="115">
        <v>0</v>
      </c>
    </row>
    <row r="107" spans="2:9" x14ac:dyDescent="0.3">
      <c r="C107" s="115" t="str">
        <v>EEE</v>
      </c>
      <c r="D107" s="115">
        <v>555</v>
      </c>
      <c r="E107" s="115">
        <v>0</v>
      </c>
      <c r="F107" s="115">
        <v>0</v>
      </c>
    </row>
    <row r="108" spans="2:9" x14ac:dyDescent="0.3">
      <c r="C108" s="115">
        <v>0</v>
      </c>
      <c r="D108" s="115">
        <v>0</v>
      </c>
      <c r="E108" s="115" t="str">
        <v>FFF</v>
      </c>
      <c r="F108" s="115">
        <v>666</v>
      </c>
    </row>
    <row r="109" spans="2:9" x14ac:dyDescent="0.3">
      <c r="C109" s="115">
        <v>0</v>
      </c>
      <c r="D109" s="115">
        <v>0</v>
      </c>
      <c r="E109" s="115" t="str">
        <v>GGG</v>
      </c>
      <c r="F109" s="115">
        <v>777</v>
      </c>
    </row>
    <row r="110" spans="2:9" x14ac:dyDescent="0.3">
      <c r="C110" s="115">
        <v>0</v>
      </c>
      <c r="D110" s="115">
        <v>0</v>
      </c>
      <c r="E110" s="115" t="str">
        <v>HHH</v>
      </c>
      <c r="F110" s="115">
        <v>888</v>
      </c>
    </row>
    <row r="111" spans="2:9" x14ac:dyDescent="0.3">
      <c r="C111" s="115">
        <v>0</v>
      </c>
      <c r="D111" s="115">
        <v>0</v>
      </c>
      <c r="E111" s="115" t="str">
        <v>III</v>
      </c>
      <c r="F111" s="115">
        <v>999</v>
      </c>
    </row>
    <row r="112" spans="2:9" x14ac:dyDescent="0.3">
      <c r="C112" s="115">
        <v>0</v>
      </c>
      <c r="D112" s="115">
        <v>0</v>
      </c>
      <c r="E112" s="115" t="str">
        <v>JJJ</v>
      </c>
      <c r="F112" s="115">
        <v>1000</v>
      </c>
    </row>
    <row r="113" spans="2:9" x14ac:dyDescent="0.3">
      <c r="C113" s="52" t="str" cm="1">
        <f t="array" aca="1" ref="C113:C123" ca="1" xml:space="preserve"> _xlfn.TEXTSPLIT( _xlfn.FORMULATEXT(C103), , CHAR(10))</f>
        <v>= LET(</v>
      </c>
    </row>
    <row r="114" spans="2:9" x14ac:dyDescent="0.3">
      <c r="C114" s="52" t="str">
        <f ca="1"/>
        <v xml:space="preserve">  replace_na, I103,</v>
      </c>
    </row>
    <row r="115" spans="2:9" x14ac:dyDescent="0.3">
      <c r="C115" s="52" t="str">
        <f ca="1"/>
        <v xml:space="preserve">  _rep, IF( AND( ISLOGICAL(replace_na), replace_na = FALSE), FALSE, TRUE),</v>
      </c>
    </row>
    <row r="116" spans="2:9" x14ac:dyDescent="0.3">
      <c r="C116" s="52" t="str">
        <f ca="1"/>
        <v xml:space="preserve">  _str, IF( AND( ISLOGICAL(replace_na), replace_na), "", replace_na),</v>
      </c>
    </row>
    <row r="117" spans="2:9" x14ac:dyDescent="0.3">
      <c r="C117" s="52" t="str">
        <f ca="1"/>
        <v xml:space="preserve">  _arrC, C67#,</v>
      </c>
    </row>
    <row r="118" spans="2:9" x14ac:dyDescent="0.3">
      <c r="C118" s="52" t="str">
        <f ca="1"/>
        <v xml:space="preserve">  _rtn, IF(_rep,</v>
      </c>
    </row>
    <row r="119" spans="2:9" x14ac:dyDescent="0.3">
      <c r="C119" s="52" t="str">
        <f ca="1"/>
        <v xml:space="preserve">    IF(ISNA(_arrC), _str, _arrC),</v>
      </c>
    </row>
    <row r="120" spans="2:9" x14ac:dyDescent="0.3">
      <c r="C120" s="52" t="str">
        <f ca="1"/>
        <v xml:space="preserve">    _arrC</v>
      </c>
    </row>
    <row r="121" spans="2:9" x14ac:dyDescent="0.3">
      <c r="C121" s="52" t="str">
        <f ca="1"/>
        <v xml:space="preserve">  ),</v>
      </c>
    </row>
    <row r="122" spans="2:9" x14ac:dyDescent="0.3">
      <c r="C122" s="52" t="str">
        <f ca="1"/>
        <v xml:space="preserve">  _rtn</v>
      </c>
    </row>
    <row r="123" spans="2:9" x14ac:dyDescent="0.3">
      <c r="C123" s="52" t="str">
        <f ca="1"/>
        <v>)</v>
      </c>
    </row>
    <row r="124" spans="2:9" x14ac:dyDescent="0.3">
      <c r="C124" s="52"/>
    </row>
    <row r="126" spans="2:9" x14ac:dyDescent="0.3">
      <c r="B126" s="74" t="s">
        <v>1022</v>
      </c>
      <c r="C126" s="13" t="s">
        <v>1023</v>
      </c>
    </row>
    <row r="127" spans="2:9" x14ac:dyDescent="0.3">
      <c r="C127" s="115" t="str" cm="1">
        <f t="array" ref="C127:F137" xml:space="preserve"> IF(I127 = 1,
  _xlfn.VSTACK(_xlfn.ANCHORARRAY(C36),_xlfn.ANCHORARRAY( C81)),_xlfn.ANCHORARRAY(
  C81)
)</f>
        <v>Alpha</v>
      </c>
      <c r="D127" s="116" t="str">
        <v>Num</v>
      </c>
      <c r="E127" s="116" t="str">
        <v>Letters</v>
      </c>
      <c r="F127" s="116" t="str">
        <v>Numbers</v>
      </c>
      <c r="H127" s="24" t="s">
        <v>1024</v>
      </c>
      <c r="I127" s="26">
        <v>1</v>
      </c>
    </row>
    <row r="128" spans="2:9" x14ac:dyDescent="0.3">
      <c r="C128" s="116" t="str">
        <v>AAA</v>
      </c>
      <c r="D128" s="116">
        <v>111</v>
      </c>
      <c r="E128" s="116">
        <v>0</v>
      </c>
      <c r="F128" s="116">
        <v>0</v>
      </c>
    </row>
    <row r="129" spans="2:6" x14ac:dyDescent="0.3">
      <c r="C129" s="116" t="str">
        <v>BBB</v>
      </c>
      <c r="D129" s="116">
        <v>222</v>
      </c>
      <c r="E129" s="116">
        <v>0</v>
      </c>
      <c r="F129" s="116">
        <v>0</v>
      </c>
    </row>
    <row r="130" spans="2:6" x14ac:dyDescent="0.3">
      <c r="C130" s="116" t="str">
        <v>CCC</v>
      </c>
      <c r="D130" s="116">
        <v>333</v>
      </c>
      <c r="E130" s="116">
        <v>0</v>
      </c>
      <c r="F130" s="116">
        <v>0</v>
      </c>
    </row>
    <row r="131" spans="2:6" x14ac:dyDescent="0.3">
      <c r="C131" s="116" t="str">
        <v>DDD</v>
      </c>
      <c r="D131" s="116">
        <v>444</v>
      </c>
      <c r="E131" s="116">
        <v>0</v>
      </c>
      <c r="F131" s="116">
        <v>0</v>
      </c>
    </row>
    <row r="132" spans="2:6" x14ac:dyDescent="0.3">
      <c r="C132" s="116" t="str">
        <v>EEE</v>
      </c>
      <c r="D132" s="116">
        <v>555</v>
      </c>
      <c r="E132" s="116">
        <v>0</v>
      </c>
      <c r="F132" s="116">
        <v>0</v>
      </c>
    </row>
    <row r="133" spans="2:6" x14ac:dyDescent="0.3">
      <c r="C133" s="116">
        <v>0</v>
      </c>
      <c r="D133" s="116">
        <v>0</v>
      </c>
      <c r="E133" s="116" t="str">
        <v>FFF</v>
      </c>
      <c r="F133" s="116">
        <v>666</v>
      </c>
    </row>
    <row r="134" spans="2:6" x14ac:dyDescent="0.3">
      <c r="C134" s="116">
        <v>0</v>
      </c>
      <c r="D134" s="116">
        <v>0</v>
      </c>
      <c r="E134" s="116" t="str">
        <v>GGG</v>
      </c>
      <c r="F134" s="116">
        <v>777</v>
      </c>
    </row>
    <row r="135" spans="2:6" x14ac:dyDescent="0.3">
      <c r="C135" s="116">
        <v>0</v>
      </c>
      <c r="D135" s="116">
        <v>0</v>
      </c>
      <c r="E135" s="116" t="str">
        <v>HHH</v>
      </c>
      <c r="F135" s="116">
        <v>888</v>
      </c>
    </row>
    <row r="136" spans="2:6" x14ac:dyDescent="0.3">
      <c r="C136" s="116">
        <v>0</v>
      </c>
      <c r="D136" s="116">
        <v>0</v>
      </c>
      <c r="E136" s="116" t="str">
        <v>III</v>
      </c>
      <c r="F136" s="116">
        <v>999</v>
      </c>
    </row>
    <row r="137" spans="2:6" x14ac:dyDescent="0.3">
      <c r="C137" s="116">
        <v>0</v>
      </c>
      <c r="D137" s="116">
        <v>0</v>
      </c>
      <c r="E137" s="116" t="str">
        <v>JJJ</v>
      </c>
      <c r="F137" s="116">
        <v>1000</v>
      </c>
    </row>
    <row r="138" spans="2:6" x14ac:dyDescent="0.3">
      <c r="C138" s="52" t="str" cm="1">
        <f t="array" aca="1" ref="C138:C141" ca="1" xml:space="preserve"> _xlfn.TEXTSPLIT( _xlfn.FORMULATEXT(C127), , CHAR(10))</f>
        <v>= IF(I127 = 1,</v>
      </c>
    </row>
    <row r="139" spans="2:6" x14ac:dyDescent="0.3">
      <c r="C139" s="52" t="str">
        <f ca="1"/>
        <v xml:space="preserve">  VSTACK(C36#, C81#),</v>
      </c>
    </row>
    <row r="140" spans="2:6" x14ac:dyDescent="0.3">
      <c r="C140" s="52" t="str">
        <f ca="1"/>
        <v xml:space="preserve">  C81#</v>
      </c>
    </row>
    <row r="141" spans="2:6" x14ac:dyDescent="0.3">
      <c r="C141" s="52" t="str">
        <f ca="1"/>
        <v>)</v>
      </c>
    </row>
    <row r="144" spans="2:6" x14ac:dyDescent="0.3">
      <c r="B144" s="74" t="s">
        <v>1025</v>
      </c>
      <c r="C144" s="13" t="s">
        <v>1026</v>
      </c>
    </row>
    <row r="145" spans="3:9" x14ac:dyDescent="0.3">
      <c r="C145" s="115" t="str" cm="1">
        <f t="array" ref="C145:F155" xml:space="preserve"> _xlfn.LAMBDA(_xlpm.first_array,_xlpm.second_array,_xlop.first_titles,_xlop.second_titles,_xlop.output_titles,_xlop.replace_na,
  _xlfn.LET(
    _xlpm._inp1, _xlpm.first_array,
    _xlpm._inp2, _xlpm.second_array,
    _xlpm._ttl1, _xlpm.first_titles,
    _xlpm._ttl2, _xlpm.second_titles,
    _xlpm._inc, _xlpm.output_titles,
    _xlpm._rep, IF( AND( ISLOGICAL(_xlpm.replace_na), _xlpm.replace_na = FALSE), FALSE, TRUE),
    _xlpm._str, IF( AND( ISLOGICAL(_xlpm.replace_na), _xlpm.replace_na), "", _xlpm.replace_na),
    _xlpm._ttlC, _xlfn.REDUCE(_xlpm._ttl1, _xlpm._ttl2, _xlfn.LAMBDA(_xlpm._acc,_xlpm._val, IF( ISNA( MATCH(_xlpm._val, _xlpm._ttl1, 0)), _xlfn.HSTACK(_xlpm._acc, _xlpm._val), _xlpm._acc))),
    _xlpm._idx, _xlfn.DROP(
      _xlfn.REDUCE(0, _xlpm._ttlC, _xlfn.LAMBDA(_xlpm._acc,_xlpm._val, _xlfn.HSTACK(_xlpm._acc, _xlfn.IFNA(MATCH(_xlpm._val, _xlpm._ttl2, 0), 0)))),
    , 1),
    _xlpm._arr, _xlfn.DROP(
      _xlfn.REDUCE(0, _xlpm._idx, _xlfn.LAMBDA(_xlpm._acc,_xlpm._val, _xlfn.HSTACK(_xlpm._acc, IF(_xlpm._val &gt; 0, _xlfn.CHOOSECOLS(_xlpm._inp2, _xlpm._val), "¦")))),
    , 1),
    _xlpm._new, IF(_xlpm._arr = "¦", NA(), _xlpm._arr),
    _xlpm._calc, _xlfn.VSTACK(_xlpm._inp1, _xlpm._new),
    _xlpm._out, IF(_xlpm._inc, _xlfn.VSTACK(_xlpm._ttlC, _xlpm._calc), _xlpm._calc),
    _xlpm._rtn, IF(_xlpm._rep,
      IF(ISNA(_xlpm._out), _xlpm._str, _xlpm._out),
      _xlpm._out
    ),
    _xlpm._rtn
  )
)($C$12:$D$16, $F$12:$G$16, $C$11:$D$11, $F$11:$G$11, I145, I146)</f>
        <v>Alpha</v>
      </c>
      <c r="D145" s="116" t="str">
        <v>Num</v>
      </c>
      <c r="E145" s="116" t="str">
        <v>Letters</v>
      </c>
      <c r="F145" s="116" t="str">
        <v>Numbers</v>
      </c>
      <c r="H145" s="24" t="s">
        <v>1024</v>
      </c>
      <c r="I145" s="26">
        <v>1</v>
      </c>
    </row>
    <row r="146" spans="3:9" x14ac:dyDescent="0.3">
      <c r="C146" s="116" t="str">
        <v>AAA</v>
      </c>
      <c r="D146" s="116">
        <v>111</v>
      </c>
      <c r="E146" s="116" t="str">
        <v/>
      </c>
      <c r="F146" s="116" t="str">
        <v/>
      </c>
      <c r="H146" s="24" t="s">
        <v>1018</v>
      </c>
      <c r="I146" s="25" t="b">
        <v>1</v>
      </c>
    </row>
    <row r="147" spans="3:9" x14ac:dyDescent="0.3">
      <c r="C147" s="116" t="str">
        <v>BBB</v>
      </c>
      <c r="D147" s="116">
        <v>222</v>
      </c>
      <c r="E147" s="116" t="str">
        <v/>
      </c>
      <c r="F147" s="116" t="str">
        <v/>
      </c>
    </row>
    <row r="148" spans="3:9" x14ac:dyDescent="0.3">
      <c r="C148" s="116" t="str">
        <v>CCC</v>
      </c>
      <c r="D148" s="116">
        <v>333</v>
      </c>
      <c r="E148" s="116" t="str">
        <v/>
      </c>
      <c r="F148" s="116" t="str">
        <v/>
      </c>
    </row>
    <row r="149" spans="3:9" x14ac:dyDescent="0.3">
      <c r="C149" s="116" t="str">
        <v>DDD</v>
      </c>
      <c r="D149" s="116">
        <v>444</v>
      </c>
      <c r="E149" s="116" t="str">
        <v/>
      </c>
      <c r="F149" s="116" t="str">
        <v/>
      </c>
    </row>
    <row r="150" spans="3:9" x14ac:dyDescent="0.3">
      <c r="C150" s="116" t="str">
        <v>EEE</v>
      </c>
      <c r="D150" s="116">
        <v>555</v>
      </c>
      <c r="E150" s="116" t="str">
        <v/>
      </c>
      <c r="F150" s="116" t="str">
        <v/>
      </c>
    </row>
    <row r="151" spans="3:9" x14ac:dyDescent="0.3">
      <c r="C151" s="116" t="str">
        <v/>
      </c>
      <c r="D151" s="116" t="str">
        <v/>
      </c>
      <c r="E151" s="116" t="str">
        <v>FFF</v>
      </c>
      <c r="F151" s="116">
        <v>666</v>
      </c>
    </row>
    <row r="152" spans="3:9" x14ac:dyDescent="0.3">
      <c r="C152" s="116" t="str">
        <v/>
      </c>
      <c r="D152" s="116" t="str">
        <v/>
      </c>
      <c r="E152" s="116" t="str">
        <v>GGG</v>
      </c>
      <c r="F152" s="116">
        <v>777</v>
      </c>
    </row>
    <row r="153" spans="3:9" x14ac:dyDescent="0.3">
      <c r="C153" s="116" t="str">
        <v/>
      </c>
      <c r="D153" s="116" t="str">
        <v/>
      </c>
      <c r="E153" s="116" t="str">
        <v>HHH</v>
      </c>
      <c r="F153" s="116">
        <v>888</v>
      </c>
    </row>
    <row r="154" spans="3:9" x14ac:dyDescent="0.3">
      <c r="C154" s="116" t="str">
        <v/>
      </c>
      <c r="D154" s="116" t="str">
        <v/>
      </c>
      <c r="E154" s="116" t="str">
        <v>III</v>
      </c>
      <c r="F154" s="116">
        <v>999</v>
      </c>
    </row>
    <row r="155" spans="3:9" x14ac:dyDescent="0.3">
      <c r="C155" s="116" t="str">
        <v/>
      </c>
      <c r="D155" s="116" t="str">
        <v/>
      </c>
      <c r="E155" s="116" t="str">
        <v>JJJ</v>
      </c>
      <c r="F155" s="116">
        <v>1000</v>
      </c>
    </row>
    <row r="156" spans="3:9" x14ac:dyDescent="0.3">
      <c r="C156" s="52" t="str" cm="1">
        <f t="array" aca="1" ref="C156:C181" ca="1" xml:space="preserve"> _xlfn.TEXTSPLIT( _xlfn.FORMULATEXT(C145), , CHAR(10))</f>
        <v>= LAMBDA(first_array,second_array,[first_titles],[second_titles],[output_titles],[replace_na],</v>
      </c>
    </row>
    <row r="157" spans="3:9" x14ac:dyDescent="0.3">
      <c r="C157" s="52" t="str">
        <f ca="1"/>
        <v xml:space="preserve">  LET(</v>
      </c>
    </row>
    <row r="158" spans="3:9" x14ac:dyDescent="0.3">
      <c r="C158" s="52" t="str">
        <f ca="1"/>
        <v xml:space="preserve">    _inp1, first_array,</v>
      </c>
    </row>
    <row r="159" spans="3:9" x14ac:dyDescent="0.3">
      <c r="C159" s="52" t="str">
        <f ca="1"/>
        <v xml:space="preserve">    _inp2, second_array,</v>
      </c>
    </row>
    <row r="160" spans="3:9" x14ac:dyDescent="0.3">
      <c r="C160" s="52" t="str">
        <f ca="1"/>
        <v xml:space="preserve">    _ttl1, first_titles,</v>
      </c>
    </row>
    <row r="161" spans="3:3" x14ac:dyDescent="0.3">
      <c r="C161" s="52" t="str">
        <f ca="1"/>
        <v xml:space="preserve">    _ttl2, second_titles,</v>
      </c>
    </row>
    <row r="162" spans="3:3" x14ac:dyDescent="0.3">
      <c r="C162" s="52" t="str">
        <f ca="1"/>
        <v xml:space="preserve">    _inc, output_titles,</v>
      </c>
    </row>
    <row r="163" spans="3:3" x14ac:dyDescent="0.3">
      <c r="C163" s="52" t="str">
        <f ca="1"/>
        <v xml:space="preserve">    _rep, IF( AND( ISLOGICAL(replace_na), replace_na = FALSE), FALSE, TRUE),</v>
      </c>
    </row>
    <row r="164" spans="3:3" x14ac:dyDescent="0.3">
      <c r="C164" s="52" t="str">
        <f ca="1"/>
        <v xml:space="preserve">    _str, IF( AND( ISLOGICAL(replace_na), replace_na), "", replace_na),</v>
      </c>
    </row>
    <row r="165" spans="3:3" x14ac:dyDescent="0.3">
      <c r="C165" s="52" t="str">
        <f ca="1"/>
        <v xml:space="preserve">    _ttlC, REDUCE(_ttl1, _ttl2, LAMBDA(_acc,_val, IF( ISNA( MATCH(_val, _ttl1, 0)), HSTACK(_acc, _val), _acc))),</v>
      </c>
    </row>
    <row r="166" spans="3:3" x14ac:dyDescent="0.3">
      <c r="C166" s="52" t="str">
        <f ca="1"/>
        <v xml:space="preserve">    _idx, DROP(</v>
      </c>
    </row>
    <row r="167" spans="3:3" x14ac:dyDescent="0.3">
      <c r="C167" s="52" t="str">
        <f ca="1"/>
        <v xml:space="preserve">      REDUCE(0, _ttlC, LAMBDA(_acc,_val, HSTACK(_acc, IFNA(MATCH(_val, _ttl2, 0), 0)))),</v>
      </c>
    </row>
    <row r="168" spans="3:3" x14ac:dyDescent="0.3">
      <c r="C168" s="52" t="str">
        <f ca="1"/>
        <v xml:space="preserve">    , 1),</v>
      </c>
    </row>
    <row r="169" spans="3:3" x14ac:dyDescent="0.3">
      <c r="C169" s="52" t="str">
        <f ca="1"/>
        <v xml:space="preserve">    _arr, DROP(</v>
      </c>
    </row>
    <row r="170" spans="3:3" x14ac:dyDescent="0.3">
      <c r="C170" s="52" t="str">
        <f ca="1"/>
        <v xml:space="preserve">      REDUCE(0, _idx, LAMBDA(_acc,_val, HSTACK(_acc, IF(_val &gt; 0, CHOOSECOLS(_inp2, _val), "¦")))),</v>
      </c>
    </row>
    <row r="171" spans="3:3" x14ac:dyDescent="0.3">
      <c r="C171" s="52" t="str">
        <f ca="1"/>
        <v xml:space="preserve">    , 1),</v>
      </c>
    </row>
    <row r="172" spans="3:3" x14ac:dyDescent="0.3">
      <c r="C172" s="52" t="str">
        <f ca="1"/>
        <v xml:space="preserve">    _new, IF(_arr = "¦", NA(), _arr),</v>
      </c>
    </row>
    <row r="173" spans="3:3" x14ac:dyDescent="0.3">
      <c r="C173" s="52" t="str">
        <f ca="1"/>
        <v xml:space="preserve">    _calc, VSTACK(_inp1, _new),</v>
      </c>
    </row>
    <row r="174" spans="3:3" x14ac:dyDescent="0.3">
      <c r="C174" s="52" t="str">
        <f ca="1"/>
        <v xml:space="preserve">    _out, IF(_inc, VSTACK(_ttlC, _calc), _calc),</v>
      </c>
    </row>
    <row r="175" spans="3:3" x14ac:dyDescent="0.3">
      <c r="C175" s="52" t="str">
        <f ca="1"/>
        <v xml:space="preserve">    _rtn, IF(_rep,</v>
      </c>
    </row>
    <row r="176" spans="3:3" x14ac:dyDescent="0.3">
      <c r="C176" s="52" t="str">
        <f ca="1"/>
        <v xml:space="preserve">      IF(ISNA(_out), _str, _out),</v>
      </c>
    </row>
    <row r="177" spans="2:20" x14ac:dyDescent="0.3">
      <c r="C177" s="52" t="str">
        <f ca="1"/>
        <v xml:space="preserve">      _out</v>
      </c>
    </row>
    <row r="178" spans="2:20" x14ac:dyDescent="0.3">
      <c r="C178" s="52" t="str">
        <f ca="1"/>
        <v xml:space="preserve">    ),</v>
      </c>
    </row>
    <row r="179" spans="2:20" x14ac:dyDescent="0.3">
      <c r="C179" s="52" t="str">
        <f ca="1"/>
        <v xml:space="preserve">    _rtn</v>
      </c>
    </row>
    <row r="180" spans="2:20" x14ac:dyDescent="0.3">
      <c r="C180" s="52" t="str">
        <f ca="1"/>
        <v xml:space="preserve">  )</v>
      </c>
    </row>
    <row r="181" spans="2:20" x14ac:dyDescent="0.3">
      <c r="C181" s="52" t="str">
        <f ca="1"/>
        <v>)($C$12:$D$16, $F$12:$G$16, $C$11:$D$11, $F$11:$G$11, I145, I146)</v>
      </c>
    </row>
    <row r="184" spans="2:20" x14ac:dyDescent="0.3">
      <c r="B184" s="28" t="s">
        <v>1027</v>
      </c>
      <c r="C184" s="27"/>
      <c r="D184" s="27"/>
      <c r="E184" s="27"/>
      <c r="F184" s="27"/>
      <c r="G184" s="27"/>
      <c r="H184" s="27"/>
      <c r="I184" s="27"/>
      <c r="J184" s="27"/>
      <c r="K184" s="27"/>
      <c r="L184" s="27"/>
      <c r="M184" s="27"/>
      <c r="N184" s="27"/>
      <c r="O184" s="27"/>
      <c r="P184" s="27"/>
      <c r="Q184" s="27"/>
      <c r="R184" s="27"/>
      <c r="S184" s="27"/>
      <c r="T184" s="27"/>
    </row>
    <row r="186" spans="2:20" x14ac:dyDescent="0.3">
      <c r="C186" s="69" t="s">
        <v>374</v>
      </c>
    </row>
    <row r="187" spans="2:20" x14ac:dyDescent="0.3">
      <c r="C187" t="s">
        <v>1028</v>
      </c>
    </row>
    <row r="188" spans="2:20" x14ac:dyDescent="0.3">
      <c r="C188" s="54" t="s">
        <v>1029</v>
      </c>
    </row>
    <row r="190" spans="2:20" x14ac:dyDescent="0.3">
      <c r="B190" s="74" t="s">
        <v>1030</v>
      </c>
      <c r="C190" s="13" t="s">
        <v>1031</v>
      </c>
    </row>
    <row r="191" spans="2:20" x14ac:dyDescent="0.3">
      <c r="C191" s="117" t="s">
        <v>1032</v>
      </c>
    </row>
    <row r="192" spans="2:20" x14ac:dyDescent="0.3">
      <c r="C192" s="114" t="str" cm="1">
        <f t="array" ref="C192:D192" xml:space="preserve"> _xlfn.LET(
  _xlpm._inp1, $C$12:$D$16,
  _xlpm._inp2, $F$12:$G$16,
  _xlpm._ttl1, $C$11:$D$11,
  _xlpm._ttl2, $F$11:$G$11,
  _xlpm._stk, I192,
  _xlpm._cc1, COLUMNS(_xlpm._ttl1),
  _xlpm._cc2, COLUMNS(_xlpm._ttl2),
  _xlpm._ttlC, IF(_xlpm._stk,
    _xlfn.DROP(
      _xlfn.REDUCE("", _xlfn.SEQUENCE(1, MAX(_xlpm._cc1, _xlpm._cc2)), _xlfn.LAMBDA(_xlpm._acc,_xlpm._val, _xlfn.HSTACK(_xlpm._acc, IF(_xlpm._val &lt;= _xlpm._cc1, INDEX(_xlpm._ttl1, , _xlpm._val), INDEX(_xlpm._ttl2, , _xlpm._val))))),
    , 1),
    _xlfn.HSTACK(_xlpm._ttl1, _xlpm._ttl2)
  ),
  _xlpm._ttlC
)</f>
        <v>Alpha</v>
      </c>
      <c r="D192" s="115" t="str">
        <v>Num</v>
      </c>
      <c r="E192" s="115"/>
      <c r="F192" s="115"/>
      <c r="H192" s="24" t="s">
        <v>1033</v>
      </c>
      <c r="I192" s="26">
        <v>1</v>
      </c>
    </row>
    <row r="193" spans="3:7" x14ac:dyDescent="0.3">
      <c r="C193" s="117" t="s">
        <v>1034</v>
      </c>
    </row>
    <row r="194" spans="3:7" x14ac:dyDescent="0.3">
      <c r="C194" s="114" t="str" cm="1">
        <f t="array" ref="C194:E194" xml:space="preserve"> _xlfn.LET(
  _xlpm._inp1, $C$12:$D$16,
  _xlpm._inp2, $I$12:$K$16,
  _xlpm._ttl1, $C$11:$D$11,
  _xlpm._ttl2, $I$11:$K$11,
  _xlpm._stk, I192,
  _xlpm._cc1, COLUMNS(_xlpm._ttl1),
  _xlpm._cc2, COLUMNS(_xlpm._ttl2),
  _xlpm._ttlC, IF(_xlpm._stk,
    _xlfn.DROP(
      _xlfn.REDUCE("", _xlfn.SEQUENCE(1, MAX(_xlpm._cc1, _xlpm._cc2)), _xlfn.LAMBDA(_xlpm._acc,_xlpm._val, _xlfn.HSTACK(_xlpm._acc, IF(_xlpm._val &lt;= _xlpm._cc1, INDEX(_xlpm._ttl1, , _xlpm._val), INDEX(_xlpm._ttl2, , _xlpm._val))))),
    , 1),
    _xlfn.HSTACK(_xlpm._ttl1, _xlpm._ttl2)
  ),
  _xlpm._ttlC
)</f>
        <v>Alpha</v>
      </c>
      <c r="D194" s="115" t="str">
        <v>Num</v>
      </c>
      <c r="E194" s="115" t="str">
        <v>Other</v>
      </c>
      <c r="F194" s="115"/>
      <c r="G194" s="115"/>
    </row>
    <row r="195" spans="3:7" x14ac:dyDescent="0.3">
      <c r="C195" s="52" t="str" cm="1">
        <f t="array" aca="1" ref="C195:C210" ca="1" xml:space="preserve"> _xlfn.TEXTSPLIT( _xlfn.FORMULATEXT(C194), , CHAR(10))</f>
        <v>= LET(</v>
      </c>
    </row>
    <row r="196" spans="3:7" x14ac:dyDescent="0.3">
      <c r="C196" s="52" t="str">
        <f ca="1"/>
        <v xml:space="preserve">  _inp1, $C$12:$D$16,</v>
      </c>
    </row>
    <row r="197" spans="3:7" x14ac:dyDescent="0.3">
      <c r="C197" s="52" t="str">
        <f ca="1"/>
        <v xml:space="preserve">  _inp2, $I$12:$K$16,</v>
      </c>
    </row>
    <row r="198" spans="3:7" x14ac:dyDescent="0.3">
      <c r="C198" s="52" t="str">
        <f ca="1"/>
        <v xml:space="preserve">  _ttl1, $C$11:$D$11,</v>
      </c>
    </row>
    <row r="199" spans="3:7" x14ac:dyDescent="0.3">
      <c r="C199" s="52" t="str">
        <f ca="1"/>
        <v xml:space="preserve">  _ttl2, $I$11:$K$11,</v>
      </c>
    </row>
    <row r="200" spans="3:7" x14ac:dyDescent="0.3">
      <c r="C200" s="52" t="str">
        <f ca="1"/>
        <v xml:space="preserve">  _stk, I192,</v>
      </c>
    </row>
    <row r="201" spans="3:7" x14ac:dyDescent="0.3">
      <c r="C201" s="52" t="str">
        <f ca="1"/>
        <v xml:space="preserve">  _cc1, COLUMNS(_ttl1),</v>
      </c>
    </row>
    <row r="202" spans="3:7" x14ac:dyDescent="0.3">
      <c r="C202" s="52" t="str">
        <f ca="1"/>
        <v xml:space="preserve">  _cc2, COLUMNS(_ttl2),</v>
      </c>
    </row>
    <row r="203" spans="3:7" x14ac:dyDescent="0.3">
      <c r="C203" s="52" t="str">
        <f ca="1"/>
        <v xml:space="preserve">  _ttlC, IF(_stk,</v>
      </c>
    </row>
    <row r="204" spans="3:7" x14ac:dyDescent="0.3">
      <c r="C204" s="52" t="str">
        <f ca="1"/>
        <v xml:space="preserve">    DROP(</v>
      </c>
    </row>
    <row r="205" spans="3:7" x14ac:dyDescent="0.3">
      <c r="C205" s="52" t="str">
        <f ca="1"/>
        <v xml:space="preserve">      REDUCE("", SEQUENCE(1, MAX(_cc1, _cc2)), LAMBDA(_acc,_val, HSTACK(_acc, IF(_val &lt;= _cc1, INDEX(_ttl1, , _val), INDEX(_ttl2, , _val))))),</v>
      </c>
    </row>
    <row r="206" spans="3:7" x14ac:dyDescent="0.3">
      <c r="C206" s="52" t="str">
        <f ca="1"/>
        <v xml:space="preserve">    , 1),</v>
      </c>
    </row>
    <row r="207" spans="3:7" x14ac:dyDescent="0.3">
      <c r="C207" s="52" t="str">
        <f ca="1"/>
        <v xml:space="preserve">    HSTACK(_ttl1, _ttl2)</v>
      </c>
    </row>
    <row r="208" spans="3:7" x14ac:dyDescent="0.3">
      <c r="C208" s="52" t="str">
        <f ca="1"/>
        <v xml:space="preserve">  ),</v>
      </c>
    </row>
    <row r="209" spans="2:9" x14ac:dyDescent="0.3">
      <c r="C209" s="52" t="str">
        <f ca="1"/>
        <v xml:space="preserve">  _ttlC</v>
      </c>
    </row>
    <row r="210" spans="2:9" x14ac:dyDescent="0.3">
      <c r="C210" s="52" t="str">
        <f ca="1"/>
        <v>)</v>
      </c>
    </row>
    <row r="213" spans="2:9" x14ac:dyDescent="0.3">
      <c r="B213" s="74" t="s">
        <v>1035</v>
      </c>
      <c r="C213" s="13" t="s">
        <v>1036</v>
      </c>
    </row>
    <row r="214" spans="2:9" x14ac:dyDescent="0.3">
      <c r="C214" s="117" t="s">
        <v>1032</v>
      </c>
    </row>
    <row r="215" spans="2:9" x14ac:dyDescent="0.3">
      <c r="C215" s="114" t="str" cm="1">
        <f t="array" ref="C215:D225" xml:space="preserve"> _xlfn.LET(
  _xlpm._inp1, $C$12:$D$16,
  _xlpm._inp2, $F$12:$G$16,
  _xlpm._ttl1, $C$11:$D$11,
  _xlpm._ttl2, $F$11:$G$11,
  _xlpm._stk, I215,
  _xlpm._inc, I216,
  _xlpm._cc1, COLUMNS(_xlpm._ttl1),
  _xlpm._cc2, COLUMNS(_xlpm._ttl2),
  _xlpm._ttlC, IF(_xlpm._stk,
    _xlfn.DROP(
      _xlfn.REDUCE("", _xlfn.SEQUENCE(1, MAX(_xlpm._cc1, _xlpm._cc2)), _xlfn.LAMBDA(_xlpm._acc,_xlpm._val, _xlfn.HSTACK(_xlpm._acc, IF(_xlpm._val &lt;= _xlpm._cc1, INDEX(_xlpm._ttl1, , _xlpm._val), INDEX(_xlpm._ttl2, , _xlpm._val))))),
    , 1),
    _xlfn.HSTACK(_xlpm._ttl1, _xlpm._ttl2)
  ),
  _xlpm._arr, IF(_xlpm._stk,
    _xlpm._inp2,
    _xlfn.HSTACK( _xlfn.EXPAND("¦", 1, _xlpm._cc1, "¦"), _xlpm._inp2)
  ),
  _xlpm._new, IF(_xlpm._arr = "¦", NA(), _xlpm._arr),
  _xlpm._calc, _xlfn.VSTACK(_xlpm._inp1, _xlpm._new),
  _xlpm._out, IF(_xlpm._inc, _xlfn.VSTACK(_xlpm._ttlC, _xlpm._calc), _xlpm._calc),
  _xlpm._out
)</f>
        <v>Alpha</v>
      </c>
      <c r="D215" s="116" t="str">
        <v>Num</v>
      </c>
      <c r="E215" s="116"/>
      <c r="F215" s="116"/>
      <c r="H215" s="24" t="s">
        <v>1033</v>
      </c>
      <c r="I215" s="26">
        <v>1</v>
      </c>
    </row>
    <row r="216" spans="2:9" x14ac:dyDescent="0.3">
      <c r="C216" s="116" t="str">
        <v>AAA</v>
      </c>
      <c r="D216" s="116">
        <v>111</v>
      </c>
      <c r="E216" s="116"/>
      <c r="F216" s="116"/>
      <c r="H216" s="24" t="s">
        <v>1024</v>
      </c>
      <c r="I216" s="26">
        <v>1</v>
      </c>
    </row>
    <row r="217" spans="2:9" x14ac:dyDescent="0.3">
      <c r="C217" s="116" t="str">
        <v>BBB</v>
      </c>
      <c r="D217" s="116">
        <v>222</v>
      </c>
      <c r="E217" s="116"/>
      <c r="F217" s="116"/>
    </row>
    <row r="218" spans="2:9" x14ac:dyDescent="0.3">
      <c r="C218" s="116" t="str">
        <v>CCC</v>
      </c>
      <c r="D218" s="116">
        <v>333</v>
      </c>
      <c r="E218" s="116"/>
      <c r="F218" s="116"/>
    </row>
    <row r="219" spans="2:9" x14ac:dyDescent="0.3">
      <c r="C219" s="116" t="str">
        <v>DDD</v>
      </c>
      <c r="D219" s="116">
        <v>444</v>
      </c>
      <c r="E219" s="116"/>
      <c r="F219" s="116"/>
    </row>
    <row r="220" spans="2:9" x14ac:dyDescent="0.3">
      <c r="C220" s="116" t="str">
        <v>EEE</v>
      </c>
      <c r="D220" s="116">
        <v>555</v>
      </c>
      <c r="E220" s="116"/>
      <c r="F220" s="116"/>
    </row>
    <row r="221" spans="2:9" x14ac:dyDescent="0.3">
      <c r="C221" s="116" t="str">
        <v>FFF</v>
      </c>
      <c r="D221" s="116">
        <v>666</v>
      </c>
      <c r="E221" s="116"/>
      <c r="F221" s="116"/>
    </row>
    <row r="222" spans="2:9" x14ac:dyDescent="0.3">
      <c r="C222" s="116" t="str">
        <v>GGG</v>
      </c>
      <c r="D222" s="116">
        <v>777</v>
      </c>
      <c r="E222" s="116"/>
      <c r="F222" s="116"/>
    </row>
    <row r="223" spans="2:9" x14ac:dyDescent="0.3">
      <c r="C223" s="116" t="str">
        <v>HHH</v>
      </c>
      <c r="D223" s="116">
        <v>888</v>
      </c>
      <c r="E223" s="116"/>
      <c r="F223" s="116"/>
    </row>
    <row r="224" spans="2:9" x14ac:dyDescent="0.3">
      <c r="C224" s="116" t="str">
        <v>III</v>
      </c>
      <c r="D224" s="116">
        <v>999</v>
      </c>
      <c r="E224" s="116"/>
      <c r="F224" s="116"/>
    </row>
    <row r="225" spans="3:10" x14ac:dyDescent="0.3">
      <c r="C225" s="116" t="str">
        <v>JJJ</v>
      </c>
      <c r="D225" s="116">
        <v>1000</v>
      </c>
      <c r="E225" s="116"/>
      <c r="F225" s="116"/>
    </row>
    <row r="227" spans="3:10" x14ac:dyDescent="0.3">
      <c r="C227" s="117" t="s">
        <v>1034</v>
      </c>
    </row>
    <row r="228" spans="3:10" x14ac:dyDescent="0.3">
      <c r="C228" s="114" t="str" cm="1">
        <f t="array" ref="C228:E238" xml:space="preserve"> _xlfn.LET(
  _xlpm._inp1, $C$12:$D$16,
  _xlpm._inp2, $I$12:$K$16,
  _xlpm._ttl1, $C$11:$D$11,
  _xlpm._ttl2, $I$11:$K$11,
  _xlpm._stk, J228,
  _xlpm._inc, J229,
  _xlpm._cc1, COLUMNS(_xlpm._ttl1),
  _xlpm._cc2, COLUMNS(_xlpm._ttl2),
  _xlpm._ttlC, IF(_xlpm._stk,
    _xlfn.DROP(
      _xlfn.REDUCE("", _xlfn.SEQUENCE(1, MAX(_xlpm._cc1, _xlpm._cc2)), _xlfn.LAMBDA(_xlpm._acc,_xlpm._val, _xlfn.HSTACK(_xlpm._acc, IF(_xlpm._val &lt;= _xlpm._cc1, INDEX(_xlpm._ttl1, , _xlpm._val), INDEX(_xlpm._ttl2, , _xlpm._val))))),
    , 1),
    _xlfn.HSTACK(_xlpm._ttl1, _xlpm._ttl2)
  ),
  _xlpm._arr, IF(_xlpm._stk,
    _xlpm._inp2,
    _xlfn.HSTACK( _xlfn.EXPAND("¦", 1, _xlpm._cc1, "¦"), _xlpm._inp2)
  ),
  _xlpm._new, IF(_xlpm._arr = "¦", NA(), _xlpm._arr),
  _xlpm._calc, _xlfn.VSTACK(_xlpm._inp1, _xlpm._new),
  _xlpm._out, IF(_xlpm._inc, _xlfn.VSTACK(_xlpm._ttlC, _xlpm._calc), _xlpm._calc),
  _xlpm._out
)</f>
        <v>Alpha</v>
      </c>
      <c r="D228" s="116" t="str">
        <v>Num</v>
      </c>
      <c r="E228" s="116" t="str">
        <v>Other</v>
      </c>
      <c r="F228" s="116"/>
      <c r="G228" s="116"/>
      <c r="I228" s="24" t="s">
        <v>1033</v>
      </c>
      <c r="J228" s="26">
        <v>1</v>
      </c>
    </row>
    <row r="229" spans="3:10" x14ac:dyDescent="0.3">
      <c r="C229" s="116" t="str">
        <v>AAA</v>
      </c>
      <c r="D229" s="116">
        <v>111</v>
      </c>
      <c r="E229" s="116" t="e">
        <v>#N/A</v>
      </c>
      <c r="F229" s="116"/>
      <c r="G229" s="116"/>
      <c r="I229" s="24" t="s">
        <v>1024</v>
      </c>
      <c r="J229" s="26">
        <v>1</v>
      </c>
    </row>
    <row r="230" spans="3:10" x14ac:dyDescent="0.3">
      <c r="C230" s="116" t="str">
        <v>BBB</v>
      </c>
      <c r="D230" s="116">
        <v>222</v>
      </c>
      <c r="E230" s="116" t="e">
        <v>#N/A</v>
      </c>
      <c r="F230" s="116"/>
      <c r="G230" s="116"/>
    </row>
    <row r="231" spans="3:10" x14ac:dyDescent="0.3">
      <c r="C231" s="116" t="str">
        <v>CCC</v>
      </c>
      <c r="D231" s="116">
        <v>333</v>
      </c>
      <c r="E231" s="116" t="e">
        <v>#N/A</v>
      </c>
      <c r="F231" s="116"/>
      <c r="G231" s="116"/>
    </row>
    <row r="232" spans="3:10" x14ac:dyDescent="0.3">
      <c r="C232" s="116" t="str">
        <v>DDD</v>
      </c>
      <c r="D232" s="116">
        <v>444</v>
      </c>
      <c r="E232" s="116" t="e">
        <v>#N/A</v>
      </c>
      <c r="F232" s="116"/>
      <c r="G232" s="116"/>
    </row>
    <row r="233" spans="3:10" x14ac:dyDescent="0.3">
      <c r="C233" s="116" t="str">
        <v>EEE</v>
      </c>
      <c r="D233" s="116">
        <v>555</v>
      </c>
      <c r="E233" s="116" t="e">
        <v>#N/A</v>
      </c>
      <c r="F233" s="116"/>
      <c r="G233" s="116"/>
    </row>
    <row r="234" spans="3:10" x14ac:dyDescent="0.3">
      <c r="C234" s="116" t="str">
        <v>KKK</v>
      </c>
      <c r="D234" s="116">
        <v>1000</v>
      </c>
      <c r="E234" s="116">
        <v>10000</v>
      </c>
      <c r="F234" s="116"/>
      <c r="G234" s="116"/>
    </row>
    <row r="235" spans="3:10" x14ac:dyDescent="0.3">
      <c r="C235" s="116" t="str">
        <v>LLL</v>
      </c>
      <c r="D235" s="116">
        <v>2000</v>
      </c>
      <c r="E235" s="116">
        <v>20000</v>
      </c>
      <c r="F235" s="116"/>
      <c r="G235" s="116"/>
    </row>
    <row r="236" spans="3:10" x14ac:dyDescent="0.3">
      <c r="C236" s="116" t="str">
        <v>MMM</v>
      </c>
      <c r="D236" s="116">
        <v>3000</v>
      </c>
      <c r="E236" s="116">
        <v>30000</v>
      </c>
      <c r="F236" s="116"/>
      <c r="G236" s="116"/>
    </row>
    <row r="237" spans="3:10" x14ac:dyDescent="0.3">
      <c r="C237" s="116" t="str">
        <v>NNN</v>
      </c>
      <c r="D237" s="116">
        <v>4000</v>
      </c>
      <c r="E237" s="116">
        <v>40000</v>
      </c>
      <c r="F237" s="116"/>
      <c r="G237" s="116"/>
    </row>
    <row r="238" spans="3:10" x14ac:dyDescent="0.3">
      <c r="C238" s="116" t="str">
        <v>OOO</v>
      </c>
      <c r="D238" s="116">
        <v>5000</v>
      </c>
      <c r="E238" s="116">
        <v>50000</v>
      </c>
      <c r="F238" s="116"/>
      <c r="G238" s="116"/>
    </row>
    <row r="239" spans="3:10" x14ac:dyDescent="0.3">
      <c r="C239" s="52" t="str" cm="1">
        <f t="array" aca="1" ref="C239:C262" ca="1" xml:space="preserve"> _xlfn.TEXTSPLIT( _xlfn.FORMULATEXT(C228), , CHAR(10))</f>
        <v>= LET(</v>
      </c>
    </row>
    <row r="240" spans="3:10" x14ac:dyDescent="0.3">
      <c r="C240" s="52" t="str">
        <f ca="1"/>
        <v xml:space="preserve">  _inp1, $C$12:$D$16,</v>
      </c>
    </row>
    <row r="241" spans="3:3" x14ac:dyDescent="0.3">
      <c r="C241" s="52" t="str">
        <f ca="1"/>
        <v xml:space="preserve">  _inp2, $I$12:$K$16,</v>
      </c>
    </row>
    <row r="242" spans="3:3" x14ac:dyDescent="0.3">
      <c r="C242" s="52" t="str">
        <f ca="1"/>
        <v xml:space="preserve">  _ttl1, $C$11:$D$11,</v>
      </c>
    </row>
    <row r="243" spans="3:3" x14ac:dyDescent="0.3">
      <c r="C243" s="52" t="str">
        <f ca="1"/>
        <v xml:space="preserve">  _ttl2, $I$11:$K$11,</v>
      </c>
    </row>
    <row r="244" spans="3:3" x14ac:dyDescent="0.3">
      <c r="C244" s="52" t="str">
        <f ca="1"/>
        <v xml:space="preserve">  _stk, J228,</v>
      </c>
    </row>
    <row r="245" spans="3:3" x14ac:dyDescent="0.3">
      <c r="C245" s="52" t="str">
        <f ca="1"/>
        <v xml:space="preserve">  _inc, J229,</v>
      </c>
    </row>
    <row r="246" spans="3:3" x14ac:dyDescent="0.3">
      <c r="C246" s="52" t="str">
        <f ca="1"/>
        <v xml:space="preserve">  _cc1, COLUMNS(_ttl1),</v>
      </c>
    </row>
    <row r="247" spans="3:3" x14ac:dyDescent="0.3">
      <c r="C247" s="52" t="str">
        <f ca="1"/>
        <v xml:space="preserve">  _cc2, COLUMNS(_ttl2),</v>
      </c>
    </row>
    <row r="248" spans="3:3" x14ac:dyDescent="0.3">
      <c r="C248" s="52" t="str">
        <f ca="1"/>
        <v xml:space="preserve">  _ttlC, IF(_stk,</v>
      </c>
    </row>
    <row r="249" spans="3:3" x14ac:dyDescent="0.3">
      <c r="C249" s="52" t="str">
        <f ca="1"/>
        <v xml:space="preserve">    DROP(</v>
      </c>
    </row>
    <row r="250" spans="3:3" x14ac:dyDescent="0.3">
      <c r="C250" s="52" t="str">
        <f ca="1"/>
        <v xml:space="preserve">      REDUCE("", SEQUENCE(1, MAX(_cc1, _cc2)), LAMBDA(_acc,_val, HSTACK(_acc, IF(_val &lt;= _cc1, INDEX(_ttl1, , _val), INDEX(_ttl2, , _val))))),</v>
      </c>
    </row>
    <row r="251" spans="3:3" x14ac:dyDescent="0.3">
      <c r="C251" s="52" t="str">
        <f ca="1"/>
        <v xml:space="preserve">    , 1),</v>
      </c>
    </row>
    <row r="252" spans="3:3" x14ac:dyDescent="0.3">
      <c r="C252" s="52" t="str">
        <f ca="1"/>
        <v xml:space="preserve">    HSTACK(_ttl1, _ttl2)</v>
      </c>
    </row>
    <row r="253" spans="3:3" x14ac:dyDescent="0.3">
      <c r="C253" s="52" t="str">
        <f ca="1"/>
        <v xml:space="preserve">  ),</v>
      </c>
    </row>
    <row r="254" spans="3:3" x14ac:dyDescent="0.3">
      <c r="C254" s="52" t="str">
        <f ca="1"/>
        <v xml:space="preserve">  _arr, IF(_stk,</v>
      </c>
    </row>
    <row r="255" spans="3:3" x14ac:dyDescent="0.3">
      <c r="C255" s="52" t="str">
        <f ca="1"/>
        <v xml:space="preserve">    _inp2,</v>
      </c>
    </row>
    <row r="256" spans="3:3" x14ac:dyDescent="0.3">
      <c r="C256" s="52" t="str">
        <f ca="1"/>
        <v xml:space="preserve">    HSTACK( EXPAND("¦", 1, _cc1, "¦"), _inp2)</v>
      </c>
    </row>
    <row r="257" spans="2:10" x14ac:dyDescent="0.3">
      <c r="C257" s="52" t="str">
        <f ca="1"/>
        <v xml:space="preserve">  ),</v>
      </c>
    </row>
    <row r="258" spans="2:10" x14ac:dyDescent="0.3">
      <c r="C258" s="52" t="str">
        <f ca="1"/>
        <v xml:space="preserve">  _new, IF(_arr = "¦", NA(), _arr),</v>
      </c>
    </row>
    <row r="259" spans="2:10" x14ac:dyDescent="0.3">
      <c r="C259" s="52" t="str">
        <f ca="1"/>
        <v xml:space="preserve">  _calc, VSTACK(_inp1, _new),</v>
      </c>
    </row>
    <row r="260" spans="2:10" x14ac:dyDescent="0.3">
      <c r="C260" s="52" t="str">
        <f ca="1"/>
        <v xml:space="preserve">  _out, IF(_inc, VSTACK(_ttlC, _calc), _calc),</v>
      </c>
    </row>
    <row r="261" spans="2:10" x14ac:dyDescent="0.3">
      <c r="C261" s="52" t="str">
        <f ca="1"/>
        <v xml:space="preserve">  _out</v>
      </c>
    </row>
    <row r="262" spans="2:10" x14ac:dyDescent="0.3">
      <c r="C262" s="52" t="str">
        <f ca="1"/>
        <v>)</v>
      </c>
    </row>
    <row r="265" spans="2:10" x14ac:dyDescent="0.3">
      <c r="B265" s="74" t="s">
        <v>1037</v>
      </c>
      <c r="C265" s="13" t="s">
        <v>1038</v>
      </c>
    </row>
    <row r="266" spans="2:10" x14ac:dyDescent="0.3">
      <c r="C266" s="117" t="s">
        <v>1032</v>
      </c>
    </row>
    <row r="267" spans="2:10" x14ac:dyDescent="0.3">
      <c r="C267" s="114" t="str" cm="1">
        <f t="array" ref="C267:F277" xml:space="preserve"> _xlfn.LAMBDA(_xlpm.first_array,_xlpm.second_array,_xlop.first_titles,_xlop.second_titles,_xlop.output_titles,_xlop.simple_stack,_xlop.replace_na,
  _xlfn.LET(
    _xlpm._inp1, _xlpm.first_array,
    _xlpm._inp2, _xlpm.second_array,
    _xlpm._cc1, COLUMNS(_xlpm._inp1),
    _xlpm._cc2, COLUMNS(_xlpm._inp2),
    _xlpm._ttl1, IF( _xlfn.ISOMITTED(_xlpm.first_titles),
      _xlfn.SEQUENCE(1, _xlpm._cc1, 1),
      _xlpm.first_titles),
    _xlpm._ttl2, IF( _xlfn.ISOMITTED(_xlpm.second_titles),
      _xlfn.SEQUENCE(1, _xlpm._cc2, _xlpm._cc1 + 1),
      _xlpm.second_titles),
    _xlpm._inc, _xlpm.output_titles,
    _xlpm._stk, IF( _xlfn.ISOMITTED(_xlpm.simple_stack), FALSE, _xlpm.simple_stack),
    _xlpm._rep, IF( _xlfn.ISOMITTED(_xlpm.replace_na),
      FALSE,
      IF( AND( ISLOGICAL(_xlpm.replace_na), _xlpm.replace_na = FALSE), FALSE, TRUE)),
    _xlpm._str, IF( AND( ISLOGICAL(_xlpm.replace_na), _xlpm.replace_na), "", _xlpm.replace_na),
    _xlpm._ttlC, IF(_xlpm._stk,
      _xlfn.DROP(
        _xlfn.REDUCE("", _xlfn.SEQUENCE(1, MAX(_xlpm._cc1, _xlpm._cc2)), _xlfn.LAMBDA(_xlpm._acc,_xlpm._val, _xlfn.HSTACK(_xlpm._acc, IF(_xlpm._val &lt;= _xlpm._cc1, INDEX(_xlpm._ttl1, , _xlpm._val), INDEX(_xlpm._ttl2, , _xlpm._val))))),
      , 1),
      _xlfn.REDUCE(_xlpm._ttl1, _xlpm._ttl2, _xlfn.LAMBDA(_xlpm._acc,_xlpm._val, IF( ISNA( MATCH(_xlpm._val, _xlpm._ttl1, 0)), _xlfn.HSTACK(_xlpm._acc, _xlpm._val), _xlpm._acc)))
    ),
    _xlpm._idx, _xlfn.DROP(
      _xlfn.REDUCE(0, _xlpm._ttlC, _xlfn.LAMBDA(_xlpm._acc,_xlpm._val, _xlfn.HSTACK(_xlpm._acc, _xlfn.IFNA(MATCH(_xlpm._val, _xlpm._ttl2, 0), 0)))),
    , 1),
    _xlpm._arr, IF(_xlpm._stk,
      _xlpm._inp2,
      _xlfn.DROP(
        _xlfn.REDUCE(0, _xlpm._idx, _xlfn.LAMBDA(_xlpm._acc,_xlpm._val, _xlfn.HSTACK(_xlpm._acc, IF(_xlpm._val &gt; 0, _xlfn.CHOOSECOLS(_xlpm._inp2, _xlpm._val), "¦")))),
      , 1)
    ),
    _xlpm._new, IF(_xlpm._arr = "¦", NA(), _xlpm._arr),
    _xlpm._calc, _xlfn.VSTACK(_xlpm._inp1, _xlpm._new),
    _xlpm._out, IF(_xlpm._inc, _xlfn.VSTACK(_xlpm._ttlC, _xlpm._calc), _xlpm._calc),
    _xlpm._rtn, IF(_xlpm._rep,
      IF(ISNA(_xlpm._out), _xlpm._str, _xlpm._out),
      _xlpm._out
    ),
    _xlpm._rtn
  )
)($C$12:$D$16, $F$12:$G$16, $C$11:$D$11, $F$11:$G$11, J267, J268, J269)</f>
        <v>Alpha</v>
      </c>
      <c r="D267" s="116" t="str">
        <v>Num</v>
      </c>
      <c r="E267" s="116" t="str">
        <v>Letters</v>
      </c>
      <c r="F267" s="116" t="str">
        <v>Numbers</v>
      </c>
      <c r="I267" s="24" t="s">
        <v>1024</v>
      </c>
      <c r="J267" s="26">
        <v>1</v>
      </c>
    </row>
    <row r="268" spans="2:10" x14ac:dyDescent="0.3">
      <c r="C268" s="116" t="str">
        <v>AAA</v>
      </c>
      <c r="D268" s="116">
        <v>111</v>
      </c>
      <c r="E268" s="116" t="e">
        <v>#N/A</v>
      </c>
      <c r="F268" s="116" t="e">
        <v>#N/A</v>
      </c>
      <c r="I268" s="24" t="s">
        <v>1033</v>
      </c>
      <c r="J268" s="26">
        <v>0</v>
      </c>
    </row>
    <row r="269" spans="2:10" x14ac:dyDescent="0.3">
      <c r="C269" s="116" t="str">
        <v>BBB</v>
      </c>
      <c r="D269" s="116">
        <v>222</v>
      </c>
      <c r="E269" s="116" t="e">
        <v>#N/A</v>
      </c>
      <c r="F269" s="116" t="e">
        <v>#N/A</v>
      </c>
      <c r="I269" s="24" t="s">
        <v>1018</v>
      </c>
      <c r="J269" s="25" t="b">
        <v>0</v>
      </c>
    </row>
    <row r="270" spans="2:10" x14ac:dyDescent="0.3">
      <c r="C270" s="116" t="str">
        <v>CCC</v>
      </c>
      <c r="D270" s="116">
        <v>333</v>
      </c>
      <c r="E270" s="116" t="e">
        <v>#N/A</v>
      </c>
      <c r="F270" s="116" t="e">
        <v>#N/A</v>
      </c>
    </row>
    <row r="271" spans="2:10" x14ac:dyDescent="0.3">
      <c r="C271" s="116" t="str">
        <v>DDD</v>
      </c>
      <c r="D271" s="116">
        <v>444</v>
      </c>
      <c r="E271" s="116" t="e">
        <v>#N/A</v>
      </c>
      <c r="F271" s="116" t="e">
        <v>#N/A</v>
      </c>
    </row>
    <row r="272" spans="2:10" x14ac:dyDescent="0.3">
      <c r="C272" s="116" t="str">
        <v>EEE</v>
      </c>
      <c r="D272" s="116">
        <v>555</v>
      </c>
      <c r="E272" s="116" t="e">
        <v>#N/A</v>
      </c>
      <c r="F272" s="116" t="e">
        <v>#N/A</v>
      </c>
    </row>
    <row r="273" spans="3:10" x14ac:dyDescent="0.3">
      <c r="C273" s="116" t="e">
        <v>#N/A</v>
      </c>
      <c r="D273" s="116" t="e">
        <v>#N/A</v>
      </c>
      <c r="E273" s="116" t="str">
        <v>FFF</v>
      </c>
      <c r="F273" s="116">
        <v>666</v>
      </c>
    </row>
    <row r="274" spans="3:10" x14ac:dyDescent="0.3">
      <c r="C274" s="116" t="e">
        <v>#N/A</v>
      </c>
      <c r="D274" s="116" t="e">
        <v>#N/A</v>
      </c>
      <c r="E274" s="116" t="str">
        <v>GGG</v>
      </c>
      <c r="F274" s="116">
        <v>777</v>
      </c>
    </row>
    <row r="275" spans="3:10" x14ac:dyDescent="0.3">
      <c r="C275" s="116" t="e">
        <v>#N/A</v>
      </c>
      <c r="D275" s="116" t="e">
        <v>#N/A</v>
      </c>
      <c r="E275" s="116" t="str">
        <v>HHH</v>
      </c>
      <c r="F275" s="116">
        <v>888</v>
      </c>
    </row>
    <row r="276" spans="3:10" x14ac:dyDescent="0.3">
      <c r="C276" s="116" t="e">
        <v>#N/A</v>
      </c>
      <c r="D276" s="116" t="e">
        <v>#N/A</v>
      </c>
      <c r="E276" s="116" t="str">
        <v>III</v>
      </c>
      <c r="F276" s="116">
        <v>999</v>
      </c>
    </row>
    <row r="277" spans="3:10" x14ac:dyDescent="0.3">
      <c r="C277" s="116" t="e">
        <v>#N/A</v>
      </c>
      <c r="D277" s="116" t="e">
        <v>#N/A</v>
      </c>
      <c r="E277" s="116" t="str">
        <v>JJJ</v>
      </c>
      <c r="F277" s="116">
        <v>1000</v>
      </c>
    </row>
    <row r="279" spans="3:10" x14ac:dyDescent="0.3">
      <c r="C279" s="117" t="s">
        <v>1034</v>
      </c>
    </row>
    <row r="280" spans="3:10" x14ac:dyDescent="0.3">
      <c r="C280" s="114" t="str" cm="1">
        <f t="array" ref="C280:G290" xml:space="preserve"> _xlfn.LAMBDA(_xlpm.first_array,_xlpm.second_array,_xlop.first_titles,_xlop.second_titles,_xlop.output_titles,_xlop.simple_stack,_xlop.replace_na,
  _xlfn.LET(
    _xlpm._inp1, _xlpm.first_array,
    _xlpm._inp2, _xlpm.second_array,
    _xlpm._cc1, COLUMNS(_xlpm._inp1),
    _xlpm._cc2, COLUMNS(_xlpm._inp2),
    _xlpm._ttl1, IF( _xlfn.ISOMITTED(_xlpm.first_titles),
      _xlfn.SEQUENCE(1, _xlpm._cc1, 1),
      _xlpm.first_titles),
    _xlpm._ttl2, IF( _xlfn.ISOMITTED(_xlpm.second_titles),
      _xlfn.SEQUENCE(1, _xlpm._cc2, _xlpm._cc1 + 1),
      _xlpm.second_titles),
    _xlpm._inc, _xlpm.output_titles,
    _xlpm._stk, IF( _xlfn.ISOMITTED(_xlpm.simple_stack), FALSE, _xlpm.simple_stack),
    _xlpm._rep, IF( _xlfn.ISOMITTED(_xlpm.replace_na),
      FALSE,
      IF( AND( ISLOGICAL(_xlpm.replace_na), _xlpm.replace_na = FALSE), FALSE, TRUE)),
    _xlpm._str, IF( AND( ISLOGICAL(_xlpm.replace_na), _xlpm.replace_na), "", _xlpm.replace_na),
    _xlpm._ttlC, IF(_xlpm._stk,
      _xlfn.DROP(
        _xlfn.REDUCE("", _xlfn.SEQUENCE(1, MAX(_xlpm._cc1, _xlpm._cc2)), _xlfn.LAMBDA(_xlpm._acc,_xlpm._val, _xlfn.HSTACK(_xlpm._acc, IF(_xlpm._val &lt;= _xlpm._cc1, INDEX(_xlpm._ttl1, , _xlpm._val), INDEX(_xlpm._ttl2, , _xlpm._val))))),
      , 1),
      _xlfn.REDUCE(_xlpm._ttl1, _xlpm._ttl2, _xlfn.LAMBDA(_xlpm._acc,_xlpm._val, IF( ISNA( MATCH(_xlpm._val, _xlpm._ttl1, 0)), _xlfn.HSTACK(_xlpm._acc, _xlpm._val), _xlpm._acc)))
    ),
    _xlpm._idx, _xlfn.DROP(
      _xlfn.REDUCE(0, _xlpm._ttlC, _xlfn.LAMBDA(_xlpm._acc,_xlpm._val, _xlfn.HSTACK(_xlpm._acc, _xlfn.IFNA(MATCH(_xlpm._val, _xlpm._ttl2, 0), 0)))),
    , 1),
    _xlpm._arr, IF(_xlpm._stk,
      _xlpm._inp2,
      _xlfn.DROP(
        _xlfn.REDUCE(0, _xlpm._idx, _xlfn.LAMBDA(_xlpm._acc,_xlpm._val, _xlfn.HSTACK(_xlpm._acc, IF(_xlpm._val &gt; 0, _xlfn.CHOOSECOLS(_xlpm._inp2, _xlpm._val), "¦")))),
      , 1)
    ),
    _xlpm._new, IF(_xlpm._arr = "¦", NA(), _xlpm._arr),
    _xlpm._calc, _xlfn.VSTACK(_xlpm._inp1, _xlpm._new),
    _xlpm._out, IF(_xlpm._inc, _xlfn.VSTACK(_xlpm._ttlC, _xlpm._calc), _xlpm._calc),
    _xlpm._rtn, IF(_xlpm._rep,
      IF(ISNA(_xlpm._out), _xlpm._str, _xlpm._out),
      _xlpm._out
    ),
    _xlpm._rtn
  )
)($C$12:$D$16, $I$12:$K$16, $C$11:$D$11, $I$11:$K$11, J280, J281, J282)</f>
        <v>Alpha</v>
      </c>
      <c r="D280" s="116" t="str">
        <v>Num</v>
      </c>
      <c r="E280" s="116" t="str">
        <v>Address</v>
      </c>
      <c r="F280" s="116" t="str">
        <v>Numbers</v>
      </c>
      <c r="G280" s="116" t="str">
        <v>Other</v>
      </c>
      <c r="I280" s="24" t="s">
        <v>1024</v>
      </c>
      <c r="J280" s="26">
        <v>1</v>
      </c>
    </row>
    <row r="281" spans="3:10" x14ac:dyDescent="0.3">
      <c r="C281" s="116" t="str">
        <v>AAA</v>
      </c>
      <c r="D281" s="116">
        <v>111</v>
      </c>
      <c r="E281" s="116" t="e">
        <v>#N/A</v>
      </c>
      <c r="F281" s="116" t="e">
        <v>#N/A</v>
      </c>
      <c r="G281" s="116" t="e">
        <v>#N/A</v>
      </c>
      <c r="I281" s="24" t="s">
        <v>1033</v>
      </c>
      <c r="J281" s="26">
        <v>0</v>
      </c>
    </row>
    <row r="282" spans="3:10" x14ac:dyDescent="0.3">
      <c r="C282" s="116" t="str">
        <v>BBB</v>
      </c>
      <c r="D282" s="116">
        <v>222</v>
      </c>
      <c r="E282" s="116" t="e">
        <v>#N/A</v>
      </c>
      <c r="F282" s="116" t="e">
        <v>#N/A</v>
      </c>
      <c r="G282" s="116" t="e">
        <v>#N/A</v>
      </c>
      <c r="I282" s="24" t="s">
        <v>1018</v>
      </c>
      <c r="J282" s="25" t="b">
        <v>0</v>
      </c>
    </row>
    <row r="283" spans="3:10" x14ac:dyDescent="0.3">
      <c r="C283" s="116" t="str">
        <v>CCC</v>
      </c>
      <c r="D283" s="116">
        <v>333</v>
      </c>
      <c r="E283" s="116" t="e">
        <v>#N/A</v>
      </c>
      <c r="F283" s="116" t="e">
        <v>#N/A</v>
      </c>
      <c r="G283" s="116" t="e">
        <v>#N/A</v>
      </c>
    </row>
    <row r="284" spans="3:10" x14ac:dyDescent="0.3">
      <c r="C284" s="116" t="str">
        <v>DDD</v>
      </c>
      <c r="D284" s="116">
        <v>444</v>
      </c>
      <c r="E284" s="116" t="e">
        <v>#N/A</v>
      </c>
      <c r="F284" s="116" t="e">
        <v>#N/A</v>
      </c>
      <c r="G284" s="116" t="e">
        <v>#N/A</v>
      </c>
    </row>
    <row r="285" spans="3:10" x14ac:dyDescent="0.3">
      <c r="C285" s="116" t="str">
        <v>EEE</v>
      </c>
      <c r="D285" s="116">
        <v>555</v>
      </c>
      <c r="E285" s="116" t="e">
        <v>#N/A</v>
      </c>
      <c r="F285" s="116" t="e">
        <v>#N/A</v>
      </c>
      <c r="G285" s="116" t="e">
        <v>#N/A</v>
      </c>
    </row>
    <row r="286" spans="3:10" x14ac:dyDescent="0.3">
      <c r="C286" s="116" t="e">
        <v>#N/A</v>
      </c>
      <c r="D286" s="116" t="e">
        <v>#N/A</v>
      </c>
      <c r="E286" s="116" t="str">
        <v>KKK</v>
      </c>
      <c r="F286" s="116">
        <v>1000</v>
      </c>
      <c r="G286" s="116">
        <v>10000</v>
      </c>
    </row>
    <row r="287" spans="3:10" x14ac:dyDescent="0.3">
      <c r="C287" s="116" t="e">
        <v>#N/A</v>
      </c>
      <c r="D287" s="116" t="e">
        <v>#N/A</v>
      </c>
      <c r="E287" s="116" t="str">
        <v>LLL</v>
      </c>
      <c r="F287" s="116">
        <v>2000</v>
      </c>
      <c r="G287" s="116">
        <v>20000</v>
      </c>
    </row>
    <row r="288" spans="3:10" x14ac:dyDescent="0.3">
      <c r="C288" s="116" t="e">
        <v>#N/A</v>
      </c>
      <c r="D288" s="116" t="e">
        <v>#N/A</v>
      </c>
      <c r="E288" s="116" t="str">
        <v>MMM</v>
      </c>
      <c r="F288" s="116">
        <v>3000</v>
      </c>
      <c r="G288" s="116">
        <v>30000</v>
      </c>
    </row>
    <row r="289" spans="3:7" x14ac:dyDescent="0.3">
      <c r="C289" s="116" t="e">
        <v>#N/A</v>
      </c>
      <c r="D289" s="116" t="e">
        <v>#N/A</v>
      </c>
      <c r="E289" s="116" t="str">
        <v>NNN</v>
      </c>
      <c r="F289" s="116">
        <v>4000</v>
      </c>
      <c r="G289" s="116">
        <v>40000</v>
      </c>
    </row>
    <row r="290" spans="3:7" x14ac:dyDescent="0.3">
      <c r="C290" s="116" t="e">
        <v>#N/A</v>
      </c>
      <c r="D290" s="116" t="e">
        <v>#N/A</v>
      </c>
      <c r="E290" s="116" t="str">
        <v>OOO</v>
      </c>
      <c r="F290" s="116">
        <v>5000</v>
      </c>
      <c r="G290" s="116">
        <v>50000</v>
      </c>
    </row>
    <row r="291" spans="3:7" x14ac:dyDescent="0.3">
      <c r="C291" s="52" t="str" cm="1">
        <f t="array" aca="1" ref="C291:C333" ca="1" xml:space="preserve"> _xlfn.TEXTSPLIT( _xlfn.FORMULATEXT(C280), , CHAR(10))</f>
        <v>= LAMBDA(first_array,second_array,[first_titles],[second_titles],[output_titles],[simple_stack],[replace_na],</v>
      </c>
    </row>
    <row r="292" spans="3:7" x14ac:dyDescent="0.3">
      <c r="C292" s="52" t="str">
        <f ca="1"/>
        <v xml:space="preserve">  LET(</v>
      </c>
    </row>
    <row r="293" spans="3:7" x14ac:dyDescent="0.3">
      <c r="C293" s="52" t="str">
        <f ca="1"/>
        <v xml:space="preserve">    _inp1, first_array,</v>
      </c>
    </row>
    <row r="294" spans="3:7" x14ac:dyDescent="0.3">
      <c r="C294" s="52" t="str">
        <f ca="1"/>
        <v xml:space="preserve">    _inp2, second_array,</v>
      </c>
    </row>
    <row r="295" spans="3:7" x14ac:dyDescent="0.3">
      <c r="C295" s="52" t="str">
        <f ca="1"/>
        <v xml:space="preserve">    _cc1, COLUMNS(_inp1),</v>
      </c>
    </row>
    <row r="296" spans="3:7" x14ac:dyDescent="0.3">
      <c r="C296" s="52" t="str">
        <f ca="1"/>
        <v xml:space="preserve">    _cc2, COLUMNS(_inp2),</v>
      </c>
    </row>
    <row r="297" spans="3:7" x14ac:dyDescent="0.3">
      <c r="C297" s="52" t="str">
        <f ca="1"/>
        <v xml:space="preserve">    _ttl1, IF( ISOMITTED(first_titles),</v>
      </c>
    </row>
    <row r="298" spans="3:7" x14ac:dyDescent="0.3">
      <c r="C298" s="52" t="str">
        <f ca="1"/>
        <v xml:space="preserve">      SEQUENCE(1, _cc1, 1),</v>
      </c>
    </row>
    <row r="299" spans="3:7" x14ac:dyDescent="0.3">
      <c r="C299" s="52" t="str">
        <f ca="1"/>
        <v xml:space="preserve">      first_titles),</v>
      </c>
    </row>
    <row r="300" spans="3:7" x14ac:dyDescent="0.3">
      <c r="C300" s="52" t="str">
        <f ca="1"/>
        <v xml:space="preserve">    _ttl2, IF( ISOMITTED(second_titles),</v>
      </c>
    </row>
    <row r="301" spans="3:7" x14ac:dyDescent="0.3">
      <c r="C301" s="52" t="str">
        <f ca="1"/>
        <v xml:space="preserve">      SEQUENCE(1, _cc2, _cc1 + 1),</v>
      </c>
    </row>
    <row r="302" spans="3:7" x14ac:dyDescent="0.3">
      <c r="C302" s="52" t="str">
        <f ca="1"/>
        <v xml:space="preserve">      second_titles),</v>
      </c>
    </row>
    <row r="303" spans="3:7" x14ac:dyDescent="0.3">
      <c r="C303" s="52" t="str">
        <f ca="1"/>
        <v xml:space="preserve">    _inc, output_titles,</v>
      </c>
    </row>
    <row r="304" spans="3:7" x14ac:dyDescent="0.3">
      <c r="C304" s="52" t="str">
        <f ca="1"/>
        <v xml:space="preserve">    _stk, IF( ISOMITTED(simple_stack), FALSE, simple_stack),</v>
      </c>
    </row>
    <row r="305" spans="3:3" x14ac:dyDescent="0.3">
      <c r="C305" s="52" t="str">
        <f ca="1"/>
        <v xml:space="preserve">    _rep, IF( ISOMITTED(replace_na),</v>
      </c>
    </row>
    <row r="306" spans="3:3" x14ac:dyDescent="0.3">
      <c r="C306" s="52" t="str">
        <f ca="1"/>
        <v xml:space="preserve">      FALSE,</v>
      </c>
    </row>
    <row r="307" spans="3:3" x14ac:dyDescent="0.3">
      <c r="C307" s="52" t="str">
        <f ca="1"/>
        <v xml:space="preserve">      IF( AND( ISLOGICAL(replace_na), replace_na = FALSE), FALSE, TRUE)),</v>
      </c>
    </row>
    <row r="308" spans="3:3" x14ac:dyDescent="0.3">
      <c r="C308" s="52" t="str">
        <f ca="1"/>
        <v xml:space="preserve">    _str, IF( AND( ISLOGICAL(replace_na), replace_na), "", replace_na),</v>
      </c>
    </row>
    <row r="309" spans="3:3" x14ac:dyDescent="0.3">
      <c r="C309" s="52" t="str">
        <f ca="1"/>
        <v xml:space="preserve">    _ttlC, IF(_stk,</v>
      </c>
    </row>
    <row r="310" spans="3:3" x14ac:dyDescent="0.3">
      <c r="C310" s="52" t="str">
        <f ca="1"/>
        <v xml:space="preserve">      DROP(</v>
      </c>
    </row>
    <row r="311" spans="3:3" x14ac:dyDescent="0.3">
      <c r="C311" s="52" t="str">
        <f ca="1"/>
        <v xml:space="preserve">        REDUCE("", SEQUENCE(1, MAX(_cc1, _cc2)), LAMBDA(_acc,_val, HSTACK(_acc, IF(_val &lt;= _cc1, INDEX(_ttl1, , _val), INDEX(_ttl2, , _val))))),</v>
      </c>
    </row>
    <row r="312" spans="3:3" x14ac:dyDescent="0.3">
      <c r="C312" s="52" t="str">
        <f ca="1"/>
        <v xml:space="preserve">      , 1),</v>
      </c>
    </row>
    <row r="313" spans="3:3" x14ac:dyDescent="0.3">
      <c r="C313" s="52" t="str">
        <f ca="1"/>
        <v xml:space="preserve">      REDUCE(_ttl1, _ttl2, LAMBDA(_acc,_val, IF( ISNA( MATCH(_val, _ttl1, 0)), HSTACK(_acc, _val), _acc)))</v>
      </c>
    </row>
    <row r="314" spans="3:3" x14ac:dyDescent="0.3">
      <c r="C314" s="52" t="str">
        <f ca="1"/>
        <v xml:space="preserve">    ),</v>
      </c>
    </row>
    <row r="315" spans="3:3" x14ac:dyDescent="0.3">
      <c r="C315" s="52" t="str">
        <f ca="1"/>
        <v xml:space="preserve">    _idx, DROP(</v>
      </c>
    </row>
    <row r="316" spans="3:3" x14ac:dyDescent="0.3">
      <c r="C316" s="52" t="str">
        <f ca="1"/>
        <v xml:space="preserve">      REDUCE(0, _ttlC, LAMBDA(_acc,_val, HSTACK(_acc, IFNA(MATCH(_val, _ttl2, 0), 0)))),</v>
      </c>
    </row>
    <row r="317" spans="3:3" x14ac:dyDescent="0.3">
      <c r="C317" s="52" t="str">
        <f ca="1"/>
        <v xml:space="preserve">    , 1),</v>
      </c>
    </row>
    <row r="318" spans="3:3" x14ac:dyDescent="0.3">
      <c r="C318" s="52" t="str">
        <f ca="1"/>
        <v xml:space="preserve">    _arr, IF(_stk,</v>
      </c>
    </row>
    <row r="319" spans="3:3" x14ac:dyDescent="0.3">
      <c r="C319" s="52" t="str">
        <f ca="1"/>
        <v xml:space="preserve">      _inp2,</v>
      </c>
    </row>
    <row r="320" spans="3:3" x14ac:dyDescent="0.3">
      <c r="C320" s="52" t="str">
        <f ca="1"/>
        <v xml:space="preserve">      DROP(</v>
      </c>
    </row>
    <row r="321" spans="2:20" x14ac:dyDescent="0.3">
      <c r="C321" s="52" t="str">
        <f ca="1"/>
        <v xml:space="preserve">        REDUCE(0, _idx, LAMBDA(_acc,_val, HSTACK(_acc, IF(_val &gt; 0, CHOOSECOLS(_inp2, _val), "¦")))),</v>
      </c>
    </row>
    <row r="322" spans="2:20" x14ac:dyDescent="0.3">
      <c r="C322" s="52" t="str">
        <f ca="1"/>
        <v xml:space="preserve">      , 1)</v>
      </c>
    </row>
    <row r="323" spans="2:20" x14ac:dyDescent="0.3">
      <c r="C323" s="52" t="str">
        <f ca="1"/>
        <v xml:space="preserve">    ),</v>
      </c>
    </row>
    <row r="324" spans="2:20" x14ac:dyDescent="0.3">
      <c r="C324" s="52" t="str">
        <f ca="1"/>
        <v xml:space="preserve">    _new, IF(_arr = "¦", NA(), _arr),</v>
      </c>
    </row>
    <row r="325" spans="2:20" x14ac:dyDescent="0.3">
      <c r="C325" s="52" t="str">
        <f ca="1"/>
        <v xml:space="preserve">    _calc, VSTACK(_inp1, _new),</v>
      </c>
    </row>
    <row r="326" spans="2:20" x14ac:dyDescent="0.3">
      <c r="C326" s="52" t="str">
        <f ca="1"/>
        <v xml:space="preserve">    _out, IF(_inc, VSTACK(_ttlC, _calc), _calc),</v>
      </c>
    </row>
    <row r="327" spans="2:20" x14ac:dyDescent="0.3">
      <c r="C327" s="52" t="str">
        <f ca="1"/>
        <v xml:space="preserve">    _rtn, IF(_rep,</v>
      </c>
    </row>
    <row r="328" spans="2:20" x14ac:dyDescent="0.3">
      <c r="C328" s="52" t="str">
        <f ca="1"/>
        <v xml:space="preserve">      IF(ISNA(_out), _str, _out),</v>
      </c>
    </row>
    <row r="329" spans="2:20" x14ac:dyDescent="0.3">
      <c r="C329" s="52" t="str">
        <f ca="1"/>
        <v xml:space="preserve">      _out</v>
      </c>
    </row>
    <row r="330" spans="2:20" x14ac:dyDescent="0.3">
      <c r="C330" s="52" t="str">
        <f ca="1"/>
        <v xml:space="preserve">    ),</v>
      </c>
    </row>
    <row r="331" spans="2:20" x14ac:dyDescent="0.3">
      <c r="C331" s="52" t="str">
        <f ca="1"/>
        <v xml:space="preserve">    _rtn</v>
      </c>
    </row>
    <row r="332" spans="2:20" x14ac:dyDescent="0.3">
      <c r="C332" s="52" t="str">
        <f ca="1"/>
        <v xml:space="preserve">  )</v>
      </c>
    </row>
    <row r="333" spans="2:20" x14ac:dyDescent="0.3">
      <c r="C333" s="52" t="str">
        <f ca="1"/>
        <v>)($C$12:$D$16, $I$12:$K$16, $C$11:$D$11, $I$11:$K$11, J280, J281, J282)</v>
      </c>
    </row>
    <row r="336" spans="2:20" x14ac:dyDescent="0.3">
      <c r="B336" s="28" t="s">
        <v>1039</v>
      </c>
      <c r="C336" s="27"/>
      <c r="D336" s="27"/>
      <c r="E336" s="27"/>
      <c r="F336" s="27"/>
      <c r="G336" s="27"/>
      <c r="H336" s="27"/>
      <c r="I336" s="27"/>
      <c r="J336" s="27"/>
      <c r="K336" s="27"/>
      <c r="L336" s="27"/>
      <c r="M336" s="27"/>
      <c r="N336" s="27"/>
      <c r="O336" s="27"/>
      <c r="P336" s="27"/>
      <c r="Q336" s="27"/>
      <c r="R336" s="27"/>
      <c r="S336" s="27"/>
      <c r="T336" s="27"/>
    </row>
    <row r="338" spans="2:10" x14ac:dyDescent="0.3">
      <c r="C338" s="69" t="s">
        <v>374</v>
      </c>
    </row>
    <row r="339" spans="2:10" x14ac:dyDescent="0.3">
      <c r="C339" t="s">
        <v>1040</v>
      </c>
    </row>
    <row r="340" spans="2:10" x14ac:dyDescent="0.3">
      <c r="C340" t="s">
        <v>1041</v>
      </c>
    </row>
    <row r="341" spans="2:10" x14ac:dyDescent="0.3">
      <c r="C341" t="s">
        <v>1042</v>
      </c>
    </row>
    <row r="343" spans="2:10" x14ac:dyDescent="0.3">
      <c r="B343" s="74" t="s">
        <v>1043</v>
      </c>
      <c r="C343" s="13" t="s">
        <v>1044</v>
      </c>
    </row>
    <row r="344" spans="2:10" x14ac:dyDescent="0.3">
      <c r="C344" s="117" t="s">
        <v>1045</v>
      </c>
    </row>
    <row r="345" spans="2:10" x14ac:dyDescent="0.3">
      <c r="C345" s="114" t="str" cm="1">
        <f t="array" ref="C345:E355" xml:space="preserve"> _xlfn.LAMBDA(_xlpm.first_array,_xlpm.second_array,_xlop.first_titles,_xlop.second_titles,_xlop.output_titles,_xlop.simple_stack,_xlop.replace_na,
  _xlfn.LET(
    _xlpm._inp1, _xlpm.first_array,
    _xlpm._inp2, _xlpm.second_array,
    _xlpm._cc1, COLUMNS(_xlpm._inp1),
    _xlpm._cc2, COLUMNS(_xlpm._inp2),
    _xlpm._ttl1, IF( _xlfn.ISOMITTED(_xlpm.first_titles),
      _xlfn.SEQUENCE(1, _xlpm._cc1, 1),
      _xlfn.TAKE(_xlpm.first_titles, 1)),
    _xlpm._ttl2, IF( _xlfn.ISOMITTED(_xlpm.second_titles),
      _xlfn.SEQUENCE(1, _xlpm._cc2, _xlpm._cc1 + 1),
      _xlfn.TAKE(_xlpm.second_titles, 1)),
    _xlpm._hdr, IF( _xlfn.ISOMITTED(_xlpm.output_titles), 0, _xlpm.output_titles),
    _xlpm._ccH, COLUMNS(_xlpm._hdr),
    _xlpm._inc, IF( AND(_xlpm._ccH = 1, OR(ISLOGICAL(_xlpm._hdr), ISNUMBER(_xlpm._hdr))),
      IF(_xlpm._hdr, 1, 0),
      -1),
    _xlpm._stk, IF( _xlfn.ISOMITTED(_xlpm.simple_stack), FALSE, _xlpm.simple_stack),
    _xlpm._rep, IF( _xlfn.ISOMITTED(_xlpm.replace_na),
      FALSE,
      IF( AND( ISLOGICAL(_xlpm.replace_na), _xlpm.replace_na = FALSE), FALSE, TRUE)),
    _xlpm._str, IF( AND( ISLOGICAL(_xlpm.replace_na), _xlpm.replace_na), "", _xlpm.replace_na),
    _xlpm._ttlC, IF(_xlpm._stk,
      _xlfn.DROP(
        _xlfn.REDUCE("", _xlfn.SEQUENCE(1, MAX(_xlpm._cc1, _xlpm._cc2)), _xlfn.LAMBDA(_xlpm._acc,_xlpm._val, _xlfn.HSTACK(_xlpm._acc, IF(_xlpm._val &lt;= _xlpm._cc1, INDEX(_xlpm._ttl1, , _xlpm._val), INDEX(_xlpm._ttl2, , _xlpm._val))))),
      , 1),
      _xlfn.REDUCE(_xlpm._ttl1, _xlpm._ttl2, _xlfn.LAMBDA(_xlpm._acc,_xlpm._val, IF( ISNA( MATCH(_xlpm._val, _xlpm._ttl1, 0)), _xlfn.HSTACK(_xlpm._acc, _xlpm._val), _xlpm._acc)))
    ),
    _xlpm._idx, _xlfn.DROP(
      _xlfn.REDUCE(0, _xlpm._ttlC, _xlfn.LAMBDA(_xlpm._acc,_xlpm._val, _xlfn.HSTACK(_xlpm._acc, _xlfn.IFNA(MATCH(_xlpm._val, _xlpm._ttl2, 0), 0)))),
    , 1),
    _xlpm._arr, IF(_xlpm._stk,
      _xlpm._inp2,
      _xlfn.DROP(
        _xlfn.REDUCE(0, _xlpm._idx, _xlfn.LAMBDA(_xlpm._acc,_xlpm._val, _xlfn.HSTACK(_xlpm._acc, IF(_xlpm._val &gt; 0, _xlfn.CHOOSECOLS(_xlpm._inp2, _xlpm._val), "¦")))),
      , 1)
    ),
    _xlpm._new, IF(_xlpm._arr = "¦", NA(), _xlpm._arr),
    _xlpm._calc, _xlfn.VSTACK(_xlpm._inp1, _xlpm._new),
    _xlpm._out, IF(_xlpm._inc &lt; 0, _xlfn.VSTACK( _xlfn.TAKE(_xlpm._hdr, 1, MIN(_xlpm._ccH, COLUMNS(_xlpm._calc))), _xlpm._calc),
      IF(_xlpm._inc &gt; 0, _xlfn.VSTACK(_xlpm._ttlC, _xlpm._calc), _xlpm._calc)
    ),
    _xlpm._rtn, IF(_xlpm._rep,
      IF(ISNA(_xlpm._out), _xlpm._str, _xlpm._out),
      _xlpm._out
    ),
    _xlpm._rtn
  )
)($C$12:$D$16, $I$12:$K$16, $C$11:$D$11, $I$11:$K$11, J345, J346, J347)</f>
        <v>Alpha</v>
      </c>
      <c r="D345" s="116" t="str">
        <v>Num</v>
      </c>
      <c r="E345" s="116" t="str">
        <v>Other</v>
      </c>
      <c r="F345" s="116"/>
      <c r="G345" s="116"/>
      <c r="I345" s="24" t="s">
        <v>1024</v>
      </c>
      <c r="J345" s="130" t="b">
        <v>1</v>
      </c>
    </row>
    <row r="346" spans="2:10" x14ac:dyDescent="0.3">
      <c r="C346" s="116" t="str">
        <v>AAA</v>
      </c>
      <c r="D346" s="116">
        <v>111</v>
      </c>
      <c r="E346" s="116" t="str">
        <v/>
      </c>
      <c r="F346" s="116"/>
      <c r="G346" s="116"/>
      <c r="I346" s="24" t="s">
        <v>1033</v>
      </c>
      <c r="J346" s="26">
        <v>1</v>
      </c>
    </row>
    <row r="347" spans="2:10" x14ac:dyDescent="0.3">
      <c r="C347" s="116" t="str">
        <v>BBB</v>
      </c>
      <c r="D347" s="116">
        <v>222</v>
      </c>
      <c r="E347" s="116" t="str">
        <v/>
      </c>
      <c r="F347" s="116"/>
      <c r="G347" s="116"/>
      <c r="I347" s="24" t="s">
        <v>1018</v>
      </c>
      <c r="J347" s="25" t="b">
        <v>1</v>
      </c>
    </row>
    <row r="348" spans="2:10" x14ac:dyDescent="0.3">
      <c r="C348" s="116" t="str">
        <v>CCC</v>
      </c>
      <c r="D348" s="116">
        <v>333</v>
      </c>
      <c r="E348" s="116" t="str">
        <v/>
      </c>
      <c r="F348" s="116"/>
      <c r="G348" s="116"/>
    </row>
    <row r="349" spans="2:10" x14ac:dyDescent="0.3">
      <c r="C349" s="116" t="str">
        <v>DDD</v>
      </c>
      <c r="D349" s="116">
        <v>444</v>
      </c>
      <c r="E349" s="116" t="str">
        <v/>
      </c>
      <c r="F349" s="116"/>
      <c r="G349" s="116"/>
    </row>
    <row r="350" spans="2:10" x14ac:dyDescent="0.3">
      <c r="C350" s="116" t="str">
        <v>EEE</v>
      </c>
      <c r="D350" s="116">
        <v>555</v>
      </c>
      <c r="E350" s="116" t="str">
        <v/>
      </c>
      <c r="F350" s="116"/>
      <c r="G350" s="116"/>
    </row>
    <row r="351" spans="2:10" x14ac:dyDescent="0.3">
      <c r="C351" s="116" t="str">
        <v>KKK</v>
      </c>
      <c r="D351" s="116">
        <v>1000</v>
      </c>
      <c r="E351" s="116">
        <v>10000</v>
      </c>
      <c r="F351" s="116"/>
      <c r="G351" s="116"/>
    </row>
    <row r="352" spans="2:10" x14ac:dyDescent="0.3">
      <c r="C352" s="116" t="str">
        <v>LLL</v>
      </c>
      <c r="D352" s="116">
        <v>2000</v>
      </c>
      <c r="E352" s="116">
        <v>20000</v>
      </c>
      <c r="F352" s="116"/>
      <c r="G352" s="116"/>
    </row>
    <row r="353" spans="3:14" x14ac:dyDescent="0.3">
      <c r="C353" s="116" t="str">
        <v>MMM</v>
      </c>
      <c r="D353" s="116">
        <v>3000</v>
      </c>
      <c r="E353" s="116">
        <v>30000</v>
      </c>
      <c r="F353" s="116"/>
      <c r="G353" s="116"/>
    </row>
    <row r="354" spans="3:14" x14ac:dyDescent="0.3">
      <c r="C354" s="116" t="str">
        <v>NNN</v>
      </c>
      <c r="D354" s="116">
        <v>4000</v>
      </c>
      <c r="E354" s="116">
        <v>40000</v>
      </c>
      <c r="F354" s="116"/>
      <c r="G354" s="116"/>
    </row>
    <row r="355" spans="3:14" x14ac:dyDescent="0.3">
      <c r="C355" s="116" t="str">
        <v>OOO</v>
      </c>
      <c r="D355" s="116">
        <v>5000</v>
      </c>
      <c r="E355" s="116">
        <v>50000</v>
      </c>
      <c r="F355" s="116"/>
      <c r="G355" s="116"/>
    </row>
    <row r="357" spans="3:14" x14ac:dyDescent="0.3">
      <c r="C357" s="117" t="s">
        <v>1046</v>
      </c>
    </row>
    <row r="358" spans="3:14" x14ac:dyDescent="0.3">
      <c r="C358" s="114" t="str" cm="1">
        <f t="array" ref="C358:E368" xml:space="preserve"> _xlfn.LAMBDA(_xlpm.first_array,_xlpm.second_array,_xlop.first_titles,_xlop.second_titles,_xlop.output_titles,_xlop.simple_stack,_xlop.replace_na,
  _xlfn.LET(
    _xlpm._inp1, _xlpm.first_array,
    _xlpm._inp2, _xlpm.second_array,
    _xlpm._cc1, COLUMNS(_xlpm._inp1),
    _xlpm._cc2, COLUMNS(_xlpm._inp2),
    _xlpm._ttl1, IF( _xlfn.ISOMITTED(_xlpm.first_titles),
      _xlfn.SEQUENCE(1, _xlpm._cc1, 1),
      _xlfn.TAKE(_xlpm.first_titles, 1)),
    _xlpm._ttl2, IF( _xlfn.ISOMITTED(_xlpm.second_titles),
      _xlfn.SEQUENCE(1, _xlpm._cc2, _xlpm._cc1 + 1),
      _xlfn.TAKE(_xlpm.second_titles, 1)),
    _xlpm._hdr, IF( _xlfn.ISOMITTED(_xlpm.output_titles), 0, _xlpm.output_titles),
    _xlpm._ccH, COLUMNS(_xlpm._hdr),
    _xlpm._inc, IF( AND(_xlpm._ccH = 1, OR(ISLOGICAL(_xlpm._hdr), ISNUMBER(_xlpm._hdr))),
      IF(_xlpm._hdr, 1, 0),
      -1),
    _xlpm._stk, IF( _xlfn.ISOMITTED(_xlpm.simple_stack), FALSE, _xlpm.simple_stack),
    _xlpm._rep, IF( _xlfn.ISOMITTED(_xlpm.replace_na),
      FALSE,
      IF( AND( ISLOGICAL(_xlpm.replace_na), _xlpm.replace_na = FALSE), FALSE, TRUE)),
    _xlpm._str, IF( AND( ISLOGICAL(_xlpm.replace_na), _xlpm.replace_na), "", _xlpm.replace_na),
    _xlpm._ttlC, IF(_xlpm._stk,
      _xlfn.DROP(
        _xlfn.REDUCE("", _xlfn.SEQUENCE(1, MAX(_xlpm._cc1, _xlpm._cc2)), _xlfn.LAMBDA(_xlpm._acc,_xlpm._val, _xlfn.HSTACK(_xlpm._acc, IF(_xlpm._val &lt;= _xlpm._cc1, INDEX(_xlpm._ttl1, , _xlpm._val), INDEX(_xlpm._ttl2, , _xlpm._val))))),
      , 1),
      _xlfn.REDUCE(_xlpm._ttl1, _xlpm._ttl2, _xlfn.LAMBDA(_xlpm._acc,_xlpm._val, IF( ISNA( MATCH(_xlpm._val, _xlpm._ttl1, 0)), _xlfn.HSTACK(_xlpm._acc, _xlpm._val), _xlpm._acc)))
    ),
    _xlpm._idx, _xlfn.DROP(
      _xlfn.REDUCE(0, _xlpm._ttlC, _xlfn.LAMBDA(_xlpm._acc,_xlpm._val, _xlfn.HSTACK(_xlpm._acc, _xlfn.IFNA(MATCH(_xlpm._val, _xlpm._ttl2, 0), 0)))),
    , 1),
    _xlpm._arr, IF(_xlpm._stk,
      _xlpm._inp2,
      _xlfn.DROP(
        _xlfn.REDUCE(0, _xlpm._idx, _xlfn.LAMBDA(_xlpm._acc,_xlpm._val, _xlfn.HSTACK(_xlpm._acc, IF(_xlpm._val &gt; 0, _xlfn.CHOOSECOLS(_xlpm._inp2, _xlpm._val), "¦")))),
      , 1)
    ),
    _xlpm._new, IF(_xlpm._arr = "¦", NA(), _xlpm._arr),
    _xlpm._calc, _xlfn.VSTACK(_xlpm._inp1, _xlpm._new),
    _xlpm._out, IF(_xlpm._inc &lt; 0, _xlfn.VSTACK( _xlfn.TAKE(_xlpm._hdr, 1, MIN(_xlpm._ccH, COLUMNS(_xlpm._calc))), _xlpm._calc),
      IF(_xlpm._inc &gt; 0, _xlfn.VSTACK(_xlpm._ttlC, _xlpm._calc), _xlpm._calc)
    ),
    _xlpm._rtn, IF(_xlpm._rep,
      IF(ISNA(_xlpm._out), _xlpm._str, _xlpm._out),
      _xlpm._out
    ),
    _xlpm._rtn
  )
)($C$12:$D$16, $I$12:$K$16, $C$11:$D$11, $I$11:$K$11,_xlfn._TRO_TRAILING( J358:N358), J359, J360)</f>
        <v>Col.1</v>
      </c>
      <c r="D358" s="116" t="str">
        <v>Col.2</v>
      </c>
      <c r="E358" s="116" t="str">
        <v>Col.3</v>
      </c>
      <c r="F358" s="116"/>
      <c r="G358" s="116"/>
      <c r="I358" s="24" t="s">
        <v>1024</v>
      </c>
      <c r="J358" s="92" t="s">
        <v>1047</v>
      </c>
      <c r="K358" s="92" t="s">
        <v>1048</v>
      </c>
      <c r="L358" s="92" t="s">
        <v>1049</v>
      </c>
      <c r="M358" s="25" t="s">
        <v>1050</v>
      </c>
      <c r="N358" s="25" t="s">
        <v>1051</v>
      </c>
    </row>
    <row r="359" spans="3:14" x14ac:dyDescent="0.3">
      <c r="C359" s="116" t="str">
        <v>AAA</v>
      </c>
      <c r="D359" s="116">
        <v>111</v>
      </c>
      <c r="E359" s="116" t="str">
        <v/>
      </c>
      <c r="F359" s="116"/>
      <c r="G359" s="116"/>
      <c r="I359" s="24" t="s">
        <v>1033</v>
      </c>
      <c r="J359" s="26">
        <v>1</v>
      </c>
    </row>
    <row r="360" spans="3:14" x14ac:dyDescent="0.3">
      <c r="C360" s="116" t="str">
        <v>BBB</v>
      </c>
      <c r="D360" s="116">
        <v>222</v>
      </c>
      <c r="E360" s="116" t="str">
        <v/>
      </c>
      <c r="F360" s="116"/>
      <c r="G360" s="116"/>
      <c r="I360" s="24" t="s">
        <v>1018</v>
      </c>
      <c r="J360" s="25" t="b">
        <v>1</v>
      </c>
    </row>
    <row r="361" spans="3:14" x14ac:dyDescent="0.3">
      <c r="C361" s="116" t="str">
        <v>CCC</v>
      </c>
      <c r="D361" s="116">
        <v>333</v>
      </c>
      <c r="E361" s="116" t="str">
        <v/>
      </c>
      <c r="F361" s="116"/>
      <c r="G361" s="116"/>
    </row>
    <row r="362" spans="3:14" x14ac:dyDescent="0.3">
      <c r="C362" s="116" t="str">
        <v>DDD</v>
      </c>
      <c r="D362" s="116">
        <v>444</v>
      </c>
      <c r="E362" s="116" t="str">
        <v/>
      </c>
      <c r="F362" s="116"/>
      <c r="G362" s="116"/>
    </row>
    <row r="363" spans="3:14" x14ac:dyDescent="0.3">
      <c r="C363" s="116" t="str">
        <v>EEE</v>
      </c>
      <c r="D363" s="116">
        <v>555</v>
      </c>
      <c r="E363" s="116" t="str">
        <v/>
      </c>
      <c r="F363" s="116"/>
      <c r="G363" s="116"/>
    </row>
    <row r="364" spans="3:14" x14ac:dyDescent="0.3">
      <c r="C364" s="116" t="str">
        <v>KKK</v>
      </c>
      <c r="D364" s="116">
        <v>1000</v>
      </c>
      <c r="E364" s="116">
        <v>10000</v>
      </c>
      <c r="F364" s="116"/>
      <c r="G364" s="116"/>
    </row>
    <row r="365" spans="3:14" x14ac:dyDescent="0.3">
      <c r="C365" s="116" t="str">
        <v>LLL</v>
      </c>
      <c r="D365" s="116">
        <v>2000</v>
      </c>
      <c r="E365" s="116">
        <v>20000</v>
      </c>
      <c r="F365" s="116"/>
      <c r="G365" s="116"/>
    </row>
    <row r="366" spans="3:14" x14ac:dyDescent="0.3">
      <c r="C366" s="116" t="str">
        <v>MMM</v>
      </c>
      <c r="D366" s="116">
        <v>3000</v>
      </c>
      <c r="E366" s="116">
        <v>30000</v>
      </c>
      <c r="F366" s="116"/>
      <c r="G366" s="116"/>
    </row>
    <row r="367" spans="3:14" x14ac:dyDescent="0.3">
      <c r="C367" s="116" t="str">
        <v>NNN</v>
      </c>
      <c r="D367" s="116">
        <v>4000</v>
      </c>
      <c r="E367" s="116">
        <v>40000</v>
      </c>
      <c r="F367" s="116"/>
      <c r="G367" s="116"/>
    </row>
    <row r="368" spans="3:14" x14ac:dyDescent="0.3">
      <c r="C368" s="116" t="str">
        <v>OOO</v>
      </c>
      <c r="D368" s="116">
        <v>5000</v>
      </c>
      <c r="E368" s="116">
        <v>50000</v>
      </c>
      <c r="F368" s="116"/>
      <c r="G368" s="116"/>
    </row>
    <row r="369" spans="3:3" x14ac:dyDescent="0.3">
      <c r="C369" s="52" t="str" cm="1">
        <f t="array" aca="1" ref="C369:C417" ca="1" xml:space="preserve"> _xlfn.TEXTSPLIT( _xlfn.FORMULATEXT(C358), , CHAR(10))</f>
        <v>= LAMBDA(first_array,second_array,[first_titles],[second_titles],[output_titles],[simple_stack],[replace_na],</v>
      </c>
    </row>
    <row r="370" spans="3:3" x14ac:dyDescent="0.3">
      <c r="C370" s="52" t="str">
        <f ca="1"/>
        <v xml:space="preserve">  LET(</v>
      </c>
    </row>
    <row r="371" spans="3:3" x14ac:dyDescent="0.3">
      <c r="C371" s="52" t="str">
        <f ca="1"/>
        <v xml:space="preserve">    _inp1, first_array,</v>
      </c>
    </row>
    <row r="372" spans="3:3" x14ac:dyDescent="0.3">
      <c r="C372" s="52" t="str">
        <f ca="1"/>
        <v xml:space="preserve">    _inp2, second_array,</v>
      </c>
    </row>
    <row r="373" spans="3:3" x14ac:dyDescent="0.3">
      <c r="C373" s="52" t="str">
        <f ca="1"/>
        <v xml:space="preserve">    _cc1, COLUMNS(_inp1),</v>
      </c>
    </row>
    <row r="374" spans="3:3" x14ac:dyDescent="0.3">
      <c r="C374" s="52" t="str">
        <f ca="1"/>
        <v xml:space="preserve">    _cc2, COLUMNS(_inp2),</v>
      </c>
    </row>
    <row r="375" spans="3:3" x14ac:dyDescent="0.3">
      <c r="C375" s="52" t="str">
        <f ca="1"/>
        <v xml:space="preserve">    _ttl1, IF( ISOMITTED(first_titles),</v>
      </c>
    </row>
    <row r="376" spans="3:3" x14ac:dyDescent="0.3">
      <c r="C376" s="52" t="str">
        <f ca="1"/>
        <v xml:space="preserve">      SEQUENCE(1, _cc1, 1),</v>
      </c>
    </row>
    <row r="377" spans="3:3" x14ac:dyDescent="0.3">
      <c r="C377" s="52" t="str">
        <f ca="1"/>
        <v xml:space="preserve">      TAKE(first_titles, 1)),</v>
      </c>
    </row>
    <row r="378" spans="3:3" x14ac:dyDescent="0.3">
      <c r="C378" s="52" t="str">
        <f ca="1"/>
        <v xml:space="preserve">    _ttl2, IF( ISOMITTED(second_titles),</v>
      </c>
    </row>
    <row r="379" spans="3:3" x14ac:dyDescent="0.3">
      <c r="C379" s="52" t="str">
        <f ca="1"/>
        <v xml:space="preserve">      SEQUENCE(1, _cc2, _cc1 + 1),</v>
      </c>
    </row>
    <row r="380" spans="3:3" x14ac:dyDescent="0.3">
      <c r="C380" s="52" t="str">
        <f ca="1"/>
        <v xml:space="preserve">      TAKE(second_titles, 1)),</v>
      </c>
    </row>
    <row r="381" spans="3:3" x14ac:dyDescent="0.3">
      <c r="C381" s="52" t="str">
        <f ca="1"/>
        <v xml:space="preserve">    _hdr, IF( ISOMITTED(output_titles), 0, output_titles),</v>
      </c>
    </row>
    <row r="382" spans="3:3" x14ac:dyDescent="0.3">
      <c r="C382" s="52" t="str">
        <f ca="1"/>
        <v xml:space="preserve">    _ccH, COLUMNS(_hdr),</v>
      </c>
    </row>
    <row r="383" spans="3:3" x14ac:dyDescent="0.3">
      <c r="C383" s="52" t="str">
        <f ca="1"/>
        <v xml:space="preserve">    _inc, IF( AND(_ccH = 1, OR(ISLOGICAL(_hdr), ISNUMBER(_hdr))),</v>
      </c>
    </row>
    <row r="384" spans="3:3" x14ac:dyDescent="0.3">
      <c r="C384" s="52" t="str">
        <f ca="1"/>
        <v xml:space="preserve">      IF(_hdr, 1, 0),</v>
      </c>
    </row>
    <row r="385" spans="3:3" x14ac:dyDescent="0.3">
      <c r="C385" s="52" t="str">
        <f ca="1"/>
        <v xml:space="preserve">      -1),</v>
      </c>
    </row>
    <row r="386" spans="3:3" x14ac:dyDescent="0.3">
      <c r="C386" s="52" t="str">
        <f ca="1"/>
        <v xml:space="preserve">    _stk, IF( ISOMITTED(simple_stack), FALSE, simple_stack),</v>
      </c>
    </row>
    <row r="387" spans="3:3" x14ac:dyDescent="0.3">
      <c r="C387" s="52" t="str">
        <f ca="1"/>
        <v xml:space="preserve">    _rep, IF( ISOMITTED(replace_na),</v>
      </c>
    </row>
    <row r="388" spans="3:3" x14ac:dyDescent="0.3">
      <c r="C388" s="52" t="str">
        <f ca="1"/>
        <v xml:space="preserve">      FALSE,</v>
      </c>
    </row>
    <row r="389" spans="3:3" x14ac:dyDescent="0.3">
      <c r="C389" s="52" t="str">
        <f ca="1"/>
        <v xml:space="preserve">      IF( AND( ISLOGICAL(replace_na), replace_na = FALSE), FALSE, TRUE)),</v>
      </c>
    </row>
    <row r="390" spans="3:3" x14ac:dyDescent="0.3">
      <c r="C390" s="52" t="str">
        <f ca="1"/>
        <v xml:space="preserve">    _str, IF( AND( ISLOGICAL(replace_na), replace_na), "", replace_na),</v>
      </c>
    </row>
    <row r="391" spans="3:3" x14ac:dyDescent="0.3">
      <c r="C391" s="52" t="str">
        <f ca="1"/>
        <v xml:space="preserve">    _ttlC, IF(_stk,</v>
      </c>
    </row>
    <row r="392" spans="3:3" x14ac:dyDescent="0.3">
      <c r="C392" s="52" t="str">
        <f ca="1"/>
        <v xml:space="preserve">      DROP(</v>
      </c>
    </row>
    <row r="393" spans="3:3" x14ac:dyDescent="0.3">
      <c r="C393" s="52" t="str">
        <f ca="1"/>
        <v xml:space="preserve">        REDUCE("", SEQUENCE(1, MAX(_cc1, _cc2)), LAMBDA(_acc,_val, HSTACK(_acc, IF(_val &lt;= _cc1, INDEX(_ttl1, , _val), INDEX(_ttl2, , _val))))),</v>
      </c>
    </row>
    <row r="394" spans="3:3" x14ac:dyDescent="0.3">
      <c r="C394" s="52" t="str">
        <f ca="1"/>
        <v xml:space="preserve">      , 1),</v>
      </c>
    </row>
    <row r="395" spans="3:3" x14ac:dyDescent="0.3">
      <c r="C395" s="52" t="str">
        <f ca="1"/>
        <v xml:space="preserve">      REDUCE(_ttl1, _ttl2, LAMBDA(_acc,_val, IF( ISNA( MATCH(_val, _ttl1, 0)), HSTACK(_acc, _val), _acc)))</v>
      </c>
    </row>
    <row r="396" spans="3:3" x14ac:dyDescent="0.3">
      <c r="C396" s="52" t="str">
        <f ca="1"/>
        <v xml:space="preserve">    ),</v>
      </c>
    </row>
    <row r="397" spans="3:3" x14ac:dyDescent="0.3">
      <c r="C397" s="52" t="str">
        <f ca="1"/>
        <v xml:space="preserve">    _idx, DROP(</v>
      </c>
    </row>
    <row r="398" spans="3:3" x14ac:dyDescent="0.3">
      <c r="C398" s="52" t="str">
        <f ca="1"/>
        <v xml:space="preserve">      REDUCE(0, _ttlC, LAMBDA(_acc,_val, HSTACK(_acc, IFNA(MATCH(_val, _ttl2, 0), 0)))),</v>
      </c>
    </row>
    <row r="399" spans="3:3" x14ac:dyDescent="0.3">
      <c r="C399" s="52" t="str">
        <f ca="1"/>
        <v xml:space="preserve">    , 1),</v>
      </c>
    </row>
    <row r="400" spans="3:3" x14ac:dyDescent="0.3">
      <c r="C400" s="52" t="str">
        <f ca="1"/>
        <v xml:space="preserve">    _arr, IF(_stk,</v>
      </c>
    </row>
    <row r="401" spans="3:3" x14ac:dyDescent="0.3">
      <c r="C401" s="52" t="str">
        <f ca="1"/>
        <v xml:space="preserve">      _inp2,</v>
      </c>
    </row>
    <row r="402" spans="3:3" x14ac:dyDescent="0.3">
      <c r="C402" s="52" t="str">
        <f ca="1"/>
        <v xml:space="preserve">      DROP(</v>
      </c>
    </row>
    <row r="403" spans="3:3" x14ac:dyDescent="0.3">
      <c r="C403" s="52" t="str">
        <f ca="1"/>
        <v xml:space="preserve">        REDUCE(0, _idx, LAMBDA(_acc,_val, HSTACK(_acc, IF(_val &gt; 0, CHOOSECOLS(_inp2, _val), "¦")))),</v>
      </c>
    </row>
    <row r="404" spans="3:3" x14ac:dyDescent="0.3">
      <c r="C404" s="52" t="str">
        <f ca="1"/>
        <v xml:space="preserve">      , 1)</v>
      </c>
    </row>
    <row r="405" spans="3:3" x14ac:dyDescent="0.3">
      <c r="C405" s="52" t="str">
        <f ca="1"/>
        <v xml:space="preserve">    ),</v>
      </c>
    </row>
    <row r="406" spans="3:3" x14ac:dyDescent="0.3">
      <c r="C406" s="52" t="str">
        <f ca="1"/>
        <v xml:space="preserve">    _new, IF(_arr = "¦", NA(), _arr),</v>
      </c>
    </row>
    <row r="407" spans="3:3" x14ac:dyDescent="0.3">
      <c r="C407" s="52" t="str">
        <f ca="1"/>
        <v xml:space="preserve">    _calc, VSTACK(_inp1, _new),</v>
      </c>
    </row>
    <row r="408" spans="3:3" x14ac:dyDescent="0.3">
      <c r="C408" s="52" t="str">
        <f ca="1"/>
        <v xml:space="preserve">    _out, IF(_inc &lt; 0, VSTACK( TAKE(_hdr, 1, MIN(_ccH, COLUMNS(_calc))), _calc),</v>
      </c>
    </row>
    <row r="409" spans="3:3" x14ac:dyDescent="0.3">
      <c r="C409" s="52" t="str">
        <f ca="1"/>
        <v xml:space="preserve">      IF(_inc &gt; 0, VSTACK(_ttlC, _calc), _calc)</v>
      </c>
    </row>
    <row r="410" spans="3:3" x14ac:dyDescent="0.3">
      <c r="C410" s="52" t="str">
        <f ca="1"/>
        <v xml:space="preserve">    ),</v>
      </c>
    </row>
    <row r="411" spans="3:3" x14ac:dyDescent="0.3">
      <c r="C411" s="52" t="str">
        <f ca="1"/>
        <v xml:space="preserve">    _rtn, IF(_rep,</v>
      </c>
    </row>
    <row r="412" spans="3:3" x14ac:dyDescent="0.3">
      <c r="C412" s="52" t="str">
        <f ca="1"/>
        <v xml:space="preserve">      IF(ISNA(_out), _str, _out),</v>
      </c>
    </row>
    <row r="413" spans="3:3" x14ac:dyDescent="0.3">
      <c r="C413" s="52" t="str">
        <f ca="1"/>
        <v xml:space="preserve">      _out</v>
      </c>
    </row>
    <row r="414" spans="3:3" x14ac:dyDescent="0.3">
      <c r="C414" s="52" t="str">
        <f ca="1"/>
        <v xml:space="preserve">    ),</v>
      </c>
    </row>
    <row r="415" spans="3:3" x14ac:dyDescent="0.3">
      <c r="C415" s="52" t="str">
        <f ca="1"/>
        <v xml:space="preserve">    _rtn</v>
      </c>
    </row>
    <row r="416" spans="3:3" x14ac:dyDescent="0.3">
      <c r="C416" s="52" t="str">
        <f ca="1"/>
        <v xml:space="preserve">  )</v>
      </c>
    </row>
    <row r="417" spans="2:20" x14ac:dyDescent="0.3">
      <c r="C417" s="52" t="str">
        <f ca="1"/>
        <v>)($C$12:$D$16, $I$12:$K$16, $C$11:$D$11, $I$11:$K$11, J358:.N358, J359, J360)</v>
      </c>
    </row>
    <row r="420" spans="2:20" x14ac:dyDescent="0.3">
      <c r="B420" s="28" t="s">
        <v>1052</v>
      </c>
      <c r="C420" s="27"/>
      <c r="D420" s="27"/>
      <c r="E420" s="27"/>
      <c r="F420" s="27"/>
      <c r="G420" s="27"/>
      <c r="H420" s="27"/>
      <c r="I420" s="27"/>
      <c r="J420" s="27"/>
      <c r="K420" s="27"/>
      <c r="L420" s="27"/>
      <c r="M420" s="27"/>
      <c r="N420" s="27"/>
      <c r="O420" s="27"/>
      <c r="P420" s="27"/>
      <c r="Q420" s="27"/>
      <c r="R420" s="27"/>
      <c r="S420" s="27"/>
      <c r="T420" s="27"/>
    </row>
    <row r="422" spans="2:20" x14ac:dyDescent="0.3">
      <c r="B422" s="74" t="s">
        <v>1053</v>
      </c>
      <c r="C422" s="13" t="s">
        <v>1054</v>
      </c>
    </row>
    <row r="423" spans="2:20" x14ac:dyDescent="0.3">
      <c r="D423" s="117" t="s">
        <v>649</v>
      </c>
      <c r="G423" s="117" t="s">
        <v>1055</v>
      </c>
    </row>
    <row r="424" spans="2:20" x14ac:dyDescent="0.3">
      <c r="C424" s="24" t="s">
        <v>1056</v>
      </c>
      <c r="D424" s="25"/>
      <c r="E424" s="25"/>
      <c r="G424" s="68" cm="1">
        <f t="array" ref="G424:H428" xml:space="preserve"> _xlfn.LAMBDA(_xlop.first_titles,_xlop.second_titles,_xlop.output_titles,_xlop.simple_stack,_xlop.replace_na,
  _xlfn.LET(
    _xlpm._inp1, $C$12:$D$16,
    _xlpm._inp2, $F$12:$G$16,
    _xlpm._cc1, COLUMNS(_xlpm._inp1),
    _xlpm._cc2, COLUMNS(_xlpm._inp2),
    _xlpm._ttl1, IF( ISBLANK(_xlpm.first_titles),
      _xlfn.SEQUENCE(1, _xlpm._cc1, 1),
      _xlfn.TAKE(_xlpm.first_titles, 1)),
    _xlpm._ttl2, IF( ISBLANK(_xlpm.second_titles),
      _xlfn.SEQUENCE(1, _xlpm._cc2, _xlpm._cc1 + 1),
      _xlfn.TAKE(_xlpm.second_titles, 1)),
    _xlpm._hdr, IF( ISBLANK(_xlpm.output_titles), 0, _xlpm.output_titles),
    _xlpm._inc, IF( AND( COLUMNS(_xlpm._hdr) = 1, OR(ISLOGICAL(_xlpm._hdr), ISNUMBER(_xlpm._hdr))),
      IF(_xlpm._hdr, 1, 0),
      -1),
    _xlpm._stk, IF( ISBLANK(_xlpm.simple_stack), FALSE, _xlpm.simple_stack),
    _xlpm._rep, IF( ISBLANK(_xlpm.replace_na), FALSE,
      IF( AND( ISLOGICAL(_xlpm.replace_na), _xlpm.replace_na = FALSE), FALSE, TRUE)),
    _xlpm._str, IF( AND( ISLOGICAL(_xlpm.replace_na), _xlpm.replace_na), "", _xlpm.replace_na),
    _xlpm._out, _xlfn.VSTACK(_xlpm._ttl1, _xlpm._ttl2, _xlpm._inc, _xlpm._stk, _xlfn.HSTACK(_xlpm._rep,_xlpm._str)),
    _xlpm._rtn, IF(ISNA(_xlpm._out), "", _xlpm._out),
    _xlpm._rtn
  )
)(D424:E424, D425:E425, D426, D427, D428)</f>
        <v>1</v>
      </c>
      <c r="H424" s="20">
        <v>2</v>
      </c>
    </row>
    <row r="425" spans="2:20" x14ac:dyDescent="0.3">
      <c r="C425" s="24" t="s">
        <v>1057</v>
      </c>
      <c r="D425" s="25"/>
      <c r="E425" s="25"/>
      <c r="G425" s="20">
        <v>3</v>
      </c>
      <c r="H425" s="20">
        <v>4</v>
      </c>
    </row>
    <row r="426" spans="2:20" x14ac:dyDescent="0.3">
      <c r="C426" s="24" t="s">
        <v>1058</v>
      </c>
      <c r="D426" s="25"/>
      <c r="G426" s="20">
        <v>0</v>
      </c>
      <c r="H426" s="118" t="str">
        <v/>
      </c>
    </row>
    <row r="427" spans="2:20" x14ac:dyDescent="0.3">
      <c r="C427" s="24" t="s">
        <v>1059</v>
      </c>
      <c r="D427" s="25"/>
      <c r="G427" s="20" t="b">
        <v>0</v>
      </c>
      <c r="H427" s="118" t="str">
        <v/>
      </c>
    </row>
    <row r="428" spans="2:20" x14ac:dyDescent="0.3">
      <c r="C428" s="24" t="s">
        <v>1060</v>
      </c>
      <c r="D428" s="25"/>
      <c r="G428" s="20" t="b">
        <v>0</v>
      </c>
      <c r="H428" s="20">
        <v>0</v>
      </c>
    </row>
    <row r="429" spans="2:20" x14ac:dyDescent="0.3">
      <c r="G429" s="52" t="str" cm="1">
        <f t="array" aca="1" ref="G429:G453" ca="1" xml:space="preserve"> _xlfn.TEXTSPLIT( _xlfn.FORMULATEXT(G424), , CHAR(10))</f>
        <v>= LAMBDA([first_titles],[second_titles],[output_titles],[simple_stack],[replace_na],</v>
      </c>
    </row>
    <row r="430" spans="2:20" x14ac:dyDescent="0.3">
      <c r="G430" s="52" t="str">
        <f ca="1"/>
        <v xml:space="preserve">  LET(</v>
      </c>
    </row>
    <row r="431" spans="2:20" x14ac:dyDescent="0.3">
      <c r="G431" s="52" t="str">
        <f ca="1"/>
        <v xml:space="preserve">    _inp1, $C$12:$D$16,</v>
      </c>
    </row>
    <row r="432" spans="2:20" x14ac:dyDescent="0.3">
      <c r="C432" t="s">
        <v>1061</v>
      </c>
      <c r="G432" s="52" t="str">
        <f ca="1"/>
        <v xml:space="preserve">    _inp2, $F$12:$G$16,</v>
      </c>
    </row>
    <row r="433" spans="7:7" x14ac:dyDescent="0.3">
      <c r="G433" s="52" t="str">
        <f ca="1"/>
        <v xml:space="preserve">    _cc1, COLUMNS(_inp1),</v>
      </c>
    </row>
    <row r="434" spans="7:7" x14ac:dyDescent="0.3">
      <c r="G434" s="52" t="str">
        <f ca="1"/>
        <v xml:space="preserve">    _cc2, COLUMNS(_inp2),</v>
      </c>
    </row>
    <row r="435" spans="7:7" x14ac:dyDescent="0.3">
      <c r="G435" s="52" t="str">
        <f ca="1"/>
        <v xml:space="preserve">    _ttl1, IF( ISBLANK(first_titles),</v>
      </c>
    </row>
    <row r="436" spans="7:7" x14ac:dyDescent="0.3">
      <c r="G436" s="52" t="str">
        <f ca="1"/>
        <v xml:space="preserve">      SEQUENCE(1, _cc1, 1),</v>
      </c>
    </row>
    <row r="437" spans="7:7" x14ac:dyDescent="0.3">
      <c r="G437" s="52" t="str">
        <f ca="1"/>
        <v xml:space="preserve">      TAKE(first_titles, 1)),</v>
      </c>
    </row>
    <row r="438" spans="7:7" x14ac:dyDescent="0.3">
      <c r="G438" s="52" t="str">
        <f ca="1"/>
        <v xml:space="preserve">    _ttl2, IF( ISBLANK(second_titles),</v>
      </c>
    </row>
    <row r="439" spans="7:7" x14ac:dyDescent="0.3">
      <c r="G439" s="52" t="str">
        <f ca="1"/>
        <v xml:space="preserve">      SEQUENCE(1, _cc2, _cc1 + 1),</v>
      </c>
    </row>
    <row r="440" spans="7:7" x14ac:dyDescent="0.3">
      <c r="G440" s="52" t="str">
        <f ca="1"/>
        <v xml:space="preserve">      TAKE(second_titles, 1)),</v>
      </c>
    </row>
    <row r="441" spans="7:7" x14ac:dyDescent="0.3">
      <c r="G441" s="52" t="str">
        <f ca="1"/>
        <v xml:space="preserve">    _hdr, IF( ISBLANK(output_titles), 0, output_titles),</v>
      </c>
    </row>
    <row r="442" spans="7:7" x14ac:dyDescent="0.3">
      <c r="G442" s="52" t="str">
        <f ca="1"/>
        <v xml:space="preserve">    _inc, IF( AND( COLUMNS(_hdr) = 1, OR(ISLOGICAL(_hdr), ISNUMBER(_hdr))),</v>
      </c>
    </row>
    <row r="443" spans="7:7" x14ac:dyDescent="0.3">
      <c r="G443" s="52" t="str">
        <f ca="1"/>
        <v xml:space="preserve">      IF(_hdr, 1, 0),</v>
      </c>
    </row>
    <row r="444" spans="7:7" x14ac:dyDescent="0.3">
      <c r="G444" s="52" t="str">
        <f ca="1"/>
        <v xml:space="preserve">      -1),</v>
      </c>
    </row>
    <row r="445" spans="7:7" x14ac:dyDescent="0.3">
      <c r="G445" s="52" t="str">
        <f ca="1"/>
        <v xml:space="preserve">    _stk, IF( ISBLANK(simple_stack), FALSE, simple_stack),</v>
      </c>
    </row>
    <row r="446" spans="7:7" x14ac:dyDescent="0.3">
      <c r="G446" s="52" t="str">
        <f ca="1"/>
        <v xml:space="preserve">    _rep, IF( ISBLANK(replace_na), FALSE,</v>
      </c>
    </row>
    <row r="447" spans="7:7" x14ac:dyDescent="0.3">
      <c r="G447" s="52" t="str">
        <f ca="1"/>
        <v xml:space="preserve">      IF( AND( ISLOGICAL(replace_na), replace_na = FALSE), FALSE, TRUE)),</v>
      </c>
    </row>
    <row r="448" spans="7:7" x14ac:dyDescent="0.3">
      <c r="G448" s="52" t="str">
        <f ca="1"/>
        <v xml:space="preserve">    _str, IF( AND( ISLOGICAL(replace_na), replace_na), "", replace_na),</v>
      </c>
    </row>
    <row r="449" spans="2:8" x14ac:dyDescent="0.3">
      <c r="G449" s="52" t="str">
        <f ca="1"/>
        <v xml:space="preserve">    _out, VSTACK(_ttl1, _ttl2, _inc, _stk, HSTACK(_rep,_str)),</v>
      </c>
    </row>
    <row r="450" spans="2:8" x14ac:dyDescent="0.3">
      <c r="G450" s="52" t="str">
        <f ca="1"/>
        <v xml:space="preserve">    _rtn, IF(ISNA(_out), "", _out),</v>
      </c>
    </row>
    <row r="451" spans="2:8" x14ac:dyDescent="0.3">
      <c r="G451" s="52" t="str">
        <f ca="1"/>
        <v xml:space="preserve">    _rtn</v>
      </c>
    </row>
    <row r="452" spans="2:8" x14ac:dyDescent="0.3">
      <c r="G452" s="52" t="str">
        <f ca="1"/>
        <v xml:space="preserve">  )</v>
      </c>
    </row>
    <row r="453" spans="2:8" x14ac:dyDescent="0.3">
      <c r="G453" s="52" t="str">
        <f ca="1"/>
        <v>)(D424:E424, D425:E425, D426, D427, D428)</v>
      </c>
    </row>
    <row r="456" spans="2:8" x14ac:dyDescent="0.3">
      <c r="B456" s="74" t="s">
        <v>1062</v>
      </c>
      <c r="C456" s="13" t="s">
        <v>1063</v>
      </c>
    </row>
    <row r="457" spans="2:8" x14ac:dyDescent="0.3">
      <c r="D457" s="117" t="s">
        <v>649</v>
      </c>
      <c r="H457" s="117" t="s">
        <v>225</v>
      </c>
    </row>
    <row r="458" spans="2:8" x14ac:dyDescent="0.3">
      <c r="C458" s="24" t="s">
        <v>1064</v>
      </c>
      <c r="D458" s="25">
        <v>1</v>
      </c>
      <c r="E458" s="25">
        <v>2</v>
      </c>
      <c r="F458" s="25"/>
      <c r="H458" s="68" t="str" cm="1">
        <f t="array" ref="H458" xml:space="preserve"> _xlfn.LAMBDA(_xlpm.first_array,_xlpm.second_array,_xlop.first_titles,_xlop.second_titles,_xlop.output_titles,_xlop.simple_stack,_xlop.replace_na,
  _xlfn.LET(
    _xlpm._inp1, _xlpm.first_array,
    _xlpm._inp2, _xlpm.second_array,
    _xlpm._cc1, COLUMNS(_xlpm._inp1),
    _xlpm._cc2, COLUMNS(_xlpm._inp2),
    _xlpm._ttl1, IF( _xlfn.ISOMITTED(_xlpm.first_titles),
      _xlfn.SEQUENCE(1, _xlpm._cc1, 1),
      _xlfn.TAKE(_xlpm.first_titles, 1)),
    _xlpm._ttl2, IF( _xlfn.ISOMITTED(_xlpm.second_titles),
      _xlfn.SEQUENCE(1, _xlpm._cc2, _xlpm._cc1 + 1),
      _xlfn.TAKE(_xlpm.second_titles, 1)),
    _xlpm._hdr, IF( _xlfn.ISOMITTED(_xlpm.output_titles), 0, _xlpm.output_titles),
    _xlpm._ccH, COLUMNS(_xlpm._hdr),
    _xlpm._inc, IF( AND(_xlpm._ccH = 1, OR(ISLOGICAL(_xlpm._hdr), ISNUMBER(_xlpm._hdr))),
      IF(_xlpm._hdr, 1, 0),
      -1),
    _xlpm._stk, IF( _xlfn.ISOMITTED(_xlpm.simple_stack), FALSE, _xlpm.simple_stack),
    _xlpm._rep, IF( _xlfn.ISOMITTED(_xlpm.replace_na),
      FALSE,
      IF( AND( ISLOGICAL(_xlpm.replace_na), _xlpm.replace_na = FALSE), FALSE, TRUE)),
    _xlpm._str, IF( _xlfn.ISOMITTED(_xlpm.replace_na), 0,
      IF( AND( ISLOGICAL(_xlpm.replace_na), _xlpm.replace_na), "", _xlpm.replace_na)),
    _xlpm._inpChk, _xlfn.IFS(
      OR(
        COLUMNS(_xlpm._ttl1) &lt;&gt; _xlpm._cc1,
        COLUMNS(_xlpm._ttl2) &lt;&gt; _xlpm._cc2
      ), 2,
      OR(
        ROWS(_xlpm._hdr) &lt;&gt; 1,
        ROWS(_xlpm._str) &lt;&gt; 1, COLUMNS(_xlpm._str) &lt;&gt; 1, ISERROR(_xlpm._str),
        ROWS(_xlpm._stk) &lt;&gt; 1, COLUMNS(_xlpm._stk) &lt;&gt; 1,
        AND(NOT(ISLOGICAL(_xlpm._stk)), NOT(ISNUMBER(_xlpm._stk)))
      ), 3,
      TRUE, 1
    ),
    _xlpm._rtn, "OK",
    CHOOSE(_xlpm._inpChk, _xlpm._rtn, _xlfn.LAMBDA(0), #VALUE!)
  )
)(D458:E458, D459:E459, D460:E460, D461:E461, D462:F462, D463, D464)</f>
        <v>OK</v>
      </c>
    </row>
    <row r="459" spans="2:8" x14ac:dyDescent="0.3">
      <c r="C459" s="24" t="s">
        <v>1065</v>
      </c>
      <c r="D459" s="25">
        <v>3</v>
      </c>
      <c r="E459" s="25">
        <v>4</v>
      </c>
      <c r="F459" s="25"/>
      <c r="H459" s="52" t="str" cm="1">
        <f t="array" aca="1" ref="H459:H498" ca="1" xml:space="preserve"> _xlfn.TEXTSPLIT( _xlfn.FORMULATEXT(H458), , CHAR(10))</f>
        <v>= LAMBDA(first_array,second_array,[first_titles],[second_titles],[output_titles],[simple_stack],[replace_na],</v>
      </c>
    </row>
    <row r="460" spans="2:8" x14ac:dyDescent="0.3">
      <c r="C460" s="24" t="s">
        <v>1056</v>
      </c>
      <c r="D460" s="25">
        <v>1</v>
      </c>
      <c r="E460" s="25">
        <v>2</v>
      </c>
      <c r="F460" s="25"/>
      <c r="H460" s="52" t="str">
        <f ca="1"/>
        <v xml:space="preserve">  LET(</v>
      </c>
    </row>
    <row r="461" spans="2:8" x14ac:dyDescent="0.3">
      <c r="C461" s="24" t="s">
        <v>1057</v>
      </c>
      <c r="D461" s="25">
        <v>3</v>
      </c>
      <c r="E461" s="25">
        <v>4</v>
      </c>
      <c r="F461" s="25"/>
      <c r="H461" s="52" t="str">
        <f ca="1"/>
        <v xml:space="preserve">    _inp1, first_array,</v>
      </c>
    </row>
    <row r="462" spans="2:8" x14ac:dyDescent="0.3">
      <c r="C462" s="24" t="s">
        <v>1058</v>
      </c>
      <c r="D462" s="25" t="s">
        <v>338</v>
      </c>
      <c r="E462" s="25" t="s">
        <v>339</v>
      </c>
      <c r="F462" s="25" t="s">
        <v>340</v>
      </c>
      <c r="H462" s="52" t="str">
        <f ca="1"/>
        <v xml:space="preserve">    _inp2, second_array,</v>
      </c>
    </row>
    <row r="463" spans="2:8" x14ac:dyDescent="0.3">
      <c r="C463" s="24" t="s">
        <v>1059</v>
      </c>
      <c r="D463" s="25" t="b">
        <v>1</v>
      </c>
      <c r="H463" s="52" t="str">
        <f ca="1"/>
        <v xml:space="preserve">    _cc1, COLUMNS(_inp1),</v>
      </c>
    </row>
    <row r="464" spans="2:8" x14ac:dyDescent="0.3">
      <c r="C464" s="24" t="s">
        <v>1060</v>
      </c>
      <c r="D464" s="25"/>
      <c r="H464" s="52" t="str">
        <f ca="1"/>
        <v xml:space="preserve">    _cc2, COLUMNS(_inp2),</v>
      </c>
    </row>
    <row r="465" spans="3:8" x14ac:dyDescent="0.3">
      <c r="C465" s="24"/>
      <c r="H465" s="52" t="str">
        <f ca="1"/>
        <v xml:space="preserve">    _ttl1, IF( ISOMITTED(first_titles),</v>
      </c>
    </row>
    <row r="466" spans="3:8" x14ac:dyDescent="0.3">
      <c r="C466" s="24"/>
      <c r="H466" s="52" t="str">
        <f ca="1"/>
        <v xml:space="preserve">      SEQUENCE(1, _cc1, 1),</v>
      </c>
    </row>
    <row r="467" spans="3:8" x14ac:dyDescent="0.3">
      <c r="C467" s="24"/>
      <c r="H467" s="52" t="str">
        <f ca="1"/>
        <v xml:space="preserve">      TAKE(first_titles, 1)),</v>
      </c>
    </row>
    <row r="468" spans="3:8" x14ac:dyDescent="0.3">
      <c r="C468" s="24"/>
      <c r="H468" s="52" t="str">
        <f ca="1"/>
        <v xml:space="preserve">    _ttl2, IF( ISOMITTED(second_titles),</v>
      </c>
    </row>
    <row r="469" spans="3:8" x14ac:dyDescent="0.3">
      <c r="C469" s="24"/>
      <c r="H469" s="52" t="str">
        <f ca="1"/>
        <v xml:space="preserve">      SEQUENCE(1, _cc2, _cc1 + 1),</v>
      </c>
    </row>
    <row r="470" spans="3:8" x14ac:dyDescent="0.3">
      <c r="C470" s="24"/>
      <c r="H470" s="52" t="str">
        <f ca="1"/>
        <v xml:space="preserve">      TAKE(second_titles, 1)),</v>
      </c>
    </row>
    <row r="471" spans="3:8" x14ac:dyDescent="0.3">
      <c r="C471" s="24"/>
      <c r="H471" s="52" t="str">
        <f ca="1"/>
        <v xml:space="preserve">    _hdr, IF( ISOMITTED(output_titles), 0, output_titles),</v>
      </c>
    </row>
    <row r="472" spans="3:8" x14ac:dyDescent="0.3">
      <c r="C472" s="24"/>
      <c r="H472" s="52" t="str">
        <f ca="1"/>
        <v xml:space="preserve">    _ccH, COLUMNS(_hdr),</v>
      </c>
    </row>
    <row r="473" spans="3:8" x14ac:dyDescent="0.3">
      <c r="C473" s="24"/>
      <c r="H473" s="52" t="str">
        <f ca="1"/>
        <v xml:space="preserve">    _inc, IF( AND(_ccH = 1, OR(ISLOGICAL(_hdr), ISNUMBER(_hdr))),</v>
      </c>
    </row>
    <row r="474" spans="3:8" x14ac:dyDescent="0.3">
      <c r="C474" s="24"/>
      <c r="H474" s="52" t="str">
        <f ca="1"/>
        <v xml:space="preserve">      IF(_hdr, 1, 0),</v>
      </c>
    </row>
    <row r="475" spans="3:8" x14ac:dyDescent="0.3">
      <c r="C475" s="24"/>
      <c r="H475" s="52" t="str">
        <f ca="1"/>
        <v xml:space="preserve">      -1),</v>
      </c>
    </row>
    <row r="476" spans="3:8" x14ac:dyDescent="0.3">
      <c r="C476" s="24"/>
      <c r="H476" s="52" t="str">
        <f ca="1"/>
        <v xml:space="preserve">    _stk, IF( ISOMITTED(simple_stack), FALSE, simple_stack),</v>
      </c>
    </row>
    <row r="477" spans="3:8" x14ac:dyDescent="0.3">
      <c r="C477" s="24"/>
      <c r="H477" s="52" t="str">
        <f ca="1"/>
        <v xml:space="preserve">    _rep, IF( ISOMITTED(replace_na),</v>
      </c>
    </row>
    <row r="478" spans="3:8" x14ac:dyDescent="0.3">
      <c r="C478" s="24"/>
      <c r="H478" s="52" t="str">
        <f ca="1"/>
        <v xml:space="preserve">      FALSE,</v>
      </c>
    </row>
    <row r="479" spans="3:8" x14ac:dyDescent="0.3">
      <c r="C479" s="24"/>
      <c r="H479" s="52" t="str">
        <f ca="1"/>
        <v xml:space="preserve">      IF( AND( ISLOGICAL(replace_na), replace_na = FALSE), FALSE, TRUE)),</v>
      </c>
    </row>
    <row r="480" spans="3:8" x14ac:dyDescent="0.3">
      <c r="C480" s="24"/>
      <c r="H480" s="52" t="str">
        <f ca="1"/>
        <v xml:space="preserve">    _str, IF( ISOMITTED(replace_na), 0,</v>
      </c>
    </row>
    <row r="481" spans="3:8" x14ac:dyDescent="0.3">
      <c r="C481" s="24"/>
      <c r="H481" s="52" t="str">
        <f ca="1"/>
        <v xml:space="preserve">      IF( AND( ISLOGICAL(replace_na), replace_na), "", replace_na)),</v>
      </c>
    </row>
    <row r="482" spans="3:8" x14ac:dyDescent="0.3">
      <c r="C482" s="24"/>
      <c r="H482" s="52" t="str">
        <f ca="1"/>
        <v xml:space="preserve">    _inpChk, IFS(</v>
      </c>
    </row>
    <row r="483" spans="3:8" x14ac:dyDescent="0.3">
      <c r="C483" s="24"/>
      <c r="H483" s="52" t="str">
        <f ca="1"/>
        <v xml:space="preserve">      OR(</v>
      </c>
    </row>
    <row r="484" spans="3:8" x14ac:dyDescent="0.3">
      <c r="C484" s="24"/>
      <c r="H484" s="52" t="str">
        <f ca="1"/>
        <v xml:space="preserve">        COLUMNS(_ttl1) &lt;&gt; _cc1,</v>
      </c>
    </row>
    <row r="485" spans="3:8" x14ac:dyDescent="0.3">
      <c r="C485" s="24"/>
      <c r="H485" s="52" t="str">
        <f ca="1"/>
        <v xml:space="preserve">        COLUMNS(_ttl2) &lt;&gt; _cc2</v>
      </c>
    </row>
    <row r="486" spans="3:8" x14ac:dyDescent="0.3">
      <c r="C486" s="24"/>
      <c r="H486" s="52" t="str">
        <f ca="1"/>
        <v xml:space="preserve">      ), 2,</v>
      </c>
    </row>
    <row r="487" spans="3:8" x14ac:dyDescent="0.3">
      <c r="C487" s="24"/>
      <c r="H487" s="52" t="str">
        <f ca="1"/>
        <v xml:space="preserve">      OR(</v>
      </c>
    </row>
    <row r="488" spans="3:8" x14ac:dyDescent="0.3">
      <c r="C488" s="24"/>
      <c r="H488" s="52" t="str">
        <f ca="1"/>
        <v xml:space="preserve">        ROWS(_hdr) &lt;&gt; 1,</v>
      </c>
    </row>
    <row r="489" spans="3:8" x14ac:dyDescent="0.3">
      <c r="C489" s="24"/>
      <c r="H489" s="52" t="str">
        <f ca="1"/>
        <v xml:space="preserve">        ROWS(_str) &lt;&gt; 1, COLUMNS(_str) &lt;&gt; 1, ISERROR(_str),</v>
      </c>
    </row>
    <row r="490" spans="3:8" x14ac:dyDescent="0.3">
      <c r="C490" s="24"/>
      <c r="H490" s="52" t="str">
        <f ca="1"/>
        <v xml:space="preserve">        ROWS(_stk) &lt;&gt; 1, COLUMNS(_stk) &lt;&gt; 1,</v>
      </c>
    </row>
    <row r="491" spans="3:8" x14ac:dyDescent="0.3">
      <c r="C491" s="24"/>
      <c r="H491" s="52" t="str">
        <f ca="1"/>
        <v xml:space="preserve">        AND(NOT(ISLOGICAL(_stk)), NOT(ISNUMBER(_stk)))</v>
      </c>
    </row>
    <row r="492" spans="3:8" x14ac:dyDescent="0.3">
      <c r="C492" s="24"/>
      <c r="H492" s="52" t="str">
        <f ca="1"/>
        <v xml:space="preserve">      ), 3,</v>
      </c>
    </row>
    <row r="493" spans="3:8" x14ac:dyDescent="0.3">
      <c r="C493" s="24"/>
      <c r="H493" s="52" t="str">
        <f ca="1"/>
        <v xml:space="preserve">      TRUE, 1</v>
      </c>
    </row>
    <row r="494" spans="3:8" x14ac:dyDescent="0.3">
      <c r="C494" s="24"/>
      <c r="H494" s="52" t="str">
        <f ca="1"/>
        <v xml:space="preserve">    ),</v>
      </c>
    </row>
    <row r="495" spans="3:8" x14ac:dyDescent="0.3">
      <c r="C495" s="24"/>
      <c r="H495" s="52" t="str">
        <f ca="1"/>
        <v xml:space="preserve">    _rtn, "OK",</v>
      </c>
    </row>
    <row r="496" spans="3:8" x14ac:dyDescent="0.3">
      <c r="C496" s="24"/>
      <c r="H496" s="52" t="str">
        <f ca="1"/>
        <v xml:space="preserve">    CHOOSE(_inpChk, _rtn, LAMBDA(0), #VALUE!)</v>
      </c>
    </row>
    <row r="497" spans="2:8" x14ac:dyDescent="0.3">
      <c r="C497" s="24"/>
      <c r="H497" s="52" t="str">
        <f ca="1"/>
        <v xml:space="preserve">  )</v>
      </c>
    </row>
    <row r="498" spans="2:8" x14ac:dyDescent="0.3">
      <c r="C498" s="24"/>
      <c r="H498" s="52" t="str">
        <f ca="1"/>
        <v>)(D458:E458, D459:E459, D460:E460, D461:E461, D462:F462, D463, D464)</v>
      </c>
    </row>
    <row r="499" spans="2:8" x14ac:dyDescent="0.3">
      <c r="C499" s="24"/>
    </row>
    <row r="501" spans="2:8" s="8" customFormat="1" ht="16.2" thickBot="1" x14ac:dyDescent="0.35">
      <c r="B501" s="9">
        <f xml:space="preserve"> MAX(B$1:B500) + 1</f>
        <v>2</v>
      </c>
      <c r="C501" s="8" t="s">
        <v>6</v>
      </c>
    </row>
    <row r="503" spans="2:8" x14ac:dyDescent="0.3">
      <c r="B503" s="13" t="s">
        <v>72</v>
      </c>
    </row>
    <row r="504" spans="2:8" x14ac:dyDescent="0.3">
      <c r="C504" t="s">
        <v>1066</v>
      </c>
    </row>
    <row r="505" spans="2:8" x14ac:dyDescent="0.3">
      <c r="C505" t="s">
        <v>1067</v>
      </c>
    </row>
    <row r="506" spans="2:8" x14ac:dyDescent="0.3">
      <c r="C506" t="s">
        <v>1068</v>
      </c>
    </row>
    <row r="507" spans="2:8" x14ac:dyDescent="0.3">
      <c r="C507" t="s">
        <v>1069</v>
      </c>
    </row>
    <row r="509" spans="2:8" x14ac:dyDescent="0.3">
      <c r="B509" s="13" t="s">
        <v>73</v>
      </c>
    </row>
    <row r="510" spans="2:8" x14ac:dyDescent="0.3">
      <c r="C510" s="119" t="s">
        <v>1070</v>
      </c>
      <c r="E510" s="62" t="s">
        <v>258</v>
      </c>
      <c r="F510" t="s">
        <v>1071</v>
      </c>
    </row>
    <row r="511" spans="2:8" x14ac:dyDescent="0.3">
      <c r="C511" s="119" t="s">
        <v>1072</v>
      </c>
      <c r="E511" s="62" t="s">
        <v>258</v>
      </c>
      <c r="F511" t="s">
        <v>1073</v>
      </c>
    </row>
    <row r="512" spans="2:8" x14ac:dyDescent="0.3">
      <c r="C512" s="119" t="s">
        <v>1074</v>
      </c>
      <c r="E512" s="63" t="s">
        <v>261</v>
      </c>
      <c r="F512" t="s">
        <v>1075</v>
      </c>
    </row>
    <row r="513" spans="3:6" x14ac:dyDescent="0.3">
      <c r="F513" s="54" t="s">
        <v>1076</v>
      </c>
    </row>
    <row r="514" spans="3:6" x14ac:dyDescent="0.3">
      <c r="F514" s="54" t="s">
        <v>1077</v>
      </c>
    </row>
    <row r="515" spans="3:6" x14ac:dyDescent="0.3">
      <c r="C515" s="119" t="s">
        <v>1078</v>
      </c>
      <c r="E515" s="63" t="s">
        <v>261</v>
      </c>
      <c r="F515" t="s">
        <v>1079</v>
      </c>
    </row>
    <row r="516" spans="3:6" x14ac:dyDescent="0.3">
      <c r="C516" s="119"/>
      <c r="F516" s="54" t="s">
        <v>1080</v>
      </c>
    </row>
    <row r="517" spans="3:6" x14ac:dyDescent="0.3">
      <c r="F517" s="54" t="s">
        <v>1076</v>
      </c>
    </row>
    <row r="518" spans="3:6" x14ac:dyDescent="0.3">
      <c r="F518" s="54" t="s">
        <v>1081</v>
      </c>
    </row>
    <row r="519" spans="3:6" x14ac:dyDescent="0.3">
      <c r="C519" s="119" t="s">
        <v>1082</v>
      </c>
      <c r="E519" s="63" t="s">
        <v>261</v>
      </c>
      <c r="F519" t="s">
        <v>1083</v>
      </c>
    </row>
    <row r="520" spans="3:6" x14ac:dyDescent="0.3">
      <c r="F520" s="54" t="s">
        <v>1084</v>
      </c>
    </row>
    <row r="521" spans="3:6" x14ac:dyDescent="0.3">
      <c r="F521" s="54" t="s">
        <v>1085</v>
      </c>
    </row>
    <row r="522" spans="3:6" x14ac:dyDescent="0.3">
      <c r="F522" s="54" t="s">
        <v>1086</v>
      </c>
    </row>
    <row r="523" spans="3:6" x14ac:dyDescent="0.3">
      <c r="C523" s="119" t="s">
        <v>1087</v>
      </c>
      <c r="E523" s="63" t="s">
        <v>261</v>
      </c>
      <c r="F523" t="s">
        <v>1088</v>
      </c>
    </row>
    <row r="524" spans="3:6" x14ac:dyDescent="0.3">
      <c r="C524" s="119"/>
      <c r="F524" t="s">
        <v>1089</v>
      </c>
    </row>
    <row r="525" spans="3:6" x14ac:dyDescent="0.3">
      <c r="C525" s="119"/>
      <c r="F525" t="s">
        <v>1090</v>
      </c>
    </row>
    <row r="526" spans="3:6" x14ac:dyDescent="0.3">
      <c r="C526" s="119" t="s">
        <v>1091</v>
      </c>
      <c r="E526" s="63" t="s">
        <v>261</v>
      </c>
      <c r="F526" t="s">
        <v>1092</v>
      </c>
    </row>
    <row r="527" spans="3:6" x14ac:dyDescent="0.3">
      <c r="F527" s="54" t="s">
        <v>1093</v>
      </c>
    </row>
    <row r="528" spans="3:6" x14ac:dyDescent="0.3">
      <c r="F528" s="54" t="s">
        <v>1094</v>
      </c>
    </row>
    <row r="529" spans="2:6" x14ac:dyDescent="0.3">
      <c r="F529" s="54" t="s">
        <v>1095</v>
      </c>
    </row>
    <row r="531" spans="2:6" x14ac:dyDescent="0.3">
      <c r="B531" s="13" t="s">
        <v>74</v>
      </c>
    </row>
    <row r="532" spans="2:6" x14ac:dyDescent="0.3">
      <c r="C532" s="120" t="e">
        <v>#VALUE!</v>
      </c>
      <c r="E532" t="s">
        <v>1096</v>
      </c>
    </row>
    <row r="533" spans="2:6" x14ac:dyDescent="0.3">
      <c r="C533" s="120" t="e" vm="1">
        <v>#VALUE!</v>
      </c>
      <c r="E533" t="s">
        <v>1097</v>
      </c>
    </row>
    <row r="534" spans="2:6" x14ac:dyDescent="0.3">
      <c r="C534" s="120" t="e">
        <v>#VALUE!</v>
      </c>
      <c r="E534" t="s">
        <v>1098</v>
      </c>
    </row>
    <row r="535" spans="2:6" x14ac:dyDescent="0.3">
      <c r="C535" s="120" t="e">
        <v>#VALUE!</v>
      </c>
      <c r="E535" s="100" t="s">
        <v>1099</v>
      </c>
    </row>
    <row r="537" spans="2:6" x14ac:dyDescent="0.3">
      <c r="B537" s="13" t="s">
        <v>1100</v>
      </c>
    </row>
    <row r="538" spans="2:6" x14ac:dyDescent="0.3">
      <c r="C538" t="s">
        <v>1101</v>
      </c>
    </row>
    <row r="539" spans="2:6" x14ac:dyDescent="0.3">
      <c r="C539" t="s">
        <v>1102</v>
      </c>
    </row>
    <row r="540" spans="2:6" x14ac:dyDescent="0.3">
      <c r="C540" t="s">
        <v>1069</v>
      </c>
    </row>
    <row r="541" spans="2:6" x14ac:dyDescent="0.3">
      <c r="C541" t="s">
        <v>1103</v>
      </c>
    </row>
    <row r="543" spans="2:6" x14ac:dyDescent="0.3">
      <c r="B543" s="13" t="s">
        <v>75</v>
      </c>
    </row>
    <row r="544" spans="2:6" x14ac:dyDescent="0.3">
      <c r="C544" s="121" t="s">
        <v>107</v>
      </c>
    </row>
    <row r="545" spans="3:3" x14ac:dyDescent="0.3">
      <c r="C545" s="35" t="s">
        <v>836</v>
      </c>
    </row>
    <row r="546" spans="3:3" x14ac:dyDescent="0.3">
      <c r="C546" s="122" t="s">
        <v>1104</v>
      </c>
    </row>
    <row r="547" spans="3:3" x14ac:dyDescent="0.3">
      <c r="C547" s="122" t="s">
        <v>1105</v>
      </c>
    </row>
    <row r="548" spans="3:3" x14ac:dyDescent="0.3">
      <c r="C548" s="122" t="s">
        <v>1106</v>
      </c>
    </row>
    <row r="549" spans="3:3" x14ac:dyDescent="0.3">
      <c r="C549" s="122" t="s">
        <v>1107</v>
      </c>
    </row>
    <row r="550" spans="3:3" x14ac:dyDescent="0.3">
      <c r="C550" s="122" t="s">
        <v>1108</v>
      </c>
    </row>
    <row r="551" spans="3:3" x14ac:dyDescent="0.3">
      <c r="C551" s="122" t="s">
        <v>1109</v>
      </c>
    </row>
    <row r="552" spans="3:3" x14ac:dyDescent="0.3">
      <c r="C552" s="122" t="s">
        <v>1110</v>
      </c>
    </row>
    <row r="553" spans="3:3" x14ac:dyDescent="0.3">
      <c r="C553" s="35" t="s">
        <v>844</v>
      </c>
    </row>
    <row r="554" spans="3:3" x14ac:dyDescent="0.3">
      <c r="C554" s="123" t="s">
        <v>80</v>
      </c>
    </row>
    <row r="555" spans="3:3" x14ac:dyDescent="0.3">
      <c r="C555" s="124" t="s">
        <v>1111</v>
      </c>
    </row>
    <row r="556" spans="3:3" x14ac:dyDescent="0.3">
      <c r="C556" s="124" t="s">
        <v>1112</v>
      </c>
    </row>
    <row r="557" spans="3:3" x14ac:dyDescent="0.3">
      <c r="C557" s="124" t="s">
        <v>1113</v>
      </c>
    </row>
    <row r="558" spans="3:3" x14ac:dyDescent="0.3">
      <c r="C558" s="124" t="s">
        <v>1114</v>
      </c>
    </row>
    <row r="559" spans="3:3" x14ac:dyDescent="0.3">
      <c r="C559" s="36" t="s">
        <v>1115</v>
      </c>
    </row>
    <row r="560" spans="3:3" x14ac:dyDescent="0.3">
      <c r="C560" s="36" t="s">
        <v>1116</v>
      </c>
    </row>
    <row r="561" spans="3:3" x14ac:dyDescent="0.3">
      <c r="C561" s="124" t="s">
        <v>1117</v>
      </c>
    </row>
    <row r="562" spans="3:3" x14ac:dyDescent="0.3">
      <c r="C562" s="125" t="s">
        <v>1118</v>
      </c>
    </row>
    <row r="563" spans="3:3" x14ac:dyDescent="0.3">
      <c r="C563" s="125" t="s">
        <v>1119</v>
      </c>
    </row>
    <row r="564" spans="3:3" x14ac:dyDescent="0.3">
      <c r="C564" s="124" t="s">
        <v>1120</v>
      </c>
    </row>
    <row r="565" spans="3:3" x14ac:dyDescent="0.3">
      <c r="C565" s="125" t="s">
        <v>1121</v>
      </c>
    </row>
    <row r="566" spans="3:3" x14ac:dyDescent="0.3">
      <c r="C566" s="125" t="s">
        <v>1122</v>
      </c>
    </row>
    <row r="567" spans="3:3" x14ac:dyDescent="0.3">
      <c r="C567" s="124" t="s">
        <v>1123</v>
      </c>
    </row>
    <row r="568" spans="3:3" x14ac:dyDescent="0.3">
      <c r="C568" s="124" t="s">
        <v>1124</v>
      </c>
    </row>
    <row r="569" spans="3:3" x14ac:dyDescent="0.3">
      <c r="C569" s="124" t="s">
        <v>1125</v>
      </c>
    </row>
    <row r="570" spans="3:3" x14ac:dyDescent="0.3">
      <c r="C570" s="125" t="s">
        <v>1126</v>
      </c>
    </row>
    <row r="571" spans="3:3" x14ac:dyDescent="0.3">
      <c r="C571" s="125" t="s">
        <v>1127</v>
      </c>
    </row>
    <row r="572" spans="3:3" x14ac:dyDescent="0.3">
      <c r="C572" s="124" t="s">
        <v>1128</v>
      </c>
    </row>
    <row r="573" spans="3:3" x14ac:dyDescent="0.3">
      <c r="C573" s="124" t="s">
        <v>1129</v>
      </c>
    </row>
    <row r="574" spans="3:3" x14ac:dyDescent="0.3">
      <c r="C574" s="125" t="s">
        <v>1130</v>
      </c>
    </row>
    <row r="575" spans="3:3" x14ac:dyDescent="0.3">
      <c r="C575" s="125" t="s">
        <v>1131</v>
      </c>
    </row>
    <row r="576" spans="3:3" x14ac:dyDescent="0.3">
      <c r="C576" s="124" t="s">
        <v>1132</v>
      </c>
    </row>
    <row r="577" spans="3:3" x14ac:dyDescent="0.3">
      <c r="C577" s="125" t="s">
        <v>1133</v>
      </c>
    </row>
    <row r="578" spans="3:3" x14ac:dyDescent="0.3">
      <c r="C578" s="36" t="s">
        <v>854</v>
      </c>
    </row>
    <row r="579" spans="3:3" x14ac:dyDescent="0.3">
      <c r="C579" s="36" t="s">
        <v>1134</v>
      </c>
    </row>
    <row r="580" spans="3:3" x14ac:dyDescent="0.3">
      <c r="C580" s="36" t="s">
        <v>1135</v>
      </c>
    </row>
    <row r="581" spans="3:3" x14ac:dyDescent="0.3">
      <c r="C581" s="36" t="s">
        <v>1136</v>
      </c>
    </row>
    <row r="582" spans="3:3" x14ac:dyDescent="0.3">
      <c r="C582" s="124" t="s">
        <v>84</v>
      </c>
    </row>
    <row r="583" spans="3:3" x14ac:dyDescent="0.3">
      <c r="C583" s="125" t="s">
        <v>858</v>
      </c>
    </row>
    <row r="584" spans="3:3" x14ac:dyDescent="0.3">
      <c r="C584" s="126" t="s">
        <v>1137</v>
      </c>
    </row>
    <row r="585" spans="3:3" x14ac:dyDescent="0.3">
      <c r="C585" s="126" t="s">
        <v>1138</v>
      </c>
    </row>
    <row r="586" spans="3:3" x14ac:dyDescent="0.3">
      <c r="C586" s="125" t="s">
        <v>1139</v>
      </c>
    </row>
    <row r="587" spans="3:3" x14ac:dyDescent="0.3">
      <c r="C587" s="125" t="s">
        <v>858</v>
      </c>
    </row>
    <row r="588" spans="3:3" x14ac:dyDescent="0.3">
      <c r="C588" s="126" t="s">
        <v>1140</v>
      </c>
    </row>
    <row r="589" spans="3:3" x14ac:dyDescent="0.3">
      <c r="C589" s="126" t="s">
        <v>1141</v>
      </c>
    </row>
    <row r="590" spans="3:3" x14ac:dyDescent="0.3">
      <c r="C590" s="126" t="s">
        <v>1142</v>
      </c>
    </row>
    <row r="591" spans="3:3" x14ac:dyDescent="0.3">
      <c r="C591" s="126" t="s">
        <v>1143</v>
      </c>
    </row>
    <row r="592" spans="3:3" x14ac:dyDescent="0.3">
      <c r="C592" s="125" t="s">
        <v>1144</v>
      </c>
    </row>
    <row r="593" spans="3:3" x14ac:dyDescent="0.3">
      <c r="C593" s="125" t="s">
        <v>87</v>
      </c>
    </row>
    <row r="594" spans="3:3" x14ac:dyDescent="0.3">
      <c r="C594" s="124" t="s">
        <v>88</v>
      </c>
    </row>
    <row r="595" spans="3:3" x14ac:dyDescent="0.3">
      <c r="C595" s="36" t="s">
        <v>1145</v>
      </c>
    </row>
    <row r="596" spans="3:3" x14ac:dyDescent="0.3">
      <c r="C596" s="36" t="s">
        <v>1146</v>
      </c>
    </row>
    <row r="597" spans="3:3" x14ac:dyDescent="0.3">
      <c r="C597" s="124" t="s">
        <v>1147</v>
      </c>
    </row>
    <row r="598" spans="3:3" x14ac:dyDescent="0.3">
      <c r="C598" s="125" t="s">
        <v>1148</v>
      </c>
    </row>
    <row r="599" spans="3:3" x14ac:dyDescent="0.3">
      <c r="C599" s="126" t="s">
        <v>1149</v>
      </c>
    </row>
    <row r="600" spans="3:3" x14ac:dyDescent="0.3">
      <c r="C600" s="125" t="s">
        <v>290</v>
      </c>
    </row>
    <row r="601" spans="3:3" x14ac:dyDescent="0.3">
      <c r="C601" s="125" t="s">
        <v>1150</v>
      </c>
    </row>
    <row r="602" spans="3:3" x14ac:dyDescent="0.3">
      <c r="C602" s="124" t="s">
        <v>88</v>
      </c>
    </row>
    <row r="603" spans="3:3" x14ac:dyDescent="0.3">
      <c r="C603" s="36" t="s">
        <v>1151</v>
      </c>
    </row>
    <row r="604" spans="3:3" x14ac:dyDescent="0.3">
      <c r="C604" s="124" t="s">
        <v>1152</v>
      </c>
    </row>
    <row r="605" spans="3:3" x14ac:dyDescent="0.3">
      <c r="C605" s="125" t="s">
        <v>1153</v>
      </c>
    </row>
    <row r="606" spans="3:3" x14ac:dyDescent="0.3">
      <c r="C606" s="124" t="s">
        <v>290</v>
      </c>
    </row>
    <row r="607" spans="3:3" x14ac:dyDescent="0.3">
      <c r="C607" s="36" t="s">
        <v>1154</v>
      </c>
    </row>
    <row r="608" spans="3:3" x14ac:dyDescent="0.3">
      <c r="C608" s="124" t="s">
        <v>1155</v>
      </c>
    </row>
    <row r="609" spans="3:3" x14ac:dyDescent="0.3">
      <c r="C609" s="125" t="s">
        <v>1156</v>
      </c>
    </row>
    <row r="610" spans="3:3" x14ac:dyDescent="0.3">
      <c r="C610" s="125" t="s">
        <v>1148</v>
      </c>
    </row>
    <row r="611" spans="3:3" x14ac:dyDescent="0.3">
      <c r="C611" s="126" t="s">
        <v>1157</v>
      </c>
    </row>
    <row r="612" spans="3:3" x14ac:dyDescent="0.3">
      <c r="C612" s="125" t="s">
        <v>1158</v>
      </c>
    </row>
    <row r="613" spans="3:3" x14ac:dyDescent="0.3">
      <c r="C613" s="124" t="s">
        <v>88</v>
      </c>
    </row>
    <row r="614" spans="3:3" x14ac:dyDescent="0.3">
      <c r="C614" s="124" t="s">
        <v>1159</v>
      </c>
    </row>
    <row r="615" spans="3:3" x14ac:dyDescent="0.3">
      <c r="C615" s="36" t="s">
        <v>1160</v>
      </c>
    </row>
    <row r="616" spans="3:3" x14ac:dyDescent="0.3">
      <c r="C616" s="124" t="s">
        <v>1161</v>
      </c>
    </row>
    <row r="617" spans="3:3" x14ac:dyDescent="0.3">
      <c r="C617" s="36" t="s">
        <v>1162</v>
      </c>
    </row>
    <row r="618" spans="3:3" x14ac:dyDescent="0.3">
      <c r="C618" s="36" t="s">
        <v>1163</v>
      </c>
    </row>
    <row r="619" spans="3:3" x14ac:dyDescent="0.3">
      <c r="C619" s="124" t="s">
        <v>1164</v>
      </c>
    </row>
    <row r="620" spans="3:3" x14ac:dyDescent="0.3">
      <c r="C620" s="125" t="s">
        <v>1165</v>
      </c>
    </row>
    <row r="621" spans="3:3" x14ac:dyDescent="0.3">
      <c r="C621" s="124" t="s">
        <v>88</v>
      </c>
    </row>
    <row r="622" spans="3:3" x14ac:dyDescent="0.3">
      <c r="C622" s="36" t="s">
        <v>1166</v>
      </c>
    </row>
    <row r="623" spans="3:3" x14ac:dyDescent="0.3">
      <c r="C623" s="124" t="s">
        <v>1167</v>
      </c>
    </row>
    <row r="624" spans="3:3" x14ac:dyDescent="0.3">
      <c r="C624" s="125" t="s">
        <v>1168</v>
      </c>
    </row>
    <row r="625" spans="2:3" x14ac:dyDescent="0.3">
      <c r="C625" s="125" t="s">
        <v>1169</v>
      </c>
    </row>
    <row r="626" spans="2:3" x14ac:dyDescent="0.3">
      <c r="C626" s="124" t="s">
        <v>88</v>
      </c>
    </row>
    <row r="627" spans="2:3" x14ac:dyDescent="0.3">
      <c r="C627" s="36" t="s">
        <v>900</v>
      </c>
    </row>
    <row r="628" spans="2:3" x14ac:dyDescent="0.3">
      <c r="C628" s="124" t="s">
        <v>105</v>
      </c>
    </row>
    <row r="629" spans="2:3" x14ac:dyDescent="0.3">
      <c r="C629" s="123" t="s">
        <v>106</v>
      </c>
    </row>
    <row r="630" spans="2:3" x14ac:dyDescent="0.3">
      <c r="C630" s="66" t="s">
        <v>106</v>
      </c>
    </row>
    <row r="633" spans="2:3" x14ac:dyDescent="0.3">
      <c r="C633" s="13" t="s">
        <v>115</v>
      </c>
    </row>
    <row r="634" spans="2:3" x14ac:dyDescent="0.3">
      <c r="C634" s="121" t="s">
        <v>1170</v>
      </c>
    </row>
    <row r="636" spans="2:3" ht="14.4" thickBot="1" x14ac:dyDescent="0.35"/>
    <row r="637" spans="2:3" s="5" customFormat="1" x14ac:dyDescent="0.3">
      <c r="B637" s="5" t="s">
        <v>0</v>
      </c>
    </row>
  </sheetData>
  <conditionalFormatting sqref="C127:F137 C145:F155 C215:F225 C228:G238">
    <cfRule type="expression" dxfId="25" priority="17">
      <formula>ISNA(C127)</formula>
    </cfRule>
    <cfRule type="expression" dxfId="24" priority="18">
      <formula>NOT(ISBLANK(C127))</formula>
    </cfRule>
  </conditionalFormatting>
  <conditionalFormatting sqref="C127:F137">
    <cfRule type="expression" dxfId="23" priority="16">
      <formula>AND($I$127=1,NOT(ISBLANK(C127)),(ROW(C127)-ROW($C$127)) = 0)</formula>
    </cfRule>
  </conditionalFormatting>
  <conditionalFormatting sqref="C145:F155">
    <cfRule type="expression" dxfId="22" priority="15">
      <formula>AND($I$145=1,NOT(ISBLANK(C145)),(ROW(C145)-ROW($C$145)) = 0)</formula>
    </cfRule>
  </conditionalFormatting>
  <conditionalFormatting sqref="C215:F225">
    <cfRule type="expression" dxfId="21" priority="14">
      <formula>AND($I$216=1,NOT(ISBLANK(C215)),(ROW(C215)-ROW($C$215)) = 0)</formula>
    </cfRule>
  </conditionalFormatting>
  <conditionalFormatting sqref="C267:F277">
    <cfRule type="expression" dxfId="20" priority="4">
      <formula>AND($J$267=1,NOT(ISBLANK(C267)),(ROW(C267)-ROW($C$267)) = 0)</formula>
    </cfRule>
    <cfRule type="expression" dxfId="19" priority="5">
      <formula>ISNA(C267)</formula>
    </cfRule>
    <cfRule type="expression" dxfId="18" priority="6">
      <formula>NOT(ISBLANK(C267))</formula>
    </cfRule>
  </conditionalFormatting>
  <conditionalFormatting sqref="C228:G238">
    <cfRule type="expression" dxfId="17" priority="13">
      <formula>AND($J$229=1,NOT(ISBLANK(C228)),(ROW(C228)-ROW($C$228)) = 0)</formula>
    </cfRule>
  </conditionalFormatting>
  <conditionalFormatting sqref="C280:G290">
    <cfRule type="expression" dxfId="16" priority="7">
      <formula>AND($J$280=1,NOT(ISBLANK(C280)),(ROW(C280)-ROW($C$280)) = 0)</formula>
    </cfRule>
    <cfRule type="expression" dxfId="15" priority="8">
      <formula>ISNA(C280)</formula>
    </cfRule>
    <cfRule type="expression" dxfId="14" priority="9">
      <formula>NOT(ISBLANK(C280))</formula>
    </cfRule>
  </conditionalFormatting>
  <conditionalFormatting sqref="C345:G355">
    <cfRule type="expression" dxfId="13" priority="10">
      <formula>AND($J$345,NOT(ISBLANK(C345)),(ROW(C345)-ROW($C$345)) = 0)</formula>
    </cfRule>
    <cfRule type="expression" dxfId="12" priority="11">
      <formula>ISNA(C345)</formula>
    </cfRule>
    <cfRule type="expression" dxfId="11" priority="12">
      <formula>NOT(ISBLANK(C345))</formula>
    </cfRule>
  </conditionalFormatting>
  <conditionalFormatting sqref="C358:G368">
    <cfRule type="expression" dxfId="10" priority="1">
      <formula>AND($J$358,NOT(ISBLANK(C358)),(ROW(C358)-ROW($C$358)) = 0)</formula>
    </cfRule>
    <cfRule type="expression" dxfId="9" priority="2">
      <formula>ISNA(C358)</formula>
    </cfRule>
    <cfRule type="expression" dxfId="8" priority="3">
      <formula>NOT(ISBLANK(C358))</formula>
    </cfRule>
  </conditionalFormatting>
  <dataValidations count="3">
    <dataValidation type="list" allowBlank="1" showInputMessage="1" showErrorMessage="1" sqref="D11 G11 J11" xr:uid="{E678BD66-AB63-4D31-B516-8FE76943E287}">
      <formula1>TitleList2</formula1>
    </dataValidation>
    <dataValidation type="list" allowBlank="1" showInputMessage="1" showErrorMessage="1" sqref="C11 F11 I11" xr:uid="{AF031E5C-545C-4C8E-9D96-DF1C1E04FD53}">
      <formula1>TitleList1</formula1>
    </dataValidation>
    <dataValidation type="list" allowBlank="1" showInputMessage="1" showErrorMessage="1" sqref="J346 I81 I127 I145 I192 I215:I216 J267:J268 J280:J281 J228:J229 J359" xr:uid="{167CEF27-F47F-4635-9D82-79A9BD4F2755}">
      <formula1>_YesNo</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40545-A130-4DC7-ACDB-2FCDAA37438B}">
  <sheetPr codeName="Sheet1"/>
  <dimension ref="A1:ED810"/>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1:16" s="4" customFormat="1" ht="30" customHeight="1" x14ac:dyDescent="0.3">
      <c r="A1" s="12"/>
      <c r="C1" s="2" t="s">
        <v>7</v>
      </c>
    </row>
    <row r="3" spans="1:16" x14ac:dyDescent="0.3">
      <c r="B3" s="6" t="s">
        <v>1</v>
      </c>
    </row>
    <row r="4" spans="1:16" x14ac:dyDescent="0.3">
      <c r="C4" t="s">
        <v>65</v>
      </c>
    </row>
    <row r="5" spans="1:16" x14ac:dyDescent="0.3">
      <c r="C5" t="s">
        <v>66</v>
      </c>
    </row>
    <row r="6" spans="1:16" x14ac:dyDescent="0.3">
      <c r="C6" t="s">
        <v>67</v>
      </c>
    </row>
    <row r="7" spans="1:16" x14ac:dyDescent="0.3">
      <c r="C7" t="s">
        <v>68</v>
      </c>
    </row>
    <row r="9" spans="1:16" x14ac:dyDescent="0.3">
      <c r="B9" s="14" t="s">
        <v>8</v>
      </c>
    </row>
    <row r="10" spans="1:16" x14ac:dyDescent="0.3">
      <c r="C10" s="15"/>
      <c r="D10" s="15"/>
      <c r="E10" s="15" t="s">
        <v>13</v>
      </c>
      <c r="F10" s="15" t="s">
        <v>14</v>
      </c>
      <c r="G10" s="15" t="s">
        <v>15</v>
      </c>
      <c r="H10" s="15" t="s">
        <v>16</v>
      </c>
      <c r="I10" s="15" t="s">
        <v>17</v>
      </c>
      <c r="J10" s="15" t="s">
        <v>18</v>
      </c>
      <c r="K10" s="15" t="s">
        <v>19</v>
      </c>
      <c r="L10" s="15" t="s">
        <v>20</v>
      </c>
      <c r="M10" s="15" t="s">
        <v>21</v>
      </c>
      <c r="N10" s="15" t="s">
        <v>22</v>
      </c>
      <c r="O10" s="15" t="s">
        <v>23</v>
      </c>
      <c r="P10" s="15" t="s">
        <v>24</v>
      </c>
    </row>
    <row r="11" spans="1:16" x14ac:dyDescent="0.3">
      <c r="C11" s="15"/>
      <c r="D11" s="15"/>
      <c r="E11" s="15" t="s">
        <v>25</v>
      </c>
      <c r="F11" s="15" t="s">
        <v>26</v>
      </c>
      <c r="G11" s="15" t="s">
        <v>27</v>
      </c>
      <c r="H11" s="15" t="s">
        <v>28</v>
      </c>
      <c r="I11" s="15" t="s">
        <v>29</v>
      </c>
      <c r="J11" s="15" t="s">
        <v>30</v>
      </c>
      <c r="K11" s="15" t="s">
        <v>31</v>
      </c>
      <c r="L11" s="15" t="s">
        <v>32</v>
      </c>
      <c r="M11" s="15" t="s">
        <v>33</v>
      </c>
      <c r="N11" s="15" t="s">
        <v>34</v>
      </c>
      <c r="O11" s="15" t="s">
        <v>35</v>
      </c>
      <c r="P11" s="15" t="s">
        <v>36</v>
      </c>
    </row>
    <row r="12" spans="1:16" x14ac:dyDescent="0.3">
      <c r="C12" s="16" t="s">
        <v>9</v>
      </c>
      <c r="D12" s="19" t="s">
        <v>37</v>
      </c>
      <c r="E12" s="17">
        <v>1</v>
      </c>
      <c r="F12" s="17">
        <v>2</v>
      </c>
      <c r="G12" s="17">
        <v>3</v>
      </c>
      <c r="H12" s="17">
        <v>4</v>
      </c>
      <c r="I12" s="17">
        <v>5</v>
      </c>
      <c r="J12" s="17">
        <v>6</v>
      </c>
      <c r="K12" s="17">
        <v>7</v>
      </c>
      <c r="L12" s="17">
        <v>8</v>
      </c>
      <c r="M12" s="17">
        <v>9</v>
      </c>
      <c r="N12" s="17">
        <v>10</v>
      </c>
      <c r="O12" s="17">
        <v>11</v>
      </c>
      <c r="P12" s="17">
        <v>12</v>
      </c>
    </row>
    <row r="13" spans="1:16" x14ac:dyDescent="0.3">
      <c r="C13" s="16" t="s">
        <v>9</v>
      </c>
      <c r="D13" s="60" t="s">
        <v>38</v>
      </c>
      <c r="E13" s="18">
        <v>13</v>
      </c>
      <c r="F13" s="18">
        <v>14</v>
      </c>
      <c r="G13" s="18">
        <v>15</v>
      </c>
      <c r="H13" s="18">
        <v>16</v>
      </c>
      <c r="I13" s="18">
        <v>17</v>
      </c>
      <c r="J13" s="18">
        <v>18</v>
      </c>
      <c r="K13" s="18">
        <v>19</v>
      </c>
      <c r="L13" s="18">
        <v>20</v>
      </c>
      <c r="M13" s="18">
        <v>21</v>
      </c>
      <c r="N13" s="18">
        <v>22</v>
      </c>
      <c r="O13" s="18">
        <v>23</v>
      </c>
      <c r="P13" s="18">
        <v>24</v>
      </c>
    </row>
    <row r="14" spans="1:16" x14ac:dyDescent="0.3">
      <c r="C14" s="16" t="s">
        <v>10</v>
      </c>
      <c r="D14" s="19" t="s">
        <v>39</v>
      </c>
      <c r="E14" s="18">
        <v>25</v>
      </c>
      <c r="F14" s="18">
        <v>26</v>
      </c>
      <c r="G14" s="18">
        <v>27</v>
      </c>
      <c r="H14" s="18">
        <v>28</v>
      </c>
      <c r="I14" s="18">
        <v>29</v>
      </c>
      <c r="J14" s="18">
        <v>30</v>
      </c>
      <c r="K14" s="18">
        <v>31</v>
      </c>
      <c r="L14" s="18">
        <v>32</v>
      </c>
      <c r="M14" s="18">
        <v>33</v>
      </c>
      <c r="N14" s="18">
        <v>34</v>
      </c>
      <c r="O14" s="18">
        <v>35</v>
      </c>
      <c r="P14" s="18">
        <v>36</v>
      </c>
    </row>
    <row r="15" spans="1:16" x14ac:dyDescent="0.3">
      <c r="C15" s="16" t="s">
        <v>10</v>
      </c>
      <c r="D15" s="60" t="s">
        <v>40</v>
      </c>
      <c r="E15" s="18">
        <v>37</v>
      </c>
      <c r="F15" s="18">
        <v>38</v>
      </c>
      <c r="G15" s="18">
        <v>39</v>
      </c>
      <c r="H15" s="18">
        <v>40</v>
      </c>
      <c r="I15" s="18">
        <v>41</v>
      </c>
      <c r="J15" s="18">
        <v>42</v>
      </c>
      <c r="K15" s="18">
        <v>43</v>
      </c>
      <c r="L15" s="18">
        <v>44</v>
      </c>
      <c r="M15" s="18">
        <v>45</v>
      </c>
      <c r="N15" s="18">
        <v>46</v>
      </c>
      <c r="O15" s="18">
        <v>47</v>
      </c>
      <c r="P15" s="18">
        <v>48</v>
      </c>
    </row>
    <row r="16" spans="1:16" x14ac:dyDescent="0.3">
      <c r="C16" s="16" t="s">
        <v>11</v>
      </c>
      <c r="D16" s="19" t="s">
        <v>41</v>
      </c>
      <c r="E16" s="18">
        <v>49</v>
      </c>
      <c r="F16" s="18">
        <v>50</v>
      </c>
      <c r="G16" s="18">
        <v>51</v>
      </c>
      <c r="H16" s="18">
        <v>52</v>
      </c>
      <c r="I16" s="18">
        <v>53</v>
      </c>
      <c r="J16" s="18">
        <v>54</v>
      </c>
      <c r="K16" s="18">
        <v>55</v>
      </c>
      <c r="L16" s="18">
        <v>56</v>
      </c>
      <c r="M16" s="18">
        <v>57</v>
      </c>
      <c r="N16" s="18">
        <v>58</v>
      </c>
      <c r="O16" s="18">
        <v>59</v>
      </c>
      <c r="P16" s="18">
        <v>60</v>
      </c>
    </row>
    <row r="17" spans="2:134" x14ac:dyDescent="0.3">
      <c r="C17" s="16" t="s">
        <v>11</v>
      </c>
      <c r="D17" s="60" t="s">
        <v>42</v>
      </c>
      <c r="E17" s="18">
        <v>61</v>
      </c>
      <c r="F17" s="18">
        <v>62</v>
      </c>
      <c r="G17" s="18">
        <v>63</v>
      </c>
      <c r="H17" s="18">
        <v>64</v>
      </c>
      <c r="I17" s="18">
        <v>65</v>
      </c>
      <c r="J17" s="18">
        <v>66</v>
      </c>
      <c r="K17" s="18">
        <v>67</v>
      </c>
      <c r="L17" s="18">
        <v>68</v>
      </c>
      <c r="M17" s="18">
        <v>69</v>
      </c>
      <c r="N17" s="18">
        <v>70</v>
      </c>
      <c r="O17" s="18">
        <v>71</v>
      </c>
      <c r="P17" s="18">
        <v>72</v>
      </c>
    </row>
    <row r="18" spans="2:134" x14ac:dyDescent="0.3">
      <c r="C18" s="16" t="s">
        <v>12</v>
      </c>
      <c r="D18" s="19" t="s">
        <v>43</v>
      </c>
      <c r="E18" s="18">
        <v>73</v>
      </c>
      <c r="F18" s="18">
        <v>74</v>
      </c>
      <c r="G18" s="18">
        <v>75</v>
      </c>
      <c r="H18" s="18">
        <v>76</v>
      </c>
      <c r="I18" s="18">
        <v>77</v>
      </c>
      <c r="J18" s="18">
        <v>78</v>
      </c>
      <c r="K18" s="18">
        <v>79</v>
      </c>
      <c r="L18" s="18">
        <v>80</v>
      </c>
      <c r="M18" s="18">
        <v>81</v>
      </c>
      <c r="N18" s="18">
        <v>82</v>
      </c>
      <c r="O18" s="18">
        <v>83</v>
      </c>
      <c r="P18" s="18">
        <v>84</v>
      </c>
    </row>
    <row r="19" spans="2:134" x14ac:dyDescent="0.3">
      <c r="C19" s="16" t="s">
        <v>12</v>
      </c>
      <c r="D19" s="60" t="s">
        <v>44</v>
      </c>
      <c r="E19" s="18">
        <v>85</v>
      </c>
      <c r="F19" s="18">
        <v>86</v>
      </c>
      <c r="G19" s="18">
        <v>87</v>
      </c>
      <c r="H19" s="18">
        <v>88</v>
      </c>
      <c r="I19" s="18">
        <v>89</v>
      </c>
      <c r="J19" s="18">
        <v>90</v>
      </c>
      <c r="K19" s="18">
        <v>91</v>
      </c>
      <c r="L19" s="18">
        <v>92</v>
      </c>
      <c r="M19" s="18">
        <v>93</v>
      </c>
      <c r="N19" s="18">
        <v>94</v>
      </c>
      <c r="O19" s="18">
        <v>95</v>
      </c>
      <c r="P19" s="18">
        <v>96</v>
      </c>
    </row>
    <row r="22" spans="2:134" s="8" customFormat="1" ht="16.2" thickBot="1" x14ac:dyDescent="0.35">
      <c r="B22" s="9">
        <f xml:space="preserve"> MAX(B$1:B21) + 1</f>
        <v>1</v>
      </c>
      <c r="C22" s="8" t="s">
        <v>4</v>
      </c>
    </row>
    <row r="24" spans="2:134" x14ac:dyDescent="0.3">
      <c r="Z24" s="13" t="s">
        <v>45</v>
      </c>
      <c r="AD24" s="13" t="s">
        <v>46</v>
      </c>
      <c r="AH24" s="13" t="s">
        <v>47</v>
      </c>
      <c r="AM24" s="13" t="s">
        <v>48</v>
      </c>
    </row>
    <row r="25" spans="2:134" x14ac:dyDescent="0.3">
      <c r="D25" s="13" t="s">
        <v>49</v>
      </c>
      <c r="E25" s="13" t="s">
        <v>49</v>
      </c>
      <c r="F25" s="13" t="s">
        <v>50</v>
      </c>
      <c r="G25" s="13" t="s">
        <v>51</v>
      </c>
      <c r="I25" s="13" t="s">
        <v>52</v>
      </c>
      <c r="J25" s="13" t="s">
        <v>52</v>
      </c>
      <c r="K25" s="13" t="s">
        <v>50</v>
      </c>
      <c r="L25" s="13" t="s">
        <v>51</v>
      </c>
      <c r="N25" s="13" t="s">
        <v>53</v>
      </c>
      <c r="R25" s="13" t="s">
        <v>54</v>
      </c>
      <c r="V25" s="13" t="s">
        <v>55</v>
      </c>
      <c r="AA25" s="13" t="s">
        <v>56</v>
      </c>
      <c r="AE25" s="13" t="s">
        <v>57</v>
      </c>
      <c r="AI25" s="13" t="s">
        <v>57</v>
      </c>
      <c r="AN25" s="13" t="s">
        <v>58</v>
      </c>
    </row>
    <row r="26" spans="2:134" ht="14.4" thickBot="1" x14ac:dyDescent="0.35">
      <c r="D26" s="21" t="s">
        <v>59</v>
      </c>
      <c r="E26" s="21" t="s">
        <v>60</v>
      </c>
      <c r="F26" s="21" t="s">
        <v>61</v>
      </c>
      <c r="G26" s="21" t="s">
        <v>61</v>
      </c>
      <c r="I26" s="21" t="s">
        <v>59</v>
      </c>
      <c r="J26" s="21" t="s">
        <v>60</v>
      </c>
      <c r="K26" s="21" t="s">
        <v>61</v>
      </c>
      <c r="L26" s="21" t="s">
        <v>61</v>
      </c>
      <c r="N26" s="21" t="s">
        <v>59</v>
      </c>
      <c r="O26" s="21" t="s">
        <v>60</v>
      </c>
      <c r="P26" s="21" t="s">
        <v>61</v>
      </c>
      <c r="R26" s="21" t="s">
        <v>59</v>
      </c>
      <c r="S26" s="21" t="s">
        <v>60</v>
      </c>
      <c r="T26" s="21" t="s">
        <v>61</v>
      </c>
      <c r="V26" s="21" t="s">
        <v>59</v>
      </c>
      <c r="W26" s="21" t="s">
        <v>60</v>
      </c>
      <c r="X26" s="21" t="s">
        <v>61</v>
      </c>
      <c r="Z26" s="21" t="s">
        <v>59</v>
      </c>
      <c r="AA26" s="21" t="s">
        <v>60</v>
      </c>
      <c r="AB26" s="21" t="s">
        <v>61</v>
      </c>
      <c r="AD26" s="21" t="s">
        <v>59</v>
      </c>
      <c r="AE26" s="21" t="s">
        <v>60</v>
      </c>
      <c r="AF26" s="21" t="s">
        <v>61</v>
      </c>
      <c r="AH26" s="21" t="s">
        <v>59</v>
      </c>
      <c r="AI26" s="21" t="s">
        <v>60</v>
      </c>
      <c r="AJ26" s="21" t="s">
        <v>61</v>
      </c>
      <c r="AL26" s="21"/>
      <c r="AM26" s="21" t="s">
        <v>59</v>
      </c>
      <c r="AN26" s="21" t="s">
        <v>60</v>
      </c>
      <c r="AO26" s="21" t="s">
        <v>61</v>
      </c>
    </row>
    <row r="27" spans="2:134" x14ac:dyDescent="0.3">
      <c r="D27" s="82" t="str" cm="1">
        <f t="array" ref="D27:D122" xml:space="preserve"> _xlfn.TOCOL( _xlfn.IFNA($D$12:$D$19, $E$11:$P$11))</f>
        <v>AAA</v>
      </c>
      <c r="E27" s="82" t="str" cm="1">
        <f t="array" ref="E27:E122" xml:space="preserve"> _xlfn.TOCOL( _xlfn.IFNA($E$11:$P$11, $D$12:$D$19))</f>
        <v>P_1</v>
      </c>
      <c r="F27" s="82" cm="1">
        <f t="array" ref="F27:F122" xml:space="preserve"> _xlfn.TOCOL($E$12:$P$19)</f>
        <v>1</v>
      </c>
      <c r="G27" s="82" cm="1">
        <f t="array" ref="G27:G122" xml:space="preserve"> INDEX($E$12:$P$19, MATCH(_xlfn.ANCHORARRAY(D27), $D$12:$D$19, 0), MATCH(_xlfn.ANCHORARRAY(E27), $E$11:$P$11, 0))</f>
        <v>1</v>
      </c>
      <c r="I27" s="68" t="str" cm="1">
        <f t="array" ref="I27:I122" xml:space="preserve"> _xlfn.TOCOL( IF( _xlfn.SEQUENCE(1, COLUMNS($E$11:$P$11)), $D$12:$D$19))</f>
        <v>AAA</v>
      </c>
      <c r="J27" s="68" t="str" cm="1">
        <f t="array" ref="J27:J122" xml:space="preserve"> _xlfn.TOCOL( IF( _xlfn.SEQUENCE( ROWS($D$12:$D$19), 1), $E$11:$P$11))</f>
        <v>P_1</v>
      </c>
      <c r="K27" s="68" cm="1">
        <f t="array" ref="K27:K122" xml:space="preserve"> _xlfn.TOCOL($E$12:$P$19)</f>
        <v>1</v>
      </c>
      <c r="L27" s="68" cm="1">
        <f t="array" ref="L27:L122" xml:space="preserve"> INDEX($E$12:$P$19, MATCH(_xlfn.ANCHORARRAY(I27), $D$12:$D$19, 0), MATCH(_xlfn.ANCHORARRAY(J27), $E$11:$P$11, 0))</f>
        <v>1</v>
      </c>
      <c r="N27" s="68" t="str" cm="1">
        <f t="array" ref="N27:P122" xml:space="preserve"> _xlfn.LAMBDA(_xlpm.row_headers,_xlpm.column_headers,_xlpm.data,
  _xlfn.LET(
    _xlpm._rh, _xlpm.row_headers,
    _xlpm._ch, _xlpm.column_headers,
    _xlpm._data, _xlpm.data,
    _xlpm._key, _xlfn.TOCOL( IF( _xlfn.SEQUENCE(1, COLUMNS(_xlpm._ch)), _xlpm._rh)),
    _xlpm._names, _xlfn.TOCOL( IF( _xlfn.SEQUENCE( ROWS(_xlpm._rh), 1), _xlpm._ch)),
    _xlpm._values, _xlfn.TOCOL(_xlpm._data),
    _xlfn.HSTACK(_xlpm._key, _xlpm._names, _xlpm._values)
  )
)($D$12:$D$19, $E$11:$P$11, $E$12:$P$19)</f>
        <v>AAA</v>
      </c>
      <c r="O27" s="20" t="str">
        <v>P_1</v>
      </c>
      <c r="P27" s="20">
        <v>1</v>
      </c>
      <c r="R27" s="68" t="str" cm="1">
        <f t="array" ref="R27:T122" xml:space="preserve"> _xlfn.LAMBDA(_xlpm.row_headers,_xlpm.column_headers,_xlpm.data,
  _xlfn.LET(
    _xlpm._rh, _xlpm.row_headers,
    _xlpm._ch, _xlpm.column_headers,
    _xlpm._data, _xlpm.data,
    _xlpm._key, _xlfn.TOCOL( IF( _xlfn.SEQUENCE(1, COLUMNS(_xlpm._ch)), _xlpm._rh)),
    _xlpm._names, _xlfn.TOCOL( IF( _xlfn.SEQUENCE( ROWS(_xlpm._rh), 1), _xlpm._ch)),
    _xlpm._values, INDEX(_xlpm._data, _xlfn.XMATCH(_xlpm._key, _xlpm._rh, 0), _xlfn.XMATCH(_xlpm._names, _xlpm._ch, 0)),
    _xlfn.HSTACK(_xlpm._key, _xlpm._names, _xlpm._values)
  )
)($D$12:$D$19, $E$11:$P$11, $E$12:$P$19)</f>
        <v>AAA</v>
      </c>
      <c r="S27" s="20" t="str">
        <v>P_1</v>
      </c>
      <c r="T27" s="20">
        <v>1</v>
      </c>
      <c r="V27" s="68" t="str" cm="1">
        <f t="array" ref="V27:X122" xml:space="preserve"> _xlfn.LAMBDA(_xlpm.row_headers,_xlpm.column_headers,_xlpm.data,
  _xlfn.LET(
    _xlpm._rh, _xlpm.row_headers,
    _xlpm._ch, _xlpm.column_headers,
    _xlpm._data, _xlpm.data,
    _xlpm._key, _xlfn.TOCOL( IF( _xlfn.SEQUENCE(1, COLUMNS(_xlpm._ch)), _xlpm._rh)),
    _xlpm._names, _xlfn.TOCOL( IF( _xlfn.SEQUENCE( ROWS(_xlpm._rh), 1), _xlpm._ch)),
    _xlpm._values, _xlfn.LET(
      _xlpm._dp, INDEX(_xlpm._data, _xlfn.XMATCH(_xlpm._key, _xlpm._rh, 0), _xlfn.XMATCH(_xlpm._names, _xlpm._ch, 0)),
      IF(_xlpm._dp = "", "", _xlpm._dp)
    ),
    _xlfn.HSTACK(_xlpm._key, _xlpm._names, _xlpm._values)
  )
)($D$12:$D$19, $E$11:$P$11, $E$12:$P$19)</f>
        <v>AAA</v>
      </c>
      <c r="W27" s="20" t="str">
        <v>P_1</v>
      </c>
      <c r="X27" s="20">
        <v>1</v>
      </c>
      <c r="Z27" s="68" t="str" cm="1">
        <f t="array" ref="Z27:AB122" xml:space="preserve"> _xlfn.LAMBDA(_xlpm.row_headers,_xlpm.column_headers,_xlpm.data,_xlop.filter_blanks,
  _xlfn.LET(
    _xlpm._rh, _xlpm.row_headers,
    _xlpm._ch, _xlpm.column_headers,
    _xlpm._dd, _xlpm.data,
    _xlpm._fltr, IF( _xlfn.ISOMITTED(_xlpm.filter_blanks), FALSE, _xlpm.filter_blanks),
    _xlpm._key, _xlfn.TOCOL( IF( _xlfn.SEQUENCE(1, COLUMNS(_xlpm._ch)), _xlpm._rh)),
    _xlpm._names, _xlfn.TOCOL( IF( _xlfn.SEQUENCE( ROWS(_xlpm._rh), 1), _xlpm._ch)),
    _xlpm._values, _xlfn.LET(
      _xlpm._dp, INDEX(_xlpm._dd, _xlfn.XMATCH(_xlpm._key, _xlpm._rh, 0), _xlfn.XMATCH(_xlpm._names, _xlpm._ch, 0)),
      IF( ISBLANK(_xlpm._dp), "", _xlpm._dp)
    ),
    _xlpm._calc, _xlfn.HSTACK(_xlpm._key, _xlpm._names, _xlpm._values),
    IF(_xlpm._fltr, _xlfn._xlws.FILTER(_xlpm._calc, _xlfn.CHOOSECOLS(_xlpm._calc, -1) &lt;&gt; ""), _xlpm._calc)
  )
)($D$12:$D$19, $E$11:$P$11, $E$12:$P$19, FALSE)</f>
        <v>AAA</v>
      </c>
      <c r="AA27" s="20" t="str">
        <v>P_1</v>
      </c>
      <c r="AB27" s="20">
        <v>1</v>
      </c>
      <c r="AD27" s="68" t="str" cm="1">
        <f t="array" ref="AD27:AF122" xml:space="preserve"> _xlfn.LAMBDA(_xlpm.row_headers,_xlpm.column_headers,_xlpm.data,_xlop.replace_blanks,_xlop.filter_blanks,
  _xlfn.LET(
    _xlpm._rh, _xlpm.row_headers,
    _xlpm._ch, _xlpm.column_headers,
    _xlpm._dd, _xlpm.data,
    _xlpm._inpChk, _xlfn.IFS(
      IFERROR( OR( ROWS(_xlpm._rh) &lt; 1, COLUMNS(_xlpm._rh) &lt;&gt; 1, ROWS(_xlpm._ch) &lt;&gt; 1, COLUMNS(_xlpm._ch) &lt; 1, ROWS(_xlpm._dd) &lt; 1, COLUMNS(_xlpm._dd) &lt; 1), 3), 3,
      IFERROR( OR( ROWS(_xlpm._dd) &lt;&gt; ROWS(_xlpm._rh), COLUMNS(_xlpm._dd) &lt;&gt; COLUMNS(_xlpm._ch)), 3), 2,
      TRUE, 1
    ),
    _xlpm._rep, IF( _xlfn.ISOMITTED(_xlpm.replace_blanks), "", _xlpm.replace_blanks),
    _xlpm._fltr, IF( _xlfn.ISOMITTED(_xlpm.filter_blanks), FALSE, _xlpm.filter_blanks),
    _xlpm._key, _xlfn.TOCOL( IF( _xlfn.SEQUENCE(1, COLUMNS(_xlpm._ch)), _xlpm._rh)),
    _xlpm._names, _xlfn.TOCOL( IF( _xlfn.SEQUENCE( ROWS(_xlpm._rh), 1), _xlpm._ch)),
    _xlpm._values, _xlfn.LET(
      _xlpm._dp, INDEX(_xlpm._dd, _xlfn.XMATCH(_xlpm._key, _xlpm._rh, 0), _xlfn.XMATCH(_xlpm._names, _xlpm._ch, 0)),
      IF( ISBLANK(_xlpm._dp), _xlpm._rep, _xlpm._dp)
    ),
    _xlpm._rtn, _xlfn.LET(
      _xlpm._dt, _xlfn.HSTACK(_xlpm._key, _xlpm._names, _xlpm._values),
      IF(_xlpm._fltr, _xlfn._xlws.FILTER(_xlpm._dt, _xlfn.CHOOSECOLS(_xlpm._dt, -1) &lt;&gt; ""), _xlpm._dt)
    ),
    CHOOSE(_xlpm._inpChk, _xlpm._rtn, _xlfn.LAMBDA(0), #VALUE!)
  )
)($D$12:$D$19, $E$11:$P$11, $E$12:$P$19, , FALSE)</f>
        <v>AAA</v>
      </c>
      <c r="AE27" s="20" t="str">
        <v>P_1</v>
      </c>
      <c r="AF27" s="20">
        <v>1</v>
      </c>
      <c r="AH27" s="68" t="str" cm="1">
        <f t="array" ref="AH27:AJ122" xml:space="preserve"> _xlfn.LAMBDA(_xlpm.row_headers,_xlpm.column_headers,_xlpm.data,_xlop.replace_blanks,_xlop.filter_blanks,
  _xlfn.LET(
    _xlpm._rh, _xlpm.row_headers,
    _xlpm._ch, _xlpm.column_headers,
    _xlpm._dd, _xlpm.data,
    _xlpm._inpChk, _xlfn.IFS(
      IFERROR( OR( ROWS(_xlpm._rh) &lt; 1, COLUMNS(_xlpm._rh) &lt; 1, ROWS(_xlpm._ch) &lt;&gt; 1, COLUMNS(_xlpm._ch) &lt; 1, ROWS(_xlpm._dd) &lt; 1, COLUMNS(_xlpm._dd) &lt; 1), 3), 3,
      IFERROR( OR( ROWS(_xlpm._dd) &lt;&gt; ROWS(_xlpm._rh), COLUMNS(_xlpm._dd) &lt;&gt; COLUMNS(_xlpm._ch)), 3), 2,
      TRUE, 1
    ),
    _xlpm._rep, IF( _xlfn.ISOMITTED(_xlpm.replace_blanks), "", _xlpm.replace_blanks),
    _xlpm._fltr, IF( _xlfn.ISOMITTED(_xlpm.filter_blanks), FALSE, _xlpm.filter_blanks),
    _xlpm._keys, _xlfn.LET(
      _xlpm._rr, ROWS(_xlpm._rh),
      _xlpm._rc, COLUMNS(_xlpm._rh),
      _xlpm._cc, COLUMNS(_xlpm._ch),
      _xlfn.MAKEARRAY(_xlpm._rr * _xlpm._cc, _xlpm._rc, _xlfn.LAMBDA(_xlpm._row,_xlpm._col, INDEX(_xlpm._rh, ROUNDDOWN((_xlpm._row - 1) / _xlpm._cc, 0) + 1)))
    ),
    _xlpm._names, _xlfn.TOCOL( IF( _xlfn.SEQUENCE( ROWS(_xlpm._rh), 1), _xlpm._ch)),
    _xlpm._values, _xlfn.LET(
      _xlpm._dp, _xlfn.TOCOL(_xlpm._dd),
      IF( ISBLANK(_xlpm._dp), _xlpm._rep, _xlpm._dp)
    ),
    _xlpm._rtn, _xlfn.LET(
      _xlpm._dt, _xlfn.HSTACK(_xlpm._keys, _xlpm._names, _xlpm._values),
      IF(_xlpm._fltr, _xlfn._xlws.FILTER(_xlpm._dt, _xlfn.CHOOSECOLS(_xlpm._dt, -1) &lt;&gt; ""), _xlpm._dt)
    ),
    CHOOSE(_xlpm._inpChk, _xlpm._rtn, _xlfn.LAMBDA(0), #VALUE!)
  )
)($D$12:$D$19, $E$11:$P$11, $E$12:$P$19, , FALSE)</f>
        <v>AAA</v>
      </c>
      <c r="AI27" s="20" t="str">
        <v>P_1</v>
      </c>
      <c r="AJ27" s="20">
        <v>1</v>
      </c>
      <c r="AL27" s="23" t="s">
        <v>59</v>
      </c>
      <c r="AM27" s="83" t="str" cm="1">
        <f t="array" ref="AM27:AO122" xml:space="preserve"> _xlfn.LAMBDA(_xlpm.row_headers,_xlpm.column_headers,_xlpm.data,_xlop.replace_blanks,_xlop.filter_blanks,_xlop.transpose_horizontal,
  _xlfn.LET(
    _xlpm._rh, _xlpm.row_headers,
    _xlpm._ch, _xlpm.column_headers,
    _xlpm._dd, _xlpm.data,
    _xlpm._inpChk, _xlfn.IFS(
      IFERROR( OR( ROWS(_xlpm._rh) &lt; 1, COLUMNS(_xlpm._ch) &lt; 1, ROWS(_xlpm._ch) &lt;&gt; 1, COLUMNS(_xlpm._ch) &lt; 1, ROWS(_xlpm._dd) &lt; 1, COLUMNS(_xlpm._dd) &lt; 1), 3), 3,
      IFERROR( OR( ROWS(_xlpm._dd) &lt;&gt; ROWS(_xlpm._rh), COLUMNS(_xlpm._dd) &lt;&gt; COLUMNS(_xlpm._ch)), 3), 2,
      TRUE, 1
    ),
    _xlpm._rep, IF( _xlfn.ISOMITTED(_xlpm.replace_blanks), "", _xlpm.replace_blanks),
    _xlpm._fltr, IF( _xlfn.ISOMITTED(_xlpm.filter_blanks), FALSE, _xlpm.filter_blanks),
    _xlpm._trp, IF( _xlfn.ISOMITTED(_xlpm.transpose_horizontal), FALSE, _xlpm.transpose_horizontal),
    _xlpm._keys, _xlfn.LET(
      _xlpm._rr, ROWS(_xlpm._rh),
      _xlpm._rc, COLUMNS(_xlpm._rh),
      _xlpm._cc, COLUMNS(_xlpm._ch),
      _xlfn.MAKEARRAY(_xlpm._rr * _xlpm._cc, _xlpm._rc, _xlfn.LAMBDA(_xlpm._row,_xlpm._col, INDEX(_xlpm._rh, ROUNDDOWN((_xlpm._row - 1) / _xlpm._cc, 0) + 1)))
    ),
    _xlpm._names, _xlfn.TOCOL( IF( _xlfn.SEQUENCE( ROWS(_xlpm._rh), 1), _xlpm._ch)),
    _xlpm._values, _xlfn.LET(
      _xlpm._dp, _xlfn.TOCOL(_xlpm._dd),
      IF( ISBLANK(_xlpm._dp), _xlpm._rep, _xlpm._dp)
    ),
    _xlpm._rtn, _xlfn.LET(
      _xlpm._dt, _xlfn.HSTACK(_xlpm._keys, _xlpm._names, _xlpm._values),
      _xlpm._df, IF(_xlpm._fltr, _xlfn._xlws.FILTER(_xlpm._dt, _xlfn.CHOOSECOLS(_xlpm._dt, -1) &lt;&gt; ""), _xlpm._dt),
      IF(_xlpm._trp, TRANSPOSE(_xlpm._df), _xlpm._df)
    ),
    CHOOSE(_xlpm._inpChk, _xlpm._rtn, _xlfn.LAMBDA(0), #VALUE!)
  )
)($D$12:$D$19, $E$11:$P$11, $E$12:$P$19, , FALSE, FALSE)</f>
        <v>AAA</v>
      </c>
      <c r="AN27" s="20" t="str">
        <v>P_1</v>
      </c>
      <c r="AO27" s="20">
        <v>1</v>
      </c>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c r="DV27" s="20"/>
      <c r="DW27" s="20"/>
      <c r="DX27" s="20"/>
      <c r="DY27" s="20"/>
      <c r="DZ27" s="20"/>
      <c r="EA27" s="20"/>
      <c r="EB27" s="20"/>
      <c r="EC27" s="20"/>
      <c r="ED27" s="20"/>
    </row>
    <row r="28" spans="2:134" x14ac:dyDescent="0.3">
      <c r="D28" s="20" t="str">
        <v>AAA</v>
      </c>
      <c r="E28" s="20" t="str">
        <v>P_2</v>
      </c>
      <c r="F28" s="20">
        <v>2</v>
      </c>
      <c r="G28" s="20">
        <v>2</v>
      </c>
      <c r="I28" s="20" t="str">
        <v>AAA</v>
      </c>
      <c r="J28" s="20" t="str">
        <v>P_2</v>
      </c>
      <c r="K28" s="20">
        <v>2</v>
      </c>
      <c r="L28" s="20">
        <v>2</v>
      </c>
      <c r="N28" s="20" t="str">
        <v>AAA</v>
      </c>
      <c r="O28" s="20" t="str">
        <v>P_2</v>
      </c>
      <c r="P28" s="20">
        <v>2</v>
      </c>
      <c r="R28" s="20" t="str">
        <v>AAA</v>
      </c>
      <c r="S28" s="20" t="str">
        <v>P_2</v>
      </c>
      <c r="T28" s="20">
        <v>2</v>
      </c>
      <c r="V28" s="20" t="str">
        <v>AAA</v>
      </c>
      <c r="W28" s="20" t="str">
        <v>P_2</v>
      </c>
      <c r="X28" s="20">
        <v>2</v>
      </c>
      <c r="Z28" s="20" t="str">
        <v>AAA</v>
      </c>
      <c r="AA28" s="20" t="str">
        <v>P_2</v>
      </c>
      <c r="AB28" s="20">
        <v>2</v>
      </c>
      <c r="AD28" s="20" t="str">
        <v>AAA</v>
      </c>
      <c r="AE28" s="20" t="str">
        <v>P_2</v>
      </c>
      <c r="AF28" s="20">
        <v>2</v>
      </c>
      <c r="AH28" s="20" t="str">
        <v>AAA</v>
      </c>
      <c r="AI28" s="20" t="str">
        <v>P_2</v>
      </c>
      <c r="AJ28" s="20">
        <v>2</v>
      </c>
      <c r="AL28" s="23" t="s">
        <v>60</v>
      </c>
      <c r="AM28" s="22" t="str">
        <v>AAA</v>
      </c>
      <c r="AN28" s="20" t="str">
        <v>P_2</v>
      </c>
      <c r="AO28" s="20">
        <v>2</v>
      </c>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c r="DV28" s="20"/>
      <c r="DW28" s="20"/>
      <c r="DX28" s="20"/>
      <c r="DY28" s="20"/>
      <c r="DZ28" s="20"/>
      <c r="EA28" s="20"/>
      <c r="EB28" s="20"/>
      <c r="EC28" s="20"/>
      <c r="ED28" s="20"/>
    </row>
    <row r="29" spans="2:134" x14ac:dyDescent="0.3">
      <c r="D29" s="20" t="str">
        <v>AAA</v>
      </c>
      <c r="E29" s="20" t="str">
        <v>P_3</v>
      </c>
      <c r="F29" s="20">
        <v>3</v>
      </c>
      <c r="G29" s="20">
        <v>3</v>
      </c>
      <c r="I29" s="20" t="str">
        <v>AAA</v>
      </c>
      <c r="J29" s="20" t="str">
        <v>P_3</v>
      </c>
      <c r="K29" s="20">
        <v>3</v>
      </c>
      <c r="L29" s="20">
        <v>3</v>
      </c>
      <c r="N29" s="20" t="str">
        <v>AAA</v>
      </c>
      <c r="O29" s="20" t="str">
        <v>P_3</v>
      </c>
      <c r="P29" s="20">
        <v>3</v>
      </c>
      <c r="R29" s="20" t="str">
        <v>AAA</v>
      </c>
      <c r="S29" s="20" t="str">
        <v>P_3</v>
      </c>
      <c r="T29" s="20">
        <v>3</v>
      </c>
      <c r="V29" s="20" t="str">
        <v>AAA</v>
      </c>
      <c r="W29" s="20" t="str">
        <v>P_3</v>
      </c>
      <c r="X29" s="20">
        <v>3</v>
      </c>
      <c r="Z29" s="20" t="str">
        <v>AAA</v>
      </c>
      <c r="AA29" s="20" t="str">
        <v>P_3</v>
      </c>
      <c r="AB29" s="20">
        <v>3</v>
      </c>
      <c r="AD29" s="20" t="str">
        <v>AAA</v>
      </c>
      <c r="AE29" s="20" t="str">
        <v>P_3</v>
      </c>
      <c r="AF29" s="20">
        <v>3</v>
      </c>
      <c r="AH29" s="20" t="str">
        <v>AAA</v>
      </c>
      <c r="AI29" s="20" t="str">
        <v>P_3</v>
      </c>
      <c r="AJ29" s="20">
        <v>3</v>
      </c>
      <c r="AL29" s="23" t="s">
        <v>61</v>
      </c>
      <c r="AM29" s="22" t="str">
        <v>AAA</v>
      </c>
      <c r="AN29" s="20" t="str">
        <v>P_3</v>
      </c>
      <c r="AO29" s="20">
        <v>3</v>
      </c>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c r="DI29" s="20"/>
      <c r="DJ29" s="20"/>
      <c r="DK29" s="20"/>
      <c r="DL29" s="20"/>
      <c r="DM29" s="20"/>
      <c r="DN29" s="20"/>
      <c r="DO29" s="20"/>
      <c r="DP29" s="20"/>
      <c r="DQ29" s="20"/>
      <c r="DR29" s="20"/>
      <c r="DS29" s="20"/>
      <c r="DT29" s="20"/>
      <c r="DU29" s="20"/>
      <c r="DV29" s="20"/>
      <c r="DW29" s="20"/>
      <c r="DX29" s="20"/>
      <c r="DY29" s="20"/>
      <c r="DZ29" s="20"/>
      <c r="EA29" s="20"/>
      <c r="EB29" s="20"/>
      <c r="EC29" s="20"/>
      <c r="ED29" s="20"/>
    </row>
    <row r="30" spans="2:134" x14ac:dyDescent="0.3">
      <c r="D30" s="20" t="str">
        <v>AAA</v>
      </c>
      <c r="E30" s="20" t="str">
        <v>P_4</v>
      </c>
      <c r="F30" s="20">
        <v>4</v>
      </c>
      <c r="G30" s="20">
        <v>4</v>
      </c>
      <c r="I30" s="20" t="str">
        <v>AAA</v>
      </c>
      <c r="J30" s="20" t="str">
        <v>P_4</v>
      </c>
      <c r="K30" s="20">
        <v>4</v>
      </c>
      <c r="L30" s="20">
        <v>4</v>
      </c>
      <c r="N30" s="20" t="str">
        <v>AAA</v>
      </c>
      <c r="O30" s="20" t="str">
        <v>P_4</v>
      </c>
      <c r="P30" s="20">
        <v>4</v>
      </c>
      <c r="R30" s="20" t="str">
        <v>AAA</v>
      </c>
      <c r="S30" s="20" t="str">
        <v>P_4</v>
      </c>
      <c r="T30" s="20">
        <v>4</v>
      </c>
      <c r="V30" s="20" t="str">
        <v>AAA</v>
      </c>
      <c r="W30" s="20" t="str">
        <v>P_4</v>
      </c>
      <c r="X30" s="20">
        <v>4</v>
      </c>
      <c r="Z30" s="20" t="str">
        <v>AAA</v>
      </c>
      <c r="AA30" s="20" t="str">
        <v>P_4</v>
      </c>
      <c r="AB30" s="20">
        <v>4</v>
      </c>
      <c r="AD30" s="20" t="str">
        <v>AAA</v>
      </c>
      <c r="AE30" s="20" t="str">
        <v>P_4</v>
      </c>
      <c r="AF30" s="20">
        <v>4</v>
      </c>
      <c r="AH30" s="20" t="str">
        <v>AAA</v>
      </c>
      <c r="AI30" s="20" t="str">
        <v>P_4</v>
      </c>
      <c r="AJ30" s="20">
        <v>4</v>
      </c>
      <c r="AM30" s="20" t="str">
        <v>AAA</v>
      </c>
      <c r="AN30" s="20" t="str">
        <v>P_4</v>
      </c>
      <c r="AO30" s="20">
        <v>4</v>
      </c>
    </row>
    <row r="31" spans="2:134" x14ac:dyDescent="0.3">
      <c r="D31" s="20" t="str">
        <v>AAA</v>
      </c>
      <c r="E31" s="20" t="str">
        <v>P_5</v>
      </c>
      <c r="F31" s="20">
        <v>5</v>
      </c>
      <c r="G31" s="20">
        <v>5</v>
      </c>
      <c r="I31" s="20" t="str">
        <v>AAA</v>
      </c>
      <c r="J31" s="20" t="str">
        <v>P_5</v>
      </c>
      <c r="K31" s="20">
        <v>5</v>
      </c>
      <c r="L31" s="20">
        <v>5</v>
      </c>
      <c r="N31" s="20" t="str">
        <v>AAA</v>
      </c>
      <c r="O31" s="20" t="str">
        <v>P_5</v>
      </c>
      <c r="P31" s="20">
        <v>5</v>
      </c>
      <c r="R31" s="20" t="str">
        <v>AAA</v>
      </c>
      <c r="S31" s="20" t="str">
        <v>P_5</v>
      </c>
      <c r="T31" s="20">
        <v>5</v>
      </c>
      <c r="V31" s="20" t="str">
        <v>AAA</v>
      </c>
      <c r="W31" s="20" t="str">
        <v>P_5</v>
      </c>
      <c r="X31" s="20">
        <v>5</v>
      </c>
      <c r="Z31" s="20" t="str">
        <v>AAA</v>
      </c>
      <c r="AA31" s="20" t="str">
        <v>P_5</v>
      </c>
      <c r="AB31" s="20">
        <v>5</v>
      </c>
      <c r="AD31" s="20" t="str">
        <v>AAA</v>
      </c>
      <c r="AE31" s="20" t="str">
        <v>P_5</v>
      </c>
      <c r="AF31" s="20">
        <v>5</v>
      </c>
      <c r="AH31" s="20" t="str">
        <v>AAA</v>
      </c>
      <c r="AI31" s="20" t="str">
        <v>P_5</v>
      </c>
      <c r="AJ31" s="20">
        <v>5</v>
      </c>
      <c r="AM31" s="20" t="str">
        <v>AAA</v>
      </c>
      <c r="AN31" s="20" t="str">
        <v>P_5</v>
      </c>
      <c r="AO31" s="20">
        <v>5</v>
      </c>
    </row>
    <row r="32" spans="2:134" x14ac:dyDescent="0.3">
      <c r="D32" s="20" t="str">
        <v>AAA</v>
      </c>
      <c r="E32" s="20" t="str">
        <v>P_6</v>
      </c>
      <c r="F32" s="20">
        <v>6</v>
      </c>
      <c r="G32" s="20">
        <v>6</v>
      </c>
      <c r="I32" s="20" t="str">
        <v>AAA</v>
      </c>
      <c r="J32" s="20" t="str">
        <v>P_6</v>
      </c>
      <c r="K32" s="20">
        <v>6</v>
      </c>
      <c r="L32" s="20">
        <v>6</v>
      </c>
      <c r="N32" s="20" t="str">
        <v>AAA</v>
      </c>
      <c r="O32" s="20" t="str">
        <v>P_6</v>
      </c>
      <c r="P32" s="20">
        <v>6</v>
      </c>
      <c r="R32" s="20" t="str">
        <v>AAA</v>
      </c>
      <c r="S32" s="20" t="str">
        <v>P_6</v>
      </c>
      <c r="T32" s="20">
        <v>6</v>
      </c>
      <c r="V32" s="20" t="str">
        <v>AAA</v>
      </c>
      <c r="W32" s="20" t="str">
        <v>P_6</v>
      </c>
      <c r="X32" s="20">
        <v>6</v>
      </c>
      <c r="Z32" s="20" t="str">
        <v>AAA</v>
      </c>
      <c r="AA32" s="20" t="str">
        <v>P_6</v>
      </c>
      <c r="AB32" s="20">
        <v>6</v>
      </c>
      <c r="AD32" s="20" t="str">
        <v>AAA</v>
      </c>
      <c r="AE32" s="20" t="str">
        <v>P_6</v>
      </c>
      <c r="AF32" s="20">
        <v>6</v>
      </c>
      <c r="AH32" s="20" t="str">
        <v>AAA</v>
      </c>
      <c r="AI32" s="20" t="str">
        <v>P_6</v>
      </c>
      <c r="AJ32" s="20">
        <v>6</v>
      </c>
      <c r="AM32" s="20" t="str">
        <v>AAA</v>
      </c>
      <c r="AN32" s="20" t="str">
        <v>P_6</v>
      </c>
      <c r="AO32" s="20">
        <v>6</v>
      </c>
    </row>
    <row r="33" spans="4:41" x14ac:dyDescent="0.3">
      <c r="D33" s="20" t="str">
        <v>AAA</v>
      </c>
      <c r="E33" s="20" t="str">
        <v>P_7</v>
      </c>
      <c r="F33" s="20">
        <v>7</v>
      </c>
      <c r="G33" s="20">
        <v>7</v>
      </c>
      <c r="I33" s="20" t="str">
        <v>AAA</v>
      </c>
      <c r="J33" s="20" t="str">
        <v>P_7</v>
      </c>
      <c r="K33" s="20">
        <v>7</v>
      </c>
      <c r="L33" s="20">
        <v>7</v>
      </c>
      <c r="N33" s="20" t="str">
        <v>AAA</v>
      </c>
      <c r="O33" s="20" t="str">
        <v>P_7</v>
      </c>
      <c r="P33" s="20">
        <v>7</v>
      </c>
      <c r="R33" s="20" t="str">
        <v>AAA</v>
      </c>
      <c r="S33" s="20" t="str">
        <v>P_7</v>
      </c>
      <c r="T33" s="20">
        <v>7</v>
      </c>
      <c r="V33" s="20" t="str">
        <v>AAA</v>
      </c>
      <c r="W33" s="20" t="str">
        <v>P_7</v>
      </c>
      <c r="X33" s="20">
        <v>7</v>
      </c>
      <c r="Z33" s="20" t="str">
        <v>AAA</v>
      </c>
      <c r="AA33" s="20" t="str">
        <v>P_7</v>
      </c>
      <c r="AB33" s="20">
        <v>7</v>
      </c>
      <c r="AD33" s="20" t="str">
        <v>AAA</v>
      </c>
      <c r="AE33" s="20" t="str">
        <v>P_7</v>
      </c>
      <c r="AF33" s="20">
        <v>7</v>
      </c>
      <c r="AH33" s="20" t="str">
        <v>AAA</v>
      </c>
      <c r="AI33" s="20" t="str">
        <v>P_7</v>
      </c>
      <c r="AJ33" s="20">
        <v>7</v>
      </c>
      <c r="AM33" s="20" t="str">
        <v>AAA</v>
      </c>
      <c r="AN33" s="20" t="str">
        <v>P_7</v>
      </c>
      <c r="AO33" s="20">
        <v>7</v>
      </c>
    </row>
    <row r="34" spans="4:41" x14ac:dyDescent="0.3">
      <c r="D34" s="20" t="str">
        <v>AAA</v>
      </c>
      <c r="E34" s="20" t="str">
        <v>P_8</v>
      </c>
      <c r="F34" s="20">
        <v>8</v>
      </c>
      <c r="G34" s="20">
        <v>8</v>
      </c>
      <c r="I34" s="20" t="str">
        <v>AAA</v>
      </c>
      <c r="J34" s="20" t="str">
        <v>P_8</v>
      </c>
      <c r="K34" s="20">
        <v>8</v>
      </c>
      <c r="L34" s="20">
        <v>8</v>
      </c>
      <c r="N34" s="20" t="str">
        <v>AAA</v>
      </c>
      <c r="O34" s="20" t="str">
        <v>P_8</v>
      </c>
      <c r="P34" s="20">
        <v>8</v>
      </c>
      <c r="R34" s="20" t="str">
        <v>AAA</v>
      </c>
      <c r="S34" s="20" t="str">
        <v>P_8</v>
      </c>
      <c r="T34" s="20">
        <v>8</v>
      </c>
      <c r="V34" s="20" t="str">
        <v>AAA</v>
      </c>
      <c r="W34" s="20" t="str">
        <v>P_8</v>
      </c>
      <c r="X34" s="20">
        <v>8</v>
      </c>
      <c r="Z34" s="20" t="str">
        <v>AAA</v>
      </c>
      <c r="AA34" s="20" t="str">
        <v>P_8</v>
      </c>
      <c r="AB34" s="20">
        <v>8</v>
      </c>
      <c r="AD34" s="20" t="str">
        <v>AAA</v>
      </c>
      <c r="AE34" s="20" t="str">
        <v>P_8</v>
      </c>
      <c r="AF34" s="20">
        <v>8</v>
      </c>
      <c r="AH34" s="20" t="str">
        <v>AAA</v>
      </c>
      <c r="AI34" s="20" t="str">
        <v>P_8</v>
      </c>
      <c r="AJ34" s="20">
        <v>8</v>
      </c>
      <c r="AM34" s="20" t="str">
        <v>AAA</v>
      </c>
      <c r="AN34" s="20" t="str">
        <v>P_8</v>
      </c>
      <c r="AO34" s="20">
        <v>8</v>
      </c>
    </row>
    <row r="35" spans="4:41" x14ac:dyDescent="0.3">
      <c r="D35" s="20" t="str">
        <v>AAA</v>
      </c>
      <c r="E35" s="20" t="str">
        <v>P_9</v>
      </c>
      <c r="F35" s="20">
        <v>9</v>
      </c>
      <c r="G35" s="20">
        <v>9</v>
      </c>
      <c r="I35" s="20" t="str">
        <v>AAA</v>
      </c>
      <c r="J35" s="20" t="str">
        <v>P_9</v>
      </c>
      <c r="K35" s="20">
        <v>9</v>
      </c>
      <c r="L35" s="20">
        <v>9</v>
      </c>
      <c r="N35" s="20" t="str">
        <v>AAA</v>
      </c>
      <c r="O35" s="20" t="str">
        <v>P_9</v>
      </c>
      <c r="P35" s="20">
        <v>9</v>
      </c>
      <c r="R35" s="20" t="str">
        <v>AAA</v>
      </c>
      <c r="S35" s="20" t="str">
        <v>P_9</v>
      </c>
      <c r="T35" s="20">
        <v>9</v>
      </c>
      <c r="V35" s="20" t="str">
        <v>AAA</v>
      </c>
      <c r="W35" s="20" t="str">
        <v>P_9</v>
      </c>
      <c r="X35" s="20">
        <v>9</v>
      </c>
      <c r="Z35" s="20" t="str">
        <v>AAA</v>
      </c>
      <c r="AA35" s="20" t="str">
        <v>P_9</v>
      </c>
      <c r="AB35" s="20">
        <v>9</v>
      </c>
      <c r="AD35" s="20" t="str">
        <v>AAA</v>
      </c>
      <c r="AE35" s="20" t="str">
        <v>P_9</v>
      </c>
      <c r="AF35" s="20">
        <v>9</v>
      </c>
      <c r="AH35" s="20" t="str">
        <v>AAA</v>
      </c>
      <c r="AI35" s="20" t="str">
        <v>P_9</v>
      </c>
      <c r="AJ35" s="20">
        <v>9</v>
      </c>
      <c r="AM35" s="20" t="str">
        <v>AAA</v>
      </c>
      <c r="AN35" s="20" t="str">
        <v>P_9</v>
      </c>
      <c r="AO35" s="20">
        <v>9</v>
      </c>
    </row>
    <row r="36" spans="4:41" x14ac:dyDescent="0.3">
      <c r="D36" s="20" t="str">
        <v>AAA</v>
      </c>
      <c r="E36" s="20" t="str">
        <v>P_10</v>
      </c>
      <c r="F36" s="20">
        <v>10</v>
      </c>
      <c r="G36" s="20">
        <v>10</v>
      </c>
      <c r="I36" s="20" t="str">
        <v>AAA</v>
      </c>
      <c r="J36" s="20" t="str">
        <v>P_10</v>
      </c>
      <c r="K36" s="20">
        <v>10</v>
      </c>
      <c r="L36" s="20">
        <v>10</v>
      </c>
      <c r="N36" s="20" t="str">
        <v>AAA</v>
      </c>
      <c r="O36" s="20" t="str">
        <v>P_10</v>
      </c>
      <c r="P36" s="20">
        <v>10</v>
      </c>
      <c r="R36" s="20" t="str">
        <v>AAA</v>
      </c>
      <c r="S36" s="20" t="str">
        <v>P_10</v>
      </c>
      <c r="T36" s="20">
        <v>10</v>
      </c>
      <c r="V36" s="20" t="str">
        <v>AAA</v>
      </c>
      <c r="W36" s="20" t="str">
        <v>P_10</v>
      </c>
      <c r="X36" s="20">
        <v>10</v>
      </c>
      <c r="Z36" s="20" t="str">
        <v>AAA</v>
      </c>
      <c r="AA36" s="20" t="str">
        <v>P_10</v>
      </c>
      <c r="AB36" s="20">
        <v>10</v>
      </c>
      <c r="AD36" s="20" t="str">
        <v>AAA</v>
      </c>
      <c r="AE36" s="20" t="str">
        <v>P_10</v>
      </c>
      <c r="AF36" s="20">
        <v>10</v>
      </c>
      <c r="AH36" s="20" t="str">
        <v>AAA</v>
      </c>
      <c r="AI36" s="20" t="str">
        <v>P_10</v>
      </c>
      <c r="AJ36" s="20">
        <v>10</v>
      </c>
      <c r="AM36" s="20" t="str">
        <v>AAA</v>
      </c>
      <c r="AN36" s="20" t="str">
        <v>P_10</v>
      </c>
      <c r="AO36" s="20">
        <v>10</v>
      </c>
    </row>
    <row r="37" spans="4:41" x14ac:dyDescent="0.3">
      <c r="D37" s="20" t="str">
        <v>AAA</v>
      </c>
      <c r="E37" s="20" t="str">
        <v>P_11</v>
      </c>
      <c r="F37" s="20">
        <v>11</v>
      </c>
      <c r="G37" s="20">
        <v>11</v>
      </c>
      <c r="I37" s="20" t="str">
        <v>AAA</v>
      </c>
      <c r="J37" s="20" t="str">
        <v>P_11</v>
      </c>
      <c r="K37" s="20">
        <v>11</v>
      </c>
      <c r="L37" s="20">
        <v>11</v>
      </c>
      <c r="N37" s="20" t="str">
        <v>AAA</v>
      </c>
      <c r="O37" s="20" t="str">
        <v>P_11</v>
      </c>
      <c r="P37" s="20">
        <v>11</v>
      </c>
      <c r="R37" s="20" t="str">
        <v>AAA</v>
      </c>
      <c r="S37" s="20" t="str">
        <v>P_11</v>
      </c>
      <c r="T37" s="20">
        <v>11</v>
      </c>
      <c r="V37" s="20" t="str">
        <v>AAA</v>
      </c>
      <c r="W37" s="20" t="str">
        <v>P_11</v>
      </c>
      <c r="X37" s="20">
        <v>11</v>
      </c>
      <c r="Z37" s="20" t="str">
        <v>AAA</v>
      </c>
      <c r="AA37" s="20" t="str">
        <v>P_11</v>
      </c>
      <c r="AB37" s="20">
        <v>11</v>
      </c>
      <c r="AD37" s="20" t="str">
        <v>AAA</v>
      </c>
      <c r="AE37" s="20" t="str">
        <v>P_11</v>
      </c>
      <c r="AF37" s="20">
        <v>11</v>
      </c>
      <c r="AH37" s="20" t="str">
        <v>AAA</v>
      </c>
      <c r="AI37" s="20" t="str">
        <v>P_11</v>
      </c>
      <c r="AJ37" s="20">
        <v>11</v>
      </c>
      <c r="AM37" s="20" t="str">
        <v>AAA</v>
      </c>
      <c r="AN37" s="20" t="str">
        <v>P_11</v>
      </c>
      <c r="AO37" s="20">
        <v>11</v>
      </c>
    </row>
    <row r="38" spans="4:41" x14ac:dyDescent="0.3">
      <c r="D38" s="20" t="str">
        <v>AAA</v>
      </c>
      <c r="E38" s="20" t="str">
        <v>P_12</v>
      </c>
      <c r="F38" s="20">
        <v>12</v>
      </c>
      <c r="G38" s="20">
        <v>12</v>
      </c>
      <c r="I38" s="20" t="str">
        <v>AAA</v>
      </c>
      <c r="J38" s="20" t="str">
        <v>P_12</v>
      </c>
      <c r="K38" s="20">
        <v>12</v>
      </c>
      <c r="L38" s="20">
        <v>12</v>
      </c>
      <c r="N38" s="20" t="str">
        <v>AAA</v>
      </c>
      <c r="O38" s="20" t="str">
        <v>P_12</v>
      </c>
      <c r="P38" s="20">
        <v>12</v>
      </c>
      <c r="R38" s="20" t="str">
        <v>AAA</v>
      </c>
      <c r="S38" s="20" t="str">
        <v>P_12</v>
      </c>
      <c r="T38" s="20">
        <v>12</v>
      </c>
      <c r="V38" s="20" t="str">
        <v>AAA</v>
      </c>
      <c r="W38" s="20" t="str">
        <v>P_12</v>
      </c>
      <c r="X38" s="20">
        <v>12</v>
      </c>
      <c r="Z38" s="20" t="str">
        <v>AAA</v>
      </c>
      <c r="AA38" s="20" t="str">
        <v>P_12</v>
      </c>
      <c r="AB38" s="20">
        <v>12</v>
      </c>
      <c r="AD38" s="20" t="str">
        <v>AAA</v>
      </c>
      <c r="AE38" s="20" t="str">
        <v>P_12</v>
      </c>
      <c r="AF38" s="20">
        <v>12</v>
      </c>
      <c r="AH38" s="20" t="str">
        <v>AAA</v>
      </c>
      <c r="AI38" s="20" t="str">
        <v>P_12</v>
      </c>
      <c r="AJ38" s="20">
        <v>12</v>
      </c>
      <c r="AM38" s="20" t="str">
        <v>AAA</v>
      </c>
      <c r="AN38" s="20" t="str">
        <v>P_12</v>
      </c>
      <c r="AO38" s="20">
        <v>12</v>
      </c>
    </row>
    <row r="39" spans="4:41" x14ac:dyDescent="0.3">
      <c r="D39" s="20" t="str">
        <v>BBB</v>
      </c>
      <c r="E39" s="20" t="str">
        <v>P_1</v>
      </c>
      <c r="F39" s="20">
        <v>13</v>
      </c>
      <c r="G39" s="20">
        <v>13</v>
      </c>
      <c r="I39" s="20" t="str">
        <v>BBB</v>
      </c>
      <c r="J39" s="20" t="str">
        <v>P_1</v>
      </c>
      <c r="K39" s="20">
        <v>13</v>
      </c>
      <c r="L39" s="20">
        <v>13</v>
      </c>
      <c r="N39" s="20" t="str">
        <v>BBB</v>
      </c>
      <c r="O39" s="20" t="str">
        <v>P_1</v>
      </c>
      <c r="P39" s="20">
        <v>13</v>
      </c>
      <c r="R39" s="20" t="str">
        <v>BBB</v>
      </c>
      <c r="S39" s="20" t="str">
        <v>P_1</v>
      </c>
      <c r="T39" s="20">
        <v>13</v>
      </c>
      <c r="V39" s="20" t="str">
        <v>BBB</v>
      </c>
      <c r="W39" s="20" t="str">
        <v>P_1</v>
      </c>
      <c r="X39" s="20">
        <v>13</v>
      </c>
      <c r="Z39" s="20" t="str">
        <v>BBB</v>
      </c>
      <c r="AA39" s="20" t="str">
        <v>P_1</v>
      </c>
      <c r="AB39" s="20">
        <v>13</v>
      </c>
      <c r="AD39" s="20" t="str">
        <v>BBB</v>
      </c>
      <c r="AE39" s="20" t="str">
        <v>P_1</v>
      </c>
      <c r="AF39" s="20">
        <v>13</v>
      </c>
      <c r="AH39" s="20" t="str">
        <v>BBB</v>
      </c>
      <c r="AI39" s="20" t="str">
        <v>P_1</v>
      </c>
      <c r="AJ39" s="20">
        <v>13</v>
      </c>
      <c r="AM39" s="20" t="str">
        <v>BBB</v>
      </c>
      <c r="AN39" s="20" t="str">
        <v>P_1</v>
      </c>
      <c r="AO39" s="20">
        <v>13</v>
      </c>
    </row>
    <row r="40" spans="4:41" x14ac:dyDescent="0.3">
      <c r="D40" s="20" t="str">
        <v>BBB</v>
      </c>
      <c r="E40" s="20" t="str">
        <v>P_2</v>
      </c>
      <c r="F40" s="20">
        <v>14</v>
      </c>
      <c r="G40" s="20">
        <v>14</v>
      </c>
      <c r="I40" s="20" t="str">
        <v>BBB</v>
      </c>
      <c r="J40" s="20" t="str">
        <v>P_2</v>
      </c>
      <c r="K40" s="20">
        <v>14</v>
      </c>
      <c r="L40" s="20">
        <v>14</v>
      </c>
      <c r="N40" s="20" t="str">
        <v>BBB</v>
      </c>
      <c r="O40" s="20" t="str">
        <v>P_2</v>
      </c>
      <c r="P40" s="20">
        <v>14</v>
      </c>
      <c r="R40" s="20" t="str">
        <v>BBB</v>
      </c>
      <c r="S40" s="20" t="str">
        <v>P_2</v>
      </c>
      <c r="T40" s="20">
        <v>14</v>
      </c>
      <c r="V40" s="20" t="str">
        <v>BBB</v>
      </c>
      <c r="W40" s="20" t="str">
        <v>P_2</v>
      </c>
      <c r="X40" s="20">
        <v>14</v>
      </c>
      <c r="Z40" s="20" t="str">
        <v>BBB</v>
      </c>
      <c r="AA40" s="20" t="str">
        <v>P_2</v>
      </c>
      <c r="AB40" s="20">
        <v>14</v>
      </c>
      <c r="AD40" s="20" t="str">
        <v>BBB</v>
      </c>
      <c r="AE40" s="20" t="str">
        <v>P_2</v>
      </c>
      <c r="AF40" s="20">
        <v>14</v>
      </c>
      <c r="AH40" s="20" t="str">
        <v>BBB</v>
      </c>
      <c r="AI40" s="20" t="str">
        <v>P_2</v>
      </c>
      <c r="AJ40" s="20">
        <v>14</v>
      </c>
      <c r="AM40" s="20" t="str">
        <v>BBB</v>
      </c>
      <c r="AN40" s="20" t="str">
        <v>P_2</v>
      </c>
      <c r="AO40" s="20">
        <v>14</v>
      </c>
    </row>
    <row r="41" spans="4:41" x14ac:dyDescent="0.3">
      <c r="D41" s="20" t="str">
        <v>BBB</v>
      </c>
      <c r="E41" s="20" t="str">
        <v>P_3</v>
      </c>
      <c r="F41" s="20">
        <v>15</v>
      </c>
      <c r="G41" s="20">
        <v>15</v>
      </c>
      <c r="I41" s="20" t="str">
        <v>BBB</v>
      </c>
      <c r="J41" s="20" t="str">
        <v>P_3</v>
      </c>
      <c r="K41" s="20">
        <v>15</v>
      </c>
      <c r="L41" s="20">
        <v>15</v>
      </c>
      <c r="N41" s="20" t="str">
        <v>BBB</v>
      </c>
      <c r="O41" s="20" t="str">
        <v>P_3</v>
      </c>
      <c r="P41" s="20">
        <v>15</v>
      </c>
      <c r="R41" s="20" t="str">
        <v>BBB</v>
      </c>
      <c r="S41" s="20" t="str">
        <v>P_3</v>
      </c>
      <c r="T41" s="20">
        <v>15</v>
      </c>
      <c r="V41" s="20" t="str">
        <v>BBB</v>
      </c>
      <c r="W41" s="20" t="str">
        <v>P_3</v>
      </c>
      <c r="X41" s="20">
        <v>15</v>
      </c>
      <c r="Z41" s="20" t="str">
        <v>BBB</v>
      </c>
      <c r="AA41" s="20" t="str">
        <v>P_3</v>
      </c>
      <c r="AB41" s="20">
        <v>15</v>
      </c>
      <c r="AD41" s="20" t="str">
        <v>BBB</v>
      </c>
      <c r="AE41" s="20" t="str">
        <v>P_3</v>
      </c>
      <c r="AF41" s="20">
        <v>15</v>
      </c>
      <c r="AH41" s="20" t="str">
        <v>BBB</v>
      </c>
      <c r="AI41" s="20" t="str">
        <v>P_3</v>
      </c>
      <c r="AJ41" s="20">
        <v>15</v>
      </c>
      <c r="AM41" s="20" t="str">
        <v>BBB</v>
      </c>
      <c r="AN41" s="20" t="str">
        <v>P_3</v>
      </c>
      <c r="AO41" s="20">
        <v>15</v>
      </c>
    </row>
    <row r="42" spans="4:41" x14ac:dyDescent="0.3">
      <c r="D42" s="20" t="str">
        <v>BBB</v>
      </c>
      <c r="E42" s="20" t="str">
        <v>P_4</v>
      </c>
      <c r="F42" s="20">
        <v>16</v>
      </c>
      <c r="G42" s="20">
        <v>16</v>
      </c>
      <c r="I42" s="20" t="str">
        <v>BBB</v>
      </c>
      <c r="J42" s="20" t="str">
        <v>P_4</v>
      </c>
      <c r="K42" s="20">
        <v>16</v>
      </c>
      <c r="L42" s="20">
        <v>16</v>
      </c>
      <c r="N42" s="20" t="str">
        <v>BBB</v>
      </c>
      <c r="O42" s="20" t="str">
        <v>P_4</v>
      </c>
      <c r="P42" s="20">
        <v>16</v>
      </c>
      <c r="R42" s="20" t="str">
        <v>BBB</v>
      </c>
      <c r="S42" s="20" t="str">
        <v>P_4</v>
      </c>
      <c r="T42" s="20">
        <v>16</v>
      </c>
      <c r="V42" s="20" t="str">
        <v>BBB</v>
      </c>
      <c r="W42" s="20" t="str">
        <v>P_4</v>
      </c>
      <c r="X42" s="20">
        <v>16</v>
      </c>
      <c r="Z42" s="20" t="str">
        <v>BBB</v>
      </c>
      <c r="AA42" s="20" t="str">
        <v>P_4</v>
      </c>
      <c r="AB42" s="20">
        <v>16</v>
      </c>
      <c r="AD42" s="20" t="str">
        <v>BBB</v>
      </c>
      <c r="AE42" s="20" t="str">
        <v>P_4</v>
      </c>
      <c r="AF42" s="20">
        <v>16</v>
      </c>
      <c r="AH42" s="20" t="str">
        <v>BBB</v>
      </c>
      <c r="AI42" s="20" t="str">
        <v>P_4</v>
      </c>
      <c r="AJ42" s="20">
        <v>16</v>
      </c>
      <c r="AM42" s="20" t="str">
        <v>BBB</v>
      </c>
      <c r="AN42" s="20" t="str">
        <v>P_4</v>
      </c>
      <c r="AO42" s="20">
        <v>16</v>
      </c>
    </row>
    <row r="43" spans="4:41" x14ac:dyDescent="0.3">
      <c r="D43" s="20" t="str">
        <v>BBB</v>
      </c>
      <c r="E43" s="20" t="str">
        <v>P_5</v>
      </c>
      <c r="F43" s="20">
        <v>17</v>
      </c>
      <c r="G43" s="20">
        <v>17</v>
      </c>
      <c r="I43" s="20" t="str">
        <v>BBB</v>
      </c>
      <c r="J43" s="20" t="str">
        <v>P_5</v>
      </c>
      <c r="K43" s="20">
        <v>17</v>
      </c>
      <c r="L43" s="20">
        <v>17</v>
      </c>
      <c r="N43" s="20" t="str">
        <v>BBB</v>
      </c>
      <c r="O43" s="20" t="str">
        <v>P_5</v>
      </c>
      <c r="P43" s="20">
        <v>17</v>
      </c>
      <c r="R43" s="20" t="str">
        <v>BBB</v>
      </c>
      <c r="S43" s="20" t="str">
        <v>P_5</v>
      </c>
      <c r="T43" s="20">
        <v>17</v>
      </c>
      <c r="V43" s="20" t="str">
        <v>BBB</v>
      </c>
      <c r="W43" s="20" t="str">
        <v>P_5</v>
      </c>
      <c r="X43" s="20">
        <v>17</v>
      </c>
      <c r="Z43" s="20" t="str">
        <v>BBB</v>
      </c>
      <c r="AA43" s="20" t="str">
        <v>P_5</v>
      </c>
      <c r="AB43" s="20">
        <v>17</v>
      </c>
      <c r="AD43" s="20" t="str">
        <v>BBB</v>
      </c>
      <c r="AE43" s="20" t="str">
        <v>P_5</v>
      </c>
      <c r="AF43" s="20">
        <v>17</v>
      </c>
      <c r="AH43" s="20" t="str">
        <v>BBB</v>
      </c>
      <c r="AI43" s="20" t="str">
        <v>P_5</v>
      </c>
      <c r="AJ43" s="20">
        <v>17</v>
      </c>
      <c r="AM43" s="20" t="str">
        <v>BBB</v>
      </c>
      <c r="AN43" s="20" t="str">
        <v>P_5</v>
      </c>
      <c r="AO43" s="20">
        <v>17</v>
      </c>
    </row>
    <row r="44" spans="4:41" x14ac:dyDescent="0.3">
      <c r="D44" s="20" t="str">
        <v>BBB</v>
      </c>
      <c r="E44" s="20" t="str">
        <v>P_6</v>
      </c>
      <c r="F44" s="20">
        <v>18</v>
      </c>
      <c r="G44" s="20">
        <v>18</v>
      </c>
      <c r="I44" s="20" t="str">
        <v>BBB</v>
      </c>
      <c r="J44" s="20" t="str">
        <v>P_6</v>
      </c>
      <c r="K44" s="20">
        <v>18</v>
      </c>
      <c r="L44" s="20">
        <v>18</v>
      </c>
      <c r="N44" s="20" t="str">
        <v>BBB</v>
      </c>
      <c r="O44" s="20" t="str">
        <v>P_6</v>
      </c>
      <c r="P44" s="20">
        <v>18</v>
      </c>
      <c r="R44" s="20" t="str">
        <v>BBB</v>
      </c>
      <c r="S44" s="20" t="str">
        <v>P_6</v>
      </c>
      <c r="T44" s="20">
        <v>18</v>
      </c>
      <c r="V44" s="20" t="str">
        <v>BBB</v>
      </c>
      <c r="W44" s="20" t="str">
        <v>P_6</v>
      </c>
      <c r="X44" s="20">
        <v>18</v>
      </c>
      <c r="Z44" s="20" t="str">
        <v>BBB</v>
      </c>
      <c r="AA44" s="20" t="str">
        <v>P_6</v>
      </c>
      <c r="AB44" s="20">
        <v>18</v>
      </c>
      <c r="AD44" s="20" t="str">
        <v>BBB</v>
      </c>
      <c r="AE44" s="20" t="str">
        <v>P_6</v>
      </c>
      <c r="AF44" s="20">
        <v>18</v>
      </c>
      <c r="AH44" s="20" t="str">
        <v>BBB</v>
      </c>
      <c r="AI44" s="20" t="str">
        <v>P_6</v>
      </c>
      <c r="AJ44" s="20">
        <v>18</v>
      </c>
      <c r="AM44" s="20" t="str">
        <v>BBB</v>
      </c>
      <c r="AN44" s="20" t="str">
        <v>P_6</v>
      </c>
      <c r="AO44" s="20">
        <v>18</v>
      </c>
    </row>
    <row r="45" spans="4:41" x14ac:dyDescent="0.3">
      <c r="D45" s="20" t="str">
        <v>BBB</v>
      </c>
      <c r="E45" s="20" t="str">
        <v>P_7</v>
      </c>
      <c r="F45" s="20">
        <v>19</v>
      </c>
      <c r="G45" s="20">
        <v>19</v>
      </c>
      <c r="I45" s="20" t="str">
        <v>BBB</v>
      </c>
      <c r="J45" s="20" t="str">
        <v>P_7</v>
      </c>
      <c r="K45" s="20">
        <v>19</v>
      </c>
      <c r="L45" s="20">
        <v>19</v>
      </c>
      <c r="N45" s="20" t="str">
        <v>BBB</v>
      </c>
      <c r="O45" s="20" t="str">
        <v>P_7</v>
      </c>
      <c r="P45" s="20">
        <v>19</v>
      </c>
      <c r="R45" s="20" t="str">
        <v>BBB</v>
      </c>
      <c r="S45" s="20" t="str">
        <v>P_7</v>
      </c>
      <c r="T45" s="20">
        <v>19</v>
      </c>
      <c r="V45" s="20" t="str">
        <v>BBB</v>
      </c>
      <c r="W45" s="20" t="str">
        <v>P_7</v>
      </c>
      <c r="X45" s="20">
        <v>19</v>
      </c>
      <c r="Z45" s="20" t="str">
        <v>BBB</v>
      </c>
      <c r="AA45" s="20" t="str">
        <v>P_7</v>
      </c>
      <c r="AB45" s="20">
        <v>19</v>
      </c>
      <c r="AD45" s="20" t="str">
        <v>BBB</v>
      </c>
      <c r="AE45" s="20" t="str">
        <v>P_7</v>
      </c>
      <c r="AF45" s="20">
        <v>19</v>
      </c>
      <c r="AH45" s="20" t="str">
        <v>BBB</v>
      </c>
      <c r="AI45" s="20" t="str">
        <v>P_7</v>
      </c>
      <c r="AJ45" s="20">
        <v>19</v>
      </c>
      <c r="AM45" s="20" t="str">
        <v>BBB</v>
      </c>
      <c r="AN45" s="20" t="str">
        <v>P_7</v>
      </c>
      <c r="AO45" s="20">
        <v>19</v>
      </c>
    </row>
    <row r="46" spans="4:41" x14ac:dyDescent="0.3">
      <c r="D46" s="20" t="str">
        <v>BBB</v>
      </c>
      <c r="E46" s="20" t="str">
        <v>P_8</v>
      </c>
      <c r="F46" s="20">
        <v>20</v>
      </c>
      <c r="G46" s="20">
        <v>20</v>
      </c>
      <c r="I46" s="20" t="str">
        <v>BBB</v>
      </c>
      <c r="J46" s="20" t="str">
        <v>P_8</v>
      </c>
      <c r="K46" s="20">
        <v>20</v>
      </c>
      <c r="L46" s="20">
        <v>20</v>
      </c>
      <c r="N46" s="20" t="str">
        <v>BBB</v>
      </c>
      <c r="O46" s="20" t="str">
        <v>P_8</v>
      </c>
      <c r="P46" s="20">
        <v>20</v>
      </c>
      <c r="R46" s="20" t="str">
        <v>BBB</v>
      </c>
      <c r="S46" s="20" t="str">
        <v>P_8</v>
      </c>
      <c r="T46" s="20">
        <v>20</v>
      </c>
      <c r="V46" s="20" t="str">
        <v>BBB</v>
      </c>
      <c r="W46" s="20" t="str">
        <v>P_8</v>
      </c>
      <c r="X46" s="20">
        <v>20</v>
      </c>
      <c r="Z46" s="20" t="str">
        <v>BBB</v>
      </c>
      <c r="AA46" s="20" t="str">
        <v>P_8</v>
      </c>
      <c r="AB46" s="20">
        <v>20</v>
      </c>
      <c r="AD46" s="20" t="str">
        <v>BBB</v>
      </c>
      <c r="AE46" s="20" t="str">
        <v>P_8</v>
      </c>
      <c r="AF46" s="20">
        <v>20</v>
      </c>
      <c r="AH46" s="20" t="str">
        <v>BBB</v>
      </c>
      <c r="AI46" s="20" t="str">
        <v>P_8</v>
      </c>
      <c r="AJ46" s="20">
        <v>20</v>
      </c>
      <c r="AM46" s="20" t="str">
        <v>BBB</v>
      </c>
      <c r="AN46" s="20" t="str">
        <v>P_8</v>
      </c>
      <c r="AO46" s="20">
        <v>20</v>
      </c>
    </row>
    <row r="47" spans="4:41" x14ac:dyDescent="0.3">
      <c r="D47" s="20" t="str">
        <v>BBB</v>
      </c>
      <c r="E47" s="20" t="str">
        <v>P_9</v>
      </c>
      <c r="F47" s="20">
        <v>21</v>
      </c>
      <c r="G47" s="20">
        <v>21</v>
      </c>
      <c r="I47" s="20" t="str">
        <v>BBB</v>
      </c>
      <c r="J47" s="20" t="str">
        <v>P_9</v>
      </c>
      <c r="K47" s="20">
        <v>21</v>
      </c>
      <c r="L47" s="20">
        <v>21</v>
      </c>
      <c r="N47" s="20" t="str">
        <v>BBB</v>
      </c>
      <c r="O47" s="20" t="str">
        <v>P_9</v>
      </c>
      <c r="P47" s="20">
        <v>21</v>
      </c>
      <c r="R47" s="20" t="str">
        <v>BBB</v>
      </c>
      <c r="S47" s="20" t="str">
        <v>P_9</v>
      </c>
      <c r="T47" s="20">
        <v>21</v>
      </c>
      <c r="V47" s="20" t="str">
        <v>BBB</v>
      </c>
      <c r="W47" s="20" t="str">
        <v>P_9</v>
      </c>
      <c r="X47" s="20">
        <v>21</v>
      </c>
      <c r="Z47" s="20" t="str">
        <v>BBB</v>
      </c>
      <c r="AA47" s="20" t="str">
        <v>P_9</v>
      </c>
      <c r="AB47" s="20">
        <v>21</v>
      </c>
      <c r="AD47" s="20" t="str">
        <v>BBB</v>
      </c>
      <c r="AE47" s="20" t="str">
        <v>P_9</v>
      </c>
      <c r="AF47" s="20">
        <v>21</v>
      </c>
      <c r="AH47" s="20" t="str">
        <v>BBB</v>
      </c>
      <c r="AI47" s="20" t="str">
        <v>P_9</v>
      </c>
      <c r="AJ47" s="20">
        <v>21</v>
      </c>
      <c r="AM47" s="20" t="str">
        <v>BBB</v>
      </c>
      <c r="AN47" s="20" t="str">
        <v>P_9</v>
      </c>
      <c r="AO47" s="20">
        <v>21</v>
      </c>
    </row>
    <row r="48" spans="4:41" x14ac:dyDescent="0.3">
      <c r="D48" s="20" t="str">
        <v>BBB</v>
      </c>
      <c r="E48" s="20" t="str">
        <v>P_10</v>
      </c>
      <c r="F48" s="20">
        <v>22</v>
      </c>
      <c r="G48" s="20">
        <v>22</v>
      </c>
      <c r="I48" s="20" t="str">
        <v>BBB</v>
      </c>
      <c r="J48" s="20" t="str">
        <v>P_10</v>
      </c>
      <c r="K48" s="20">
        <v>22</v>
      </c>
      <c r="L48" s="20">
        <v>22</v>
      </c>
      <c r="N48" s="20" t="str">
        <v>BBB</v>
      </c>
      <c r="O48" s="20" t="str">
        <v>P_10</v>
      </c>
      <c r="P48" s="20">
        <v>22</v>
      </c>
      <c r="R48" s="20" t="str">
        <v>BBB</v>
      </c>
      <c r="S48" s="20" t="str">
        <v>P_10</v>
      </c>
      <c r="T48" s="20">
        <v>22</v>
      </c>
      <c r="V48" s="20" t="str">
        <v>BBB</v>
      </c>
      <c r="W48" s="20" t="str">
        <v>P_10</v>
      </c>
      <c r="X48" s="20">
        <v>22</v>
      </c>
      <c r="Z48" s="20" t="str">
        <v>BBB</v>
      </c>
      <c r="AA48" s="20" t="str">
        <v>P_10</v>
      </c>
      <c r="AB48" s="20">
        <v>22</v>
      </c>
      <c r="AD48" s="20" t="str">
        <v>BBB</v>
      </c>
      <c r="AE48" s="20" t="str">
        <v>P_10</v>
      </c>
      <c r="AF48" s="20">
        <v>22</v>
      </c>
      <c r="AH48" s="20" t="str">
        <v>BBB</v>
      </c>
      <c r="AI48" s="20" t="str">
        <v>P_10</v>
      </c>
      <c r="AJ48" s="20">
        <v>22</v>
      </c>
      <c r="AM48" s="20" t="str">
        <v>BBB</v>
      </c>
      <c r="AN48" s="20" t="str">
        <v>P_10</v>
      </c>
      <c r="AO48" s="20">
        <v>22</v>
      </c>
    </row>
    <row r="49" spans="4:41" x14ac:dyDescent="0.3">
      <c r="D49" s="20" t="str">
        <v>BBB</v>
      </c>
      <c r="E49" s="20" t="str">
        <v>P_11</v>
      </c>
      <c r="F49" s="20">
        <v>23</v>
      </c>
      <c r="G49" s="20">
        <v>23</v>
      </c>
      <c r="I49" s="20" t="str">
        <v>BBB</v>
      </c>
      <c r="J49" s="20" t="str">
        <v>P_11</v>
      </c>
      <c r="K49" s="20">
        <v>23</v>
      </c>
      <c r="L49" s="20">
        <v>23</v>
      </c>
      <c r="N49" s="20" t="str">
        <v>BBB</v>
      </c>
      <c r="O49" s="20" t="str">
        <v>P_11</v>
      </c>
      <c r="P49" s="20">
        <v>23</v>
      </c>
      <c r="R49" s="20" t="str">
        <v>BBB</v>
      </c>
      <c r="S49" s="20" t="str">
        <v>P_11</v>
      </c>
      <c r="T49" s="20">
        <v>23</v>
      </c>
      <c r="V49" s="20" t="str">
        <v>BBB</v>
      </c>
      <c r="W49" s="20" t="str">
        <v>P_11</v>
      </c>
      <c r="X49" s="20">
        <v>23</v>
      </c>
      <c r="Z49" s="20" t="str">
        <v>BBB</v>
      </c>
      <c r="AA49" s="20" t="str">
        <v>P_11</v>
      </c>
      <c r="AB49" s="20">
        <v>23</v>
      </c>
      <c r="AD49" s="20" t="str">
        <v>BBB</v>
      </c>
      <c r="AE49" s="20" t="str">
        <v>P_11</v>
      </c>
      <c r="AF49" s="20">
        <v>23</v>
      </c>
      <c r="AH49" s="20" t="str">
        <v>BBB</v>
      </c>
      <c r="AI49" s="20" t="str">
        <v>P_11</v>
      </c>
      <c r="AJ49" s="20">
        <v>23</v>
      </c>
      <c r="AM49" s="20" t="str">
        <v>BBB</v>
      </c>
      <c r="AN49" s="20" t="str">
        <v>P_11</v>
      </c>
      <c r="AO49" s="20">
        <v>23</v>
      </c>
    </row>
    <row r="50" spans="4:41" x14ac:dyDescent="0.3">
      <c r="D50" s="20" t="str">
        <v>BBB</v>
      </c>
      <c r="E50" s="20" t="str">
        <v>P_12</v>
      </c>
      <c r="F50" s="20">
        <v>24</v>
      </c>
      <c r="G50" s="20">
        <v>24</v>
      </c>
      <c r="I50" s="20" t="str">
        <v>BBB</v>
      </c>
      <c r="J50" s="20" t="str">
        <v>P_12</v>
      </c>
      <c r="K50" s="20">
        <v>24</v>
      </c>
      <c r="L50" s="20">
        <v>24</v>
      </c>
      <c r="N50" s="20" t="str">
        <v>BBB</v>
      </c>
      <c r="O50" s="20" t="str">
        <v>P_12</v>
      </c>
      <c r="P50" s="20">
        <v>24</v>
      </c>
      <c r="R50" s="20" t="str">
        <v>BBB</v>
      </c>
      <c r="S50" s="20" t="str">
        <v>P_12</v>
      </c>
      <c r="T50" s="20">
        <v>24</v>
      </c>
      <c r="V50" s="20" t="str">
        <v>BBB</v>
      </c>
      <c r="W50" s="20" t="str">
        <v>P_12</v>
      </c>
      <c r="X50" s="20">
        <v>24</v>
      </c>
      <c r="Z50" s="20" t="str">
        <v>BBB</v>
      </c>
      <c r="AA50" s="20" t="str">
        <v>P_12</v>
      </c>
      <c r="AB50" s="20">
        <v>24</v>
      </c>
      <c r="AD50" s="20" t="str">
        <v>BBB</v>
      </c>
      <c r="AE50" s="20" t="str">
        <v>P_12</v>
      </c>
      <c r="AF50" s="20">
        <v>24</v>
      </c>
      <c r="AH50" s="20" t="str">
        <v>BBB</v>
      </c>
      <c r="AI50" s="20" t="str">
        <v>P_12</v>
      </c>
      <c r="AJ50" s="20">
        <v>24</v>
      </c>
      <c r="AM50" s="20" t="str">
        <v>BBB</v>
      </c>
      <c r="AN50" s="20" t="str">
        <v>P_12</v>
      </c>
      <c r="AO50" s="20">
        <v>24</v>
      </c>
    </row>
    <row r="51" spans="4:41" x14ac:dyDescent="0.3">
      <c r="D51" s="20" t="str">
        <v>CCC</v>
      </c>
      <c r="E51" s="20" t="str">
        <v>P_1</v>
      </c>
      <c r="F51" s="20">
        <v>25</v>
      </c>
      <c r="G51" s="20">
        <v>25</v>
      </c>
      <c r="I51" s="20" t="str">
        <v>CCC</v>
      </c>
      <c r="J51" s="20" t="str">
        <v>P_1</v>
      </c>
      <c r="K51" s="20">
        <v>25</v>
      </c>
      <c r="L51" s="20">
        <v>25</v>
      </c>
      <c r="N51" s="20" t="str">
        <v>CCC</v>
      </c>
      <c r="O51" s="20" t="str">
        <v>P_1</v>
      </c>
      <c r="P51" s="20">
        <v>25</v>
      </c>
      <c r="R51" s="20" t="str">
        <v>CCC</v>
      </c>
      <c r="S51" s="20" t="str">
        <v>P_1</v>
      </c>
      <c r="T51" s="20">
        <v>25</v>
      </c>
      <c r="V51" s="20" t="str">
        <v>CCC</v>
      </c>
      <c r="W51" s="20" t="str">
        <v>P_1</v>
      </c>
      <c r="X51" s="20">
        <v>25</v>
      </c>
      <c r="Z51" s="20" t="str">
        <v>CCC</v>
      </c>
      <c r="AA51" s="20" t="str">
        <v>P_1</v>
      </c>
      <c r="AB51" s="20">
        <v>25</v>
      </c>
      <c r="AD51" s="20" t="str">
        <v>CCC</v>
      </c>
      <c r="AE51" s="20" t="str">
        <v>P_1</v>
      </c>
      <c r="AF51" s="20">
        <v>25</v>
      </c>
      <c r="AH51" s="20" t="str">
        <v>CCC</v>
      </c>
      <c r="AI51" s="20" t="str">
        <v>P_1</v>
      </c>
      <c r="AJ51" s="20">
        <v>25</v>
      </c>
      <c r="AM51" s="20" t="str">
        <v>CCC</v>
      </c>
      <c r="AN51" s="20" t="str">
        <v>P_1</v>
      </c>
      <c r="AO51" s="20">
        <v>25</v>
      </c>
    </row>
    <row r="52" spans="4:41" x14ac:dyDescent="0.3">
      <c r="D52" s="20" t="str">
        <v>CCC</v>
      </c>
      <c r="E52" s="20" t="str">
        <v>P_2</v>
      </c>
      <c r="F52" s="20">
        <v>26</v>
      </c>
      <c r="G52" s="20">
        <v>26</v>
      </c>
      <c r="I52" s="20" t="str">
        <v>CCC</v>
      </c>
      <c r="J52" s="20" t="str">
        <v>P_2</v>
      </c>
      <c r="K52" s="20">
        <v>26</v>
      </c>
      <c r="L52" s="20">
        <v>26</v>
      </c>
      <c r="N52" s="20" t="str">
        <v>CCC</v>
      </c>
      <c r="O52" s="20" t="str">
        <v>P_2</v>
      </c>
      <c r="P52" s="20">
        <v>26</v>
      </c>
      <c r="R52" s="20" t="str">
        <v>CCC</v>
      </c>
      <c r="S52" s="20" t="str">
        <v>P_2</v>
      </c>
      <c r="T52" s="20">
        <v>26</v>
      </c>
      <c r="V52" s="20" t="str">
        <v>CCC</v>
      </c>
      <c r="W52" s="20" t="str">
        <v>P_2</v>
      </c>
      <c r="X52" s="20">
        <v>26</v>
      </c>
      <c r="Z52" s="20" t="str">
        <v>CCC</v>
      </c>
      <c r="AA52" s="20" t="str">
        <v>P_2</v>
      </c>
      <c r="AB52" s="20">
        <v>26</v>
      </c>
      <c r="AD52" s="20" t="str">
        <v>CCC</v>
      </c>
      <c r="AE52" s="20" t="str">
        <v>P_2</v>
      </c>
      <c r="AF52" s="20">
        <v>26</v>
      </c>
      <c r="AH52" s="20" t="str">
        <v>CCC</v>
      </c>
      <c r="AI52" s="20" t="str">
        <v>P_2</v>
      </c>
      <c r="AJ52" s="20">
        <v>26</v>
      </c>
      <c r="AM52" s="20" t="str">
        <v>CCC</v>
      </c>
      <c r="AN52" s="20" t="str">
        <v>P_2</v>
      </c>
      <c r="AO52" s="20">
        <v>26</v>
      </c>
    </row>
    <row r="53" spans="4:41" x14ac:dyDescent="0.3">
      <c r="D53" s="20" t="str">
        <v>CCC</v>
      </c>
      <c r="E53" s="20" t="str">
        <v>P_3</v>
      </c>
      <c r="F53" s="20">
        <v>27</v>
      </c>
      <c r="G53" s="20">
        <v>27</v>
      </c>
      <c r="I53" s="20" t="str">
        <v>CCC</v>
      </c>
      <c r="J53" s="20" t="str">
        <v>P_3</v>
      </c>
      <c r="K53" s="20">
        <v>27</v>
      </c>
      <c r="L53" s="20">
        <v>27</v>
      </c>
      <c r="N53" s="20" t="str">
        <v>CCC</v>
      </c>
      <c r="O53" s="20" t="str">
        <v>P_3</v>
      </c>
      <c r="P53" s="20">
        <v>27</v>
      </c>
      <c r="R53" s="20" t="str">
        <v>CCC</v>
      </c>
      <c r="S53" s="20" t="str">
        <v>P_3</v>
      </c>
      <c r="T53" s="20">
        <v>27</v>
      </c>
      <c r="V53" s="20" t="str">
        <v>CCC</v>
      </c>
      <c r="W53" s="20" t="str">
        <v>P_3</v>
      </c>
      <c r="X53" s="20">
        <v>27</v>
      </c>
      <c r="Z53" s="20" t="str">
        <v>CCC</v>
      </c>
      <c r="AA53" s="20" t="str">
        <v>P_3</v>
      </c>
      <c r="AB53" s="20">
        <v>27</v>
      </c>
      <c r="AD53" s="20" t="str">
        <v>CCC</v>
      </c>
      <c r="AE53" s="20" t="str">
        <v>P_3</v>
      </c>
      <c r="AF53" s="20">
        <v>27</v>
      </c>
      <c r="AH53" s="20" t="str">
        <v>CCC</v>
      </c>
      <c r="AI53" s="20" t="str">
        <v>P_3</v>
      </c>
      <c r="AJ53" s="20">
        <v>27</v>
      </c>
      <c r="AM53" s="20" t="str">
        <v>CCC</v>
      </c>
      <c r="AN53" s="20" t="str">
        <v>P_3</v>
      </c>
      <c r="AO53" s="20">
        <v>27</v>
      </c>
    </row>
    <row r="54" spans="4:41" x14ac:dyDescent="0.3">
      <c r="D54" s="20" t="str">
        <v>CCC</v>
      </c>
      <c r="E54" s="20" t="str">
        <v>P_4</v>
      </c>
      <c r="F54" s="20">
        <v>28</v>
      </c>
      <c r="G54" s="20">
        <v>28</v>
      </c>
      <c r="I54" s="20" t="str">
        <v>CCC</v>
      </c>
      <c r="J54" s="20" t="str">
        <v>P_4</v>
      </c>
      <c r="K54" s="20">
        <v>28</v>
      </c>
      <c r="L54" s="20">
        <v>28</v>
      </c>
      <c r="N54" s="20" t="str">
        <v>CCC</v>
      </c>
      <c r="O54" s="20" t="str">
        <v>P_4</v>
      </c>
      <c r="P54" s="20">
        <v>28</v>
      </c>
      <c r="R54" s="20" t="str">
        <v>CCC</v>
      </c>
      <c r="S54" s="20" t="str">
        <v>P_4</v>
      </c>
      <c r="T54" s="20">
        <v>28</v>
      </c>
      <c r="V54" s="20" t="str">
        <v>CCC</v>
      </c>
      <c r="W54" s="20" t="str">
        <v>P_4</v>
      </c>
      <c r="X54" s="20">
        <v>28</v>
      </c>
      <c r="Z54" s="20" t="str">
        <v>CCC</v>
      </c>
      <c r="AA54" s="20" t="str">
        <v>P_4</v>
      </c>
      <c r="AB54" s="20">
        <v>28</v>
      </c>
      <c r="AD54" s="20" t="str">
        <v>CCC</v>
      </c>
      <c r="AE54" s="20" t="str">
        <v>P_4</v>
      </c>
      <c r="AF54" s="20">
        <v>28</v>
      </c>
      <c r="AH54" s="20" t="str">
        <v>CCC</v>
      </c>
      <c r="AI54" s="20" t="str">
        <v>P_4</v>
      </c>
      <c r="AJ54" s="20">
        <v>28</v>
      </c>
      <c r="AM54" s="20" t="str">
        <v>CCC</v>
      </c>
      <c r="AN54" s="20" t="str">
        <v>P_4</v>
      </c>
      <c r="AO54" s="20">
        <v>28</v>
      </c>
    </row>
    <row r="55" spans="4:41" x14ac:dyDescent="0.3">
      <c r="D55" s="20" t="str">
        <v>CCC</v>
      </c>
      <c r="E55" s="20" t="str">
        <v>P_5</v>
      </c>
      <c r="F55" s="20">
        <v>29</v>
      </c>
      <c r="G55" s="20">
        <v>29</v>
      </c>
      <c r="I55" s="20" t="str">
        <v>CCC</v>
      </c>
      <c r="J55" s="20" t="str">
        <v>P_5</v>
      </c>
      <c r="K55" s="20">
        <v>29</v>
      </c>
      <c r="L55" s="20">
        <v>29</v>
      </c>
      <c r="N55" s="20" t="str">
        <v>CCC</v>
      </c>
      <c r="O55" s="20" t="str">
        <v>P_5</v>
      </c>
      <c r="P55" s="20">
        <v>29</v>
      </c>
      <c r="R55" s="20" t="str">
        <v>CCC</v>
      </c>
      <c r="S55" s="20" t="str">
        <v>P_5</v>
      </c>
      <c r="T55" s="20">
        <v>29</v>
      </c>
      <c r="V55" s="20" t="str">
        <v>CCC</v>
      </c>
      <c r="W55" s="20" t="str">
        <v>P_5</v>
      </c>
      <c r="X55" s="20">
        <v>29</v>
      </c>
      <c r="Z55" s="20" t="str">
        <v>CCC</v>
      </c>
      <c r="AA55" s="20" t="str">
        <v>P_5</v>
      </c>
      <c r="AB55" s="20">
        <v>29</v>
      </c>
      <c r="AD55" s="20" t="str">
        <v>CCC</v>
      </c>
      <c r="AE55" s="20" t="str">
        <v>P_5</v>
      </c>
      <c r="AF55" s="20">
        <v>29</v>
      </c>
      <c r="AH55" s="20" t="str">
        <v>CCC</v>
      </c>
      <c r="AI55" s="20" t="str">
        <v>P_5</v>
      </c>
      <c r="AJ55" s="20">
        <v>29</v>
      </c>
      <c r="AM55" s="20" t="str">
        <v>CCC</v>
      </c>
      <c r="AN55" s="20" t="str">
        <v>P_5</v>
      </c>
      <c r="AO55" s="20">
        <v>29</v>
      </c>
    </row>
    <row r="56" spans="4:41" x14ac:dyDescent="0.3">
      <c r="D56" s="20" t="str">
        <v>CCC</v>
      </c>
      <c r="E56" s="20" t="str">
        <v>P_6</v>
      </c>
      <c r="F56" s="20">
        <v>30</v>
      </c>
      <c r="G56" s="20">
        <v>30</v>
      </c>
      <c r="I56" s="20" t="str">
        <v>CCC</v>
      </c>
      <c r="J56" s="20" t="str">
        <v>P_6</v>
      </c>
      <c r="K56" s="20">
        <v>30</v>
      </c>
      <c r="L56" s="20">
        <v>30</v>
      </c>
      <c r="N56" s="20" t="str">
        <v>CCC</v>
      </c>
      <c r="O56" s="20" t="str">
        <v>P_6</v>
      </c>
      <c r="P56" s="20">
        <v>30</v>
      </c>
      <c r="R56" s="20" t="str">
        <v>CCC</v>
      </c>
      <c r="S56" s="20" t="str">
        <v>P_6</v>
      </c>
      <c r="T56" s="20">
        <v>30</v>
      </c>
      <c r="V56" s="20" t="str">
        <v>CCC</v>
      </c>
      <c r="W56" s="20" t="str">
        <v>P_6</v>
      </c>
      <c r="X56" s="20">
        <v>30</v>
      </c>
      <c r="Z56" s="20" t="str">
        <v>CCC</v>
      </c>
      <c r="AA56" s="20" t="str">
        <v>P_6</v>
      </c>
      <c r="AB56" s="20">
        <v>30</v>
      </c>
      <c r="AD56" s="20" t="str">
        <v>CCC</v>
      </c>
      <c r="AE56" s="20" t="str">
        <v>P_6</v>
      </c>
      <c r="AF56" s="20">
        <v>30</v>
      </c>
      <c r="AH56" s="20" t="str">
        <v>CCC</v>
      </c>
      <c r="AI56" s="20" t="str">
        <v>P_6</v>
      </c>
      <c r="AJ56" s="20">
        <v>30</v>
      </c>
      <c r="AM56" s="20" t="str">
        <v>CCC</v>
      </c>
      <c r="AN56" s="20" t="str">
        <v>P_6</v>
      </c>
      <c r="AO56" s="20">
        <v>30</v>
      </c>
    </row>
    <row r="57" spans="4:41" x14ac:dyDescent="0.3">
      <c r="D57" s="20" t="str">
        <v>CCC</v>
      </c>
      <c r="E57" s="20" t="str">
        <v>P_7</v>
      </c>
      <c r="F57" s="20">
        <v>31</v>
      </c>
      <c r="G57" s="20">
        <v>31</v>
      </c>
      <c r="I57" s="20" t="str">
        <v>CCC</v>
      </c>
      <c r="J57" s="20" t="str">
        <v>P_7</v>
      </c>
      <c r="K57" s="20">
        <v>31</v>
      </c>
      <c r="L57" s="20">
        <v>31</v>
      </c>
      <c r="N57" s="20" t="str">
        <v>CCC</v>
      </c>
      <c r="O57" s="20" t="str">
        <v>P_7</v>
      </c>
      <c r="P57" s="20">
        <v>31</v>
      </c>
      <c r="R57" s="20" t="str">
        <v>CCC</v>
      </c>
      <c r="S57" s="20" t="str">
        <v>P_7</v>
      </c>
      <c r="T57" s="20">
        <v>31</v>
      </c>
      <c r="V57" s="20" t="str">
        <v>CCC</v>
      </c>
      <c r="W57" s="20" t="str">
        <v>P_7</v>
      </c>
      <c r="X57" s="20">
        <v>31</v>
      </c>
      <c r="Z57" s="20" t="str">
        <v>CCC</v>
      </c>
      <c r="AA57" s="20" t="str">
        <v>P_7</v>
      </c>
      <c r="AB57" s="20">
        <v>31</v>
      </c>
      <c r="AD57" s="20" t="str">
        <v>CCC</v>
      </c>
      <c r="AE57" s="20" t="str">
        <v>P_7</v>
      </c>
      <c r="AF57" s="20">
        <v>31</v>
      </c>
      <c r="AH57" s="20" t="str">
        <v>CCC</v>
      </c>
      <c r="AI57" s="20" t="str">
        <v>P_7</v>
      </c>
      <c r="AJ57" s="20">
        <v>31</v>
      </c>
      <c r="AM57" s="20" t="str">
        <v>CCC</v>
      </c>
      <c r="AN57" s="20" t="str">
        <v>P_7</v>
      </c>
      <c r="AO57" s="20">
        <v>31</v>
      </c>
    </row>
    <row r="58" spans="4:41" x14ac:dyDescent="0.3">
      <c r="D58" s="20" t="str">
        <v>CCC</v>
      </c>
      <c r="E58" s="20" t="str">
        <v>P_8</v>
      </c>
      <c r="F58" s="20">
        <v>32</v>
      </c>
      <c r="G58" s="20">
        <v>32</v>
      </c>
      <c r="I58" s="20" t="str">
        <v>CCC</v>
      </c>
      <c r="J58" s="20" t="str">
        <v>P_8</v>
      </c>
      <c r="K58" s="20">
        <v>32</v>
      </c>
      <c r="L58" s="20">
        <v>32</v>
      </c>
      <c r="N58" s="20" t="str">
        <v>CCC</v>
      </c>
      <c r="O58" s="20" t="str">
        <v>P_8</v>
      </c>
      <c r="P58" s="20">
        <v>32</v>
      </c>
      <c r="R58" s="20" t="str">
        <v>CCC</v>
      </c>
      <c r="S58" s="20" t="str">
        <v>P_8</v>
      </c>
      <c r="T58" s="20">
        <v>32</v>
      </c>
      <c r="V58" s="20" t="str">
        <v>CCC</v>
      </c>
      <c r="W58" s="20" t="str">
        <v>P_8</v>
      </c>
      <c r="X58" s="20">
        <v>32</v>
      </c>
      <c r="Z58" s="20" t="str">
        <v>CCC</v>
      </c>
      <c r="AA58" s="20" t="str">
        <v>P_8</v>
      </c>
      <c r="AB58" s="20">
        <v>32</v>
      </c>
      <c r="AD58" s="20" t="str">
        <v>CCC</v>
      </c>
      <c r="AE58" s="20" t="str">
        <v>P_8</v>
      </c>
      <c r="AF58" s="20">
        <v>32</v>
      </c>
      <c r="AH58" s="20" t="str">
        <v>CCC</v>
      </c>
      <c r="AI58" s="20" t="str">
        <v>P_8</v>
      </c>
      <c r="AJ58" s="20">
        <v>32</v>
      </c>
      <c r="AM58" s="20" t="str">
        <v>CCC</v>
      </c>
      <c r="AN58" s="20" t="str">
        <v>P_8</v>
      </c>
      <c r="AO58" s="20">
        <v>32</v>
      </c>
    </row>
    <row r="59" spans="4:41" x14ac:dyDescent="0.3">
      <c r="D59" s="20" t="str">
        <v>CCC</v>
      </c>
      <c r="E59" s="20" t="str">
        <v>P_9</v>
      </c>
      <c r="F59" s="20">
        <v>33</v>
      </c>
      <c r="G59" s="20">
        <v>33</v>
      </c>
      <c r="I59" s="20" t="str">
        <v>CCC</v>
      </c>
      <c r="J59" s="20" t="str">
        <v>P_9</v>
      </c>
      <c r="K59" s="20">
        <v>33</v>
      </c>
      <c r="L59" s="20">
        <v>33</v>
      </c>
      <c r="N59" s="20" t="str">
        <v>CCC</v>
      </c>
      <c r="O59" s="20" t="str">
        <v>P_9</v>
      </c>
      <c r="P59" s="20">
        <v>33</v>
      </c>
      <c r="R59" s="20" t="str">
        <v>CCC</v>
      </c>
      <c r="S59" s="20" t="str">
        <v>P_9</v>
      </c>
      <c r="T59" s="20">
        <v>33</v>
      </c>
      <c r="V59" s="20" t="str">
        <v>CCC</v>
      </c>
      <c r="W59" s="20" t="str">
        <v>P_9</v>
      </c>
      <c r="X59" s="20">
        <v>33</v>
      </c>
      <c r="Z59" s="20" t="str">
        <v>CCC</v>
      </c>
      <c r="AA59" s="20" t="str">
        <v>P_9</v>
      </c>
      <c r="AB59" s="20">
        <v>33</v>
      </c>
      <c r="AD59" s="20" t="str">
        <v>CCC</v>
      </c>
      <c r="AE59" s="20" t="str">
        <v>P_9</v>
      </c>
      <c r="AF59" s="20">
        <v>33</v>
      </c>
      <c r="AH59" s="20" t="str">
        <v>CCC</v>
      </c>
      <c r="AI59" s="20" t="str">
        <v>P_9</v>
      </c>
      <c r="AJ59" s="20">
        <v>33</v>
      </c>
      <c r="AM59" s="20" t="str">
        <v>CCC</v>
      </c>
      <c r="AN59" s="20" t="str">
        <v>P_9</v>
      </c>
      <c r="AO59" s="20">
        <v>33</v>
      </c>
    </row>
    <row r="60" spans="4:41" x14ac:dyDescent="0.3">
      <c r="D60" s="20" t="str">
        <v>CCC</v>
      </c>
      <c r="E60" s="20" t="str">
        <v>P_10</v>
      </c>
      <c r="F60" s="20">
        <v>34</v>
      </c>
      <c r="G60" s="20">
        <v>34</v>
      </c>
      <c r="I60" s="20" t="str">
        <v>CCC</v>
      </c>
      <c r="J60" s="20" t="str">
        <v>P_10</v>
      </c>
      <c r="K60" s="20">
        <v>34</v>
      </c>
      <c r="L60" s="20">
        <v>34</v>
      </c>
      <c r="N60" s="20" t="str">
        <v>CCC</v>
      </c>
      <c r="O60" s="20" t="str">
        <v>P_10</v>
      </c>
      <c r="P60" s="20">
        <v>34</v>
      </c>
      <c r="R60" s="20" t="str">
        <v>CCC</v>
      </c>
      <c r="S60" s="20" t="str">
        <v>P_10</v>
      </c>
      <c r="T60" s="20">
        <v>34</v>
      </c>
      <c r="V60" s="20" t="str">
        <v>CCC</v>
      </c>
      <c r="W60" s="20" t="str">
        <v>P_10</v>
      </c>
      <c r="X60" s="20">
        <v>34</v>
      </c>
      <c r="Z60" s="20" t="str">
        <v>CCC</v>
      </c>
      <c r="AA60" s="20" t="str">
        <v>P_10</v>
      </c>
      <c r="AB60" s="20">
        <v>34</v>
      </c>
      <c r="AD60" s="20" t="str">
        <v>CCC</v>
      </c>
      <c r="AE60" s="20" t="str">
        <v>P_10</v>
      </c>
      <c r="AF60" s="20">
        <v>34</v>
      </c>
      <c r="AH60" s="20" t="str">
        <v>CCC</v>
      </c>
      <c r="AI60" s="20" t="str">
        <v>P_10</v>
      </c>
      <c r="AJ60" s="20">
        <v>34</v>
      </c>
      <c r="AM60" s="20" t="str">
        <v>CCC</v>
      </c>
      <c r="AN60" s="20" t="str">
        <v>P_10</v>
      </c>
      <c r="AO60" s="20">
        <v>34</v>
      </c>
    </row>
    <row r="61" spans="4:41" x14ac:dyDescent="0.3">
      <c r="D61" s="20" t="str">
        <v>CCC</v>
      </c>
      <c r="E61" s="20" t="str">
        <v>P_11</v>
      </c>
      <c r="F61" s="20">
        <v>35</v>
      </c>
      <c r="G61" s="20">
        <v>35</v>
      </c>
      <c r="I61" s="20" t="str">
        <v>CCC</v>
      </c>
      <c r="J61" s="20" t="str">
        <v>P_11</v>
      </c>
      <c r="K61" s="20">
        <v>35</v>
      </c>
      <c r="L61" s="20">
        <v>35</v>
      </c>
      <c r="N61" s="20" t="str">
        <v>CCC</v>
      </c>
      <c r="O61" s="20" t="str">
        <v>P_11</v>
      </c>
      <c r="P61" s="20">
        <v>35</v>
      </c>
      <c r="R61" s="20" t="str">
        <v>CCC</v>
      </c>
      <c r="S61" s="20" t="str">
        <v>P_11</v>
      </c>
      <c r="T61" s="20">
        <v>35</v>
      </c>
      <c r="V61" s="20" t="str">
        <v>CCC</v>
      </c>
      <c r="W61" s="20" t="str">
        <v>P_11</v>
      </c>
      <c r="X61" s="20">
        <v>35</v>
      </c>
      <c r="Z61" s="20" t="str">
        <v>CCC</v>
      </c>
      <c r="AA61" s="20" t="str">
        <v>P_11</v>
      </c>
      <c r="AB61" s="20">
        <v>35</v>
      </c>
      <c r="AD61" s="20" t="str">
        <v>CCC</v>
      </c>
      <c r="AE61" s="20" t="str">
        <v>P_11</v>
      </c>
      <c r="AF61" s="20">
        <v>35</v>
      </c>
      <c r="AH61" s="20" t="str">
        <v>CCC</v>
      </c>
      <c r="AI61" s="20" t="str">
        <v>P_11</v>
      </c>
      <c r="AJ61" s="20">
        <v>35</v>
      </c>
      <c r="AM61" s="20" t="str">
        <v>CCC</v>
      </c>
      <c r="AN61" s="20" t="str">
        <v>P_11</v>
      </c>
      <c r="AO61" s="20">
        <v>35</v>
      </c>
    </row>
    <row r="62" spans="4:41" x14ac:dyDescent="0.3">
      <c r="D62" s="20" t="str">
        <v>CCC</v>
      </c>
      <c r="E62" s="20" t="str">
        <v>P_12</v>
      </c>
      <c r="F62" s="20">
        <v>36</v>
      </c>
      <c r="G62" s="20">
        <v>36</v>
      </c>
      <c r="I62" s="20" t="str">
        <v>CCC</v>
      </c>
      <c r="J62" s="20" t="str">
        <v>P_12</v>
      </c>
      <c r="K62" s="20">
        <v>36</v>
      </c>
      <c r="L62" s="20">
        <v>36</v>
      </c>
      <c r="N62" s="20" t="str">
        <v>CCC</v>
      </c>
      <c r="O62" s="20" t="str">
        <v>P_12</v>
      </c>
      <c r="P62" s="20">
        <v>36</v>
      </c>
      <c r="R62" s="20" t="str">
        <v>CCC</v>
      </c>
      <c r="S62" s="20" t="str">
        <v>P_12</v>
      </c>
      <c r="T62" s="20">
        <v>36</v>
      </c>
      <c r="V62" s="20" t="str">
        <v>CCC</v>
      </c>
      <c r="W62" s="20" t="str">
        <v>P_12</v>
      </c>
      <c r="X62" s="20">
        <v>36</v>
      </c>
      <c r="Z62" s="20" t="str">
        <v>CCC</v>
      </c>
      <c r="AA62" s="20" t="str">
        <v>P_12</v>
      </c>
      <c r="AB62" s="20">
        <v>36</v>
      </c>
      <c r="AD62" s="20" t="str">
        <v>CCC</v>
      </c>
      <c r="AE62" s="20" t="str">
        <v>P_12</v>
      </c>
      <c r="AF62" s="20">
        <v>36</v>
      </c>
      <c r="AH62" s="20" t="str">
        <v>CCC</v>
      </c>
      <c r="AI62" s="20" t="str">
        <v>P_12</v>
      </c>
      <c r="AJ62" s="20">
        <v>36</v>
      </c>
      <c r="AM62" s="20" t="str">
        <v>CCC</v>
      </c>
      <c r="AN62" s="20" t="str">
        <v>P_12</v>
      </c>
      <c r="AO62" s="20">
        <v>36</v>
      </c>
    </row>
    <row r="63" spans="4:41" x14ac:dyDescent="0.3">
      <c r="D63" s="20" t="str">
        <v>DDD</v>
      </c>
      <c r="E63" s="20" t="str">
        <v>P_1</v>
      </c>
      <c r="F63" s="20">
        <v>37</v>
      </c>
      <c r="G63" s="20">
        <v>37</v>
      </c>
      <c r="I63" s="20" t="str">
        <v>DDD</v>
      </c>
      <c r="J63" s="20" t="str">
        <v>P_1</v>
      </c>
      <c r="K63" s="20">
        <v>37</v>
      </c>
      <c r="L63" s="20">
        <v>37</v>
      </c>
      <c r="N63" s="20" t="str">
        <v>DDD</v>
      </c>
      <c r="O63" s="20" t="str">
        <v>P_1</v>
      </c>
      <c r="P63" s="20">
        <v>37</v>
      </c>
      <c r="R63" s="20" t="str">
        <v>DDD</v>
      </c>
      <c r="S63" s="20" t="str">
        <v>P_1</v>
      </c>
      <c r="T63" s="20">
        <v>37</v>
      </c>
      <c r="V63" s="20" t="str">
        <v>DDD</v>
      </c>
      <c r="W63" s="20" t="str">
        <v>P_1</v>
      </c>
      <c r="X63" s="20">
        <v>37</v>
      </c>
      <c r="Z63" s="20" t="str">
        <v>DDD</v>
      </c>
      <c r="AA63" s="20" t="str">
        <v>P_1</v>
      </c>
      <c r="AB63" s="20">
        <v>37</v>
      </c>
      <c r="AD63" s="20" t="str">
        <v>DDD</v>
      </c>
      <c r="AE63" s="20" t="str">
        <v>P_1</v>
      </c>
      <c r="AF63" s="20">
        <v>37</v>
      </c>
      <c r="AH63" s="20" t="str">
        <v>DDD</v>
      </c>
      <c r="AI63" s="20" t="str">
        <v>P_1</v>
      </c>
      <c r="AJ63" s="20">
        <v>37</v>
      </c>
      <c r="AM63" s="20" t="str">
        <v>DDD</v>
      </c>
      <c r="AN63" s="20" t="str">
        <v>P_1</v>
      </c>
      <c r="AO63" s="20">
        <v>37</v>
      </c>
    </row>
    <row r="64" spans="4:41" x14ac:dyDescent="0.3">
      <c r="D64" s="20" t="str">
        <v>DDD</v>
      </c>
      <c r="E64" s="20" t="str">
        <v>P_2</v>
      </c>
      <c r="F64" s="20">
        <v>38</v>
      </c>
      <c r="G64" s="20">
        <v>38</v>
      </c>
      <c r="I64" s="20" t="str">
        <v>DDD</v>
      </c>
      <c r="J64" s="20" t="str">
        <v>P_2</v>
      </c>
      <c r="K64" s="20">
        <v>38</v>
      </c>
      <c r="L64" s="20">
        <v>38</v>
      </c>
      <c r="N64" s="20" t="str">
        <v>DDD</v>
      </c>
      <c r="O64" s="20" t="str">
        <v>P_2</v>
      </c>
      <c r="P64" s="20">
        <v>38</v>
      </c>
      <c r="R64" s="20" t="str">
        <v>DDD</v>
      </c>
      <c r="S64" s="20" t="str">
        <v>P_2</v>
      </c>
      <c r="T64" s="20">
        <v>38</v>
      </c>
      <c r="V64" s="20" t="str">
        <v>DDD</v>
      </c>
      <c r="W64" s="20" t="str">
        <v>P_2</v>
      </c>
      <c r="X64" s="20">
        <v>38</v>
      </c>
      <c r="Z64" s="20" t="str">
        <v>DDD</v>
      </c>
      <c r="AA64" s="20" t="str">
        <v>P_2</v>
      </c>
      <c r="AB64" s="20">
        <v>38</v>
      </c>
      <c r="AD64" s="20" t="str">
        <v>DDD</v>
      </c>
      <c r="AE64" s="20" t="str">
        <v>P_2</v>
      </c>
      <c r="AF64" s="20">
        <v>38</v>
      </c>
      <c r="AH64" s="20" t="str">
        <v>DDD</v>
      </c>
      <c r="AI64" s="20" t="str">
        <v>P_2</v>
      </c>
      <c r="AJ64" s="20">
        <v>38</v>
      </c>
      <c r="AM64" s="20" t="str">
        <v>DDD</v>
      </c>
      <c r="AN64" s="20" t="str">
        <v>P_2</v>
      </c>
      <c r="AO64" s="20">
        <v>38</v>
      </c>
    </row>
    <row r="65" spans="4:41" x14ac:dyDescent="0.3">
      <c r="D65" s="20" t="str">
        <v>DDD</v>
      </c>
      <c r="E65" s="20" t="str">
        <v>P_3</v>
      </c>
      <c r="F65" s="20">
        <v>39</v>
      </c>
      <c r="G65" s="20">
        <v>39</v>
      </c>
      <c r="I65" s="20" t="str">
        <v>DDD</v>
      </c>
      <c r="J65" s="20" t="str">
        <v>P_3</v>
      </c>
      <c r="K65" s="20">
        <v>39</v>
      </c>
      <c r="L65" s="20">
        <v>39</v>
      </c>
      <c r="N65" s="20" t="str">
        <v>DDD</v>
      </c>
      <c r="O65" s="20" t="str">
        <v>P_3</v>
      </c>
      <c r="P65" s="20">
        <v>39</v>
      </c>
      <c r="R65" s="20" t="str">
        <v>DDD</v>
      </c>
      <c r="S65" s="20" t="str">
        <v>P_3</v>
      </c>
      <c r="T65" s="20">
        <v>39</v>
      </c>
      <c r="V65" s="20" t="str">
        <v>DDD</v>
      </c>
      <c r="W65" s="20" t="str">
        <v>P_3</v>
      </c>
      <c r="X65" s="20">
        <v>39</v>
      </c>
      <c r="Z65" s="20" t="str">
        <v>DDD</v>
      </c>
      <c r="AA65" s="20" t="str">
        <v>P_3</v>
      </c>
      <c r="AB65" s="20">
        <v>39</v>
      </c>
      <c r="AD65" s="20" t="str">
        <v>DDD</v>
      </c>
      <c r="AE65" s="20" t="str">
        <v>P_3</v>
      </c>
      <c r="AF65" s="20">
        <v>39</v>
      </c>
      <c r="AH65" s="20" t="str">
        <v>DDD</v>
      </c>
      <c r="AI65" s="20" t="str">
        <v>P_3</v>
      </c>
      <c r="AJ65" s="20">
        <v>39</v>
      </c>
      <c r="AM65" s="20" t="str">
        <v>DDD</v>
      </c>
      <c r="AN65" s="20" t="str">
        <v>P_3</v>
      </c>
      <c r="AO65" s="20">
        <v>39</v>
      </c>
    </row>
    <row r="66" spans="4:41" x14ac:dyDescent="0.3">
      <c r="D66" s="20" t="str">
        <v>DDD</v>
      </c>
      <c r="E66" s="20" t="str">
        <v>P_4</v>
      </c>
      <c r="F66" s="20">
        <v>40</v>
      </c>
      <c r="G66" s="20">
        <v>40</v>
      </c>
      <c r="I66" s="20" t="str">
        <v>DDD</v>
      </c>
      <c r="J66" s="20" t="str">
        <v>P_4</v>
      </c>
      <c r="K66" s="20">
        <v>40</v>
      </c>
      <c r="L66" s="20">
        <v>40</v>
      </c>
      <c r="N66" s="20" t="str">
        <v>DDD</v>
      </c>
      <c r="O66" s="20" t="str">
        <v>P_4</v>
      </c>
      <c r="P66" s="20">
        <v>40</v>
      </c>
      <c r="R66" s="20" t="str">
        <v>DDD</v>
      </c>
      <c r="S66" s="20" t="str">
        <v>P_4</v>
      </c>
      <c r="T66" s="20">
        <v>40</v>
      </c>
      <c r="V66" s="20" t="str">
        <v>DDD</v>
      </c>
      <c r="W66" s="20" t="str">
        <v>P_4</v>
      </c>
      <c r="X66" s="20">
        <v>40</v>
      </c>
      <c r="Z66" s="20" t="str">
        <v>DDD</v>
      </c>
      <c r="AA66" s="20" t="str">
        <v>P_4</v>
      </c>
      <c r="AB66" s="20">
        <v>40</v>
      </c>
      <c r="AD66" s="20" t="str">
        <v>DDD</v>
      </c>
      <c r="AE66" s="20" t="str">
        <v>P_4</v>
      </c>
      <c r="AF66" s="20">
        <v>40</v>
      </c>
      <c r="AH66" s="20" t="str">
        <v>DDD</v>
      </c>
      <c r="AI66" s="20" t="str">
        <v>P_4</v>
      </c>
      <c r="AJ66" s="20">
        <v>40</v>
      </c>
      <c r="AM66" s="20" t="str">
        <v>DDD</v>
      </c>
      <c r="AN66" s="20" t="str">
        <v>P_4</v>
      </c>
      <c r="AO66" s="20">
        <v>40</v>
      </c>
    </row>
    <row r="67" spans="4:41" x14ac:dyDescent="0.3">
      <c r="D67" s="20" t="str">
        <v>DDD</v>
      </c>
      <c r="E67" s="20" t="str">
        <v>P_5</v>
      </c>
      <c r="F67" s="20">
        <v>41</v>
      </c>
      <c r="G67" s="20">
        <v>41</v>
      </c>
      <c r="I67" s="20" t="str">
        <v>DDD</v>
      </c>
      <c r="J67" s="20" t="str">
        <v>P_5</v>
      </c>
      <c r="K67" s="20">
        <v>41</v>
      </c>
      <c r="L67" s="20">
        <v>41</v>
      </c>
      <c r="N67" s="20" t="str">
        <v>DDD</v>
      </c>
      <c r="O67" s="20" t="str">
        <v>P_5</v>
      </c>
      <c r="P67" s="20">
        <v>41</v>
      </c>
      <c r="R67" s="20" t="str">
        <v>DDD</v>
      </c>
      <c r="S67" s="20" t="str">
        <v>P_5</v>
      </c>
      <c r="T67" s="20">
        <v>41</v>
      </c>
      <c r="V67" s="20" t="str">
        <v>DDD</v>
      </c>
      <c r="W67" s="20" t="str">
        <v>P_5</v>
      </c>
      <c r="X67" s="20">
        <v>41</v>
      </c>
      <c r="Z67" s="20" t="str">
        <v>DDD</v>
      </c>
      <c r="AA67" s="20" t="str">
        <v>P_5</v>
      </c>
      <c r="AB67" s="20">
        <v>41</v>
      </c>
      <c r="AD67" s="20" t="str">
        <v>DDD</v>
      </c>
      <c r="AE67" s="20" t="str">
        <v>P_5</v>
      </c>
      <c r="AF67" s="20">
        <v>41</v>
      </c>
      <c r="AH67" s="20" t="str">
        <v>DDD</v>
      </c>
      <c r="AI67" s="20" t="str">
        <v>P_5</v>
      </c>
      <c r="AJ67" s="20">
        <v>41</v>
      </c>
      <c r="AM67" s="20" t="str">
        <v>DDD</v>
      </c>
      <c r="AN67" s="20" t="str">
        <v>P_5</v>
      </c>
      <c r="AO67" s="20">
        <v>41</v>
      </c>
    </row>
    <row r="68" spans="4:41" x14ac:dyDescent="0.3">
      <c r="D68" s="20" t="str">
        <v>DDD</v>
      </c>
      <c r="E68" s="20" t="str">
        <v>P_6</v>
      </c>
      <c r="F68" s="20">
        <v>42</v>
      </c>
      <c r="G68" s="20">
        <v>42</v>
      </c>
      <c r="I68" s="20" t="str">
        <v>DDD</v>
      </c>
      <c r="J68" s="20" t="str">
        <v>P_6</v>
      </c>
      <c r="K68" s="20">
        <v>42</v>
      </c>
      <c r="L68" s="20">
        <v>42</v>
      </c>
      <c r="N68" s="20" t="str">
        <v>DDD</v>
      </c>
      <c r="O68" s="20" t="str">
        <v>P_6</v>
      </c>
      <c r="P68" s="20">
        <v>42</v>
      </c>
      <c r="R68" s="20" t="str">
        <v>DDD</v>
      </c>
      <c r="S68" s="20" t="str">
        <v>P_6</v>
      </c>
      <c r="T68" s="20">
        <v>42</v>
      </c>
      <c r="V68" s="20" t="str">
        <v>DDD</v>
      </c>
      <c r="W68" s="20" t="str">
        <v>P_6</v>
      </c>
      <c r="X68" s="20">
        <v>42</v>
      </c>
      <c r="Z68" s="20" t="str">
        <v>DDD</v>
      </c>
      <c r="AA68" s="20" t="str">
        <v>P_6</v>
      </c>
      <c r="AB68" s="20">
        <v>42</v>
      </c>
      <c r="AD68" s="20" t="str">
        <v>DDD</v>
      </c>
      <c r="AE68" s="20" t="str">
        <v>P_6</v>
      </c>
      <c r="AF68" s="20">
        <v>42</v>
      </c>
      <c r="AH68" s="20" t="str">
        <v>DDD</v>
      </c>
      <c r="AI68" s="20" t="str">
        <v>P_6</v>
      </c>
      <c r="AJ68" s="20">
        <v>42</v>
      </c>
      <c r="AM68" s="20" t="str">
        <v>DDD</v>
      </c>
      <c r="AN68" s="20" t="str">
        <v>P_6</v>
      </c>
      <c r="AO68" s="20">
        <v>42</v>
      </c>
    </row>
    <row r="69" spans="4:41" x14ac:dyDescent="0.3">
      <c r="D69" s="20" t="str">
        <v>DDD</v>
      </c>
      <c r="E69" s="20" t="str">
        <v>P_7</v>
      </c>
      <c r="F69" s="20">
        <v>43</v>
      </c>
      <c r="G69" s="20">
        <v>43</v>
      </c>
      <c r="I69" s="20" t="str">
        <v>DDD</v>
      </c>
      <c r="J69" s="20" t="str">
        <v>P_7</v>
      </c>
      <c r="K69" s="20">
        <v>43</v>
      </c>
      <c r="L69" s="20">
        <v>43</v>
      </c>
      <c r="N69" s="20" t="str">
        <v>DDD</v>
      </c>
      <c r="O69" s="20" t="str">
        <v>P_7</v>
      </c>
      <c r="P69" s="20">
        <v>43</v>
      </c>
      <c r="R69" s="20" t="str">
        <v>DDD</v>
      </c>
      <c r="S69" s="20" t="str">
        <v>P_7</v>
      </c>
      <c r="T69" s="20">
        <v>43</v>
      </c>
      <c r="V69" s="20" t="str">
        <v>DDD</v>
      </c>
      <c r="W69" s="20" t="str">
        <v>P_7</v>
      </c>
      <c r="X69" s="20">
        <v>43</v>
      </c>
      <c r="Z69" s="20" t="str">
        <v>DDD</v>
      </c>
      <c r="AA69" s="20" t="str">
        <v>P_7</v>
      </c>
      <c r="AB69" s="20">
        <v>43</v>
      </c>
      <c r="AD69" s="20" t="str">
        <v>DDD</v>
      </c>
      <c r="AE69" s="20" t="str">
        <v>P_7</v>
      </c>
      <c r="AF69" s="20">
        <v>43</v>
      </c>
      <c r="AH69" s="20" t="str">
        <v>DDD</v>
      </c>
      <c r="AI69" s="20" t="str">
        <v>P_7</v>
      </c>
      <c r="AJ69" s="20">
        <v>43</v>
      </c>
      <c r="AM69" s="20" t="str">
        <v>DDD</v>
      </c>
      <c r="AN69" s="20" t="str">
        <v>P_7</v>
      </c>
      <c r="AO69" s="20">
        <v>43</v>
      </c>
    </row>
    <row r="70" spans="4:41" x14ac:dyDescent="0.3">
      <c r="D70" s="20" t="str">
        <v>DDD</v>
      </c>
      <c r="E70" s="20" t="str">
        <v>P_8</v>
      </c>
      <c r="F70" s="20">
        <v>44</v>
      </c>
      <c r="G70" s="20">
        <v>44</v>
      </c>
      <c r="I70" s="20" t="str">
        <v>DDD</v>
      </c>
      <c r="J70" s="20" t="str">
        <v>P_8</v>
      </c>
      <c r="K70" s="20">
        <v>44</v>
      </c>
      <c r="L70" s="20">
        <v>44</v>
      </c>
      <c r="N70" s="20" t="str">
        <v>DDD</v>
      </c>
      <c r="O70" s="20" t="str">
        <v>P_8</v>
      </c>
      <c r="P70" s="20">
        <v>44</v>
      </c>
      <c r="R70" s="20" t="str">
        <v>DDD</v>
      </c>
      <c r="S70" s="20" t="str">
        <v>P_8</v>
      </c>
      <c r="T70" s="20">
        <v>44</v>
      </c>
      <c r="V70" s="20" t="str">
        <v>DDD</v>
      </c>
      <c r="W70" s="20" t="str">
        <v>P_8</v>
      </c>
      <c r="X70" s="20">
        <v>44</v>
      </c>
      <c r="Z70" s="20" t="str">
        <v>DDD</v>
      </c>
      <c r="AA70" s="20" t="str">
        <v>P_8</v>
      </c>
      <c r="AB70" s="20">
        <v>44</v>
      </c>
      <c r="AD70" s="20" t="str">
        <v>DDD</v>
      </c>
      <c r="AE70" s="20" t="str">
        <v>P_8</v>
      </c>
      <c r="AF70" s="20">
        <v>44</v>
      </c>
      <c r="AH70" s="20" t="str">
        <v>DDD</v>
      </c>
      <c r="AI70" s="20" t="str">
        <v>P_8</v>
      </c>
      <c r="AJ70" s="20">
        <v>44</v>
      </c>
      <c r="AM70" s="20" t="str">
        <v>DDD</v>
      </c>
      <c r="AN70" s="20" t="str">
        <v>P_8</v>
      </c>
      <c r="AO70" s="20">
        <v>44</v>
      </c>
    </row>
    <row r="71" spans="4:41" x14ac:dyDescent="0.3">
      <c r="D71" s="20" t="str">
        <v>DDD</v>
      </c>
      <c r="E71" s="20" t="str">
        <v>P_9</v>
      </c>
      <c r="F71" s="20">
        <v>45</v>
      </c>
      <c r="G71" s="20">
        <v>45</v>
      </c>
      <c r="I71" s="20" t="str">
        <v>DDD</v>
      </c>
      <c r="J71" s="20" t="str">
        <v>P_9</v>
      </c>
      <c r="K71" s="20">
        <v>45</v>
      </c>
      <c r="L71" s="20">
        <v>45</v>
      </c>
      <c r="N71" s="20" t="str">
        <v>DDD</v>
      </c>
      <c r="O71" s="20" t="str">
        <v>P_9</v>
      </c>
      <c r="P71" s="20">
        <v>45</v>
      </c>
      <c r="R71" s="20" t="str">
        <v>DDD</v>
      </c>
      <c r="S71" s="20" t="str">
        <v>P_9</v>
      </c>
      <c r="T71" s="20">
        <v>45</v>
      </c>
      <c r="V71" s="20" t="str">
        <v>DDD</v>
      </c>
      <c r="W71" s="20" t="str">
        <v>P_9</v>
      </c>
      <c r="X71" s="20">
        <v>45</v>
      </c>
      <c r="Z71" s="20" t="str">
        <v>DDD</v>
      </c>
      <c r="AA71" s="20" t="str">
        <v>P_9</v>
      </c>
      <c r="AB71" s="20">
        <v>45</v>
      </c>
      <c r="AD71" s="20" t="str">
        <v>DDD</v>
      </c>
      <c r="AE71" s="20" t="str">
        <v>P_9</v>
      </c>
      <c r="AF71" s="20">
        <v>45</v>
      </c>
      <c r="AH71" s="20" t="str">
        <v>DDD</v>
      </c>
      <c r="AI71" s="20" t="str">
        <v>P_9</v>
      </c>
      <c r="AJ71" s="20">
        <v>45</v>
      </c>
      <c r="AM71" s="20" t="str">
        <v>DDD</v>
      </c>
      <c r="AN71" s="20" t="str">
        <v>P_9</v>
      </c>
      <c r="AO71" s="20">
        <v>45</v>
      </c>
    </row>
    <row r="72" spans="4:41" x14ac:dyDescent="0.3">
      <c r="D72" s="20" t="str">
        <v>DDD</v>
      </c>
      <c r="E72" s="20" t="str">
        <v>P_10</v>
      </c>
      <c r="F72" s="20">
        <v>46</v>
      </c>
      <c r="G72" s="20">
        <v>46</v>
      </c>
      <c r="I72" s="20" t="str">
        <v>DDD</v>
      </c>
      <c r="J72" s="20" t="str">
        <v>P_10</v>
      </c>
      <c r="K72" s="20">
        <v>46</v>
      </c>
      <c r="L72" s="20">
        <v>46</v>
      </c>
      <c r="N72" s="20" t="str">
        <v>DDD</v>
      </c>
      <c r="O72" s="20" t="str">
        <v>P_10</v>
      </c>
      <c r="P72" s="20">
        <v>46</v>
      </c>
      <c r="R72" s="20" t="str">
        <v>DDD</v>
      </c>
      <c r="S72" s="20" t="str">
        <v>P_10</v>
      </c>
      <c r="T72" s="20">
        <v>46</v>
      </c>
      <c r="V72" s="20" t="str">
        <v>DDD</v>
      </c>
      <c r="W72" s="20" t="str">
        <v>P_10</v>
      </c>
      <c r="X72" s="20">
        <v>46</v>
      </c>
      <c r="Z72" s="20" t="str">
        <v>DDD</v>
      </c>
      <c r="AA72" s="20" t="str">
        <v>P_10</v>
      </c>
      <c r="AB72" s="20">
        <v>46</v>
      </c>
      <c r="AD72" s="20" t="str">
        <v>DDD</v>
      </c>
      <c r="AE72" s="20" t="str">
        <v>P_10</v>
      </c>
      <c r="AF72" s="20">
        <v>46</v>
      </c>
      <c r="AH72" s="20" t="str">
        <v>DDD</v>
      </c>
      <c r="AI72" s="20" t="str">
        <v>P_10</v>
      </c>
      <c r="AJ72" s="20">
        <v>46</v>
      </c>
      <c r="AM72" s="20" t="str">
        <v>DDD</v>
      </c>
      <c r="AN72" s="20" t="str">
        <v>P_10</v>
      </c>
      <c r="AO72" s="20">
        <v>46</v>
      </c>
    </row>
    <row r="73" spans="4:41" x14ac:dyDescent="0.3">
      <c r="D73" s="20" t="str">
        <v>DDD</v>
      </c>
      <c r="E73" s="20" t="str">
        <v>P_11</v>
      </c>
      <c r="F73" s="20">
        <v>47</v>
      </c>
      <c r="G73" s="20">
        <v>47</v>
      </c>
      <c r="I73" s="20" t="str">
        <v>DDD</v>
      </c>
      <c r="J73" s="20" t="str">
        <v>P_11</v>
      </c>
      <c r="K73" s="20">
        <v>47</v>
      </c>
      <c r="L73" s="20">
        <v>47</v>
      </c>
      <c r="N73" s="20" t="str">
        <v>DDD</v>
      </c>
      <c r="O73" s="20" t="str">
        <v>P_11</v>
      </c>
      <c r="P73" s="20">
        <v>47</v>
      </c>
      <c r="R73" s="20" t="str">
        <v>DDD</v>
      </c>
      <c r="S73" s="20" t="str">
        <v>P_11</v>
      </c>
      <c r="T73" s="20">
        <v>47</v>
      </c>
      <c r="V73" s="20" t="str">
        <v>DDD</v>
      </c>
      <c r="W73" s="20" t="str">
        <v>P_11</v>
      </c>
      <c r="X73" s="20">
        <v>47</v>
      </c>
      <c r="Z73" s="20" t="str">
        <v>DDD</v>
      </c>
      <c r="AA73" s="20" t="str">
        <v>P_11</v>
      </c>
      <c r="AB73" s="20">
        <v>47</v>
      </c>
      <c r="AD73" s="20" t="str">
        <v>DDD</v>
      </c>
      <c r="AE73" s="20" t="str">
        <v>P_11</v>
      </c>
      <c r="AF73" s="20">
        <v>47</v>
      </c>
      <c r="AH73" s="20" t="str">
        <v>DDD</v>
      </c>
      <c r="AI73" s="20" t="str">
        <v>P_11</v>
      </c>
      <c r="AJ73" s="20">
        <v>47</v>
      </c>
      <c r="AM73" s="20" t="str">
        <v>DDD</v>
      </c>
      <c r="AN73" s="20" t="str">
        <v>P_11</v>
      </c>
      <c r="AO73" s="20">
        <v>47</v>
      </c>
    </row>
    <row r="74" spans="4:41" x14ac:dyDescent="0.3">
      <c r="D74" s="20" t="str">
        <v>DDD</v>
      </c>
      <c r="E74" s="20" t="str">
        <v>P_12</v>
      </c>
      <c r="F74" s="20">
        <v>48</v>
      </c>
      <c r="G74" s="20">
        <v>48</v>
      </c>
      <c r="I74" s="20" t="str">
        <v>DDD</v>
      </c>
      <c r="J74" s="20" t="str">
        <v>P_12</v>
      </c>
      <c r="K74" s="20">
        <v>48</v>
      </c>
      <c r="L74" s="20">
        <v>48</v>
      </c>
      <c r="N74" s="20" t="str">
        <v>DDD</v>
      </c>
      <c r="O74" s="20" t="str">
        <v>P_12</v>
      </c>
      <c r="P74" s="20">
        <v>48</v>
      </c>
      <c r="R74" s="20" t="str">
        <v>DDD</v>
      </c>
      <c r="S74" s="20" t="str">
        <v>P_12</v>
      </c>
      <c r="T74" s="20">
        <v>48</v>
      </c>
      <c r="V74" s="20" t="str">
        <v>DDD</v>
      </c>
      <c r="W74" s="20" t="str">
        <v>P_12</v>
      </c>
      <c r="X74" s="20">
        <v>48</v>
      </c>
      <c r="Z74" s="20" t="str">
        <v>DDD</v>
      </c>
      <c r="AA74" s="20" t="str">
        <v>P_12</v>
      </c>
      <c r="AB74" s="20">
        <v>48</v>
      </c>
      <c r="AD74" s="20" t="str">
        <v>DDD</v>
      </c>
      <c r="AE74" s="20" t="str">
        <v>P_12</v>
      </c>
      <c r="AF74" s="20">
        <v>48</v>
      </c>
      <c r="AH74" s="20" t="str">
        <v>DDD</v>
      </c>
      <c r="AI74" s="20" t="str">
        <v>P_12</v>
      </c>
      <c r="AJ74" s="20">
        <v>48</v>
      </c>
      <c r="AM74" s="20" t="str">
        <v>DDD</v>
      </c>
      <c r="AN74" s="20" t="str">
        <v>P_12</v>
      </c>
      <c r="AO74" s="20">
        <v>48</v>
      </c>
    </row>
    <row r="75" spans="4:41" x14ac:dyDescent="0.3">
      <c r="D75" s="20" t="str">
        <v>EEE</v>
      </c>
      <c r="E75" s="20" t="str">
        <v>P_1</v>
      </c>
      <c r="F75" s="20">
        <v>49</v>
      </c>
      <c r="G75" s="20">
        <v>49</v>
      </c>
      <c r="I75" s="20" t="str">
        <v>EEE</v>
      </c>
      <c r="J75" s="20" t="str">
        <v>P_1</v>
      </c>
      <c r="K75" s="20">
        <v>49</v>
      </c>
      <c r="L75" s="20">
        <v>49</v>
      </c>
      <c r="N75" s="20" t="str">
        <v>EEE</v>
      </c>
      <c r="O75" s="20" t="str">
        <v>P_1</v>
      </c>
      <c r="P75" s="20">
        <v>49</v>
      </c>
      <c r="R75" s="20" t="str">
        <v>EEE</v>
      </c>
      <c r="S75" s="20" t="str">
        <v>P_1</v>
      </c>
      <c r="T75" s="20">
        <v>49</v>
      </c>
      <c r="V75" s="20" t="str">
        <v>EEE</v>
      </c>
      <c r="W75" s="20" t="str">
        <v>P_1</v>
      </c>
      <c r="X75" s="20">
        <v>49</v>
      </c>
      <c r="Z75" s="20" t="str">
        <v>EEE</v>
      </c>
      <c r="AA75" s="20" t="str">
        <v>P_1</v>
      </c>
      <c r="AB75" s="20">
        <v>49</v>
      </c>
      <c r="AD75" s="20" t="str">
        <v>EEE</v>
      </c>
      <c r="AE75" s="20" t="str">
        <v>P_1</v>
      </c>
      <c r="AF75" s="20">
        <v>49</v>
      </c>
      <c r="AH75" s="20" t="str">
        <v>EEE</v>
      </c>
      <c r="AI75" s="20" t="str">
        <v>P_1</v>
      </c>
      <c r="AJ75" s="20">
        <v>49</v>
      </c>
      <c r="AM75" s="20" t="str">
        <v>EEE</v>
      </c>
      <c r="AN75" s="20" t="str">
        <v>P_1</v>
      </c>
      <c r="AO75" s="20">
        <v>49</v>
      </c>
    </row>
    <row r="76" spans="4:41" x14ac:dyDescent="0.3">
      <c r="D76" s="20" t="str">
        <v>EEE</v>
      </c>
      <c r="E76" s="20" t="str">
        <v>P_2</v>
      </c>
      <c r="F76" s="20">
        <v>50</v>
      </c>
      <c r="G76" s="20">
        <v>50</v>
      </c>
      <c r="I76" s="20" t="str">
        <v>EEE</v>
      </c>
      <c r="J76" s="20" t="str">
        <v>P_2</v>
      </c>
      <c r="K76" s="20">
        <v>50</v>
      </c>
      <c r="L76" s="20">
        <v>50</v>
      </c>
      <c r="N76" s="20" t="str">
        <v>EEE</v>
      </c>
      <c r="O76" s="20" t="str">
        <v>P_2</v>
      </c>
      <c r="P76" s="20">
        <v>50</v>
      </c>
      <c r="R76" s="20" t="str">
        <v>EEE</v>
      </c>
      <c r="S76" s="20" t="str">
        <v>P_2</v>
      </c>
      <c r="T76" s="20">
        <v>50</v>
      </c>
      <c r="V76" s="20" t="str">
        <v>EEE</v>
      </c>
      <c r="W76" s="20" t="str">
        <v>P_2</v>
      </c>
      <c r="X76" s="20">
        <v>50</v>
      </c>
      <c r="Z76" s="20" t="str">
        <v>EEE</v>
      </c>
      <c r="AA76" s="20" t="str">
        <v>P_2</v>
      </c>
      <c r="AB76" s="20">
        <v>50</v>
      </c>
      <c r="AD76" s="20" t="str">
        <v>EEE</v>
      </c>
      <c r="AE76" s="20" t="str">
        <v>P_2</v>
      </c>
      <c r="AF76" s="20">
        <v>50</v>
      </c>
      <c r="AH76" s="20" t="str">
        <v>EEE</v>
      </c>
      <c r="AI76" s="20" t="str">
        <v>P_2</v>
      </c>
      <c r="AJ76" s="20">
        <v>50</v>
      </c>
      <c r="AM76" s="20" t="str">
        <v>EEE</v>
      </c>
      <c r="AN76" s="20" t="str">
        <v>P_2</v>
      </c>
      <c r="AO76" s="20">
        <v>50</v>
      </c>
    </row>
    <row r="77" spans="4:41" x14ac:dyDescent="0.3">
      <c r="D77" s="20" t="str">
        <v>EEE</v>
      </c>
      <c r="E77" s="20" t="str">
        <v>P_3</v>
      </c>
      <c r="F77" s="20">
        <v>51</v>
      </c>
      <c r="G77" s="20">
        <v>51</v>
      </c>
      <c r="I77" s="20" t="str">
        <v>EEE</v>
      </c>
      <c r="J77" s="20" t="str">
        <v>P_3</v>
      </c>
      <c r="K77" s="20">
        <v>51</v>
      </c>
      <c r="L77" s="20">
        <v>51</v>
      </c>
      <c r="N77" s="20" t="str">
        <v>EEE</v>
      </c>
      <c r="O77" s="20" t="str">
        <v>P_3</v>
      </c>
      <c r="P77" s="20">
        <v>51</v>
      </c>
      <c r="R77" s="20" t="str">
        <v>EEE</v>
      </c>
      <c r="S77" s="20" t="str">
        <v>P_3</v>
      </c>
      <c r="T77" s="20">
        <v>51</v>
      </c>
      <c r="V77" s="20" t="str">
        <v>EEE</v>
      </c>
      <c r="W77" s="20" t="str">
        <v>P_3</v>
      </c>
      <c r="X77" s="20">
        <v>51</v>
      </c>
      <c r="Z77" s="20" t="str">
        <v>EEE</v>
      </c>
      <c r="AA77" s="20" t="str">
        <v>P_3</v>
      </c>
      <c r="AB77" s="20">
        <v>51</v>
      </c>
      <c r="AD77" s="20" t="str">
        <v>EEE</v>
      </c>
      <c r="AE77" s="20" t="str">
        <v>P_3</v>
      </c>
      <c r="AF77" s="20">
        <v>51</v>
      </c>
      <c r="AH77" s="20" t="str">
        <v>EEE</v>
      </c>
      <c r="AI77" s="20" t="str">
        <v>P_3</v>
      </c>
      <c r="AJ77" s="20">
        <v>51</v>
      </c>
      <c r="AM77" s="20" t="str">
        <v>EEE</v>
      </c>
      <c r="AN77" s="20" t="str">
        <v>P_3</v>
      </c>
      <c r="AO77" s="20">
        <v>51</v>
      </c>
    </row>
    <row r="78" spans="4:41" x14ac:dyDescent="0.3">
      <c r="D78" s="20" t="str">
        <v>EEE</v>
      </c>
      <c r="E78" s="20" t="str">
        <v>P_4</v>
      </c>
      <c r="F78" s="20">
        <v>52</v>
      </c>
      <c r="G78" s="20">
        <v>52</v>
      </c>
      <c r="I78" s="20" t="str">
        <v>EEE</v>
      </c>
      <c r="J78" s="20" t="str">
        <v>P_4</v>
      </c>
      <c r="K78" s="20">
        <v>52</v>
      </c>
      <c r="L78" s="20">
        <v>52</v>
      </c>
      <c r="N78" s="20" t="str">
        <v>EEE</v>
      </c>
      <c r="O78" s="20" t="str">
        <v>P_4</v>
      </c>
      <c r="P78" s="20">
        <v>52</v>
      </c>
      <c r="R78" s="20" t="str">
        <v>EEE</v>
      </c>
      <c r="S78" s="20" t="str">
        <v>P_4</v>
      </c>
      <c r="T78" s="20">
        <v>52</v>
      </c>
      <c r="V78" s="20" t="str">
        <v>EEE</v>
      </c>
      <c r="W78" s="20" t="str">
        <v>P_4</v>
      </c>
      <c r="X78" s="20">
        <v>52</v>
      </c>
      <c r="Z78" s="20" t="str">
        <v>EEE</v>
      </c>
      <c r="AA78" s="20" t="str">
        <v>P_4</v>
      </c>
      <c r="AB78" s="20">
        <v>52</v>
      </c>
      <c r="AD78" s="20" t="str">
        <v>EEE</v>
      </c>
      <c r="AE78" s="20" t="str">
        <v>P_4</v>
      </c>
      <c r="AF78" s="20">
        <v>52</v>
      </c>
      <c r="AH78" s="20" t="str">
        <v>EEE</v>
      </c>
      <c r="AI78" s="20" t="str">
        <v>P_4</v>
      </c>
      <c r="AJ78" s="20">
        <v>52</v>
      </c>
      <c r="AM78" s="20" t="str">
        <v>EEE</v>
      </c>
      <c r="AN78" s="20" t="str">
        <v>P_4</v>
      </c>
      <c r="AO78" s="20">
        <v>52</v>
      </c>
    </row>
    <row r="79" spans="4:41" x14ac:dyDescent="0.3">
      <c r="D79" s="20" t="str">
        <v>EEE</v>
      </c>
      <c r="E79" s="20" t="str">
        <v>P_5</v>
      </c>
      <c r="F79" s="20">
        <v>53</v>
      </c>
      <c r="G79" s="20">
        <v>53</v>
      </c>
      <c r="I79" s="20" t="str">
        <v>EEE</v>
      </c>
      <c r="J79" s="20" t="str">
        <v>P_5</v>
      </c>
      <c r="K79" s="20">
        <v>53</v>
      </c>
      <c r="L79" s="20">
        <v>53</v>
      </c>
      <c r="N79" s="20" t="str">
        <v>EEE</v>
      </c>
      <c r="O79" s="20" t="str">
        <v>P_5</v>
      </c>
      <c r="P79" s="20">
        <v>53</v>
      </c>
      <c r="R79" s="20" t="str">
        <v>EEE</v>
      </c>
      <c r="S79" s="20" t="str">
        <v>P_5</v>
      </c>
      <c r="T79" s="20">
        <v>53</v>
      </c>
      <c r="V79" s="20" t="str">
        <v>EEE</v>
      </c>
      <c r="W79" s="20" t="str">
        <v>P_5</v>
      </c>
      <c r="X79" s="20">
        <v>53</v>
      </c>
      <c r="Z79" s="20" t="str">
        <v>EEE</v>
      </c>
      <c r="AA79" s="20" t="str">
        <v>P_5</v>
      </c>
      <c r="AB79" s="20">
        <v>53</v>
      </c>
      <c r="AD79" s="20" t="str">
        <v>EEE</v>
      </c>
      <c r="AE79" s="20" t="str">
        <v>P_5</v>
      </c>
      <c r="AF79" s="20">
        <v>53</v>
      </c>
      <c r="AH79" s="20" t="str">
        <v>EEE</v>
      </c>
      <c r="AI79" s="20" t="str">
        <v>P_5</v>
      </c>
      <c r="AJ79" s="20">
        <v>53</v>
      </c>
      <c r="AM79" s="20" t="str">
        <v>EEE</v>
      </c>
      <c r="AN79" s="20" t="str">
        <v>P_5</v>
      </c>
      <c r="AO79" s="20">
        <v>53</v>
      </c>
    </row>
    <row r="80" spans="4:41" x14ac:dyDescent="0.3">
      <c r="D80" s="20" t="str">
        <v>EEE</v>
      </c>
      <c r="E80" s="20" t="str">
        <v>P_6</v>
      </c>
      <c r="F80" s="20">
        <v>54</v>
      </c>
      <c r="G80" s="20">
        <v>54</v>
      </c>
      <c r="I80" s="20" t="str">
        <v>EEE</v>
      </c>
      <c r="J80" s="20" t="str">
        <v>P_6</v>
      </c>
      <c r="K80" s="20">
        <v>54</v>
      </c>
      <c r="L80" s="20">
        <v>54</v>
      </c>
      <c r="N80" s="20" t="str">
        <v>EEE</v>
      </c>
      <c r="O80" s="20" t="str">
        <v>P_6</v>
      </c>
      <c r="P80" s="20">
        <v>54</v>
      </c>
      <c r="R80" s="20" t="str">
        <v>EEE</v>
      </c>
      <c r="S80" s="20" t="str">
        <v>P_6</v>
      </c>
      <c r="T80" s="20">
        <v>54</v>
      </c>
      <c r="V80" s="20" t="str">
        <v>EEE</v>
      </c>
      <c r="W80" s="20" t="str">
        <v>P_6</v>
      </c>
      <c r="X80" s="20">
        <v>54</v>
      </c>
      <c r="Z80" s="20" t="str">
        <v>EEE</v>
      </c>
      <c r="AA80" s="20" t="str">
        <v>P_6</v>
      </c>
      <c r="AB80" s="20">
        <v>54</v>
      </c>
      <c r="AD80" s="20" t="str">
        <v>EEE</v>
      </c>
      <c r="AE80" s="20" t="str">
        <v>P_6</v>
      </c>
      <c r="AF80" s="20">
        <v>54</v>
      </c>
      <c r="AH80" s="20" t="str">
        <v>EEE</v>
      </c>
      <c r="AI80" s="20" t="str">
        <v>P_6</v>
      </c>
      <c r="AJ80" s="20">
        <v>54</v>
      </c>
      <c r="AM80" s="20" t="str">
        <v>EEE</v>
      </c>
      <c r="AN80" s="20" t="str">
        <v>P_6</v>
      </c>
      <c r="AO80" s="20">
        <v>54</v>
      </c>
    </row>
    <row r="81" spans="4:41" x14ac:dyDescent="0.3">
      <c r="D81" s="20" t="str">
        <v>EEE</v>
      </c>
      <c r="E81" s="20" t="str">
        <v>P_7</v>
      </c>
      <c r="F81" s="20">
        <v>55</v>
      </c>
      <c r="G81" s="20">
        <v>55</v>
      </c>
      <c r="I81" s="20" t="str">
        <v>EEE</v>
      </c>
      <c r="J81" s="20" t="str">
        <v>P_7</v>
      </c>
      <c r="K81" s="20">
        <v>55</v>
      </c>
      <c r="L81" s="20">
        <v>55</v>
      </c>
      <c r="N81" s="20" t="str">
        <v>EEE</v>
      </c>
      <c r="O81" s="20" t="str">
        <v>P_7</v>
      </c>
      <c r="P81" s="20">
        <v>55</v>
      </c>
      <c r="R81" s="20" t="str">
        <v>EEE</v>
      </c>
      <c r="S81" s="20" t="str">
        <v>P_7</v>
      </c>
      <c r="T81" s="20">
        <v>55</v>
      </c>
      <c r="V81" s="20" t="str">
        <v>EEE</v>
      </c>
      <c r="W81" s="20" t="str">
        <v>P_7</v>
      </c>
      <c r="X81" s="20">
        <v>55</v>
      </c>
      <c r="Z81" s="20" t="str">
        <v>EEE</v>
      </c>
      <c r="AA81" s="20" t="str">
        <v>P_7</v>
      </c>
      <c r="AB81" s="20">
        <v>55</v>
      </c>
      <c r="AD81" s="20" t="str">
        <v>EEE</v>
      </c>
      <c r="AE81" s="20" t="str">
        <v>P_7</v>
      </c>
      <c r="AF81" s="20">
        <v>55</v>
      </c>
      <c r="AH81" s="20" t="str">
        <v>EEE</v>
      </c>
      <c r="AI81" s="20" t="str">
        <v>P_7</v>
      </c>
      <c r="AJ81" s="20">
        <v>55</v>
      </c>
      <c r="AM81" s="20" t="str">
        <v>EEE</v>
      </c>
      <c r="AN81" s="20" t="str">
        <v>P_7</v>
      </c>
      <c r="AO81" s="20">
        <v>55</v>
      </c>
    </row>
    <row r="82" spans="4:41" x14ac:dyDescent="0.3">
      <c r="D82" s="20" t="str">
        <v>EEE</v>
      </c>
      <c r="E82" s="20" t="str">
        <v>P_8</v>
      </c>
      <c r="F82" s="20">
        <v>56</v>
      </c>
      <c r="G82" s="20">
        <v>56</v>
      </c>
      <c r="I82" s="20" t="str">
        <v>EEE</v>
      </c>
      <c r="J82" s="20" t="str">
        <v>P_8</v>
      </c>
      <c r="K82" s="20">
        <v>56</v>
      </c>
      <c r="L82" s="20">
        <v>56</v>
      </c>
      <c r="N82" s="20" t="str">
        <v>EEE</v>
      </c>
      <c r="O82" s="20" t="str">
        <v>P_8</v>
      </c>
      <c r="P82" s="20">
        <v>56</v>
      </c>
      <c r="R82" s="20" t="str">
        <v>EEE</v>
      </c>
      <c r="S82" s="20" t="str">
        <v>P_8</v>
      </c>
      <c r="T82" s="20">
        <v>56</v>
      </c>
      <c r="V82" s="20" t="str">
        <v>EEE</v>
      </c>
      <c r="W82" s="20" t="str">
        <v>P_8</v>
      </c>
      <c r="X82" s="20">
        <v>56</v>
      </c>
      <c r="Z82" s="20" t="str">
        <v>EEE</v>
      </c>
      <c r="AA82" s="20" t="str">
        <v>P_8</v>
      </c>
      <c r="AB82" s="20">
        <v>56</v>
      </c>
      <c r="AD82" s="20" t="str">
        <v>EEE</v>
      </c>
      <c r="AE82" s="20" t="str">
        <v>P_8</v>
      </c>
      <c r="AF82" s="20">
        <v>56</v>
      </c>
      <c r="AH82" s="20" t="str">
        <v>EEE</v>
      </c>
      <c r="AI82" s="20" t="str">
        <v>P_8</v>
      </c>
      <c r="AJ82" s="20">
        <v>56</v>
      </c>
      <c r="AM82" s="20" t="str">
        <v>EEE</v>
      </c>
      <c r="AN82" s="20" t="str">
        <v>P_8</v>
      </c>
      <c r="AO82" s="20">
        <v>56</v>
      </c>
    </row>
    <row r="83" spans="4:41" x14ac:dyDescent="0.3">
      <c r="D83" s="20" t="str">
        <v>EEE</v>
      </c>
      <c r="E83" s="20" t="str">
        <v>P_9</v>
      </c>
      <c r="F83" s="20">
        <v>57</v>
      </c>
      <c r="G83" s="20">
        <v>57</v>
      </c>
      <c r="I83" s="20" t="str">
        <v>EEE</v>
      </c>
      <c r="J83" s="20" t="str">
        <v>P_9</v>
      </c>
      <c r="K83" s="20">
        <v>57</v>
      </c>
      <c r="L83" s="20">
        <v>57</v>
      </c>
      <c r="N83" s="20" t="str">
        <v>EEE</v>
      </c>
      <c r="O83" s="20" t="str">
        <v>P_9</v>
      </c>
      <c r="P83" s="20">
        <v>57</v>
      </c>
      <c r="R83" s="20" t="str">
        <v>EEE</v>
      </c>
      <c r="S83" s="20" t="str">
        <v>P_9</v>
      </c>
      <c r="T83" s="20">
        <v>57</v>
      </c>
      <c r="V83" s="20" t="str">
        <v>EEE</v>
      </c>
      <c r="W83" s="20" t="str">
        <v>P_9</v>
      </c>
      <c r="X83" s="20">
        <v>57</v>
      </c>
      <c r="Z83" s="20" t="str">
        <v>EEE</v>
      </c>
      <c r="AA83" s="20" t="str">
        <v>P_9</v>
      </c>
      <c r="AB83" s="20">
        <v>57</v>
      </c>
      <c r="AD83" s="20" t="str">
        <v>EEE</v>
      </c>
      <c r="AE83" s="20" t="str">
        <v>P_9</v>
      </c>
      <c r="AF83" s="20">
        <v>57</v>
      </c>
      <c r="AH83" s="20" t="str">
        <v>EEE</v>
      </c>
      <c r="AI83" s="20" t="str">
        <v>P_9</v>
      </c>
      <c r="AJ83" s="20">
        <v>57</v>
      </c>
      <c r="AM83" s="20" t="str">
        <v>EEE</v>
      </c>
      <c r="AN83" s="20" t="str">
        <v>P_9</v>
      </c>
      <c r="AO83" s="20">
        <v>57</v>
      </c>
    </row>
    <row r="84" spans="4:41" x14ac:dyDescent="0.3">
      <c r="D84" s="20" t="str">
        <v>EEE</v>
      </c>
      <c r="E84" s="20" t="str">
        <v>P_10</v>
      </c>
      <c r="F84" s="20">
        <v>58</v>
      </c>
      <c r="G84" s="20">
        <v>58</v>
      </c>
      <c r="I84" s="20" t="str">
        <v>EEE</v>
      </c>
      <c r="J84" s="20" t="str">
        <v>P_10</v>
      </c>
      <c r="K84" s="20">
        <v>58</v>
      </c>
      <c r="L84" s="20">
        <v>58</v>
      </c>
      <c r="N84" s="20" t="str">
        <v>EEE</v>
      </c>
      <c r="O84" s="20" t="str">
        <v>P_10</v>
      </c>
      <c r="P84" s="20">
        <v>58</v>
      </c>
      <c r="R84" s="20" t="str">
        <v>EEE</v>
      </c>
      <c r="S84" s="20" t="str">
        <v>P_10</v>
      </c>
      <c r="T84" s="20">
        <v>58</v>
      </c>
      <c r="V84" s="20" t="str">
        <v>EEE</v>
      </c>
      <c r="W84" s="20" t="str">
        <v>P_10</v>
      </c>
      <c r="X84" s="20">
        <v>58</v>
      </c>
      <c r="Z84" s="20" t="str">
        <v>EEE</v>
      </c>
      <c r="AA84" s="20" t="str">
        <v>P_10</v>
      </c>
      <c r="AB84" s="20">
        <v>58</v>
      </c>
      <c r="AD84" s="20" t="str">
        <v>EEE</v>
      </c>
      <c r="AE84" s="20" t="str">
        <v>P_10</v>
      </c>
      <c r="AF84" s="20">
        <v>58</v>
      </c>
      <c r="AH84" s="20" t="str">
        <v>EEE</v>
      </c>
      <c r="AI84" s="20" t="str">
        <v>P_10</v>
      </c>
      <c r="AJ84" s="20">
        <v>58</v>
      </c>
      <c r="AM84" s="20" t="str">
        <v>EEE</v>
      </c>
      <c r="AN84" s="20" t="str">
        <v>P_10</v>
      </c>
      <c r="AO84" s="20">
        <v>58</v>
      </c>
    </row>
    <row r="85" spans="4:41" x14ac:dyDescent="0.3">
      <c r="D85" s="20" t="str">
        <v>EEE</v>
      </c>
      <c r="E85" s="20" t="str">
        <v>P_11</v>
      </c>
      <c r="F85" s="20">
        <v>59</v>
      </c>
      <c r="G85" s="20">
        <v>59</v>
      </c>
      <c r="I85" s="20" t="str">
        <v>EEE</v>
      </c>
      <c r="J85" s="20" t="str">
        <v>P_11</v>
      </c>
      <c r="K85" s="20">
        <v>59</v>
      </c>
      <c r="L85" s="20">
        <v>59</v>
      </c>
      <c r="N85" s="20" t="str">
        <v>EEE</v>
      </c>
      <c r="O85" s="20" t="str">
        <v>P_11</v>
      </c>
      <c r="P85" s="20">
        <v>59</v>
      </c>
      <c r="R85" s="20" t="str">
        <v>EEE</v>
      </c>
      <c r="S85" s="20" t="str">
        <v>P_11</v>
      </c>
      <c r="T85" s="20">
        <v>59</v>
      </c>
      <c r="V85" s="20" t="str">
        <v>EEE</v>
      </c>
      <c r="W85" s="20" t="str">
        <v>P_11</v>
      </c>
      <c r="X85" s="20">
        <v>59</v>
      </c>
      <c r="Z85" s="20" t="str">
        <v>EEE</v>
      </c>
      <c r="AA85" s="20" t="str">
        <v>P_11</v>
      </c>
      <c r="AB85" s="20">
        <v>59</v>
      </c>
      <c r="AD85" s="20" t="str">
        <v>EEE</v>
      </c>
      <c r="AE85" s="20" t="str">
        <v>P_11</v>
      </c>
      <c r="AF85" s="20">
        <v>59</v>
      </c>
      <c r="AH85" s="20" t="str">
        <v>EEE</v>
      </c>
      <c r="AI85" s="20" t="str">
        <v>P_11</v>
      </c>
      <c r="AJ85" s="20">
        <v>59</v>
      </c>
      <c r="AM85" s="20" t="str">
        <v>EEE</v>
      </c>
      <c r="AN85" s="20" t="str">
        <v>P_11</v>
      </c>
      <c r="AO85" s="20">
        <v>59</v>
      </c>
    </row>
    <row r="86" spans="4:41" x14ac:dyDescent="0.3">
      <c r="D86" s="20" t="str">
        <v>EEE</v>
      </c>
      <c r="E86" s="20" t="str">
        <v>P_12</v>
      </c>
      <c r="F86" s="20">
        <v>60</v>
      </c>
      <c r="G86" s="20">
        <v>60</v>
      </c>
      <c r="I86" s="20" t="str">
        <v>EEE</v>
      </c>
      <c r="J86" s="20" t="str">
        <v>P_12</v>
      </c>
      <c r="K86" s="20">
        <v>60</v>
      </c>
      <c r="L86" s="20">
        <v>60</v>
      </c>
      <c r="N86" s="20" t="str">
        <v>EEE</v>
      </c>
      <c r="O86" s="20" t="str">
        <v>P_12</v>
      </c>
      <c r="P86" s="20">
        <v>60</v>
      </c>
      <c r="R86" s="20" t="str">
        <v>EEE</v>
      </c>
      <c r="S86" s="20" t="str">
        <v>P_12</v>
      </c>
      <c r="T86" s="20">
        <v>60</v>
      </c>
      <c r="V86" s="20" t="str">
        <v>EEE</v>
      </c>
      <c r="W86" s="20" t="str">
        <v>P_12</v>
      </c>
      <c r="X86" s="20">
        <v>60</v>
      </c>
      <c r="Z86" s="20" t="str">
        <v>EEE</v>
      </c>
      <c r="AA86" s="20" t="str">
        <v>P_12</v>
      </c>
      <c r="AB86" s="20">
        <v>60</v>
      </c>
      <c r="AD86" s="20" t="str">
        <v>EEE</v>
      </c>
      <c r="AE86" s="20" t="str">
        <v>P_12</v>
      </c>
      <c r="AF86" s="20">
        <v>60</v>
      </c>
      <c r="AH86" s="20" t="str">
        <v>EEE</v>
      </c>
      <c r="AI86" s="20" t="str">
        <v>P_12</v>
      </c>
      <c r="AJ86" s="20">
        <v>60</v>
      </c>
      <c r="AM86" s="20" t="str">
        <v>EEE</v>
      </c>
      <c r="AN86" s="20" t="str">
        <v>P_12</v>
      </c>
      <c r="AO86" s="20">
        <v>60</v>
      </c>
    </row>
    <row r="87" spans="4:41" x14ac:dyDescent="0.3">
      <c r="D87" s="20" t="str">
        <v>FFF</v>
      </c>
      <c r="E87" s="20" t="str">
        <v>P_1</v>
      </c>
      <c r="F87" s="20">
        <v>61</v>
      </c>
      <c r="G87" s="20">
        <v>61</v>
      </c>
      <c r="I87" s="20" t="str">
        <v>FFF</v>
      </c>
      <c r="J87" s="20" t="str">
        <v>P_1</v>
      </c>
      <c r="K87" s="20">
        <v>61</v>
      </c>
      <c r="L87" s="20">
        <v>61</v>
      </c>
      <c r="N87" s="20" t="str">
        <v>FFF</v>
      </c>
      <c r="O87" s="20" t="str">
        <v>P_1</v>
      </c>
      <c r="P87" s="20">
        <v>61</v>
      </c>
      <c r="R87" s="20" t="str">
        <v>FFF</v>
      </c>
      <c r="S87" s="20" t="str">
        <v>P_1</v>
      </c>
      <c r="T87" s="20">
        <v>61</v>
      </c>
      <c r="V87" s="20" t="str">
        <v>FFF</v>
      </c>
      <c r="W87" s="20" t="str">
        <v>P_1</v>
      </c>
      <c r="X87" s="20">
        <v>61</v>
      </c>
      <c r="Z87" s="20" t="str">
        <v>FFF</v>
      </c>
      <c r="AA87" s="20" t="str">
        <v>P_1</v>
      </c>
      <c r="AB87" s="20">
        <v>61</v>
      </c>
      <c r="AD87" s="20" t="str">
        <v>FFF</v>
      </c>
      <c r="AE87" s="20" t="str">
        <v>P_1</v>
      </c>
      <c r="AF87" s="20">
        <v>61</v>
      </c>
      <c r="AH87" s="20" t="str">
        <v>FFF</v>
      </c>
      <c r="AI87" s="20" t="str">
        <v>P_1</v>
      </c>
      <c r="AJ87" s="20">
        <v>61</v>
      </c>
      <c r="AM87" s="20" t="str">
        <v>FFF</v>
      </c>
      <c r="AN87" s="20" t="str">
        <v>P_1</v>
      </c>
      <c r="AO87" s="20">
        <v>61</v>
      </c>
    </row>
    <row r="88" spans="4:41" x14ac:dyDescent="0.3">
      <c r="D88" s="20" t="str">
        <v>FFF</v>
      </c>
      <c r="E88" s="20" t="str">
        <v>P_2</v>
      </c>
      <c r="F88" s="20">
        <v>62</v>
      </c>
      <c r="G88" s="20">
        <v>62</v>
      </c>
      <c r="I88" s="20" t="str">
        <v>FFF</v>
      </c>
      <c r="J88" s="20" t="str">
        <v>P_2</v>
      </c>
      <c r="K88" s="20">
        <v>62</v>
      </c>
      <c r="L88" s="20">
        <v>62</v>
      </c>
      <c r="N88" s="20" t="str">
        <v>FFF</v>
      </c>
      <c r="O88" s="20" t="str">
        <v>P_2</v>
      </c>
      <c r="P88" s="20">
        <v>62</v>
      </c>
      <c r="R88" s="20" t="str">
        <v>FFF</v>
      </c>
      <c r="S88" s="20" t="str">
        <v>P_2</v>
      </c>
      <c r="T88" s="20">
        <v>62</v>
      </c>
      <c r="V88" s="20" t="str">
        <v>FFF</v>
      </c>
      <c r="W88" s="20" t="str">
        <v>P_2</v>
      </c>
      <c r="X88" s="20">
        <v>62</v>
      </c>
      <c r="Z88" s="20" t="str">
        <v>FFF</v>
      </c>
      <c r="AA88" s="20" t="str">
        <v>P_2</v>
      </c>
      <c r="AB88" s="20">
        <v>62</v>
      </c>
      <c r="AD88" s="20" t="str">
        <v>FFF</v>
      </c>
      <c r="AE88" s="20" t="str">
        <v>P_2</v>
      </c>
      <c r="AF88" s="20">
        <v>62</v>
      </c>
      <c r="AH88" s="20" t="str">
        <v>FFF</v>
      </c>
      <c r="AI88" s="20" t="str">
        <v>P_2</v>
      </c>
      <c r="AJ88" s="20">
        <v>62</v>
      </c>
      <c r="AM88" s="20" t="str">
        <v>FFF</v>
      </c>
      <c r="AN88" s="20" t="str">
        <v>P_2</v>
      </c>
      <c r="AO88" s="20">
        <v>62</v>
      </c>
    </row>
    <row r="89" spans="4:41" x14ac:dyDescent="0.3">
      <c r="D89" s="20" t="str">
        <v>FFF</v>
      </c>
      <c r="E89" s="20" t="str">
        <v>P_3</v>
      </c>
      <c r="F89" s="20">
        <v>63</v>
      </c>
      <c r="G89" s="20">
        <v>63</v>
      </c>
      <c r="I89" s="20" t="str">
        <v>FFF</v>
      </c>
      <c r="J89" s="20" t="str">
        <v>P_3</v>
      </c>
      <c r="K89" s="20">
        <v>63</v>
      </c>
      <c r="L89" s="20">
        <v>63</v>
      </c>
      <c r="N89" s="20" t="str">
        <v>FFF</v>
      </c>
      <c r="O89" s="20" t="str">
        <v>P_3</v>
      </c>
      <c r="P89" s="20">
        <v>63</v>
      </c>
      <c r="R89" s="20" t="str">
        <v>FFF</v>
      </c>
      <c r="S89" s="20" t="str">
        <v>P_3</v>
      </c>
      <c r="T89" s="20">
        <v>63</v>
      </c>
      <c r="V89" s="20" t="str">
        <v>FFF</v>
      </c>
      <c r="W89" s="20" t="str">
        <v>P_3</v>
      </c>
      <c r="X89" s="20">
        <v>63</v>
      </c>
      <c r="Z89" s="20" t="str">
        <v>FFF</v>
      </c>
      <c r="AA89" s="20" t="str">
        <v>P_3</v>
      </c>
      <c r="AB89" s="20">
        <v>63</v>
      </c>
      <c r="AD89" s="20" t="str">
        <v>FFF</v>
      </c>
      <c r="AE89" s="20" t="str">
        <v>P_3</v>
      </c>
      <c r="AF89" s="20">
        <v>63</v>
      </c>
      <c r="AH89" s="20" t="str">
        <v>FFF</v>
      </c>
      <c r="AI89" s="20" t="str">
        <v>P_3</v>
      </c>
      <c r="AJ89" s="20">
        <v>63</v>
      </c>
      <c r="AM89" s="20" t="str">
        <v>FFF</v>
      </c>
      <c r="AN89" s="20" t="str">
        <v>P_3</v>
      </c>
      <c r="AO89" s="20">
        <v>63</v>
      </c>
    </row>
    <row r="90" spans="4:41" x14ac:dyDescent="0.3">
      <c r="D90" s="20" t="str">
        <v>FFF</v>
      </c>
      <c r="E90" s="20" t="str">
        <v>P_4</v>
      </c>
      <c r="F90" s="20">
        <v>64</v>
      </c>
      <c r="G90" s="20">
        <v>64</v>
      </c>
      <c r="I90" s="20" t="str">
        <v>FFF</v>
      </c>
      <c r="J90" s="20" t="str">
        <v>P_4</v>
      </c>
      <c r="K90" s="20">
        <v>64</v>
      </c>
      <c r="L90" s="20">
        <v>64</v>
      </c>
      <c r="N90" s="20" t="str">
        <v>FFF</v>
      </c>
      <c r="O90" s="20" t="str">
        <v>P_4</v>
      </c>
      <c r="P90" s="20">
        <v>64</v>
      </c>
      <c r="R90" s="20" t="str">
        <v>FFF</v>
      </c>
      <c r="S90" s="20" t="str">
        <v>P_4</v>
      </c>
      <c r="T90" s="20">
        <v>64</v>
      </c>
      <c r="V90" s="20" t="str">
        <v>FFF</v>
      </c>
      <c r="W90" s="20" t="str">
        <v>P_4</v>
      </c>
      <c r="X90" s="20">
        <v>64</v>
      </c>
      <c r="Z90" s="20" t="str">
        <v>FFF</v>
      </c>
      <c r="AA90" s="20" t="str">
        <v>P_4</v>
      </c>
      <c r="AB90" s="20">
        <v>64</v>
      </c>
      <c r="AD90" s="20" t="str">
        <v>FFF</v>
      </c>
      <c r="AE90" s="20" t="str">
        <v>P_4</v>
      </c>
      <c r="AF90" s="20">
        <v>64</v>
      </c>
      <c r="AH90" s="20" t="str">
        <v>FFF</v>
      </c>
      <c r="AI90" s="20" t="str">
        <v>P_4</v>
      </c>
      <c r="AJ90" s="20">
        <v>64</v>
      </c>
      <c r="AM90" s="20" t="str">
        <v>FFF</v>
      </c>
      <c r="AN90" s="20" t="str">
        <v>P_4</v>
      </c>
      <c r="AO90" s="20">
        <v>64</v>
      </c>
    </row>
    <row r="91" spans="4:41" x14ac:dyDescent="0.3">
      <c r="D91" s="20" t="str">
        <v>FFF</v>
      </c>
      <c r="E91" s="20" t="str">
        <v>P_5</v>
      </c>
      <c r="F91" s="20">
        <v>65</v>
      </c>
      <c r="G91" s="20">
        <v>65</v>
      </c>
      <c r="I91" s="20" t="str">
        <v>FFF</v>
      </c>
      <c r="J91" s="20" t="str">
        <v>P_5</v>
      </c>
      <c r="K91" s="20">
        <v>65</v>
      </c>
      <c r="L91" s="20">
        <v>65</v>
      </c>
      <c r="N91" s="20" t="str">
        <v>FFF</v>
      </c>
      <c r="O91" s="20" t="str">
        <v>P_5</v>
      </c>
      <c r="P91" s="20">
        <v>65</v>
      </c>
      <c r="R91" s="20" t="str">
        <v>FFF</v>
      </c>
      <c r="S91" s="20" t="str">
        <v>P_5</v>
      </c>
      <c r="T91" s="20">
        <v>65</v>
      </c>
      <c r="V91" s="20" t="str">
        <v>FFF</v>
      </c>
      <c r="W91" s="20" t="str">
        <v>P_5</v>
      </c>
      <c r="X91" s="20">
        <v>65</v>
      </c>
      <c r="Z91" s="20" t="str">
        <v>FFF</v>
      </c>
      <c r="AA91" s="20" t="str">
        <v>P_5</v>
      </c>
      <c r="AB91" s="20">
        <v>65</v>
      </c>
      <c r="AD91" s="20" t="str">
        <v>FFF</v>
      </c>
      <c r="AE91" s="20" t="str">
        <v>P_5</v>
      </c>
      <c r="AF91" s="20">
        <v>65</v>
      </c>
      <c r="AH91" s="20" t="str">
        <v>FFF</v>
      </c>
      <c r="AI91" s="20" t="str">
        <v>P_5</v>
      </c>
      <c r="AJ91" s="20">
        <v>65</v>
      </c>
      <c r="AM91" s="20" t="str">
        <v>FFF</v>
      </c>
      <c r="AN91" s="20" t="str">
        <v>P_5</v>
      </c>
      <c r="AO91" s="20">
        <v>65</v>
      </c>
    </row>
    <row r="92" spans="4:41" x14ac:dyDescent="0.3">
      <c r="D92" s="20" t="str">
        <v>FFF</v>
      </c>
      <c r="E92" s="20" t="str">
        <v>P_6</v>
      </c>
      <c r="F92" s="20">
        <v>66</v>
      </c>
      <c r="G92" s="20">
        <v>66</v>
      </c>
      <c r="I92" s="20" t="str">
        <v>FFF</v>
      </c>
      <c r="J92" s="20" t="str">
        <v>P_6</v>
      </c>
      <c r="K92" s="20">
        <v>66</v>
      </c>
      <c r="L92" s="20">
        <v>66</v>
      </c>
      <c r="N92" s="20" t="str">
        <v>FFF</v>
      </c>
      <c r="O92" s="20" t="str">
        <v>P_6</v>
      </c>
      <c r="P92" s="20">
        <v>66</v>
      </c>
      <c r="R92" s="20" t="str">
        <v>FFF</v>
      </c>
      <c r="S92" s="20" t="str">
        <v>P_6</v>
      </c>
      <c r="T92" s="20">
        <v>66</v>
      </c>
      <c r="V92" s="20" t="str">
        <v>FFF</v>
      </c>
      <c r="W92" s="20" t="str">
        <v>P_6</v>
      </c>
      <c r="X92" s="20">
        <v>66</v>
      </c>
      <c r="Z92" s="20" t="str">
        <v>FFF</v>
      </c>
      <c r="AA92" s="20" t="str">
        <v>P_6</v>
      </c>
      <c r="AB92" s="20">
        <v>66</v>
      </c>
      <c r="AD92" s="20" t="str">
        <v>FFF</v>
      </c>
      <c r="AE92" s="20" t="str">
        <v>P_6</v>
      </c>
      <c r="AF92" s="20">
        <v>66</v>
      </c>
      <c r="AH92" s="20" t="str">
        <v>FFF</v>
      </c>
      <c r="AI92" s="20" t="str">
        <v>P_6</v>
      </c>
      <c r="AJ92" s="20">
        <v>66</v>
      </c>
      <c r="AM92" s="20" t="str">
        <v>FFF</v>
      </c>
      <c r="AN92" s="20" t="str">
        <v>P_6</v>
      </c>
      <c r="AO92" s="20">
        <v>66</v>
      </c>
    </row>
    <row r="93" spans="4:41" x14ac:dyDescent="0.3">
      <c r="D93" s="20" t="str">
        <v>FFF</v>
      </c>
      <c r="E93" s="20" t="str">
        <v>P_7</v>
      </c>
      <c r="F93" s="20">
        <v>67</v>
      </c>
      <c r="G93" s="20">
        <v>67</v>
      </c>
      <c r="I93" s="20" t="str">
        <v>FFF</v>
      </c>
      <c r="J93" s="20" t="str">
        <v>P_7</v>
      </c>
      <c r="K93" s="20">
        <v>67</v>
      </c>
      <c r="L93" s="20">
        <v>67</v>
      </c>
      <c r="N93" s="20" t="str">
        <v>FFF</v>
      </c>
      <c r="O93" s="20" t="str">
        <v>P_7</v>
      </c>
      <c r="P93" s="20">
        <v>67</v>
      </c>
      <c r="R93" s="20" t="str">
        <v>FFF</v>
      </c>
      <c r="S93" s="20" t="str">
        <v>P_7</v>
      </c>
      <c r="T93" s="20">
        <v>67</v>
      </c>
      <c r="V93" s="20" t="str">
        <v>FFF</v>
      </c>
      <c r="W93" s="20" t="str">
        <v>P_7</v>
      </c>
      <c r="X93" s="20">
        <v>67</v>
      </c>
      <c r="Z93" s="20" t="str">
        <v>FFF</v>
      </c>
      <c r="AA93" s="20" t="str">
        <v>P_7</v>
      </c>
      <c r="AB93" s="20">
        <v>67</v>
      </c>
      <c r="AD93" s="20" t="str">
        <v>FFF</v>
      </c>
      <c r="AE93" s="20" t="str">
        <v>P_7</v>
      </c>
      <c r="AF93" s="20">
        <v>67</v>
      </c>
      <c r="AH93" s="20" t="str">
        <v>FFF</v>
      </c>
      <c r="AI93" s="20" t="str">
        <v>P_7</v>
      </c>
      <c r="AJ93" s="20">
        <v>67</v>
      </c>
      <c r="AM93" s="20" t="str">
        <v>FFF</v>
      </c>
      <c r="AN93" s="20" t="str">
        <v>P_7</v>
      </c>
      <c r="AO93" s="20">
        <v>67</v>
      </c>
    </row>
    <row r="94" spans="4:41" x14ac:dyDescent="0.3">
      <c r="D94" s="20" t="str">
        <v>FFF</v>
      </c>
      <c r="E94" s="20" t="str">
        <v>P_8</v>
      </c>
      <c r="F94" s="20">
        <v>68</v>
      </c>
      <c r="G94" s="20">
        <v>68</v>
      </c>
      <c r="I94" s="20" t="str">
        <v>FFF</v>
      </c>
      <c r="J94" s="20" t="str">
        <v>P_8</v>
      </c>
      <c r="K94" s="20">
        <v>68</v>
      </c>
      <c r="L94" s="20">
        <v>68</v>
      </c>
      <c r="N94" s="20" t="str">
        <v>FFF</v>
      </c>
      <c r="O94" s="20" t="str">
        <v>P_8</v>
      </c>
      <c r="P94" s="20">
        <v>68</v>
      </c>
      <c r="R94" s="20" t="str">
        <v>FFF</v>
      </c>
      <c r="S94" s="20" t="str">
        <v>P_8</v>
      </c>
      <c r="T94" s="20">
        <v>68</v>
      </c>
      <c r="V94" s="20" t="str">
        <v>FFF</v>
      </c>
      <c r="W94" s="20" t="str">
        <v>P_8</v>
      </c>
      <c r="X94" s="20">
        <v>68</v>
      </c>
      <c r="Z94" s="20" t="str">
        <v>FFF</v>
      </c>
      <c r="AA94" s="20" t="str">
        <v>P_8</v>
      </c>
      <c r="AB94" s="20">
        <v>68</v>
      </c>
      <c r="AD94" s="20" t="str">
        <v>FFF</v>
      </c>
      <c r="AE94" s="20" t="str">
        <v>P_8</v>
      </c>
      <c r="AF94" s="20">
        <v>68</v>
      </c>
      <c r="AH94" s="20" t="str">
        <v>FFF</v>
      </c>
      <c r="AI94" s="20" t="str">
        <v>P_8</v>
      </c>
      <c r="AJ94" s="20">
        <v>68</v>
      </c>
      <c r="AM94" s="20" t="str">
        <v>FFF</v>
      </c>
      <c r="AN94" s="20" t="str">
        <v>P_8</v>
      </c>
      <c r="AO94" s="20">
        <v>68</v>
      </c>
    </row>
    <row r="95" spans="4:41" x14ac:dyDescent="0.3">
      <c r="D95" s="20" t="str">
        <v>FFF</v>
      </c>
      <c r="E95" s="20" t="str">
        <v>P_9</v>
      </c>
      <c r="F95" s="20">
        <v>69</v>
      </c>
      <c r="G95" s="20">
        <v>69</v>
      </c>
      <c r="I95" s="20" t="str">
        <v>FFF</v>
      </c>
      <c r="J95" s="20" t="str">
        <v>P_9</v>
      </c>
      <c r="K95" s="20">
        <v>69</v>
      </c>
      <c r="L95" s="20">
        <v>69</v>
      </c>
      <c r="N95" s="20" t="str">
        <v>FFF</v>
      </c>
      <c r="O95" s="20" t="str">
        <v>P_9</v>
      </c>
      <c r="P95" s="20">
        <v>69</v>
      </c>
      <c r="R95" s="20" t="str">
        <v>FFF</v>
      </c>
      <c r="S95" s="20" t="str">
        <v>P_9</v>
      </c>
      <c r="T95" s="20">
        <v>69</v>
      </c>
      <c r="V95" s="20" t="str">
        <v>FFF</v>
      </c>
      <c r="W95" s="20" t="str">
        <v>P_9</v>
      </c>
      <c r="X95" s="20">
        <v>69</v>
      </c>
      <c r="Z95" s="20" t="str">
        <v>FFF</v>
      </c>
      <c r="AA95" s="20" t="str">
        <v>P_9</v>
      </c>
      <c r="AB95" s="20">
        <v>69</v>
      </c>
      <c r="AD95" s="20" t="str">
        <v>FFF</v>
      </c>
      <c r="AE95" s="20" t="str">
        <v>P_9</v>
      </c>
      <c r="AF95" s="20">
        <v>69</v>
      </c>
      <c r="AH95" s="20" t="str">
        <v>FFF</v>
      </c>
      <c r="AI95" s="20" t="str">
        <v>P_9</v>
      </c>
      <c r="AJ95" s="20">
        <v>69</v>
      </c>
      <c r="AM95" s="20" t="str">
        <v>FFF</v>
      </c>
      <c r="AN95" s="20" t="str">
        <v>P_9</v>
      </c>
      <c r="AO95" s="20">
        <v>69</v>
      </c>
    </row>
    <row r="96" spans="4:41" x14ac:dyDescent="0.3">
      <c r="D96" s="20" t="str">
        <v>FFF</v>
      </c>
      <c r="E96" s="20" t="str">
        <v>P_10</v>
      </c>
      <c r="F96" s="20">
        <v>70</v>
      </c>
      <c r="G96" s="20">
        <v>70</v>
      </c>
      <c r="I96" s="20" t="str">
        <v>FFF</v>
      </c>
      <c r="J96" s="20" t="str">
        <v>P_10</v>
      </c>
      <c r="K96" s="20">
        <v>70</v>
      </c>
      <c r="L96" s="20">
        <v>70</v>
      </c>
      <c r="N96" s="20" t="str">
        <v>FFF</v>
      </c>
      <c r="O96" s="20" t="str">
        <v>P_10</v>
      </c>
      <c r="P96" s="20">
        <v>70</v>
      </c>
      <c r="R96" s="20" t="str">
        <v>FFF</v>
      </c>
      <c r="S96" s="20" t="str">
        <v>P_10</v>
      </c>
      <c r="T96" s="20">
        <v>70</v>
      </c>
      <c r="V96" s="20" t="str">
        <v>FFF</v>
      </c>
      <c r="W96" s="20" t="str">
        <v>P_10</v>
      </c>
      <c r="X96" s="20">
        <v>70</v>
      </c>
      <c r="Z96" s="20" t="str">
        <v>FFF</v>
      </c>
      <c r="AA96" s="20" t="str">
        <v>P_10</v>
      </c>
      <c r="AB96" s="20">
        <v>70</v>
      </c>
      <c r="AD96" s="20" t="str">
        <v>FFF</v>
      </c>
      <c r="AE96" s="20" t="str">
        <v>P_10</v>
      </c>
      <c r="AF96" s="20">
        <v>70</v>
      </c>
      <c r="AH96" s="20" t="str">
        <v>FFF</v>
      </c>
      <c r="AI96" s="20" t="str">
        <v>P_10</v>
      </c>
      <c r="AJ96" s="20">
        <v>70</v>
      </c>
      <c r="AM96" s="20" t="str">
        <v>FFF</v>
      </c>
      <c r="AN96" s="20" t="str">
        <v>P_10</v>
      </c>
      <c r="AO96" s="20">
        <v>70</v>
      </c>
    </row>
    <row r="97" spans="4:41" x14ac:dyDescent="0.3">
      <c r="D97" s="20" t="str">
        <v>FFF</v>
      </c>
      <c r="E97" s="20" t="str">
        <v>P_11</v>
      </c>
      <c r="F97" s="20">
        <v>71</v>
      </c>
      <c r="G97" s="20">
        <v>71</v>
      </c>
      <c r="I97" s="20" t="str">
        <v>FFF</v>
      </c>
      <c r="J97" s="20" t="str">
        <v>P_11</v>
      </c>
      <c r="K97" s="20">
        <v>71</v>
      </c>
      <c r="L97" s="20">
        <v>71</v>
      </c>
      <c r="N97" s="20" t="str">
        <v>FFF</v>
      </c>
      <c r="O97" s="20" t="str">
        <v>P_11</v>
      </c>
      <c r="P97" s="20">
        <v>71</v>
      </c>
      <c r="R97" s="20" t="str">
        <v>FFF</v>
      </c>
      <c r="S97" s="20" t="str">
        <v>P_11</v>
      </c>
      <c r="T97" s="20">
        <v>71</v>
      </c>
      <c r="V97" s="20" t="str">
        <v>FFF</v>
      </c>
      <c r="W97" s="20" t="str">
        <v>P_11</v>
      </c>
      <c r="X97" s="20">
        <v>71</v>
      </c>
      <c r="Z97" s="20" t="str">
        <v>FFF</v>
      </c>
      <c r="AA97" s="20" t="str">
        <v>P_11</v>
      </c>
      <c r="AB97" s="20">
        <v>71</v>
      </c>
      <c r="AD97" s="20" t="str">
        <v>FFF</v>
      </c>
      <c r="AE97" s="20" t="str">
        <v>P_11</v>
      </c>
      <c r="AF97" s="20">
        <v>71</v>
      </c>
      <c r="AH97" s="20" t="str">
        <v>FFF</v>
      </c>
      <c r="AI97" s="20" t="str">
        <v>P_11</v>
      </c>
      <c r="AJ97" s="20">
        <v>71</v>
      </c>
      <c r="AM97" s="20" t="str">
        <v>FFF</v>
      </c>
      <c r="AN97" s="20" t="str">
        <v>P_11</v>
      </c>
      <c r="AO97" s="20">
        <v>71</v>
      </c>
    </row>
    <row r="98" spans="4:41" x14ac:dyDescent="0.3">
      <c r="D98" s="20" t="str">
        <v>FFF</v>
      </c>
      <c r="E98" s="20" t="str">
        <v>P_12</v>
      </c>
      <c r="F98" s="20">
        <v>72</v>
      </c>
      <c r="G98" s="20">
        <v>72</v>
      </c>
      <c r="I98" s="20" t="str">
        <v>FFF</v>
      </c>
      <c r="J98" s="20" t="str">
        <v>P_12</v>
      </c>
      <c r="K98" s="20">
        <v>72</v>
      </c>
      <c r="L98" s="20">
        <v>72</v>
      </c>
      <c r="N98" s="20" t="str">
        <v>FFF</v>
      </c>
      <c r="O98" s="20" t="str">
        <v>P_12</v>
      </c>
      <c r="P98" s="20">
        <v>72</v>
      </c>
      <c r="R98" s="20" t="str">
        <v>FFF</v>
      </c>
      <c r="S98" s="20" t="str">
        <v>P_12</v>
      </c>
      <c r="T98" s="20">
        <v>72</v>
      </c>
      <c r="V98" s="20" t="str">
        <v>FFF</v>
      </c>
      <c r="W98" s="20" t="str">
        <v>P_12</v>
      </c>
      <c r="X98" s="20">
        <v>72</v>
      </c>
      <c r="Z98" s="20" t="str">
        <v>FFF</v>
      </c>
      <c r="AA98" s="20" t="str">
        <v>P_12</v>
      </c>
      <c r="AB98" s="20">
        <v>72</v>
      </c>
      <c r="AD98" s="20" t="str">
        <v>FFF</v>
      </c>
      <c r="AE98" s="20" t="str">
        <v>P_12</v>
      </c>
      <c r="AF98" s="20">
        <v>72</v>
      </c>
      <c r="AH98" s="20" t="str">
        <v>FFF</v>
      </c>
      <c r="AI98" s="20" t="str">
        <v>P_12</v>
      </c>
      <c r="AJ98" s="20">
        <v>72</v>
      </c>
      <c r="AM98" s="20" t="str">
        <v>FFF</v>
      </c>
      <c r="AN98" s="20" t="str">
        <v>P_12</v>
      </c>
      <c r="AO98" s="20">
        <v>72</v>
      </c>
    </row>
    <row r="99" spans="4:41" x14ac:dyDescent="0.3">
      <c r="D99" s="20" t="str">
        <v>GGG</v>
      </c>
      <c r="E99" s="20" t="str">
        <v>P_1</v>
      </c>
      <c r="F99" s="20">
        <v>73</v>
      </c>
      <c r="G99" s="20">
        <v>73</v>
      </c>
      <c r="I99" s="20" t="str">
        <v>GGG</v>
      </c>
      <c r="J99" s="20" t="str">
        <v>P_1</v>
      </c>
      <c r="K99" s="20">
        <v>73</v>
      </c>
      <c r="L99" s="20">
        <v>73</v>
      </c>
      <c r="N99" s="20" t="str">
        <v>GGG</v>
      </c>
      <c r="O99" s="20" t="str">
        <v>P_1</v>
      </c>
      <c r="P99" s="20">
        <v>73</v>
      </c>
      <c r="R99" s="20" t="str">
        <v>GGG</v>
      </c>
      <c r="S99" s="20" t="str">
        <v>P_1</v>
      </c>
      <c r="T99" s="20">
        <v>73</v>
      </c>
      <c r="V99" s="20" t="str">
        <v>GGG</v>
      </c>
      <c r="W99" s="20" t="str">
        <v>P_1</v>
      </c>
      <c r="X99" s="20">
        <v>73</v>
      </c>
      <c r="Z99" s="20" t="str">
        <v>GGG</v>
      </c>
      <c r="AA99" s="20" t="str">
        <v>P_1</v>
      </c>
      <c r="AB99" s="20">
        <v>73</v>
      </c>
      <c r="AD99" s="20" t="str">
        <v>GGG</v>
      </c>
      <c r="AE99" s="20" t="str">
        <v>P_1</v>
      </c>
      <c r="AF99" s="20">
        <v>73</v>
      </c>
      <c r="AH99" s="20" t="str">
        <v>GGG</v>
      </c>
      <c r="AI99" s="20" t="str">
        <v>P_1</v>
      </c>
      <c r="AJ99" s="20">
        <v>73</v>
      </c>
      <c r="AM99" s="20" t="str">
        <v>GGG</v>
      </c>
      <c r="AN99" s="20" t="str">
        <v>P_1</v>
      </c>
      <c r="AO99" s="20">
        <v>73</v>
      </c>
    </row>
    <row r="100" spans="4:41" x14ac:dyDescent="0.3">
      <c r="D100" s="20" t="str">
        <v>GGG</v>
      </c>
      <c r="E100" s="20" t="str">
        <v>P_2</v>
      </c>
      <c r="F100" s="20">
        <v>74</v>
      </c>
      <c r="G100" s="20">
        <v>74</v>
      </c>
      <c r="I100" s="20" t="str">
        <v>GGG</v>
      </c>
      <c r="J100" s="20" t="str">
        <v>P_2</v>
      </c>
      <c r="K100" s="20">
        <v>74</v>
      </c>
      <c r="L100" s="20">
        <v>74</v>
      </c>
      <c r="N100" s="20" t="str">
        <v>GGG</v>
      </c>
      <c r="O100" s="20" t="str">
        <v>P_2</v>
      </c>
      <c r="P100" s="20">
        <v>74</v>
      </c>
      <c r="R100" s="20" t="str">
        <v>GGG</v>
      </c>
      <c r="S100" s="20" t="str">
        <v>P_2</v>
      </c>
      <c r="T100" s="20">
        <v>74</v>
      </c>
      <c r="V100" s="20" t="str">
        <v>GGG</v>
      </c>
      <c r="W100" s="20" t="str">
        <v>P_2</v>
      </c>
      <c r="X100" s="20">
        <v>74</v>
      </c>
      <c r="Z100" s="20" t="str">
        <v>GGG</v>
      </c>
      <c r="AA100" s="20" t="str">
        <v>P_2</v>
      </c>
      <c r="AB100" s="20">
        <v>74</v>
      </c>
      <c r="AD100" s="20" t="str">
        <v>GGG</v>
      </c>
      <c r="AE100" s="20" t="str">
        <v>P_2</v>
      </c>
      <c r="AF100" s="20">
        <v>74</v>
      </c>
      <c r="AH100" s="20" t="str">
        <v>GGG</v>
      </c>
      <c r="AI100" s="20" t="str">
        <v>P_2</v>
      </c>
      <c r="AJ100" s="20">
        <v>74</v>
      </c>
      <c r="AM100" s="20" t="str">
        <v>GGG</v>
      </c>
      <c r="AN100" s="20" t="str">
        <v>P_2</v>
      </c>
      <c r="AO100" s="20">
        <v>74</v>
      </c>
    </row>
    <row r="101" spans="4:41" x14ac:dyDescent="0.3">
      <c r="D101" s="20" t="str">
        <v>GGG</v>
      </c>
      <c r="E101" s="20" t="str">
        <v>P_3</v>
      </c>
      <c r="F101" s="20">
        <v>75</v>
      </c>
      <c r="G101" s="20">
        <v>75</v>
      </c>
      <c r="I101" s="20" t="str">
        <v>GGG</v>
      </c>
      <c r="J101" s="20" t="str">
        <v>P_3</v>
      </c>
      <c r="K101" s="20">
        <v>75</v>
      </c>
      <c r="L101" s="20">
        <v>75</v>
      </c>
      <c r="N101" s="20" t="str">
        <v>GGG</v>
      </c>
      <c r="O101" s="20" t="str">
        <v>P_3</v>
      </c>
      <c r="P101" s="20">
        <v>75</v>
      </c>
      <c r="R101" s="20" t="str">
        <v>GGG</v>
      </c>
      <c r="S101" s="20" t="str">
        <v>P_3</v>
      </c>
      <c r="T101" s="20">
        <v>75</v>
      </c>
      <c r="V101" s="20" t="str">
        <v>GGG</v>
      </c>
      <c r="W101" s="20" t="str">
        <v>P_3</v>
      </c>
      <c r="X101" s="20">
        <v>75</v>
      </c>
      <c r="Z101" s="20" t="str">
        <v>GGG</v>
      </c>
      <c r="AA101" s="20" t="str">
        <v>P_3</v>
      </c>
      <c r="AB101" s="20">
        <v>75</v>
      </c>
      <c r="AD101" s="20" t="str">
        <v>GGG</v>
      </c>
      <c r="AE101" s="20" t="str">
        <v>P_3</v>
      </c>
      <c r="AF101" s="20">
        <v>75</v>
      </c>
      <c r="AH101" s="20" t="str">
        <v>GGG</v>
      </c>
      <c r="AI101" s="20" t="str">
        <v>P_3</v>
      </c>
      <c r="AJ101" s="20">
        <v>75</v>
      </c>
      <c r="AM101" s="20" t="str">
        <v>GGG</v>
      </c>
      <c r="AN101" s="20" t="str">
        <v>P_3</v>
      </c>
      <c r="AO101" s="20">
        <v>75</v>
      </c>
    </row>
    <row r="102" spans="4:41" x14ac:dyDescent="0.3">
      <c r="D102" s="20" t="str">
        <v>GGG</v>
      </c>
      <c r="E102" s="20" t="str">
        <v>P_4</v>
      </c>
      <c r="F102" s="20">
        <v>76</v>
      </c>
      <c r="G102" s="20">
        <v>76</v>
      </c>
      <c r="I102" s="20" t="str">
        <v>GGG</v>
      </c>
      <c r="J102" s="20" t="str">
        <v>P_4</v>
      </c>
      <c r="K102" s="20">
        <v>76</v>
      </c>
      <c r="L102" s="20">
        <v>76</v>
      </c>
      <c r="N102" s="20" t="str">
        <v>GGG</v>
      </c>
      <c r="O102" s="20" t="str">
        <v>P_4</v>
      </c>
      <c r="P102" s="20">
        <v>76</v>
      </c>
      <c r="R102" s="20" t="str">
        <v>GGG</v>
      </c>
      <c r="S102" s="20" t="str">
        <v>P_4</v>
      </c>
      <c r="T102" s="20">
        <v>76</v>
      </c>
      <c r="V102" s="20" t="str">
        <v>GGG</v>
      </c>
      <c r="W102" s="20" t="str">
        <v>P_4</v>
      </c>
      <c r="X102" s="20">
        <v>76</v>
      </c>
      <c r="Z102" s="20" t="str">
        <v>GGG</v>
      </c>
      <c r="AA102" s="20" t="str">
        <v>P_4</v>
      </c>
      <c r="AB102" s="20">
        <v>76</v>
      </c>
      <c r="AD102" s="20" t="str">
        <v>GGG</v>
      </c>
      <c r="AE102" s="20" t="str">
        <v>P_4</v>
      </c>
      <c r="AF102" s="20">
        <v>76</v>
      </c>
      <c r="AH102" s="20" t="str">
        <v>GGG</v>
      </c>
      <c r="AI102" s="20" t="str">
        <v>P_4</v>
      </c>
      <c r="AJ102" s="20">
        <v>76</v>
      </c>
      <c r="AM102" s="20" t="str">
        <v>GGG</v>
      </c>
      <c r="AN102" s="20" t="str">
        <v>P_4</v>
      </c>
      <c r="AO102" s="20">
        <v>76</v>
      </c>
    </row>
    <row r="103" spans="4:41" x14ac:dyDescent="0.3">
      <c r="D103" s="20" t="str">
        <v>GGG</v>
      </c>
      <c r="E103" s="20" t="str">
        <v>P_5</v>
      </c>
      <c r="F103" s="20">
        <v>77</v>
      </c>
      <c r="G103" s="20">
        <v>77</v>
      </c>
      <c r="I103" s="20" t="str">
        <v>GGG</v>
      </c>
      <c r="J103" s="20" t="str">
        <v>P_5</v>
      </c>
      <c r="K103" s="20">
        <v>77</v>
      </c>
      <c r="L103" s="20">
        <v>77</v>
      </c>
      <c r="N103" s="20" t="str">
        <v>GGG</v>
      </c>
      <c r="O103" s="20" t="str">
        <v>P_5</v>
      </c>
      <c r="P103" s="20">
        <v>77</v>
      </c>
      <c r="R103" s="20" t="str">
        <v>GGG</v>
      </c>
      <c r="S103" s="20" t="str">
        <v>P_5</v>
      </c>
      <c r="T103" s="20">
        <v>77</v>
      </c>
      <c r="V103" s="20" t="str">
        <v>GGG</v>
      </c>
      <c r="W103" s="20" t="str">
        <v>P_5</v>
      </c>
      <c r="X103" s="20">
        <v>77</v>
      </c>
      <c r="Z103" s="20" t="str">
        <v>GGG</v>
      </c>
      <c r="AA103" s="20" t="str">
        <v>P_5</v>
      </c>
      <c r="AB103" s="20">
        <v>77</v>
      </c>
      <c r="AD103" s="20" t="str">
        <v>GGG</v>
      </c>
      <c r="AE103" s="20" t="str">
        <v>P_5</v>
      </c>
      <c r="AF103" s="20">
        <v>77</v>
      </c>
      <c r="AH103" s="20" t="str">
        <v>GGG</v>
      </c>
      <c r="AI103" s="20" t="str">
        <v>P_5</v>
      </c>
      <c r="AJ103" s="20">
        <v>77</v>
      </c>
      <c r="AM103" s="20" t="str">
        <v>GGG</v>
      </c>
      <c r="AN103" s="20" t="str">
        <v>P_5</v>
      </c>
      <c r="AO103" s="20">
        <v>77</v>
      </c>
    </row>
    <row r="104" spans="4:41" x14ac:dyDescent="0.3">
      <c r="D104" s="20" t="str">
        <v>GGG</v>
      </c>
      <c r="E104" s="20" t="str">
        <v>P_6</v>
      </c>
      <c r="F104" s="20">
        <v>78</v>
      </c>
      <c r="G104" s="20">
        <v>78</v>
      </c>
      <c r="I104" s="20" t="str">
        <v>GGG</v>
      </c>
      <c r="J104" s="20" t="str">
        <v>P_6</v>
      </c>
      <c r="K104" s="20">
        <v>78</v>
      </c>
      <c r="L104" s="20">
        <v>78</v>
      </c>
      <c r="N104" s="20" t="str">
        <v>GGG</v>
      </c>
      <c r="O104" s="20" t="str">
        <v>P_6</v>
      </c>
      <c r="P104" s="20">
        <v>78</v>
      </c>
      <c r="R104" s="20" t="str">
        <v>GGG</v>
      </c>
      <c r="S104" s="20" t="str">
        <v>P_6</v>
      </c>
      <c r="T104" s="20">
        <v>78</v>
      </c>
      <c r="V104" s="20" t="str">
        <v>GGG</v>
      </c>
      <c r="W104" s="20" t="str">
        <v>P_6</v>
      </c>
      <c r="X104" s="20">
        <v>78</v>
      </c>
      <c r="Z104" s="20" t="str">
        <v>GGG</v>
      </c>
      <c r="AA104" s="20" t="str">
        <v>P_6</v>
      </c>
      <c r="AB104" s="20">
        <v>78</v>
      </c>
      <c r="AD104" s="20" t="str">
        <v>GGG</v>
      </c>
      <c r="AE104" s="20" t="str">
        <v>P_6</v>
      </c>
      <c r="AF104" s="20">
        <v>78</v>
      </c>
      <c r="AH104" s="20" t="str">
        <v>GGG</v>
      </c>
      <c r="AI104" s="20" t="str">
        <v>P_6</v>
      </c>
      <c r="AJ104" s="20">
        <v>78</v>
      </c>
      <c r="AM104" s="20" t="str">
        <v>GGG</v>
      </c>
      <c r="AN104" s="20" t="str">
        <v>P_6</v>
      </c>
      <c r="AO104" s="20">
        <v>78</v>
      </c>
    </row>
    <row r="105" spans="4:41" x14ac:dyDescent="0.3">
      <c r="D105" s="20" t="str">
        <v>GGG</v>
      </c>
      <c r="E105" s="20" t="str">
        <v>P_7</v>
      </c>
      <c r="F105" s="20">
        <v>79</v>
      </c>
      <c r="G105" s="20">
        <v>79</v>
      </c>
      <c r="I105" s="20" t="str">
        <v>GGG</v>
      </c>
      <c r="J105" s="20" t="str">
        <v>P_7</v>
      </c>
      <c r="K105" s="20">
        <v>79</v>
      </c>
      <c r="L105" s="20">
        <v>79</v>
      </c>
      <c r="N105" s="20" t="str">
        <v>GGG</v>
      </c>
      <c r="O105" s="20" t="str">
        <v>P_7</v>
      </c>
      <c r="P105" s="20">
        <v>79</v>
      </c>
      <c r="R105" s="20" t="str">
        <v>GGG</v>
      </c>
      <c r="S105" s="20" t="str">
        <v>P_7</v>
      </c>
      <c r="T105" s="20">
        <v>79</v>
      </c>
      <c r="V105" s="20" t="str">
        <v>GGG</v>
      </c>
      <c r="W105" s="20" t="str">
        <v>P_7</v>
      </c>
      <c r="X105" s="20">
        <v>79</v>
      </c>
      <c r="Z105" s="20" t="str">
        <v>GGG</v>
      </c>
      <c r="AA105" s="20" t="str">
        <v>P_7</v>
      </c>
      <c r="AB105" s="20">
        <v>79</v>
      </c>
      <c r="AD105" s="20" t="str">
        <v>GGG</v>
      </c>
      <c r="AE105" s="20" t="str">
        <v>P_7</v>
      </c>
      <c r="AF105" s="20">
        <v>79</v>
      </c>
      <c r="AH105" s="20" t="str">
        <v>GGG</v>
      </c>
      <c r="AI105" s="20" t="str">
        <v>P_7</v>
      </c>
      <c r="AJ105" s="20">
        <v>79</v>
      </c>
      <c r="AM105" s="20" t="str">
        <v>GGG</v>
      </c>
      <c r="AN105" s="20" t="str">
        <v>P_7</v>
      </c>
      <c r="AO105" s="20">
        <v>79</v>
      </c>
    </row>
    <row r="106" spans="4:41" x14ac:dyDescent="0.3">
      <c r="D106" s="20" t="str">
        <v>GGG</v>
      </c>
      <c r="E106" s="20" t="str">
        <v>P_8</v>
      </c>
      <c r="F106" s="20">
        <v>80</v>
      </c>
      <c r="G106" s="20">
        <v>80</v>
      </c>
      <c r="I106" s="20" t="str">
        <v>GGG</v>
      </c>
      <c r="J106" s="20" t="str">
        <v>P_8</v>
      </c>
      <c r="K106" s="20">
        <v>80</v>
      </c>
      <c r="L106" s="20">
        <v>80</v>
      </c>
      <c r="N106" s="20" t="str">
        <v>GGG</v>
      </c>
      <c r="O106" s="20" t="str">
        <v>P_8</v>
      </c>
      <c r="P106" s="20">
        <v>80</v>
      </c>
      <c r="R106" s="20" t="str">
        <v>GGG</v>
      </c>
      <c r="S106" s="20" t="str">
        <v>P_8</v>
      </c>
      <c r="T106" s="20">
        <v>80</v>
      </c>
      <c r="V106" s="20" t="str">
        <v>GGG</v>
      </c>
      <c r="W106" s="20" t="str">
        <v>P_8</v>
      </c>
      <c r="X106" s="20">
        <v>80</v>
      </c>
      <c r="Z106" s="20" t="str">
        <v>GGG</v>
      </c>
      <c r="AA106" s="20" t="str">
        <v>P_8</v>
      </c>
      <c r="AB106" s="20">
        <v>80</v>
      </c>
      <c r="AD106" s="20" t="str">
        <v>GGG</v>
      </c>
      <c r="AE106" s="20" t="str">
        <v>P_8</v>
      </c>
      <c r="AF106" s="20">
        <v>80</v>
      </c>
      <c r="AH106" s="20" t="str">
        <v>GGG</v>
      </c>
      <c r="AI106" s="20" t="str">
        <v>P_8</v>
      </c>
      <c r="AJ106" s="20">
        <v>80</v>
      </c>
      <c r="AM106" s="20" t="str">
        <v>GGG</v>
      </c>
      <c r="AN106" s="20" t="str">
        <v>P_8</v>
      </c>
      <c r="AO106" s="20">
        <v>80</v>
      </c>
    </row>
    <row r="107" spans="4:41" x14ac:dyDescent="0.3">
      <c r="D107" s="20" t="str">
        <v>GGG</v>
      </c>
      <c r="E107" s="20" t="str">
        <v>P_9</v>
      </c>
      <c r="F107" s="20">
        <v>81</v>
      </c>
      <c r="G107" s="20">
        <v>81</v>
      </c>
      <c r="I107" s="20" t="str">
        <v>GGG</v>
      </c>
      <c r="J107" s="20" t="str">
        <v>P_9</v>
      </c>
      <c r="K107" s="20">
        <v>81</v>
      </c>
      <c r="L107" s="20">
        <v>81</v>
      </c>
      <c r="N107" s="20" t="str">
        <v>GGG</v>
      </c>
      <c r="O107" s="20" t="str">
        <v>P_9</v>
      </c>
      <c r="P107" s="20">
        <v>81</v>
      </c>
      <c r="R107" s="20" t="str">
        <v>GGG</v>
      </c>
      <c r="S107" s="20" t="str">
        <v>P_9</v>
      </c>
      <c r="T107" s="20">
        <v>81</v>
      </c>
      <c r="V107" s="20" t="str">
        <v>GGG</v>
      </c>
      <c r="W107" s="20" t="str">
        <v>P_9</v>
      </c>
      <c r="X107" s="20">
        <v>81</v>
      </c>
      <c r="Z107" s="20" t="str">
        <v>GGG</v>
      </c>
      <c r="AA107" s="20" t="str">
        <v>P_9</v>
      </c>
      <c r="AB107" s="20">
        <v>81</v>
      </c>
      <c r="AD107" s="20" t="str">
        <v>GGG</v>
      </c>
      <c r="AE107" s="20" t="str">
        <v>P_9</v>
      </c>
      <c r="AF107" s="20">
        <v>81</v>
      </c>
      <c r="AH107" s="20" t="str">
        <v>GGG</v>
      </c>
      <c r="AI107" s="20" t="str">
        <v>P_9</v>
      </c>
      <c r="AJ107" s="20">
        <v>81</v>
      </c>
      <c r="AM107" s="20" t="str">
        <v>GGG</v>
      </c>
      <c r="AN107" s="20" t="str">
        <v>P_9</v>
      </c>
      <c r="AO107" s="20">
        <v>81</v>
      </c>
    </row>
    <row r="108" spans="4:41" x14ac:dyDescent="0.3">
      <c r="D108" s="20" t="str">
        <v>GGG</v>
      </c>
      <c r="E108" s="20" t="str">
        <v>P_10</v>
      </c>
      <c r="F108" s="20">
        <v>82</v>
      </c>
      <c r="G108" s="20">
        <v>82</v>
      </c>
      <c r="I108" s="20" t="str">
        <v>GGG</v>
      </c>
      <c r="J108" s="20" t="str">
        <v>P_10</v>
      </c>
      <c r="K108" s="20">
        <v>82</v>
      </c>
      <c r="L108" s="20">
        <v>82</v>
      </c>
      <c r="N108" s="20" t="str">
        <v>GGG</v>
      </c>
      <c r="O108" s="20" t="str">
        <v>P_10</v>
      </c>
      <c r="P108" s="20">
        <v>82</v>
      </c>
      <c r="R108" s="20" t="str">
        <v>GGG</v>
      </c>
      <c r="S108" s="20" t="str">
        <v>P_10</v>
      </c>
      <c r="T108" s="20">
        <v>82</v>
      </c>
      <c r="V108" s="20" t="str">
        <v>GGG</v>
      </c>
      <c r="W108" s="20" t="str">
        <v>P_10</v>
      </c>
      <c r="X108" s="20">
        <v>82</v>
      </c>
      <c r="Z108" s="20" t="str">
        <v>GGG</v>
      </c>
      <c r="AA108" s="20" t="str">
        <v>P_10</v>
      </c>
      <c r="AB108" s="20">
        <v>82</v>
      </c>
      <c r="AD108" s="20" t="str">
        <v>GGG</v>
      </c>
      <c r="AE108" s="20" t="str">
        <v>P_10</v>
      </c>
      <c r="AF108" s="20">
        <v>82</v>
      </c>
      <c r="AH108" s="20" t="str">
        <v>GGG</v>
      </c>
      <c r="AI108" s="20" t="str">
        <v>P_10</v>
      </c>
      <c r="AJ108" s="20">
        <v>82</v>
      </c>
      <c r="AM108" s="20" t="str">
        <v>GGG</v>
      </c>
      <c r="AN108" s="20" t="str">
        <v>P_10</v>
      </c>
      <c r="AO108" s="20">
        <v>82</v>
      </c>
    </row>
    <row r="109" spans="4:41" x14ac:dyDescent="0.3">
      <c r="D109" s="20" t="str">
        <v>GGG</v>
      </c>
      <c r="E109" s="20" t="str">
        <v>P_11</v>
      </c>
      <c r="F109" s="20">
        <v>83</v>
      </c>
      <c r="G109" s="20">
        <v>83</v>
      </c>
      <c r="I109" s="20" t="str">
        <v>GGG</v>
      </c>
      <c r="J109" s="20" t="str">
        <v>P_11</v>
      </c>
      <c r="K109" s="20">
        <v>83</v>
      </c>
      <c r="L109" s="20">
        <v>83</v>
      </c>
      <c r="N109" s="20" t="str">
        <v>GGG</v>
      </c>
      <c r="O109" s="20" t="str">
        <v>P_11</v>
      </c>
      <c r="P109" s="20">
        <v>83</v>
      </c>
      <c r="R109" s="20" t="str">
        <v>GGG</v>
      </c>
      <c r="S109" s="20" t="str">
        <v>P_11</v>
      </c>
      <c r="T109" s="20">
        <v>83</v>
      </c>
      <c r="V109" s="20" t="str">
        <v>GGG</v>
      </c>
      <c r="W109" s="20" t="str">
        <v>P_11</v>
      </c>
      <c r="X109" s="20">
        <v>83</v>
      </c>
      <c r="Z109" s="20" t="str">
        <v>GGG</v>
      </c>
      <c r="AA109" s="20" t="str">
        <v>P_11</v>
      </c>
      <c r="AB109" s="20">
        <v>83</v>
      </c>
      <c r="AD109" s="20" t="str">
        <v>GGG</v>
      </c>
      <c r="AE109" s="20" t="str">
        <v>P_11</v>
      </c>
      <c r="AF109" s="20">
        <v>83</v>
      </c>
      <c r="AH109" s="20" t="str">
        <v>GGG</v>
      </c>
      <c r="AI109" s="20" t="str">
        <v>P_11</v>
      </c>
      <c r="AJ109" s="20">
        <v>83</v>
      </c>
      <c r="AM109" s="20" t="str">
        <v>GGG</v>
      </c>
      <c r="AN109" s="20" t="str">
        <v>P_11</v>
      </c>
      <c r="AO109" s="20">
        <v>83</v>
      </c>
    </row>
    <row r="110" spans="4:41" x14ac:dyDescent="0.3">
      <c r="D110" s="20" t="str">
        <v>GGG</v>
      </c>
      <c r="E110" s="20" t="str">
        <v>P_12</v>
      </c>
      <c r="F110" s="20">
        <v>84</v>
      </c>
      <c r="G110" s="20">
        <v>84</v>
      </c>
      <c r="I110" s="20" t="str">
        <v>GGG</v>
      </c>
      <c r="J110" s="20" t="str">
        <v>P_12</v>
      </c>
      <c r="K110" s="20">
        <v>84</v>
      </c>
      <c r="L110" s="20">
        <v>84</v>
      </c>
      <c r="N110" s="20" t="str">
        <v>GGG</v>
      </c>
      <c r="O110" s="20" t="str">
        <v>P_12</v>
      </c>
      <c r="P110" s="20">
        <v>84</v>
      </c>
      <c r="R110" s="20" t="str">
        <v>GGG</v>
      </c>
      <c r="S110" s="20" t="str">
        <v>P_12</v>
      </c>
      <c r="T110" s="20">
        <v>84</v>
      </c>
      <c r="V110" s="20" t="str">
        <v>GGG</v>
      </c>
      <c r="W110" s="20" t="str">
        <v>P_12</v>
      </c>
      <c r="X110" s="20">
        <v>84</v>
      </c>
      <c r="Z110" s="20" t="str">
        <v>GGG</v>
      </c>
      <c r="AA110" s="20" t="str">
        <v>P_12</v>
      </c>
      <c r="AB110" s="20">
        <v>84</v>
      </c>
      <c r="AD110" s="20" t="str">
        <v>GGG</v>
      </c>
      <c r="AE110" s="20" t="str">
        <v>P_12</v>
      </c>
      <c r="AF110" s="20">
        <v>84</v>
      </c>
      <c r="AH110" s="20" t="str">
        <v>GGG</v>
      </c>
      <c r="AI110" s="20" t="str">
        <v>P_12</v>
      </c>
      <c r="AJ110" s="20">
        <v>84</v>
      </c>
      <c r="AM110" s="20" t="str">
        <v>GGG</v>
      </c>
      <c r="AN110" s="20" t="str">
        <v>P_12</v>
      </c>
      <c r="AO110" s="20">
        <v>84</v>
      </c>
    </row>
    <row r="111" spans="4:41" x14ac:dyDescent="0.3">
      <c r="D111" s="20" t="str">
        <v>HHH</v>
      </c>
      <c r="E111" s="20" t="str">
        <v>P_1</v>
      </c>
      <c r="F111" s="20">
        <v>85</v>
      </c>
      <c r="G111" s="20">
        <v>85</v>
      </c>
      <c r="I111" s="20" t="str">
        <v>HHH</v>
      </c>
      <c r="J111" s="20" t="str">
        <v>P_1</v>
      </c>
      <c r="K111" s="20">
        <v>85</v>
      </c>
      <c r="L111" s="20">
        <v>85</v>
      </c>
      <c r="N111" s="20" t="str">
        <v>HHH</v>
      </c>
      <c r="O111" s="20" t="str">
        <v>P_1</v>
      </c>
      <c r="P111" s="20">
        <v>85</v>
      </c>
      <c r="R111" s="20" t="str">
        <v>HHH</v>
      </c>
      <c r="S111" s="20" t="str">
        <v>P_1</v>
      </c>
      <c r="T111" s="20">
        <v>85</v>
      </c>
      <c r="V111" s="20" t="str">
        <v>HHH</v>
      </c>
      <c r="W111" s="20" t="str">
        <v>P_1</v>
      </c>
      <c r="X111" s="20">
        <v>85</v>
      </c>
      <c r="Z111" s="20" t="str">
        <v>HHH</v>
      </c>
      <c r="AA111" s="20" t="str">
        <v>P_1</v>
      </c>
      <c r="AB111" s="20">
        <v>85</v>
      </c>
      <c r="AD111" s="20" t="str">
        <v>HHH</v>
      </c>
      <c r="AE111" s="20" t="str">
        <v>P_1</v>
      </c>
      <c r="AF111" s="20">
        <v>85</v>
      </c>
      <c r="AH111" s="20" t="str">
        <v>HHH</v>
      </c>
      <c r="AI111" s="20" t="str">
        <v>P_1</v>
      </c>
      <c r="AJ111" s="20">
        <v>85</v>
      </c>
      <c r="AM111" s="20" t="str">
        <v>HHH</v>
      </c>
      <c r="AN111" s="20" t="str">
        <v>P_1</v>
      </c>
      <c r="AO111" s="20">
        <v>85</v>
      </c>
    </row>
    <row r="112" spans="4:41" x14ac:dyDescent="0.3">
      <c r="D112" s="20" t="str">
        <v>HHH</v>
      </c>
      <c r="E112" s="20" t="str">
        <v>P_2</v>
      </c>
      <c r="F112" s="20">
        <v>86</v>
      </c>
      <c r="G112" s="20">
        <v>86</v>
      </c>
      <c r="I112" s="20" t="str">
        <v>HHH</v>
      </c>
      <c r="J112" s="20" t="str">
        <v>P_2</v>
      </c>
      <c r="K112" s="20">
        <v>86</v>
      </c>
      <c r="L112" s="20">
        <v>86</v>
      </c>
      <c r="N112" s="20" t="str">
        <v>HHH</v>
      </c>
      <c r="O112" s="20" t="str">
        <v>P_2</v>
      </c>
      <c r="P112" s="20">
        <v>86</v>
      </c>
      <c r="R112" s="20" t="str">
        <v>HHH</v>
      </c>
      <c r="S112" s="20" t="str">
        <v>P_2</v>
      </c>
      <c r="T112" s="20">
        <v>86</v>
      </c>
      <c r="V112" s="20" t="str">
        <v>HHH</v>
      </c>
      <c r="W112" s="20" t="str">
        <v>P_2</v>
      </c>
      <c r="X112" s="20">
        <v>86</v>
      </c>
      <c r="Z112" s="20" t="str">
        <v>HHH</v>
      </c>
      <c r="AA112" s="20" t="str">
        <v>P_2</v>
      </c>
      <c r="AB112" s="20">
        <v>86</v>
      </c>
      <c r="AD112" s="20" t="str">
        <v>HHH</v>
      </c>
      <c r="AE112" s="20" t="str">
        <v>P_2</v>
      </c>
      <c r="AF112" s="20">
        <v>86</v>
      </c>
      <c r="AH112" s="20" t="str">
        <v>HHH</v>
      </c>
      <c r="AI112" s="20" t="str">
        <v>P_2</v>
      </c>
      <c r="AJ112" s="20">
        <v>86</v>
      </c>
      <c r="AM112" s="20" t="str">
        <v>HHH</v>
      </c>
      <c r="AN112" s="20" t="str">
        <v>P_2</v>
      </c>
      <c r="AO112" s="20">
        <v>86</v>
      </c>
    </row>
    <row r="113" spans="2:41" x14ac:dyDescent="0.3">
      <c r="D113" s="20" t="str">
        <v>HHH</v>
      </c>
      <c r="E113" s="20" t="str">
        <v>P_3</v>
      </c>
      <c r="F113" s="20">
        <v>87</v>
      </c>
      <c r="G113" s="20">
        <v>87</v>
      </c>
      <c r="I113" s="20" t="str">
        <v>HHH</v>
      </c>
      <c r="J113" s="20" t="str">
        <v>P_3</v>
      </c>
      <c r="K113" s="20">
        <v>87</v>
      </c>
      <c r="L113" s="20">
        <v>87</v>
      </c>
      <c r="N113" s="20" t="str">
        <v>HHH</v>
      </c>
      <c r="O113" s="20" t="str">
        <v>P_3</v>
      </c>
      <c r="P113" s="20">
        <v>87</v>
      </c>
      <c r="R113" s="20" t="str">
        <v>HHH</v>
      </c>
      <c r="S113" s="20" t="str">
        <v>P_3</v>
      </c>
      <c r="T113" s="20">
        <v>87</v>
      </c>
      <c r="V113" s="20" t="str">
        <v>HHH</v>
      </c>
      <c r="W113" s="20" t="str">
        <v>P_3</v>
      </c>
      <c r="X113" s="20">
        <v>87</v>
      </c>
      <c r="Z113" s="20" t="str">
        <v>HHH</v>
      </c>
      <c r="AA113" s="20" t="str">
        <v>P_3</v>
      </c>
      <c r="AB113" s="20">
        <v>87</v>
      </c>
      <c r="AD113" s="20" t="str">
        <v>HHH</v>
      </c>
      <c r="AE113" s="20" t="str">
        <v>P_3</v>
      </c>
      <c r="AF113" s="20">
        <v>87</v>
      </c>
      <c r="AH113" s="20" t="str">
        <v>HHH</v>
      </c>
      <c r="AI113" s="20" t="str">
        <v>P_3</v>
      </c>
      <c r="AJ113" s="20">
        <v>87</v>
      </c>
      <c r="AM113" s="20" t="str">
        <v>HHH</v>
      </c>
      <c r="AN113" s="20" t="str">
        <v>P_3</v>
      </c>
      <c r="AO113" s="20">
        <v>87</v>
      </c>
    </row>
    <row r="114" spans="2:41" x14ac:dyDescent="0.3">
      <c r="D114" s="20" t="str">
        <v>HHH</v>
      </c>
      <c r="E114" s="20" t="str">
        <v>P_4</v>
      </c>
      <c r="F114" s="20">
        <v>88</v>
      </c>
      <c r="G114" s="20">
        <v>88</v>
      </c>
      <c r="I114" s="20" t="str">
        <v>HHH</v>
      </c>
      <c r="J114" s="20" t="str">
        <v>P_4</v>
      </c>
      <c r="K114" s="20">
        <v>88</v>
      </c>
      <c r="L114" s="20">
        <v>88</v>
      </c>
      <c r="N114" s="20" t="str">
        <v>HHH</v>
      </c>
      <c r="O114" s="20" t="str">
        <v>P_4</v>
      </c>
      <c r="P114" s="20">
        <v>88</v>
      </c>
      <c r="R114" s="20" t="str">
        <v>HHH</v>
      </c>
      <c r="S114" s="20" t="str">
        <v>P_4</v>
      </c>
      <c r="T114" s="20">
        <v>88</v>
      </c>
      <c r="V114" s="20" t="str">
        <v>HHH</v>
      </c>
      <c r="W114" s="20" t="str">
        <v>P_4</v>
      </c>
      <c r="X114" s="20">
        <v>88</v>
      </c>
      <c r="Z114" s="20" t="str">
        <v>HHH</v>
      </c>
      <c r="AA114" s="20" t="str">
        <v>P_4</v>
      </c>
      <c r="AB114" s="20">
        <v>88</v>
      </c>
      <c r="AD114" s="20" t="str">
        <v>HHH</v>
      </c>
      <c r="AE114" s="20" t="str">
        <v>P_4</v>
      </c>
      <c r="AF114" s="20">
        <v>88</v>
      </c>
      <c r="AH114" s="20" t="str">
        <v>HHH</v>
      </c>
      <c r="AI114" s="20" t="str">
        <v>P_4</v>
      </c>
      <c r="AJ114" s="20">
        <v>88</v>
      </c>
      <c r="AM114" s="20" t="str">
        <v>HHH</v>
      </c>
      <c r="AN114" s="20" t="str">
        <v>P_4</v>
      </c>
      <c r="AO114" s="20">
        <v>88</v>
      </c>
    </row>
    <row r="115" spans="2:41" x14ac:dyDescent="0.3">
      <c r="D115" s="20" t="str">
        <v>HHH</v>
      </c>
      <c r="E115" s="20" t="str">
        <v>P_5</v>
      </c>
      <c r="F115" s="20">
        <v>89</v>
      </c>
      <c r="G115" s="20">
        <v>89</v>
      </c>
      <c r="I115" s="20" t="str">
        <v>HHH</v>
      </c>
      <c r="J115" s="20" t="str">
        <v>P_5</v>
      </c>
      <c r="K115" s="20">
        <v>89</v>
      </c>
      <c r="L115" s="20">
        <v>89</v>
      </c>
      <c r="N115" s="20" t="str">
        <v>HHH</v>
      </c>
      <c r="O115" s="20" t="str">
        <v>P_5</v>
      </c>
      <c r="P115" s="20">
        <v>89</v>
      </c>
      <c r="R115" s="20" t="str">
        <v>HHH</v>
      </c>
      <c r="S115" s="20" t="str">
        <v>P_5</v>
      </c>
      <c r="T115" s="20">
        <v>89</v>
      </c>
      <c r="V115" s="20" t="str">
        <v>HHH</v>
      </c>
      <c r="W115" s="20" t="str">
        <v>P_5</v>
      </c>
      <c r="X115" s="20">
        <v>89</v>
      </c>
      <c r="Z115" s="20" t="str">
        <v>HHH</v>
      </c>
      <c r="AA115" s="20" t="str">
        <v>P_5</v>
      </c>
      <c r="AB115" s="20">
        <v>89</v>
      </c>
      <c r="AD115" s="20" t="str">
        <v>HHH</v>
      </c>
      <c r="AE115" s="20" t="str">
        <v>P_5</v>
      </c>
      <c r="AF115" s="20">
        <v>89</v>
      </c>
      <c r="AH115" s="20" t="str">
        <v>HHH</v>
      </c>
      <c r="AI115" s="20" t="str">
        <v>P_5</v>
      </c>
      <c r="AJ115" s="20">
        <v>89</v>
      </c>
      <c r="AM115" s="20" t="str">
        <v>HHH</v>
      </c>
      <c r="AN115" s="20" t="str">
        <v>P_5</v>
      </c>
      <c r="AO115" s="20">
        <v>89</v>
      </c>
    </row>
    <row r="116" spans="2:41" x14ac:dyDescent="0.3">
      <c r="D116" s="20" t="str">
        <v>HHH</v>
      </c>
      <c r="E116" s="20" t="str">
        <v>P_6</v>
      </c>
      <c r="F116" s="20">
        <v>90</v>
      </c>
      <c r="G116" s="20">
        <v>90</v>
      </c>
      <c r="I116" s="20" t="str">
        <v>HHH</v>
      </c>
      <c r="J116" s="20" t="str">
        <v>P_6</v>
      </c>
      <c r="K116" s="20">
        <v>90</v>
      </c>
      <c r="L116" s="20">
        <v>90</v>
      </c>
      <c r="N116" s="20" t="str">
        <v>HHH</v>
      </c>
      <c r="O116" s="20" t="str">
        <v>P_6</v>
      </c>
      <c r="P116" s="20">
        <v>90</v>
      </c>
      <c r="R116" s="20" t="str">
        <v>HHH</v>
      </c>
      <c r="S116" s="20" t="str">
        <v>P_6</v>
      </c>
      <c r="T116" s="20">
        <v>90</v>
      </c>
      <c r="V116" s="20" t="str">
        <v>HHH</v>
      </c>
      <c r="W116" s="20" t="str">
        <v>P_6</v>
      </c>
      <c r="X116" s="20">
        <v>90</v>
      </c>
      <c r="Z116" s="20" t="str">
        <v>HHH</v>
      </c>
      <c r="AA116" s="20" t="str">
        <v>P_6</v>
      </c>
      <c r="AB116" s="20">
        <v>90</v>
      </c>
      <c r="AD116" s="20" t="str">
        <v>HHH</v>
      </c>
      <c r="AE116" s="20" t="str">
        <v>P_6</v>
      </c>
      <c r="AF116" s="20">
        <v>90</v>
      </c>
      <c r="AH116" s="20" t="str">
        <v>HHH</v>
      </c>
      <c r="AI116" s="20" t="str">
        <v>P_6</v>
      </c>
      <c r="AJ116" s="20">
        <v>90</v>
      </c>
      <c r="AM116" s="20" t="str">
        <v>HHH</v>
      </c>
      <c r="AN116" s="20" t="str">
        <v>P_6</v>
      </c>
      <c r="AO116" s="20">
        <v>90</v>
      </c>
    </row>
    <row r="117" spans="2:41" x14ac:dyDescent="0.3">
      <c r="D117" s="20" t="str">
        <v>HHH</v>
      </c>
      <c r="E117" s="20" t="str">
        <v>P_7</v>
      </c>
      <c r="F117" s="20">
        <v>91</v>
      </c>
      <c r="G117" s="20">
        <v>91</v>
      </c>
      <c r="I117" s="20" t="str">
        <v>HHH</v>
      </c>
      <c r="J117" s="20" t="str">
        <v>P_7</v>
      </c>
      <c r="K117" s="20">
        <v>91</v>
      </c>
      <c r="L117" s="20">
        <v>91</v>
      </c>
      <c r="N117" s="20" t="str">
        <v>HHH</v>
      </c>
      <c r="O117" s="20" t="str">
        <v>P_7</v>
      </c>
      <c r="P117" s="20">
        <v>91</v>
      </c>
      <c r="R117" s="20" t="str">
        <v>HHH</v>
      </c>
      <c r="S117" s="20" t="str">
        <v>P_7</v>
      </c>
      <c r="T117" s="20">
        <v>91</v>
      </c>
      <c r="V117" s="20" t="str">
        <v>HHH</v>
      </c>
      <c r="W117" s="20" t="str">
        <v>P_7</v>
      </c>
      <c r="X117" s="20">
        <v>91</v>
      </c>
      <c r="Z117" s="20" t="str">
        <v>HHH</v>
      </c>
      <c r="AA117" s="20" t="str">
        <v>P_7</v>
      </c>
      <c r="AB117" s="20">
        <v>91</v>
      </c>
      <c r="AD117" s="20" t="str">
        <v>HHH</v>
      </c>
      <c r="AE117" s="20" t="str">
        <v>P_7</v>
      </c>
      <c r="AF117" s="20">
        <v>91</v>
      </c>
      <c r="AH117" s="20" t="str">
        <v>HHH</v>
      </c>
      <c r="AI117" s="20" t="str">
        <v>P_7</v>
      </c>
      <c r="AJ117" s="20">
        <v>91</v>
      </c>
      <c r="AM117" s="20" t="str">
        <v>HHH</v>
      </c>
      <c r="AN117" s="20" t="str">
        <v>P_7</v>
      </c>
      <c r="AO117" s="20">
        <v>91</v>
      </c>
    </row>
    <row r="118" spans="2:41" x14ac:dyDescent="0.3">
      <c r="D118" s="20" t="str">
        <v>HHH</v>
      </c>
      <c r="E118" s="20" t="str">
        <v>P_8</v>
      </c>
      <c r="F118" s="20">
        <v>92</v>
      </c>
      <c r="G118" s="20">
        <v>92</v>
      </c>
      <c r="I118" s="20" t="str">
        <v>HHH</v>
      </c>
      <c r="J118" s="20" t="str">
        <v>P_8</v>
      </c>
      <c r="K118" s="20">
        <v>92</v>
      </c>
      <c r="L118" s="20">
        <v>92</v>
      </c>
      <c r="N118" s="20" t="str">
        <v>HHH</v>
      </c>
      <c r="O118" s="20" t="str">
        <v>P_8</v>
      </c>
      <c r="P118" s="20">
        <v>92</v>
      </c>
      <c r="R118" s="20" t="str">
        <v>HHH</v>
      </c>
      <c r="S118" s="20" t="str">
        <v>P_8</v>
      </c>
      <c r="T118" s="20">
        <v>92</v>
      </c>
      <c r="V118" s="20" t="str">
        <v>HHH</v>
      </c>
      <c r="W118" s="20" t="str">
        <v>P_8</v>
      </c>
      <c r="X118" s="20">
        <v>92</v>
      </c>
      <c r="Z118" s="20" t="str">
        <v>HHH</v>
      </c>
      <c r="AA118" s="20" t="str">
        <v>P_8</v>
      </c>
      <c r="AB118" s="20">
        <v>92</v>
      </c>
      <c r="AD118" s="20" t="str">
        <v>HHH</v>
      </c>
      <c r="AE118" s="20" t="str">
        <v>P_8</v>
      </c>
      <c r="AF118" s="20">
        <v>92</v>
      </c>
      <c r="AH118" s="20" t="str">
        <v>HHH</v>
      </c>
      <c r="AI118" s="20" t="str">
        <v>P_8</v>
      </c>
      <c r="AJ118" s="20">
        <v>92</v>
      </c>
      <c r="AM118" s="20" t="str">
        <v>HHH</v>
      </c>
      <c r="AN118" s="20" t="str">
        <v>P_8</v>
      </c>
      <c r="AO118" s="20">
        <v>92</v>
      </c>
    </row>
    <row r="119" spans="2:41" x14ac:dyDescent="0.3">
      <c r="D119" s="20" t="str">
        <v>HHH</v>
      </c>
      <c r="E119" s="20" t="str">
        <v>P_9</v>
      </c>
      <c r="F119" s="20">
        <v>93</v>
      </c>
      <c r="G119" s="20">
        <v>93</v>
      </c>
      <c r="I119" s="20" t="str">
        <v>HHH</v>
      </c>
      <c r="J119" s="20" t="str">
        <v>P_9</v>
      </c>
      <c r="K119" s="20">
        <v>93</v>
      </c>
      <c r="L119" s="20">
        <v>93</v>
      </c>
      <c r="N119" s="20" t="str">
        <v>HHH</v>
      </c>
      <c r="O119" s="20" t="str">
        <v>P_9</v>
      </c>
      <c r="P119" s="20">
        <v>93</v>
      </c>
      <c r="R119" s="20" t="str">
        <v>HHH</v>
      </c>
      <c r="S119" s="20" t="str">
        <v>P_9</v>
      </c>
      <c r="T119" s="20">
        <v>93</v>
      </c>
      <c r="V119" s="20" t="str">
        <v>HHH</v>
      </c>
      <c r="W119" s="20" t="str">
        <v>P_9</v>
      </c>
      <c r="X119" s="20">
        <v>93</v>
      </c>
      <c r="Z119" s="20" t="str">
        <v>HHH</v>
      </c>
      <c r="AA119" s="20" t="str">
        <v>P_9</v>
      </c>
      <c r="AB119" s="20">
        <v>93</v>
      </c>
      <c r="AD119" s="20" t="str">
        <v>HHH</v>
      </c>
      <c r="AE119" s="20" t="str">
        <v>P_9</v>
      </c>
      <c r="AF119" s="20">
        <v>93</v>
      </c>
      <c r="AH119" s="20" t="str">
        <v>HHH</v>
      </c>
      <c r="AI119" s="20" t="str">
        <v>P_9</v>
      </c>
      <c r="AJ119" s="20">
        <v>93</v>
      </c>
      <c r="AM119" s="20" t="str">
        <v>HHH</v>
      </c>
      <c r="AN119" s="20" t="str">
        <v>P_9</v>
      </c>
      <c r="AO119" s="20">
        <v>93</v>
      </c>
    </row>
    <row r="120" spans="2:41" x14ac:dyDescent="0.3">
      <c r="D120" s="20" t="str">
        <v>HHH</v>
      </c>
      <c r="E120" s="20" t="str">
        <v>P_10</v>
      </c>
      <c r="F120" s="20">
        <v>94</v>
      </c>
      <c r="G120" s="20">
        <v>94</v>
      </c>
      <c r="I120" s="20" t="str">
        <v>HHH</v>
      </c>
      <c r="J120" s="20" t="str">
        <v>P_10</v>
      </c>
      <c r="K120" s="20">
        <v>94</v>
      </c>
      <c r="L120" s="20">
        <v>94</v>
      </c>
      <c r="N120" s="20" t="str">
        <v>HHH</v>
      </c>
      <c r="O120" s="20" t="str">
        <v>P_10</v>
      </c>
      <c r="P120" s="20">
        <v>94</v>
      </c>
      <c r="R120" s="20" t="str">
        <v>HHH</v>
      </c>
      <c r="S120" s="20" t="str">
        <v>P_10</v>
      </c>
      <c r="T120" s="20">
        <v>94</v>
      </c>
      <c r="V120" s="20" t="str">
        <v>HHH</v>
      </c>
      <c r="W120" s="20" t="str">
        <v>P_10</v>
      </c>
      <c r="X120" s="20">
        <v>94</v>
      </c>
      <c r="Z120" s="20" t="str">
        <v>HHH</v>
      </c>
      <c r="AA120" s="20" t="str">
        <v>P_10</v>
      </c>
      <c r="AB120" s="20">
        <v>94</v>
      </c>
      <c r="AD120" s="20" t="str">
        <v>HHH</v>
      </c>
      <c r="AE120" s="20" t="str">
        <v>P_10</v>
      </c>
      <c r="AF120" s="20">
        <v>94</v>
      </c>
      <c r="AH120" s="20" t="str">
        <v>HHH</v>
      </c>
      <c r="AI120" s="20" t="str">
        <v>P_10</v>
      </c>
      <c r="AJ120" s="20">
        <v>94</v>
      </c>
      <c r="AM120" s="20" t="str">
        <v>HHH</v>
      </c>
      <c r="AN120" s="20" t="str">
        <v>P_10</v>
      </c>
      <c r="AO120" s="20">
        <v>94</v>
      </c>
    </row>
    <row r="121" spans="2:41" x14ac:dyDescent="0.3">
      <c r="D121" s="20" t="str">
        <v>HHH</v>
      </c>
      <c r="E121" s="20" t="str">
        <v>P_11</v>
      </c>
      <c r="F121" s="20">
        <v>95</v>
      </c>
      <c r="G121" s="20">
        <v>95</v>
      </c>
      <c r="I121" s="20" t="str">
        <v>HHH</v>
      </c>
      <c r="J121" s="20" t="str">
        <v>P_11</v>
      </c>
      <c r="K121" s="20">
        <v>95</v>
      </c>
      <c r="L121" s="20">
        <v>95</v>
      </c>
      <c r="N121" s="20" t="str">
        <v>HHH</v>
      </c>
      <c r="O121" s="20" t="str">
        <v>P_11</v>
      </c>
      <c r="P121" s="20">
        <v>95</v>
      </c>
      <c r="R121" s="20" t="str">
        <v>HHH</v>
      </c>
      <c r="S121" s="20" t="str">
        <v>P_11</v>
      </c>
      <c r="T121" s="20">
        <v>95</v>
      </c>
      <c r="V121" s="20" t="str">
        <v>HHH</v>
      </c>
      <c r="W121" s="20" t="str">
        <v>P_11</v>
      </c>
      <c r="X121" s="20">
        <v>95</v>
      </c>
      <c r="Z121" s="20" t="str">
        <v>HHH</v>
      </c>
      <c r="AA121" s="20" t="str">
        <v>P_11</v>
      </c>
      <c r="AB121" s="20">
        <v>95</v>
      </c>
      <c r="AD121" s="20" t="str">
        <v>HHH</v>
      </c>
      <c r="AE121" s="20" t="str">
        <v>P_11</v>
      </c>
      <c r="AF121" s="20">
        <v>95</v>
      </c>
      <c r="AH121" s="20" t="str">
        <v>HHH</v>
      </c>
      <c r="AI121" s="20" t="str">
        <v>P_11</v>
      </c>
      <c r="AJ121" s="20">
        <v>95</v>
      </c>
      <c r="AM121" s="20" t="str">
        <v>HHH</v>
      </c>
      <c r="AN121" s="20" t="str">
        <v>P_11</v>
      </c>
      <c r="AO121" s="20">
        <v>95</v>
      </c>
    </row>
    <row r="122" spans="2:41" x14ac:dyDescent="0.3">
      <c r="D122" s="20" t="str">
        <v>HHH</v>
      </c>
      <c r="E122" s="20" t="str">
        <v>P_12</v>
      </c>
      <c r="F122" s="20">
        <v>96</v>
      </c>
      <c r="G122" s="20">
        <v>96</v>
      </c>
      <c r="I122" s="20" t="str">
        <v>HHH</v>
      </c>
      <c r="J122" s="20" t="str">
        <v>P_12</v>
      </c>
      <c r="K122" s="20">
        <v>96</v>
      </c>
      <c r="L122" s="20">
        <v>96</v>
      </c>
      <c r="N122" s="20" t="str">
        <v>HHH</v>
      </c>
      <c r="O122" s="20" t="str">
        <v>P_12</v>
      </c>
      <c r="P122" s="20">
        <v>96</v>
      </c>
      <c r="R122" s="20" t="str">
        <v>HHH</v>
      </c>
      <c r="S122" s="20" t="str">
        <v>P_12</v>
      </c>
      <c r="T122" s="20">
        <v>96</v>
      </c>
      <c r="V122" s="20" t="str">
        <v>HHH</v>
      </c>
      <c r="W122" s="20" t="str">
        <v>P_12</v>
      </c>
      <c r="X122" s="20">
        <v>96</v>
      </c>
      <c r="Z122" s="20" t="str">
        <v>HHH</v>
      </c>
      <c r="AA122" s="20" t="str">
        <v>P_12</v>
      </c>
      <c r="AB122" s="20">
        <v>96</v>
      </c>
      <c r="AD122" s="20" t="str">
        <v>HHH</v>
      </c>
      <c r="AE122" s="20" t="str">
        <v>P_12</v>
      </c>
      <c r="AF122" s="20">
        <v>96</v>
      </c>
      <c r="AH122" s="20" t="str">
        <v>HHH</v>
      </c>
      <c r="AI122" s="20" t="str">
        <v>P_12</v>
      </c>
      <c r="AJ122" s="20">
        <v>96</v>
      </c>
      <c r="AM122" s="20" t="str">
        <v>HHH</v>
      </c>
      <c r="AN122" s="20" t="str">
        <v>P_12</v>
      </c>
      <c r="AO122" s="20">
        <v>96</v>
      </c>
    </row>
    <row r="124" spans="2:41" s="8" customFormat="1" ht="16.2" thickBot="1" x14ac:dyDescent="0.35">
      <c r="B124" s="9">
        <f xml:space="preserve"> MAX(B$1:B123) + 1</f>
        <v>2</v>
      </c>
      <c r="C124" s="8" t="s">
        <v>77</v>
      </c>
    </row>
    <row r="126" spans="2:41" x14ac:dyDescent="0.3">
      <c r="B126" s="28" t="s">
        <v>76</v>
      </c>
      <c r="C126" s="27"/>
      <c r="D126" s="27"/>
      <c r="E126" s="27"/>
      <c r="F126" s="27"/>
      <c r="G126" s="27"/>
      <c r="H126" s="27"/>
      <c r="I126" s="27"/>
      <c r="J126" s="27"/>
      <c r="K126" s="27"/>
      <c r="L126" s="27"/>
      <c r="M126" s="27"/>
      <c r="N126" s="27"/>
      <c r="O126" s="27"/>
      <c r="P126" s="27"/>
      <c r="Q126" s="27"/>
      <c r="R126" s="27"/>
      <c r="S126" s="27"/>
      <c r="T126" s="27"/>
      <c r="U126" s="27"/>
    </row>
    <row r="128" spans="2:41" x14ac:dyDescent="0.3">
      <c r="C128" s="24" t="s">
        <v>62</v>
      </c>
      <c r="D128" s="25" t="str">
        <f xml:space="preserve"> ""</f>
        <v/>
      </c>
    </row>
    <row r="129" spans="3:99" x14ac:dyDescent="0.3">
      <c r="C129" s="24" t="s">
        <v>63</v>
      </c>
      <c r="D129" s="26">
        <v>0</v>
      </c>
    </row>
    <row r="130" spans="3:99" x14ac:dyDescent="0.3">
      <c r="C130" s="24" t="s">
        <v>64</v>
      </c>
      <c r="D130" s="26">
        <v>1</v>
      </c>
    </row>
    <row r="132" spans="3:99" ht="14.4" thickBot="1" x14ac:dyDescent="0.35">
      <c r="C132" s="21"/>
      <c r="D132" s="21" t="s">
        <v>59</v>
      </c>
      <c r="E132" s="21" t="s">
        <v>60</v>
      </c>
      <c r="F132" s="21" t="s">
        <v>61</v>
      </c>
    </row>
    <row r="133" spans="3:99" x14ac:dyDescent="0.3">
      <c r="C133" s="23" t="s">
        <v>59</v>
      </c>
      <c r="D133" s="68" t="str" cm="1">
        <f t="array" ref="D133:F228" xml:space="preserve"> _xlfn.LAMBDA(_xlpm.row_headers,_xlpm.column_headers,_xlpm.data,_xlop.replace_blanks,_xlop.filter_blanks,_xlop.output_vertical,
  _xlfn.LET(
    _xlpm._rh, _xlpm.row_headers,
    _xlpm._ch, _xlpm.column_headers,
    _xlpm._dd, _xlpm.data,
    _xlpm._inpChk, _xlfn.IFS(
      IFERROR( OR( ROWS(_xlpm._rh) &lt; 1, COLUMNS(_xlpm._rh) &lt; 1, ROWS(_xlpm._ch) &lt;&gt; 1, COLUMNS(_xlpm._ch) &lt; 1, ROWS(_xlpm._dd) &lt; 1, COLUMNS(_xlpm._dd) &lt; 1), 3), 3,
      IFERROR( OR( ROWS(_xlpm._dd) &lt;&gt; ROWS(_xlpm._rh), COLUMNS(_xlpm._dd) &lt;&gt; COLUMNS(_xlpm._ch)), 3), 2,
      TRUE, 1
    ),
    _xlpm._rep, IF( _xlfn.ISOMITTED(_xlpm.replace_blanks), "", _xlpm.replace_blanks),
    _xlpm._fltr, IF( _xlfn.ISOMITTED(_xlpm.filter_blanks), 0, IF(_xlpm.filter_blanks, 1, 0)),
    _xlpm._vrt, IF( _xlfn.ISOMITTED(_xlpm.output_vertical), 1, IF(_xlpm.output_vertical, 1, 0)),
    _xlpm._keys, _xlfn.LET(
      _xlpm._rr, ROWS(_xlpm._rh),
      _xlpm._rc, COLUMNS(_xlpm._rh),
      _xlpm._cc, COLUMNS(_xlpm._ch),
      _xlfn.MAKEARRAY(_xlpm._rr * _xlpm._cc, _xlpm._rc, _xlfn.LAMBDA(_xlpm._row,_xlpm._col, INDEX(_xlpm._rh, ROUNDUP(_xlpm._row / _xlpm._cc, 0), _xlpm._col)))
    ),
    _xlpm._names, _xlfn.TOCOL( IF( _xlfn.SEQUENCE( ROWS(_xlpm._rh), 1), _xlpm._ch)),
    _xlpm._values, _xlfn.LET(
      _xlpm._dp, _xlfn.TOCOL(_xlpm._dd),
      IF( ISBLANK(_xlpm._dp), _xlpm._rep, _xlpm._dp)
    ),
    _xlpm._rtn, _xlfn.LET(
      _xlpm._dt, _xlfn.HSTACK(_xlpm._keys, _xlpm._names, _xlpm._values),
      _xlpm._df, IF(_xlpm._fltr, _xlfn._xlws.FILTER(_xlpm._dt, _xlfn.CHOOSECOLS(_xlpm._dt, -1) &lt;&gt; ""), _xlpm._dt),
      IF(NOT(_xlpm._vrt), TRANSPOSE(_xlpm._df), _xlpm._df)
    ),
    CHOOSE(_xlpm._inpChk, _xlpm._rtn, _xlfn.LAMBDA(0), #VALUE!)
  )
)($D$12:$D$19, $E$11:$P$11, $E$12:$P$19, D128, D129, D130)</f>
        <v>AAA</v>
      </c>
      <c r="E133" s="20" t="str">
        <v>P_1</v>
      </c>
      <c r="F133" s="20">
        <v>1</v>
      </c>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row>
    <row r="134" spans="3:99" x14ac:dyDescent="0.3">
      <c r="C134" s="23" t="s">
        <v>60</v>
      </c>
      <c r="D134" s="20" t="str">
        <v>AAA</v>
      </c>
      <c r="E134" s="20" t="str">
        <v>P_2</v>
      </c>
      <c r="F134" s="20">
        <v>2</v>
      </c>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c r="CL134" s="20"/>
      <c r="CM134" s="20"/>
      <c r="CN134" s="20"/>
      <c r="CO134" s="20"/>
      <c r="CP134" s="20"/>
      <c r="CQ134" s="20"/>
      <c r="CR134" s="20"/>
      <c r="CS134" s="20"/>
      <c r="CT134" s="20"/>
      <c r="CU134" s="20"/>
    </row>
    <row r="135" spans="3:99" x14ac:dyDescent="0.3">
      <c r="C135" s="23" t="s">
        <v>61</v>
      </c>
      <c r="D135" s="20" t="str">
        <v>AAA</v>
      </c>
      <c r="E135" s="20" t="str">
        <v>P_3</v>
      </c>
      <c r="F135" s="20">
        <v>3</v>
      </c>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c r="CL135" s="20"/>
      <c r="CM135" s="20"/>
      <c r="CN135" s="20"/>
      <c r="CO135" s="20"/>
      <c r="CP135" s="20"/>
      <c r="CQ135" s="20"/>
      <c r="CR135" s="20"/>
      <c r="CS135" s="20"/>
      <c r="CT135" s="20"/>
      <c r="CU135" s="20"/>
    </row>
    <row r="136" spans="3:99" x14ac:dyDescent="0.3">
      <c r="D136" s="20" t="str">
        <v>AAA</v>
      </c>
      <c r="E136" s="20" t="str">
        <v>P_4</v>
      </c>
      <c r="F136" s="20">
        <v>4</v>
      </c>
    </row>
    <row r="137" spans="3:99" x14ac:dyDescent="0.3">
      <c r="D137" s="20" t="str">
        <v>AAA</v>
      </c>
      <c r="E137" s="20" t="str">
        <v>P_5</v>
      </c>
      <c r="F137" s="20">
        <v>5</v>
      </c>
      <c r="H137" s="52" t="str" cm="1">
        <f t="array" aca="1" ref="H137:H168" ca="1" xml:space="preserve"> _xlfn.TEXTSPLIT( _xlfn.FORMULATEXT(D133), , CHAR(10))</f>
        <v>= LAMBDA(row_headers,column_headers,data,[replace_blanks],[filter_blanks],[output_vertical],</v>
      </c>
    </row>
    <row r="138" spans="3:99" x14ac:dyDescent="0.3">
      <c r="D138" s="20" t="str">
        <v>AAA</v>
      </c>
      <c r="E138" s="20" t="str">
        <v>P_6</v>
      </c>
      <c r="F138" s="20">
        <v>6</v>
      </c>
      <c r="H138" s="52" t="str">
        <f ca="1"/>
        <v xml:space="preserve">  LET(</v>
      </c>
    </row>
    <row r="139" spans="3:99" x14ac:dyDescent="0.3">
      <c r="D139" s="20" t="str">
        <v>AAA</v>
      </c>
      <c r="E139" s="20" t="str">
        <v>P_7</v>
      </c>
      <c r="F139" s="20">
        <v>7</v>
      </c>
      <c r="H139" s="52" t="str">
        <f ca="1"/>
        <v xml:space="preserve">    _rh, row_headers,</v>
      </c>
    </row>
    <row r="140" spans="3:99" x14ac:dyDescent="0.3">
      <c r="D140" s="20" t="str">
        <v>AAA</v>
      </c>
      <c r="E140" s="20" t="str">
        <v>P_8</v>
      </c>
      <c r="F140" s="20">
        <v>8</v>
      </c>
      <c r="H140" s="52" t="str">
        <f ca="1"/>
        <v xml:space="preserve">    _ch, column_headers,</v>
      </c>
    </row>
    <row r="141" spans="3:99" x14ac:dyDescent="0.3">
      <c r="D141" s="20" t="str">
        <v>AAA</v>
      </c>
      <c r="E141" s="20" t="str">
        <v>P_9</v>
      </c>
      <c r="F141" s="20">
        <v>9</v>
      </c>
      <c r="H141" s="52" t="str">
        <f ca="1"/>
        <v xml:space="preserve">    _dd, data,</v>
      </c>
    </row>
    <row r="142" spans="3:99" x14ac:dyDescent="0.3">
      <c r="D142" s="20" t="str">
        <v>AAA</v>
      </c>
      <c r="E142" s="20" t="str">
        <v>P_10</v>
      </c>
      <c r="F142" s="20">
        <v>10</v>
      </c>
      <c r="H142" s="52" t="str">
        <f ca="1"/>
        <v xml:space="preserve">    _inpChk, IFS(</v>
      </c>
    </row>
    <row r="143" spans="3:99" x14ac:dyDescent="0.3">
      <c r="D143" s="20" t="str">
        <v>AAA</v>
      </c>
      <c r="E143" s="20" t="str">
        <v>P_11</v>
      </c>
      <c r="F143" s="20">
        <v>11</v>
      </c>
      <c r="H143" s="52" t="str">
        <f ca="1"/>
        <v xml:space="preserve">      IFERROR( OR( ROWS(_rh) &lt; 1, COLUMNS(_rh) &lt; 1, ROWS(_ch) &lt;&gt; 1, COLUMNS(_ch) &lt; 1, ROWS(_dd) &lt; 1, COLUMNS(_dd) &lt; 1), 3), 3,</v>
      </c>
    </row>
    <row r="144" spans="3:99" x14ac:dyDescent="0.3">
      <c r="D144" s="20" t="str">
        <v>AAA</v>
      </c>
      <c r="E144" s="20" t="str">
        <v>P_12</v>
      </c>
      <c r="F144" s="20">
        <v>12</v>
      </c>
      <c r="H144" s="52" t="str">
        <f ca="1"/>
        <v xml:space="preserve">      IFERROR( OR( ROWS(_dd) &lt;&gt; ROWS(_rh), COLUMNS(_dd) &lt;&gt; COLUMNS(_ch)), 3), 2,</v>
      </c>
    </row>
    <row r="145" spans="4:8" x14ac:dyDescent="0.3">
      <c r="D145" s="20" t="str">
        <v>BBB</v>
      </c>
      <c r="E145" s="20" t="str">
        <v>P_1</v>
      </c>
      <c r="F145" s="20">
        <v>13</v>
      </c>
      <c r="H145" s="52" t="str">
        <f ca="1"/>
        <v xml:space="preserve">      TRUE, 1</v>
      </c>
    </row>
    <row r="146" spans="4:8" x14ac:dyDescent="0.3">
      <c r="D146" s="20" t="str">
        <v>BBB</v>
      </c>
      <c r="E146" s="20" t="str">
        <v>P_2</v>
      </c>
      <c r="F146" s="20">
        <v>14</v>
      </c>
      <c r="H146" s="52" t="str">
        <f ca="1"/>
        <v xml:space="preserve">    ),</v>
      </c>
    </row>
    <row r="147" spans="4:8" x14ac:dyDescent="0.3">
      <c r="D147" s="20" t="str">
        <v>BBB</v>
      </c>
      <c r="E147" s="20" t="str">
        <v>P_3</v>
      </c>
      <c r="F147" s="20">
        <v>15</v>
      </c>
      <c r="H147" s="52" t="str">
        <f ca="1"/>
        <v xml:space="preserve">    _rep, IF( ISOMITTED(replace_blanks), "", replace_blanks),</v>
      </c>
    </row>
    <row r="148" spans="4:8" x14ac:dyDescent="0.3">
      <c r="D148" s="20" t="str">
        <v>BBB</v>
      </c>
      <c r="E148" s="20" t="str">
        <v>P_4</v>
      </c>
      <c r="F148" s="20">
        <v>16</v>
      </c>
      <c r="H148" s="52" t="str">
        <f ca="1"/>
        <v xml:space="preserve">    _fltr, IF( ISOMITTED(filter_blanks), 0, IF(filter_blanks, 1, 0)),</v>
      </c>
    </row>
    <row r="149" spans="4:8" x14ac:dyDescent="0.3">
      <c r="D149" s="20" t="str">
        <v>BBB</v>
      </c>
      <c r="E149" s="20" t="str">
        <v>P_5</v>
      </c>
      <c r="F149" s="20">
        <v>17</v>
      </c>
      <c r="H149" s="52" t="str">
        <f ca="1"/>
        <v xml:space="preserve">    _vrt, IF( ISOMITTED(output_vertical), 1, IF(output_vertical, 1, 0)),</v>
      </c>
    </row>
    <row r="150" spans="4:8" x14ac:dyDescent="0.3">
      <c r="D150" s="20" t="str">
        <v>BBB</v>
      </c>
      <c r="E150" s="20" t="str">
        <v>P_6</v>
      </c>
      <c r="F150" s="20">
        <v>18</v>
      </c>
      <c r="H150" s="52" t="str">
        <f ca="1"/>
        <v xml:space="preserve">    _keys, LET(</v>
      </c>
    </row>
    <row r="151" spans="4:8" x14ac:dyDescent="0.3">
      <c r="D151" s="20" t="str">
        <v>BBB</v>
      </c>
      <c r="E151" s="20" t="str">
        <v>P_7</v>
      </c>
      <c r="F151" s="20">
        <v>19</v>
      </c>
      <c r="H151" s="52" t="str">
        <f ca="1"/>
        <v xml:space="preserve">      _rr, ROWS(_rh),</v>
      </c>
    </row>
    <row r="152" spans="4:8" x14ac:dyDescent="0.3">
      <c r="D152" s="20" t="str">
        <v>BBB</v>
      </c>
      <c r="E152" s="20" t="str">
        <v>P_8</v>
      </c>
      <c r="F152" s="20">
        <v>20</v>
      </c>
      <c r="H152" s="52" t="str">
        <f ca="1"/>
        <v xml:space="preserve">      _rc, COLUMNS(_rh),</v>
      </c>
    </row>
    <row r="153" spans="4:8" x14ac:dyDescent="0.3">
      <c r="D153" s="20" t="str">
        <v>BBB</v>
      </c>
      <c r="E153" s="20" t="str">
        <v>P_9</v>
      </c>
      <c r="F153" s="20">
        <v>21</v>
      </c>
      <c r="H153" s="52" t="str">
        <f ca="1"/>
        <v xml:space="preserve">      _cc, COLUMNS(_ch),</v>
      </c>
    </row>
    <row r="154" spans="4:8" x14ac:dyDescent="0.3">
      <c r="D154" s="20" t="str">
        <v>BBB</v>
      </c>
      <c r="E154" s="20" t="str">
        <v>P_10</v>
      </c>
      <c r="F154" s="20">
        <v>22</v>
      </c>
      <c r="H154" s="52" t="str">
        <f ca="1"/>
        <v xml:space="preserve">      MAKEARRAY(_rr * _cc, _rc, LAMBDA(_row,_col, INDEX(_rh, ROUNDUP(_row / _cc, 0), _col)))</v>
      </c>
    </row>
    <row r="155" spans="4:8" x14ac:dyDescent="0.3">
      <c r="D155" s="20" t="str">
        <v>BBB</v>
      </c>
      <c r="E155" s="20" t="str">
        <v>P_11</v>
      </c>
      <c r="F155" s="20">
        <v>23</v>
      </c>
      <c r="H155" s="52" t="str">
        <f ca="1"/>
        <v xml:space="preserve">    ),</v>
      </c>
    </row>
    <row r="156" spans="4:8" x14ac:dyDescent="0.3">
      <c r="D156" s="20" t="str">
        <v>BBB</v>
      </c>
      <c r="E156" s="20" t="str">
        <v>P_12</v>
      </c>
      <c r="F156" s="20">
        <v>24</v>
      </c>
      <c r="H156" s="52" t="str">
        <f ca="1"/>
        <v xml:space="preserve">    _names, TOCOL( IF( SEQUENCE( ROWS(_rh), 1), _ch)),</v>
      </c>
    </row>
    <row r="157" spans="4:8" x14ac:dyDescent="0.3">
      <c r="D157" s="20" t="str">
        <v>CCC</v>
      </c>
      <c r="E157" s="20" t="str">
        <v>P_1</v>
      </c>
      <c r="F157" s="20">
        <v>25</v>
      </c>
      <c r="H157" s="52" t="str">
        <f ca="1"/>
        <v xml:space="preserve">    _values, LET(</v>
      </c>
    </row>
    <row r="158" spans="4:8" x14ac:dyDescent="0.3">
      <c r="D158" s="20" t="str">
        <v>CCC</v>
      </c>
      <c r="E158" s="20" t="str">
        <v>P_2</v>
      </c>
      <c r="F158" s="20">
        <v>26</v>
      </c>
      <c r="H158" s="52" t="str">
        <f ca="1"/>
        <v xml:space="preserve">      _dp, TOCOL(_dd),</v>
      </c>
    </row>
    <row r="159" spans="4:8" x14ac:dyDescent="0.3">
      <c r="D159" s="20" t="str">
        <v>CCC</v>
      </c>
      <c r="E159" s="20" t="str">
        <v>P_3</v>
      </c>
      <c r="F159" s="20">
        <v>27</v>
      </c>
      <c r="H159" s="52" t="str">
        <f ca="1"/>
        <v xml:space="preserve">      IF( ISBLANK(_dp), _rep, _dp)</v>
      </c>
    </row>
    <row r="160" spans="4:8" x14ac:dyDescent="0.3">
      <c r="D160" s="20" t="str">
        <v>CCC</v>
      </c>
      <c r="E160" s="20" t="str">
        <v>P_4</v>
      </c>
      <c r="F160" s="20">
        <v>28</v>
      </c>
      <c r="H160" s="52" t="str">
        <f ca="1"/>
        <v xml:space="preserve">    ),</v>
      </c>
    </row>
    <row r="161" spans="4:8" x14ac:dyDescent="0.3">
      <c r="D161" s="20" t="str">
        <v>CCC</v>
      </c>
      <c r="E161" s="20" t="str">
        <v>P_5</v>
      </c>
      <c r="F161" s="20">
        <v>29</v>
      </c>
      <c r="H161" s="52" t="str">
        <f ca="1"/>
        <v xml:space="preserve">    _rtn, LET(</v>
      </c>
    </row>
    <row r="162" spans="4:8" x14ac:dyDescent="0.3">
      <c r="D162" s="20" t="str">
        <v>CCC</v>
      </c>
      <c r="E162" s="20" t="str">
        <v>P_6</v>
      </c>
      <c r="F162" s="20">
        <v>30</v>
      </c>
      <c r="H162" s="52" t="str">
        <f ca="1"/>
        <v xml:space="preserve">      _dt, HSTACK(_keys, _names, _values),</v>
      </c>
    </row>
    <row r="163" spans="4:8" x14ac:dyDescent="0.3">
      <c r="D163" s="20" t="str">
        <v>CCC</v>
      </c>
      <c r="E163" s="20" t="str">
        <v>P_7</v>
      </c>
      <c r="F163" s="20">
        <v>31</v>
      </c>
      <c r="H163" s="52" t="str">
        <f ca="1"/>
        <v xml:space="preserve">      _df, IF(_fltr, FILTER(_dt, CHOOSECOLS(_dt, -1) &lt;&gt; ""), _dt),</v>
      </c>
    </row>
    <row r="164" spans="4:8" x14ac:dyDescent="0.3">
      <c r="D164" s="20" t="str">
        <v>CCC</v>
      </c>
      <c r="E164" s="20" t="str">
        <v>P_8</v>
      </c>
      <c r="F164" s="20">
        <v>32</v>
      </c>
      <c r="H164" s="52" t="str">
        <f ca="1"/>
        <v xml:space="preserve">      IF(NOT(_vrt), TRANSPOSE(_df), _df)</v>
      </c>
    </row>
    <row r="165" spans="4:8" x14ac:dyDescent="0.3">
      <c r="D165" s="20" t="str">
        <v>CCC</v>
      </c>
      <c r="E165" s="20" t="str">
        <v>P_9</v>
      </c>
      <c r="F165" s="20">
        <v>33</v>
      </c>
      <c r="H165" s="52" t="str">
        <f ca="1"/>
        <v xml:space="preserve">    ),</v>
      </c>
    </row>
    <row r="166" spans="4:8" x14ac:dyDescent="0.3">
      <c r="D166" s="20" t="str">
        <v>CCC</v>
      </c>
      <c r="E166" s="20" t="str">
        <v>P_10</v>
      </c>
      <c r="F166" s="20">
        <v>34</v>
      </c>
      <c r="H166" s="52" t="str">
        <f ca="1"/>
        <v xml:space="preserve">    CHOOSE(_inpChk, _rtn, LAMBDA(0), #VALUE!)</v>
      </c>
    </row>
    <row r="167" spans="4:8" x14ac:dyDescent="0.3">
      <c r="D167" s="20" t="str">
        <v>CCC</v>
      </c>
      <c r="E167" s="20" t="str">
        <v>P_11</v>
      </c>
      <c r="F167" s="20">
        <v>35</v>
      </c>
      <c r="H167" s="52" t="str">
        <f ca="1"/>
        <v xml:space="preserve">  )</v>
      </c>
    </row>
    <row r="168" spans="4:8" x14ac:dyDescent="0.3">
      <c r="D168" s="20" t="str">
        <v>CCC</v>
      </c>
      <c r="E168" s="20" t="str">
        <v>P_12</v>
      </c>
      <c r="F168" s="20">
        <v>36</v>
      </c>
      <c r="H168" s="52" t="str">
        <f ca="1"/>
        <v>)($D$12:$D$19, $E$11:$P$11, $E$12:$P$19, D128, D129, D130)</v>
      </c>
    </row>
    <row r="169" spans="4:8" x14ac:dyDescent="0.3">
      <c r="D169" s="20" t="str">
        <v>DDD</v>
      </c>
      <c r="E169" s="20" t="str">
        <v>P_1</v>
      </c>
      <c r="F169" s="20">
        <v>37</v>
      </c>
    </row>
    <row r="170" spans="4:8" x14ac:dyDescent="0.3">
      <c r="D170" s="20" t="str">
        <v>DDD</v>
      </c>
      <c r="E170" s="20" t="str">
        <v>P_2</v>
      </c>
      <c r="F170" s="20">
        <v>38</v>
      </c>
    </row>
    <row r="171" spans="4:8" x14ac:dyDescent="0.3">
      <c r="D171" s="20" t="str">
        <v>DDD</v>
      </c>
      <c r="E171" s="20" t="str">
        <v>P_3</v>
      </c>
      <c r="F171" s="20">
        <v>39</v>
      </c>
    </row>
    <row r="172" spans="4:8" x14ac:dyDescent="0.3">
      <c r="D172" s="20" t="str">
        <v>DDD</v>
      </c>
      <c r="E172" s="20" t="str">
        <v>P_4</v>
      </c>
      <c r="F172" s="20">
        <v>40</v>
      </c>
    </row>
    <row r="173" spans="4:8" x14ac:dyDescent="0.3">
      <c r="D173" s="20" t="str">
        <v>DDD</v>
      </c>
      <c r="E173" s="20" t="str">
        <v>P_5</v>
      </c>
      <c r="F173" s="20">
        <v>41</v>
      </c>
    </row>
    <row r="174" spans="4:8" x14ac:dyDescent="0.3">
      <c r="D174" s="20" t="str">
        <v>DDD</v>
      </c>
      <c r="E174" s="20" t="str">
        <v>P_6</v>
      </c>
      <c r="F174" s="20">
        <v>42</v>
      </c>
    </row>
    <row r="175" spans="4:8" x14ac:dyDescent="0.3">
      <c r="D175" s="20" t="str">
        <v>DDD</v>
      </c>
      <c r="E175" s="20" t="str">
        <v>P_7</v>
      </c>
      <c r="F175" s="20">
        <v>43</v>
      </c>
    </row>
    <row r="176" spans="4:8" x14ac:dyDescent="0.3">
      <c r="D176" s="20" t="str">
        <v>DDD</v>
      </c>
      <c r="E176" s="20" t="str">
        <v>P_8</v>
      </c>
      <c r="F176" s="20">
        <v>44</v>
      </c>
    </row>
    <row r="177" spans="4:6" x14ac:dyDescent="0.3">
      <c r="D177" s="20" t="str">
        <v>DDD</v>
      </c>
      <c r="E177" s="20" t="str">
        <v>P_9</v>
      </c>
      <c r="F177" s="20">
        <v>45</v>
      </c>
    </row>
    <row r="178" spans="4:6" x14ac:dyDescent="0.3">
      <c r="D178" s="20" t="str">
        <v>DDD</v>
      </c>
      <c r="E178" s="20" t="str">
        <v>P_10</v>
      </c>
      <c r="F178" s="20">
        <v>46</v>
      </c>
    </row>
    <row r="179" spans="4:6" x14ac:dyDescent="0.3">
      <c r="D179" s="20" t="str">
        <v>DDD</v>
      </c>
      <c r="E179" s="20" t="str">
        <v>P_11</v>
      </c>
      <c r="F179" s="20">
        <v>47</v>
      </c>
    </row>
    <row r="180" spans="4:6" x14ac:dyDescent="0.3">
      <c r="D180" s="20" t="str">
        <v>DDD</v>
      </c>
      <c r="E180" s="20" t="str">
        <v>P_12</v>
      </c>
      <c r="F180" s="20">
        <v>48</v>
      </c>
    </row>
    <row r="181" spans="4:6" x14ac:dyDescent="0.3">
      <c r="D181" s="20" t="str">
        <v>EEE</v>
      </c>
      <c r="E181" s="20" t="str">
        <v>P_1</v>
      </c>
      <c r="F181" s="20">
        <v>49</v>
      </c>
    </row>
    <row r="182" spans="4:6" x14ac:dyDescent="0.3">
      <c r="D182" s="20" t="str">
        <v>EEE</v>
      </c>
      <c r="E182" s="20" t="str">
        <v>P_2</v>
      </c>
      <c r="F182" s="20">
        <v>50</v>
      </c>
    </row>
    <row r="183" spans="4:6" x14ac:dyDescent="0.3">
      <c r="D183" s="20" t="str">
        <v>EEE</v>
      </c>
      <c r="E183" s="20" t="str">
        <v>P_3</v>
      </c>
      <c r="F183" s="20">
        <v>51</v>
      </c>
    </row>
    <row r="184" spans="4:6" x14ac:dyDescent="0.3">
      <c r="D184" s="20" t="str">
        <v>EEE</v>
      </c>
      <c r="E184" s="20" t="str">
        <v>P_4</v>
      </c>
      <c r="F184" s="20">
        <v>52</v>
      </c>
    </row>
    <row r="185" spans="4:6" x14ac:dyDescent="0.3">
      <c r="D185" s="20" t="str">
        <v>EEE</v>
      </c>
      <c r="E185" s="20" t="str">
        <v>P_5</v>
      </c>
      <c r="F185" s="20">
        <v>53</v>
      </c>
    </row>
    <row r="186" spans="4:6" x14ac:dyDescent="0.3">
      <c r="D186" s="20" t="str">
        <v>EEE</v>
      </c>
      <c r="E186" s="20" t="str">
        <v>P_6</v>
      </c>
      <c r="F186" s="20">
        <v>54</v>
      </c>
    </row>
    <row r="187" spans="4:6" x14ac:dyDescent="0.3">
      <c r="D187" s="20" t="str">
        <v>EEE</v>
      </c>
      <c r="E187" s="20" t="str">
        <v>P_7</v>
      </c>
      <c r="F187" s="20">
        <v>55</v>
      </c>
    </row>
    <row r="188" spans="4:6" x14ac:dyDescent="0.3">
      <c r="D188" s="20" t="str">
        <v>EEE</v>
      </c>
      <c r="E188" s="20" t="str">
        <v>P_8</v>
      </c>
      <c r="F188" s="20">
        <v>56</v>
      </c>
    </row>
    <row r="189" spans="4:6" x14ac:dyDescent="0.3">
      <c r="D189" s="20" t="str">
        <v>EEE</v>
      </c>
      <c r="E189" s="20" t="str">
        <v>P_9</v>
      </c>
      <c r="F189" s="20">
        <v>57</v>
      </c>
    </row>
    <row r="190" spans="4:6" x14ac:dyDescent="0.3">
      <c r="D190" s="20" t="str">
        <v>EEE</v>
      </c>
      <c r="E190" s="20" t="str">
        <v>P_10</v>
      </c>
      <c r="F190" s="20">
        <v>58</v>
      </c>
    </row>
    <row r="191" spans="4:6" x14ac:dyDescent="0.3">
      <c r="D191" s="20" t="str">
        <v>EEE</v>
      </c>
      <c r="E191" s="20" t="str">
        <v>P_11</v>
      </c>
      <c r="F191" s="20">
        <v>59</v>
      </c>
    </row>
    <row r="192" spans="4:6" x14ac:dyDescent="0.3">
      <c r="D192" s="20" t="str">
        <v>EEE</v>
      </c>
      <c r="E192" s="20" t="str">
        <v>P_12</v>
      </c>
      <c r="F192" s="20">
        <v>60</v>
      </c>
    </row>
    <row r="193" spans="4:6" x14ac:dyDescent="0.3">
      <c r="D193" s="20" t="str">
        <v>FFF</v>
      </c>
      <c r="E193" s="20" t="str">
        <v>P_1</v>
      </c>
      <c r="F193" s="20">
        <v>61</v>
      </c>
    </row>
    <row r="194" spans="4:6" x14ac:dyDescent="0.3">
      <c r="D194" s="20" t="str">
        <v>FFF</v>
      </c>
      <c r="E194" s="20" t="str">
        <v>P_2</v>
      </c>
      <c r="F194" s="20">
        <v>62</v>
      </c>
    </row>
    <row r="195" spans="4:6" x14ac:dyDescent="0.3">
      <c r="D195" s="20" t="str">
        <v>FFF</v>
      </c>
      <c r="E195" s="20" t="str">
        <v>P_3</v>
      </c>
      <c r="F195" s="20">
        <v>63</v>
      </c>
    </row>
    <row r="196" spans="4:6" x14ac:dyDescent="0.3">
      <c r="D196" s="20" t="str">
        <v>FFF</v>
      </c>
      <c r="E196" s="20" t="str">
        <v>P_4</v>
      </c>
      <c r="F196" s="20">
        <v>64</v>
      </c>
    </row>
    <row r="197" spans="4:6" x14ac:dyDescent="0.3">
      <c r="D197" s="20" t="str">
        <v>FFF</v>
      </c>
      <c r="E197" s="20" t="str">
        <v>P_5</v>
      </c>
      <c r="F197" s="20">
        <v>65</v>
      </c>
    </row>
    <row r="198" spans="4:6" x14ac:dyDescent="0.3">
      <c r="D198" s="20" t="str">
        <v>FFF</v>
      </c>
      <c r="E198" s="20" t="str">
        <v>P_6</v>
      </c>
      <c r="F198" s="20">
        <v>66</v>
      </c>
    </row>
    <row r="199" spans="4:6" x14ac:dyDescent="0.3">
      <c r="D199" s="20" t="str">
        <v>FFF</v>
      </c>
      <c r="E199" s="20" t="str">
        <v>P_7</v>
      </c>
      <c r="F199" s="20">
        <v>67</v>
      </c>
    </row>
    <row r="200" spans="4:6" x14ac:dyDescent="0.3">
      <c r="D200" s="20" t="str">
        <v>FFF</v>
      </c>
      <c r="E200" s="20" t="str">
        <v>P_8</v>
      </c>
      <c r="F200" s="20">
        <v>68</v>
      </c>
    </row>
    <row r="201" spans="4:6" x14ac:dyDescent="0.3">
      <c r="D201" s="20" t="str">
        <v>FFF</v>
      </c>
      <c r="E201" s="20" t="str">
        <v>P_9</v>
      </c>
      <c r="F201" s="20">
        <v>69</v>
      </c>
    </row>
    <row r="202" spans="4:6" x14ac:dyDescent="0.3">
      <c r="D202" s="20" t="str">
        <v>FFF</v>
      </c>
      <c r="E202" s="20" t="str">
        <v>P_10</v>
      </c>
      <c r="F202" s="20">
        <v>70</v>
      </c>
    </row>
    <row r="203" spans="4:6" x14ac:dyDescent="0.3">
      <c r="D203" s="20" t="str">
        <v>FFF</v>
      </c>
      <c r="E203" s="20" t="str">
        <v>P_11</v>
      </c>
      <c r="F203" s="20">
        <v>71</v>
      </c>
    </row>
    <row r="204" spans="4:6" x14ac:dyDescent="0.3">
      <c r="D204" s="20" t="str">
        <v>FFF</v>
      </c>
      <c r="E204" s="20" t="str">
        <v>P_12</v>
      </c>
      <c r="F204" s="20">
        <v>72</v>
      </c>
    </row>
    <row r="205" spans="4:6" x14ac:dyDescent="0.3">
      <c r="D205" s="20" t="str">
        <v>GGG</v>
      </c>
      <c r="E205" s="20" t="str">
        <v>P_1</v>
      </c>
      <c r="F205" s="20">
        <v>73</v>
      </c>
    </row>
    <row r="206" spans="4:6" x14ac:dyDescent="0.3">
      <c r="D206" s="20" t="str">
        <v>GGG</v>
      </c>
      <c r="E206" s="20" t="str">
        <v>P_2</v>
      </c>
      <c r="F206" s="20">
        <v>74</v>
      </c>
    </row>
    <row r="207" spans="4:6" x14ac:dyDescent="0.3">
      <c r="D207" s="20" t="str">
        <v>GGG</v>
      </c>
      <c r="E207" s="20" t="str">
        <v>P_3</v>
      </c>
      <c r="F207" s="20">
        <v>75</v>
      </c>
    </row>
    <row r="208" spans="4:6" x14ac:dyDescent="0.3">
      <c r="D208" s="20" t="str">
        <v>GGG</v>
      </c>
      <c r="E208" s="20" t="str">
        <v>P_4</v>
      </c>
      <c r="F208" s="20">
        <v>76</v>
      </c>
    </row>
    <row r="209" spans="4:6" x14ac:dyDescent="0.3">
      <c r="D209" s="20" t="str">
        <v>GGG</v>
      </c>
      <c r="E209" s="20" t="str">
        <v>P_5</v>
      </c>
      <c r="F209" s="20">
        <v>77</v>
      </c>
    </row>
    <row r="210" spans="4:6" x14ac:dyDescent="0.3">
      <c r="D210" s="20" t="str">
        <v>GGG</v>
      </c>
      <c r="E210" s="20" t="str">
        <v>P_6</v>
      </c>
      <c r="F210" s="20">
        <v>78</v>
      </c>
    </row>
    <row r="211" spans="4:6" x14ac:dyDescent="0.3">
      <c r="D211" s="20" t="str">
        <v>GGG</v>
      </c>
      <c r="E211" s="20" t="str">
        <v>P_7</v>
      </c>
      <c r="F211" s="20">
        <v>79</v>
      </c>
    </row>
    <row r="212" spans="4:6" x14ac:dyDescent="0.3">
      <c r="D212" s="20" t="str">
        <v>GGG</v>
      </c>
      <c r="E212" s="20" t="str">
        <v>P_8</v>
      </c>
      <c r="F212" s="20">
        <v>80</v>
      </c>
    </row>
    <row r="213" spans="4:6" x14ac:dyDescent="0.3">
      <c r="D213" s="20" t="str">
        <v>GGG</v>
      </c>
      <c r="E213" s="20" t="str">
        <v>P_9</v>
      </c>
      <c r="F213" s="20">
        <v>81</v>
      </c>
    </row>
    <row r="214" spans="4:6" x14ac:dyDescent="0.3">
      <c r="D214" s="20" t="str">
        <v>GGG</v>
      </c>
      <c r="E214" s="20" t="str">
        <v>P_10</v>
      </c>
      <c r="F214" s="20">
        <v>82</v>
      </c>
    </row>
    <row r="215" spans="4:6" x14ac:dyDescent="0.3">
      <c r="D215" s="20" t="str">
        <v>GGG</v>
      </c>
      <c r="E215" s="20" t="str">
        <v>P_11</v>
      </c>
      <c r="F215" s="20">
        <v>83</v>
      </c>
    </row>
    <row r="216" spans="4:6" x14ac:dyDescent="0.3">
      <c r="D216" s="20" t="str">
        <v>GGG</v>
      </c>
      <c r="E216" s="20" t="str">
        <v>P_12</v>
      </c>
      <c r="F216" s="20">
        <v>84</v>
      </c>
    </row>
    <row r="217" spans="4:6" x14ac:dyDescent="0.3">
      <c r="D217" s="20" t="str">
        <v>HHH</v>
      </c>
      <c r="E217" s="20" t="str">
        <v>P_1</v>
      </c>
      <c r="F217" s="20">
        <v>85</v>
      </c>
    </row>
    <row r="218" spans="4:6" x14ac:dyDescent="0.3">
      <c r="D218" s="20" t="str">
        <v>HHH</v>
      </c>
      <c r="E218" s="20" t="str">
        <v>P_2</v>
      </c>
      <c r="F218" s="20">
        <v>86</v>
      </c>
    </row>
    <row r="219" spans="4:6" x14ac:dyDescent="0.3">
      <c r="D219" s="20" t="str">
        <v>HHH</v>
      </c>
      <c r="E219" s="20" t="str">
        <v>P_3</v>
      </c>
      <c r="F219" s="20">
        <v>87</v>
      </c>
    </row>
    <row r="220" spans="4:6" x14ac:dyDescent="0.3">
      <c r="D220" s="20" t="str">
        <v>HHH</v>
      </c>
      <c r="E220" s="20" t="str">
        <v>P_4</v>
      </c>
      <c r="F220" s="20">
        <v>88</v>
      </c>
    </row>
    <row r="221" spans="4:6" x14ac:dyDescent="0.3">
      <c r="D221" s="20" t="str">
        <v>HHH</v>
      </c>
      <c r="E221" s="20" t="str">
        <v>P_5</v>
      </c>
      <c r="F221" s="20">
        <v>89</v>
      </c>
    </row>
    <row r="222" spans="4:6" x14ac:dyDescent="0.3">
      <c r="D222" s="20" t="str">
        <v>HHH</v>
      </c>
      <c r="E222" s="20" t="str">
        <v>P_6</v>
      </c>
      <c r="F222" s="20">
        <v>90</v>
      </c>
    </row>
    <row r="223" spans="4:6" x14ac:dyDescent="0.3">
      <c r="D223" s="20" t="str">
        <v>HHH</v>
      </c>
      <c r="E223" s="20" t="str">
        <v>P_7</v>
      </c>
      <c r="F223" s="20">
        <v>91</v>
      </c>
    </row>
    <row r="224" spans="4:6" x14ac:dyDescent="0.3">
      <c r="D224" s="20" t="str">
        <v>HHH</v>
      </c>
      <c r="E224" s="20" t="str">
        <v>P_8</v>
      </c>
      <c r="F224" s="20">
        <v>92</v>
      </c>
    </row>
    <row r="225" spans="2:99" x14ac:dyDescent="0.3">
      <c r="D225" s="20" t="str">
        <v>HHH</v>
      </c>
      <c r="E225" s="20" t="str">
        <v>P_9</v>
      </c>
      <c r="F225" s="20">
        <v>93</v>
      </c>
    </row>
    <row r="226" spans="2:99" x14ac:dyDescent="0.3">
      <c r="D226" s="20" t="str">
        <v>HHH</v>
      </c>
      <c r="E226" s="20" t="str">
        <v>P_10</v>
      </c>
      <c r="F226" s="20">
        <v>94</v>
      </c>
    </row>
    <row r="227" spans="2:99" x14ac:dyDescent="0.3">
      <c r="D227" s="20" t="str">
        <v>HHH</v>
      </c>
      <c r="E227" s="20" t="str">
        <v>P_11</v>
      </c>
      <c r="F227" s="20">
        <v>95</v>
      </c>
    </row>
    <row r="228" spans="2:99" x14ac:dyDescent="0.3">
      <c r="D228" s="20" t="str">
        <v>HHH</v>
      </c>
      <c r="E228" s="20" t="str">
        <v>P_12</v>
      </c>
      <c r="F228" s="20">
        <v>96</v>
      </c>
    </row>
    <row r="231" spans="2:99" x14ac:dyDescent="0.3">
      <c r="B231" s="28" t="s">
        <v>78</v>
      </c>
      <c r="C231" s="27"/>
      <c r="D231" s="27"/>
      <c r="E231" s="27"/>
      <c r="F231" s="27"/>
      <c r="G231" s="27"/>
      <c r="H231" s="27"/>
      <c r="I231" s="27"/>
      <c r="J231" s="27"/>
      <c r="K231" s="27"/>
      <c r="L231" s="27"/>
      <c r="M231" s="27"/>
      <c r="N231" s="27"/>
      <c r="O231" s="27"/>
      <c r="P231" s="27"/>
      <c r="Q231" s="27"/>
      <c r="R231" s="27"/>
      <c r="S231" s="27"/>
      <c r="T231" s="27"/>
      <c r="U231" s="27"/>
    </row>
    <row r="233" spans="2:99" x14ac:dyDescent="0.3">
      <c r="C233" s="24" t="s">
        <v>62</v>
      </c>
      <c r="D233" s="25" t="str">
        <f xml:space="preserve"> ""</f>
        <v/>
      </c>
    </row>
    <row r="234" spans="2:99" x14ac:dyDescent="0.3">
      <c r="C234" s="24" t="s">
        <v>63</v>
      </c>
      <c r="D234" s="26">
        <v>0</v>
      </c>
    </row>
    <row r="235" spans="2:99" x14ac:dyDescent="0.3">
      <c r="C235" s="24" t="s">
        <v>64</v>
      </c>
      <c r="D235" s="26">
        <v>1</v>
      </c>
    </row>
    <row r="237" spans="2:99" ht="14.4" thickBot="1" x14ac:dyDescent="0.35">
      <c r="C237" s="21"/>
      <c r="D237" s="21" t="s">
        <v>59</v>
      </c>
      <c r="E237" s="21"/>
      <c r="F237" s="21" t="s">
        <v>60</v>
      </c>
      <c r="G237" s="21" t="s">
        <v>61</v>
      </c>
    </row>
    <row r="238" spans="2:99" x14ac:dyDescent="0.3">
      <c r="C238" s="23" t="s">
        <v>59</v>
      </c>
      <c r="D238" s="68" t="str" cm="1">
        <f t="array" ref="D238:G333" xml:space="preserve"> _xlfn.LAMBDA(_xlpm.row_headers,_xlpm.column_headers,_xlpm.data,_xlop.replace_blanks,_xlop.filter_blanks,_xlop.output_vertical,
  _xlfn.LET(
    _xlpm._rh, _xlpm.row_headers,
    _xlpm._ch, _xlpm.column_headers,
    _xlpm._dd, _xlpm.data,
    _xlpm._inpChk, _xlfn.IFS(
      IFERROR( OR( ROWS(_xlpm._rh) &lt; 1, COLUMNS(_xlpm._rh) &lt; 1, ROWS(_xlpm._ch) &lt;&gt; 1, COLUMNS(_xlpm._ch) &lt; 1, ROWS(_xlpm._dd) &lt; 1, COLUMNS(_xlpm._dd) &lt; 1), 3), 3,
      IFERROR( OR( ROWS(_xlpm._dd) &lt;&gt; ROWS(_xlpm._rh), COLUMNS(_xlpm._dd) &lt;&gt; COLUMNS(_xlpm._ch)), 3), 2,
      TRUE, 1
    ),
    _xlpm._rep, IF( _xlfn.ISOMITTED(_xlpm.replace_blanks), "", _xlpm.replace_blanks),
    _xlpm._fltr, IF( _xlfn.ISOMITTED(_xlpm.filter_blanks), 0, IF(_xlpm.filter_blanks, 1, 0)),
    _xlpm._vrt, IF( _xlfn.ISOMITTED(_xlpm.output_vertical), 1, IF(_xlpm.output_vertical, 1, 0)),
    _xlpm._keys, _xlfn.LET(
      _xlpm._rr, ROWS(_xlpm._rh),
      _xlpm._rc, COLUMNS(_xlpm._rh),
      _xlpm._cc, COLUMNS(_xlpm._ch),
      _xlfn.MAKEARRAY(_xlpm._rr * _xlpm._cc, _xlpm._rc, _xlfn.LAMBDA(_xlpm._row,_xlpm._col, INDEX(_xlpm._rh, ROUNDUP(_xlpm._row / _xlpm._cc, 0), _xlpm._col)))
    ),
    _xlpm._names, _xlfn.TOCOL( IF( _xlfn.SEQUENCE( ROWS(_xlpm._rh), 1), _xlpm._ch)),
    _xlpm._values, _xlfn.LET(
      _xlpm._dp, _xlfn.TOCOL(_xlpm._dd),
      IF( ISBLANK(_xlpm._dp), _xlpm._rep, _xlpm._dp)
    ),
    _xlpm._rtn, _xlfn.LET(
      _xlpm._dt, _xlfn.HSTACK(_xlpm._keys, _xlpm._names, _xlpm._values),
      _xlpm._df, IF(_xlpm._fltr, _xlfn._xlws.FILTER(_xlpm._dt, _xlfn.CHOOSECOLS(_xlpm._dt, -1) &lt;&gt; ""), _xlpm._dt),
      IF(NOT(_xlpm._vrt), TRANSPOSE(_xlpm._df), _xlpm._df)
    ),
    CHOOSE(_xlpm._inpChk, _xlpm._rtn, _xlfn.LAMBDA(0), #VALUE!)
  )
)($C$12:$D$19, $E$11:$P$11, $E$12:$P$19, D233, D234, D235)</f>
        <v>Category.1</v>
      </c>
      <c r="E238" s="20" t="str">
        <v>AAA</v>
      </c>
      <c r="F238" s="20" t="str">
        <v>P_1</v>
      </c>
      <c r="G238" s="20">
        <v>1</v>
      </c>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row>
    <row r="239" spans="2:99" x14ac:dyDescent="0.3">
      <c r="C239" s="23"/>
      <c r="D239" s="20" t="str">
        <v>Category.1</v>
      </c>
      <c r="E239" s="20" t="str">
        <v>AAA</v>
      </c>
      <c r="F239" s="20" t="str">
        <v>P_2</v>
      </c>
      <c r="G239" s="20">
        <v>2</v>
      </c>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c r="CU239" s="20"/>
    </row>
    <row r="240" spans="2:99" x14ac:dyDescent="0.3">
      <c r="C240" s="23" t="s">
        <v>60</v>
      </c>
      <c r="D240" s="20" t="str">
        <v>Category.1</v>
      </c>
      <c r="E240" s="20" t="str">
        <v>AAA</v>
      </c>
      <c r="F240" s="20" t="str">
        <v>P_3</v>
      </c>
      <c r="G240" s="20">
        <v>3</v>
      </c>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c r="CL240" s="20"/>
      <c r="CM240" s="20"/>
      <c r="CN240" s="20"/>
      <c r="CO240" s="20"/>
      <c r="CP240" s="20"/>
      <c r="CQ240" s="20"/>
      <c r="CR240" s="20"/>
      <c r="CS240" s="20"/>
      <c r="CT240" s="20"/>
      <c r="CU240" s="20"/>
    </row>
    <row r="241" spans="3:99" x14ac:dyDescent="0.3">
      <c r="C241" s="23" t="s">
        <v>61</v>
      </c>
      <c r="D241" s="20" t="str">
        <v>Category.1</v>
      </c>
      <c r="E241" s="20" t="str">
        <v>AAA</v>
      </c>
      <c r="F241" s="20" t="str">
        <v>P_4</v>
      </c>
      <c r="G241" s="20">
        <v>4</v>
      </c>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c r="CL241" s="20"/>
      <c r="CM241" s="20"/>
      <c r="CN241" s="20"/>
      <c r="CO241" s="20"/>
      <c r="CP241" s="20"/>
      <c r="CQ241" s="20"/>
      <c r="CR241" s="20"/>
      <c r="CS241" s="20"/>
      <c r="CT241" s="20"/>
      <c r="CU241" s="20"/>
    </row>
    <row r="242" spans="3:99" x14ac:dyDescent="0.3">
      <c r="D242" s="20" t="str">
        <v>Category.1</v>
      </c>
      <c r="E242" s="20" t="str">
        <v>AAA</v>
      </c>
      <c r="F242" s="20" t="str">
        <v>P_5</v>
      </c>
      <c r="G242" s="20">
        <v>5</v>
      </c>
    </row>
    <row r="243" spans="3:99" x14ac:dyDescent="0.3">
      <c r="D243" s="20" t="str">
        <v>Category.1</v>
      </c>
      <c r="E243" s="20" t="str">
        <v>AAA</v>
      </c>
      <c r="F243" s="20" t="str">
        <v>P_6</v>
      </c>
      <c r="G243" s="20">
        <v>6</v>
      </c>
      <c r="I243" s="52" t="str" cm="1">
        <f t="array" aca="1" ref="I243:I274" ca="1" xml:space="preserve"> _xlfn.TEXTSPLIT( _xlfn.FORMULATEXT(D238), , CHAR(10))</f>
        <v>= LAMBDA(row_headers,column_headers,data,[replace_blanks],[filter_blanks],[output_vertical],</v>
      </c>
    </row>
    <row r="244" spans="3:99" x14ac:dyDescent="0.3">
      <c r="D244" s="20" t="str">
        <v>Category.1</v>
      </c>
      <c r="E244" s="20" t="str">
        <v>AAA</v>
      </c>
      <c r="F244" s="20" t="str">
        <v>P_7</v>
      </c>
      <c r="G244" s="20">
        <v>7</v>
      </c>
      <c r="I244" s="52" t="str">
        <f ca="1"/>
        <v xml:space="preserve">  LET(</v>
      </c>
    </row>
    <row r="245" spans="3:99" x14ac:dyDescent="0.3">
      <c r="D245" s="20" t="str">
        <v>Category.1</v>
      </c>
      <c r="E245" s="20" t="str">
        <v>AAA</v>
      </c>
      <c r="F245" s="20" t="str">
        <v>P_8</v>
      </c>
      <c r="G245" s="20">
        <v>8</v>
      </c>
      <c r="I245" s="52" t="str">
        <f ca="1"/>
        <v xml:space="preserve">    _rh, row_headers,</v>
      </c>
    </row>
    <row r="246" spans="3:99" x14ac:dyDescent="0.3">
      <c r="D246" s="20" t="str">
        <v>Category.1</v>
      </c>
      <c r="E246" s="20" t="str">
        <v>AAA</v>
      </c>
      <c r="F246" s="20" t="str">
        <v>P_9</v>
      </c>
      <c r="G246" s="20">
        <v>9</v>
      </c>
      <c r="I246" s="52" t="str">
        <f ca="1"/>
        <v xml:space="preserve">    _ch, column_headers,</v>
      </c>
    </row>
    <row r="247" spans="3:99" x14ac:dyDescent="0.3">
      <c r="D247" s="20" t="str">
        <v>Category.1</v>
      </c>
      <c r="E247" s="20" t="str">
        <v>AAA</v>
      </c>
      <c r="F247" s="20" t="str">
        <v>P_10</v>
      </c>
      <c r="G247" s="20">
        <v>10</v>
      </c>
      <c r="I247" s="52" t="str">
        <f ca="1"/>
        <v xml:space="preserve">    _dd, data,</v>
      </c>
    </row>
    <row r="248" spans="3:99" x14ac:dyDescent="0.3">
      <c r="D248" s="20" t="str">
        <v>Category.1</v>
      </c>
      <c r="E248" s="20" t="str">
        <v>AAA</v>
      </c>
      <c r="F248" s="20" t="str">
        <v>P_11</v>
      </c>
      <c r="G248" s="20">
        <v>11</v>
      </c>
      <c r="I248" s="52" t="str">
        <f ca="1"/>
        <v xml:space="preserve">    _inpChk, IFS(</v>
      </c>
    </row>
    <row r="249" spans="3:99" x14ac:dyDescent="0.3">
      <c r="D249" s="20" t="str">
        <v>Category.1</v>
      </c>
      <c r="E249" s="20" t="str">
        <v>AAA</v>
      </c>
      <c r="F249" s="20" t="str">
        <v>P_12</v>
      </c>
      <c r="G249" s="20">
        <v>12</v>
      </c>
      <c r="I249" s="52" t="str">
        <f ca="1"/>
        <v xml:space="preserve">      IFERROR( OR( ROWS(_rh) &lt; 1, COLUMNS(_rh) &lt; 1, ROWS(_ch) &lt;&gt; 1, COLUMNS(_ch) &lt; 1, ROWS(_dd) &lt; 1, COLUMNS(_dd) &lt; 1), 3), 3,</v>
      </c>
    </row>
    <row r="250" spans="3:99" x14ac:dyDescent="0.3">
      <c r="D250" s="20" t="str">
        <v>Category.1</v>
      </c>
      <c r="E250" s="20" t="str">
        <v>BBB</v>
      </c>
      <c r="F250" s="20" t="str">
        <v>P_1</v>
      </c>
      <c r="G250" s="20">
        <v>13</v>
      </c>
      <c r="I250" s="52" t="str">
        <f ca="1"/>
        <v xml:space="preserve">      IFERROR( OR( ROWS(_dd) &lt;&gt; ROWS(_rh), COLUMNS(_dd) &lt;&gt; COLUMNS(_ch)), 3), 2,</v>
      </c>
    </row>
    <row r="251" spans="3:99" x14ac:dyDescent="0.3">
      <c r="D251" s="20" t="str">
        <v>Category.1</v>
      </c>
      <c r="E251" s="20" t="str">
        <v>BBB</v>
      </c>
      <c r="F251" s="20" t="str">
        <v>P_2</v>
      </c>
      <c r="G251" s="20">
        <v>14</v>
      </c>
      <c r="I251" s="52" t="str">
        <f ca="1"/>
        <v xml:space="preserve">      TRUE, 1</v>
      </c>
    </row>
    <row r="252" spans="3:99" x14ac:dyDescent="0.3">
      <c r="D252" s="20" t="str">
        <v>Category.1</v>
      </c>
      <c r="E252" s="20" t="str">
        <v>BBB</v>
      </c>
      <c r="F252" s="20" t="str">
        <v>P_3</v>
      </c>
      <c r="G252" s="20">
        <v>15</v>
      </c>
      <c r="I252" s="52" t="str">
        <f ca="1"/>
        <v xml:space="preserve">    ),</v>
      </c>
    </row>
    <row r="253" spans="3:99" x14ac:dyDescent="0.3">
      <c r="D253" s="20" t="str">
        <v>Category.1</v>
      </c>
      <c r="E253" s="20" t="str">
        <v>BBB</v>
      </c>
      <c r="F253" s="20" t="str">
        <v>P_4</v>
      </c>
      <c r="G253" s="20">
        <v>16</v>
      </c>
      <c r="I253" s="52" t="str">
        <f ca="1"/>
        <v xml:space="preserve">    _rep, IF( ISOMITTED(replace_blanks), "", replace_blanks),</v>
      </c>
    </row>
    <row r="254" spans="3:99" x14ac:dyDescent="0.3">
      <c r="D254" s="20" t="str">
        <v>Category.1</v>
      </c>
      <c r="E254" s="20" t="str">
        <v>BBB</v>
      </c>
      <c r="F254" s="20" t="str">
        <v>P_5</v>
      </c>
      <c r="G254" s="20">
        <v>17</v>
      </c>
      <c r="I254" s="52" t="str">
        <f ca="1"/>
        <v xml:space="preserve">    _fltr, IF( ISOMITTED(filter_blanks), 0, IF(filter_blanks, 1, 0)),</v>
      </c>
    </row>
    <row r="255" spans="3:99" x14ac:dyDescent="0.3">
      <c r="D255" s="20" t="str">
        <v>Category.1</v>
      </c>
      <c r="E255" s="20" t="str">
        <v>BBB</v>
      </c>
      <c r="F255" s="20" t="str">
        <v>P_6</v>
      </c>
      <c r="G255" s="20">
        <v>18</v>
      </c>
      <c r="I255" s="52" t="str">
        <f ca="1"/>
        <v xml:space="preserve">    _vrt, IF( ISOMITTED(output_vertical), 1, IF(output_vertical, 1, 0)),</v>
      </c>
    </row>
    <row r="256" spans="3:99" x14ac:dyDescent="0.3">
      <c r="D256" s="20" t="str">
        <v>Category.1</v>
      </c>
      <c r="E256" s="20" t="str">
        <v>BBB</v>
      </c>
      <c r="F256" s="20" t="str">
        <v>P_7</v>
      </c>
      <c r="G256" s="20">
        <v>19</v>
      </c>
      <c r="I256" s="52" t="str">
        <f ca="1"/>
        <v xml:space="preserve">    _keys, LET(</v>
      </c>
    </row>
    <row r="257" spans="4:9" x14ac:dyDescent="0.3">
      <c r="D257" s="20" t="str">
        <v>Category.1</v>
      </c>
      <c r="E257" s="20" t="str">
        <v>BBB</v>
      </c>
      <c r="F257" s="20" t="str">
        <v>P_8</v>
      </c>
      <c r="G257" s="20">
        <v>20</v>
      </c>
      <c r="I257" s="52" t="str">
        <f ca="1"/>
        <v xml:space="preserve">      _rr, ROWS(_rh),</v>
      </c>
    </row>
    <row r="258" spans="4:9" x14ac:dyDescent="0.3">
      <c r="D258" s="20" t="str">
        <v>Category.1</v>
      </c>
      <c r="E258" s="20" t="str">
        <v>BBB</v>
      </c>
      <c r="F258" s="20" t="str">
        <v>P_9</v>
      </c>
      <c r="G258" s="20">
        <v>21</v>
      </c>
      <c r="I258" s="52" t="str">
        <f ca="1"/>
        <v xml:space="preserve">      _rc, COLUMNS(_rh),</v>
      </c>
    </row>
    <row r="259" spans="4:9" x14ac:dyDescent="0.3">
      <c r="D259" s="20" t="str">
        <v>Category.1</v>
      </c>
      <c r="E259" s="20" t="str">
        <v>BBB</v>
      </c>
      <c r="F259" s="20" t="str">
        <v>P_10</v>
      </c>
      <c r="G259" s="20">
        <v>22</v>
      </c>
      <c r="I259" s="52" t="str">
        <f ca="1"/>
        <v xml:space="preserve">      _cc, COLUMNS(_ch),</v>
      </c>
    </row>
    <row r="260" spans="4:9" x14ac:dyDescent="0.3">
      <c r="D260" s="20" t="str">
        <v>Category.1</v>
      </c>
      <c r="E260" s="20" t="str">
        <v>BBB</v>
      </c>
      <c r="F260" s="20" t="str">
        <v>P_11</v>
      </c>
      <c r="G260" s="20">
        <v>23</v>
      </c>
      <c r="I260" s="52" t="str">
        <f ca="1"/>
        <v xml:space="preserve">      MAKEARRAY(_rr * _cc, _rc, LAMBDA(_row,_col, INDEX(_rh, ROUNDUP(_row / _cc, 0), _col)))</v>
      </c>
    </row>
    <row r="261" spans="4:9" x14ac:dyDescent="0.3">
      <c r="D261" s="20" t="str">
        <v>Category.1</v>
      </c>
      <c r="E261" s="20" t="str">
        <v>BBB</v>
      </c>
      <c r="F261" s="20" t="str">
        <v>P_12</v>
      </c>
      <c r="G261" s="20">
        <v>24</v>
      </c>
      <c r="I261" s="52" t="str">
        <f ca="1"/>
        <v xml:space="preserve">    ),</v>
      </c>
    </row>
    <row r="262" spans="4:9" x14ac:dyDescent="0.3">
      <c r="D262" s="20" t="str">
        <v>Category.2</v>
      </c>
      <c r="E262" s="20" t="str">
        <v>CCC</v>
      </c>
      <c r="F262" s="20" t="str">
        <v>P_1</v>
      </c>
      <c r="G262" s="20">
        <v>25</v>
      </c>
      <c r="I262" s="52" t="str">
        <f ca="1"/>
        <v xml:space="preserve">    _names, TOCOL( IF( SEQUENCE( ROWS(_rh), 1), _ch)),</v>
      </c>
    </row>
    <row r="263" spans="4:9" x14ac:dyDescent="0.3">
      <c r="D263" s="20" t="str">
        <v>Category.2</v>
      </c>
      <c r="E263" s="20" t="str">
        <v>CCC</v>
      </c>
      <c r="F263" s="20" t="str">
        <v>P_2</v>
      </c>
      <c r="G263" s="20">
        <v>26</v>
      </c>
      <c r="I263" s="52" t="str">
        <f ca="1"/>
        <v xml:space="preserve">    _values, LET(</v>
      </c>
    </row>
    <row r="264" spans="4:9" x14ac:dyDescent="0.3">
      <c r="D264" s="20" t="str">
        <v>Category.2</v>
      </c>
      <c r="E264" s="20" t="str">
        <v>CCC</v>
      </c>
      <c r="F264" s="20" t="str">
        <v>P_3</v>
      </c>
      <c r="G264" s="20">
        <v>27</v>
      </c>
      <c r="I264" s="52" t="str">
        <f ca="1"/>
        <v xml:space="preserve">      _dp, TOCOL(_dd),</v>
      </c>
    </row>
    <row r="265" spans="4:9" x14ac:dyDescent="0.3">
      <c r="D265" s="20" t="str">
        <v>Category.2</v>
      </c>
      <c r="E265" s="20" t="str">
        <v>CCC</v>
      </c>
      <c r="F265" s="20" t="str">
        <v>P_4</v>
      </c>
      <c r="G265" s="20">
        <v>28</v>
      </c>
      <c r="I265" s="52" t="str">
        <f ca="1"/>
        <v xml:space="preserve">      IF( ISBLANK(_dp), _rep, _dp)</v>
      </c>
    </row>
    <row r="266" spans="4:9" x14ac:dyDescent="0.3">
      <c r="D266" s="20" t="str">
        <v>Category.2</v>
      </c>
      <c r="E266" s="20" t="str">
        <v>CCC</v>
      </c>
      <c r="F266" s="20" t="str">
        <v>P_5</v>
      </c>
      <c r="G266" s="20">
        <v>29</v>
      </c>
      <c r="I266" s="52" t="str">
        <f ca="1"/>
        <v xml:space="preserve">    ),</v>
      </c>
    </row>
    <row r="267" spans="4:9" x14ac:dyDescent="0.3">
      <c r="D267" s="20" t="str">
        <v>Category.2</v>
      </c>
      <c r="E267" s="20" t="str">
        <v>CCC</v>
      </c>
      <c r="F267" s="20" t="str">
        <v>P_6</v>
      </c>
      <c r="G267" s="20">
        <v>30</v>
      </c>
      <c r="I267" s="52" t="str">
        <f ca="1"/>
        <v xml:space="preserve">    _rtn, LET(</v>
      </c>
    </row>
    <row r="268" spans="4:9" x14ac:dyDescent="0.3">
      <c r="D268" s="20" t="str">
        <v>Category.2</v>
      </c>
      <c r="E268" s="20" t="str">
        <v>CCC</v>
      </c>
      <c r="F268" s="20" t="str">
        <v>P_7</v>
      </c>
      <c r="G268" s="20">
        <v>31</v>
      </c>
      <c r="I268" s="52" t="str">
        <f ca="1"/>
        <v xml:space="preserve">      _dt, HSTACK(_keys, _names, _values),</v>
      </c>
    </row>
    <row r="269" spans="4:9" x14ac:dyDescent="0.3">
      <c r="D269" s="20" t="str">
        <v>Category.2</v>
      </c>
      <c r="E269" s="20" t="str">
        <v>CCC</v>
      </c>
      <c r="F269" s="20" t="str">
        <v>P_8</v>
      </c>
      <c r="G269" s="20">
        <v>32</v>
      </c>
      <c r="I269" s="52" t="str">
        <f ca="1"/>
        <v xml:space="preserve">      _df, IF(_fltr, FILTER(_dt, CHOOSECOLS(_dt, -1) &lt;&gt; ""), _dt),</v>
      </c>
    </row>
    <row r="270" spans="4:9" x14ac:dyDescent="0.3">
      <c r="D270" s="20" t="str">
        <v>Category.2</v>
      </c>
      <c r="E270" s="20" t="str">
        <v>CCC</v>
      </c>
      <c r="F270" s="20" t="str">
        <v>P_9</v>
      </c>
      <c r="G270" s="20">
        <v>33</v>
      </c>
      <c r="I270" s="52" t="str">
        <f ca="1"/>
        <v xml:space="preserve">      IF(NOT(_vrt), TRANSPOSE(_df), _df)</v>
      </c>
    </row>
    <row r="271" spans="4:9" x14ac:dyDescent="0.3">
      <c r="D271" s="20" t="str">
        <v>Category.2</v>
      </c>
      <c r="E271" s="20" t="str">
        <v>CCC</v>
      </c>
      <c r="F271" s="20" t="str">
        <v>P_10</v>
      </c>
      <c r="G271" s="20">
        <v>34</v>
      </c>
      <c r="I271" s="52" t="str">
        <f ca="1"/>
        <v xml:space="preserve">    ),</v>
      </c>
    </row>
    <row r="272" spans="4:9" x14ac:dyDescent="0.3">
      <c r="D272" s="20" t="str">
        <v>Category.2</v>
      </c>
      <c r="E272" s="20" t="str">
        <v>CCC</v>
      </c>
      <c r="F272" s="20" t="str">
        <v>P_11</v>
      </c>
      <c r="G272" s="20">
        <v>35</v>
      </c>
      <c r="I272" s="52" t="str">
        <f ca="1"/>
        <v xml:space="preserve">    CHOOSE(_inpChk, _rtn, LAMBDA(0), #VALUE!)</v>
      </c>
    </row>
    <row r="273" spans="4:9" x14ac:dyDescent="0.3">
      <c r="D273" s="20" t="str">
        <v>Category.2</v>
      </c>
      <c r="E273" s="20" t="str">
        <v>CCC</v>
      </c>
      <c r="F273" s="20" t="str">
        <v>P_12</v>
      </c>
      <c r="G273" s="20">
        <v>36</v>
      </c>
      <c r="I273" s="52" t="str">
        <f ca="1"/>
        <v xml:space="preserve">  )</v>
      </c>
    </row>
    <row r="274" spans="4:9" x14ac:dyDescent="0.3">
      <c r="D274" s="20" t="str">
        <v>Category.2</v>
      </c>
      <c r="E274" s="20" t="str">
        <v>DDD</v>
      </c>
      <c r="F274" s="20" t="str">
        <v>P_1</v>
      </c>
      <c r="G274" s="20">
        <v>37</v>
      </c>
      <c r="I274" s="52" t="str">
        <f ca="1"/>
        <v>)($C$12:$D$19, $E$11:$P$11, $E$12:$P$19, D233, D234, D235)</v>
      </c>
    </row>
    <row r="275" spans="4:9" x14ac:dyDescent="0.3">
      <c r="D275" s="20" t="str">
        <v>Category.2</v>
      </c>
      <c r="E275" s="20" t="str">
        <v>DDD</v>
      </c>
      <c r="F275" s="20" t="str">
        <v>P_2</v>
      </c>
      <c r="G275" s="20">
        <v>38</v>
      </c>
    </row>
    <row r="276" spans="4:9" x14ac:dyDescent="0.3">
      <c r="D276" s="20" t="str">
        <v>Category.2</v>
      </c>
      <c r="E276" s="20" t="str">
        <v>DDD</v>
      </c>
      <c r="F276" s="20" t="str">
        <v>P_3</v>
      </c>
      <c r="G276" s="20">
        <v>39</v>
      </c>
    </row>
    <row r="277" spans="4:9" x14ac:dyDescent="0.3">
      <c r="D277" s="20" t="str">
        <v>Category.2</v>
      </c>
      <c r="E277" s="20" t="str">
        <v>DDD</v>
      </c>
      <c r="F277" s="20" t="str">
        <v>P_4</v>
      </c>
      <c r="G277" s="20">
        <v>40</v>
      </c>
    </row>
    <row r="278" spans="4:9" x14ac:dyDescent="0.3">
      <c r="D278" s="20" t="str">
        <v>Category.2</v>
      </c>
      <c r="E278" s="20" t="str">
        <v>DDD</v>
      </c>
      <c r="F278" s="20" t="str">
        <v>P_5</v>
      </c>
      <c r="G278" s="20">
        <v>41</v>
      </c>
    </row>
    <row r="279" spans="4:9" x14ac:dyDescent="0.3">
      <c r="D279" s="20" t="str">
        <v>Category.2</v>
      </c>
      <c r="E279" s="20" t="str">
        <v>DDD</v>
      </c>
      <c r="F279" s="20" t="str">
        <v>P_6</v>
      </c>
      <c r="G279" s="20">
        <v>42</v>
      </c>
    </row>
    <row r="280" spans="4:9" x14ac:dyDescent="0.3">
      <c r="D280" s="20" t="str">
        <v>Category.2</v>
      </c>
      <c r="E280" s="20" t="str">
        <v>DDD</v>
      </c>
      <c r="F280" s="20" t="str">
        <v>P_7</v>
      </c>
      <c r="G280" s="20">
        <v>43</v>
      </c>
    </row>
    <row r="281" spans="4:9" x14ac:dyDescent="0.3">
      <c r="D281" s="20" t="str">
        <v>Category.2</v>
      </c>
      <c r="E281" s="20" t="str">
        <v>DDD</v>
      </c>
      <c r="F281" s="20" t="str">
        <v>P_8</v>
      </c>
      <c r="G281" s="20">
        <v>44</v>
      </c>
    </row>
    <row r="282" spans="4:9" x14ac:dyDescent="0.3">
      <c r="D282" s="20" t="str">
        <v>Category.2</v>
      </c>
      <c r="E282" s="20" t="str">
        <v>DDD</v>
      </c>
      <c r="F282" s="20" t="str">
        <v>P_9</v>
      </c>
      <c r="G282" s="20">
        <v>45</v>
      </c>
    </row>
    <row r="283" spans="4:9" x14ac:dyDescent="0.3">
      <c r="D283" s="20" t="str">
        <v>Category.2</v>
      </c>
      <c r="E283" s="20" t="str">
        <v>DDD</v>
      </c>
      <c r="F283" s="20" t="str">
        <v>P_10</v>
      </c>
      <c r="G283" s="20">
        <v>46</v>
      </c>
    </row>
    <row r="284" spans="4:9" x14ac:dyDescent="0.3">
      <c r="D284" s="20" t="str">
        <v>Category.2</v>
      </c>
      <c r="E284" s="20" t="str">
        <v>DDD</v>
      </c>
      <c r="F284" s="20" t="str">
        <v>P_11</v>
      </c>
      <c r="G284" s="20">
        <v>47</v>
      </c>
    </row>
    <row r="285" spans="4:9" x14ac:dyDescent="0.3">
      <c r="D285" s="20" t="str">
        <v>Category.2</v>
      </c>
      <c r="E285" s="20" t="str">
        <v>DDD</v>
      </c>
      <c r="F285" s="20" t="str">
        <v>P_12</v>
      </c>
      <c r="G285" s="20">
        <v>48</v>
      </c>
    </row>
    <row r="286" spans="4:9" x14ac:dyDescent="0.3">
      <c r="D286" s="20" t="str">
        <v>Category.3</v>
      </c>
      <c r="E286" s="20" t="str">
        <v>EEE</v>
      </c>
      <c r="F286" s="20" t="str">
        <v>P_1</v>
      </c>
      <c r="G286" s="20">
        <v>49</v>
      </c>
    </row>
    <row r="287" spans="4:9" x14ac:dyDescent="0.3">
      <c r="D287" s="20" t="str">
        <v>Category.3</v>
      </c>
      <c r="E287" s="20" t="str">
        <v>EEE</v>
      </c>
      <c r="F287" s="20" t="str">
        <v>P_2</v>
      </c>
      <c r="G287" s="20">
        <v>50</v>
      </c>
    </row>
    <row r="288" spans="4:9" x14ac:dyDescent="0.3">
      <c r="D288" s="20" t="str">
        <v>Category.3</v>
      </c>
      <c r="E288" s="20" t="str">
        <v>EEE</v>
      </c>
      <c r="F288" s="20" t="str">
        <v>P_3</v>
      </c>
      <c r="G288" s="20">
        <v>51</v>
      </c>
    </row>
    <row r="289" spans="4:7" x14ac:dyDescent="0.3">
      <c r="D289" s="20" t="str">
        <v>Category.3</v>
      </c>
      <c r="E289" s="20" t="str">
        <v>EEE</v>
      </c>
      <c r="F289" s="20" t="str">
        <v>P_4</v>
      </c>
      <c r="G289" s="20">
        <v>52</v>
      </c>
    </row>
    <row r="290" spans="4:7" x14ac:dyDescent="0.3">
      <c r="D290" s="20" t="str">
        <v>Category.3</v>
      </c>
      <c r="E290" s="20" t="str">
        <v>EEE</v>
      </c>
      <c r="F290" s="20" t="str">
        <v>P_5</v>
      </c>
      <c r="G290" s="20">
        <v>53</v>
      </c>
    </row>
    <row r="291" spans="4:7" x14ac:dyDescent="0.3">
      <c r="D291" s="20" t="str">
        <v>Category.3</v>
      </c>
      <c r="E291" s="20" t="str">
        <v>EEE</v>
      </c>
      <c r="F291" s="20" t="str">
        <v>P_6</v>
      </c>
      <c r="G291" s="20">
        <v>54</v>
      </c>
    </row>
    <row r="292" spans="4:7" x14ac:dyDescent="0.3">
      <c r="D292" s="20" t="str">
        <v>Category.3</v>
      </c>
      <c r="E292" s="20" t="str">
        <v>EEE</v>
      </c>
      <c r="F292" s="20" t="str">
        <v>P_7</v>
      </c>
      <c r="G292" s="20">
        <v>55</v>
      </c>
    </row>
    <row r="293" spans="4:7" x14ac:dyDescent="0.3">
      <c r="D293" s="20" t="str">
        <v>Category.3</v>
      </c>
      <c r="E293" s="20" t="str">
        <v>EEE</v>
      </c>
      <c r="F293" s="20" t="str">
        <v>P_8</v>
      </c>
      <c r="G293" s="20">
        <v>56</v>
      </c>
    </row>
    <row r="294" spans="4:7" x14ac:dyDescent="0.3">
      <c r="D294" s="20" t="str">
        <v>Category.3</v>
      </c>
      <c r="E294" s="20" t="str">
        <v>EEE</v>
      </c>
      <c r="F294" s="20" t="str">
        <v>P_9</v>
      </c>
      <c r="G294" s="20">
        <v>57</v>
      </c>
    </row>
    <row r="295" spans="4:7" x14ac:dyDescent="0.3">
      <c r="D295" s="20" t="str">
        <v>Category.3</v>
      </c>
      <c r="E295" s="20" t="str">
        <v>EEE</v>
      </c>
      <c r="F295" s="20" t="str">
        <v>P_10</v>
      </c>
      <c r="G295" s="20">
        <v>58</v>
      </c>
    </row>
    <row r="296" spans="4:7" x14ac:dyDescent="0.3">
      <c r="D296" s="20" t="str">
        <v>Category.3</v>
      </c>
      <c r="E296" s="20" t="str">
        <v>EEE</v>
      </c>
      <c r="F296" s="20" t="str">
        <v>P_11</v>
      </c>
      <c r="G296" s="20">
        <v>59</v>
      </c>
    </row>
    <row r="297" spans="4:7" x14ac:dyDescent="0.3">
      <c r="D297" s="20" t="str">
        <v>Category.3</v>
      </c>
      <c r="E297" s="20" t="str">
        <v>EEE</v>
      </c>
      <c r="F297" s="20" t="str">
        <v>P_12</v>
      </c>
      <c r="G297" s="20">
        <v>60</v>
      </c>
    </row>
    <row r="298" spans="4:7" x14ac:dyDescent="0.3">
      <c r="D298" s="20" t="str">
        <v>Category.3</v>
      </c>
      <c r="E298" s="20" t="str">
        <v>FFF</v>
      </c>
      <c r="F298" s="20" t="str">
        <v>P_1</v>
      </c>
      <c r="G298" s="20">
        <v>61</v>
      </c>
    </row>
    <row r="299" spans="4:7" x14ac:dyDescent="0.3">
      <c r="D299" s="20" t="str">
        <v>Category.3</v>
      </c>
      <c r="E299" s="20" t="str">
        <v>FFF</v>
      </c>
      <c r="F299" s="20" t="str">
        <v>P_2</v>
      </c>
      <c r="G299" s="20">
        <v>62</v>
      </c>
    </row>
    <row r="300" spans="4:7" x14ac:dyDescent="0.3">
      <c r="D300" s="20" t="str">
        <v>Category.3</v>
      </c>
      <c r="E300" s="20" t="str">
        <v>FFF</v>
      </c>
      <c r="F300" s="20" t="str">
        <v>P_3</v>
      </c>
      <c r="G300" s="20">
        <v>63</v>
      </c>
    </row>
    <row r="301" spans="4:7" x14ac:dyDescent="0.3">
      <c r="D301" s="20" t="str">
        <v>Category.3</v>
      </c>
      <c r="E301" s="20" t="str">
        <v>FFF</v>
      </c>
      <c r="F301" s="20" t="str">
        <v>P_4</v>
      </c>
      <c r="G301" s="20">
        <v>64</v>
      </c>
    </row>
    <row r="302" spans="4:7" x14ac:dyDescent="0.3">
      <c r="D302" s="20" t="str">
        <v>Category.3</v>
      </c>
      <c r="E302" s="20" t="str">
        <v>FFF</v>
      </c>
      <c r="F302" s="20" t="str">
        <v>P_5</v>
      </c>
      <c r="G302" s="20">
        <v>65</v>
      </c>
    </row>
    <row r="303" spans="4:7" x14ac:dyDescent="0.3">
      <c r="D303" s="20" t="str">
        <v>Category.3</v>
      </c>
      <c r="E303" s="20" t="str">
        <v>FFF</v>
      </c>
      <c r="F303" s="20" t="str">
        <v>P_6</v>
      </c>
      <c r="G303" s="20">
        <v>66</v>
      </c>
    </row>
    <row r="304" spans="4:7" x14ac:dyDescent="0.3">
      <c r="D304" s="20" t="str">
        <v>Category.3</v>
      </c>
      <c r="E304" s="20" t="str">
        <v>FFF</v>
      </c>
      <c r="F304" s="20" t="str">
        <v>P_7</v>
      </c>
      <c r="G304" s="20">
        <v>67</v>
      </c>
    </row>
    <row r="305" spans="4:7" x14ac:dyDescent="0.3">
      <c r="D305" s="20" t="str">
        <v>Category.3</v>
      </c>
      <c r="E305" s="20" t="str">
        <v>FFF</v>
      </c>
      <c r="F305" s="20" t="str">
        <v>P_8</v>
      </c>
      <c r="G305" s="20">
        <v>68</v>
      </c>
    </row>
    <row r="306" spans="4:7" x14ac:dyDescent="0.3">
      <c r="D306" s="20" t="str">
        <v>Category.3</v>
      </c>
      <c r="E306" s="20" t="str">
        <v>FFF</v>
      </c>
      <c r="F306" s="20" t="str">
        <v>P_9</v>
      </c>
      <c r="G306" s="20">
        <v>69</v>
      </c>
    </row>
    <row r="307" spans="4:7" x14ac:dyDescent="0.3">
      <c r="D307" s="20" t="str">
        <v>Category.3</v>
      </c>
      <c r="E307" s="20" t="str">
        <v>FFF</v>
      </c>
      <c r="F307" s="20" t="str">
        <v>P_10</v>
      </c>
      <c r="G307" s="20">
        <v>70</v>
      </c>
    </row>
    <row r="308" spans="4:7" x14ac:dyDescent="0.3">
      <c r="D308" s="20" t="str">
        <v>Category.3</v>
      </c>
      <c r="E308" s="20" t="str">
        <v>FFF</v>
      </c>
      <c r="F308" s="20" t="str">
        <v>P_11</v>
      </c>
      <c r="G308" s="20">
        <v>71</v>
      </c>
    </row>
    <row r="309" spans="4:7" x14ac:dyDescent="0.3">
      <c r="D309" s="20" t="str">
        <v>Category.3</v>
      </c>
      <c r="E309" s="20" t="str">
        <v>FFF</v>
      </c>
      <c r="F309" s="20" t="str">
        <v>P_12</v>
      </c>
      <c r="G309" s="20">
        <v>72</v>
      </c>
    </row>
    <row r="310" spans="4:7" x14ac:dyDescent="0.3">
      <c r="D310" s="20" t="str">
        <v>Category.4</v>
      </c>
      <c r="E310" s="20" t="str">
        <v>GGG</v>
      </c>
      <c r="F310" s="20" t="str">
        <v>P_1</v>
      </c>
      <c r="G310" s="20">
        <v>73</v>
      </c>
    </row>
    <row r="311" spans="4:7" x14ac:dyDescent="0.3">
      <c r="D311" s="20" t="str">
        <v>Category.4</v>
      </c>
      <c r="E311" s="20" t="str">
        <v>GGG</v>
      </c>
      <c r="F311" s="20" t="str">
        <v>P_2</v>
      </c>
      <c r="G311" s="20">
        <v>74</v>
      </c>
    </row>
    <row r="312" spans="4:7" x14ac:dyDescent="0.3">
      <c r="D312" s="20" t="str">
        <v>Category.4</v>
      </c>
      <c r="E312" s="20" t="str">
        <v>GGG</v>
      </c>
      <c r="F312" s="20" t="str">
        <v>P_3</v>
      </c>
      <c r="G312" s="20">
        <v>75</v>
      </c>
    </row>
    <row r="313" spans="4:7" x14ac:dyDescent="0.3">
      <c r="D313" s="20" t="str">
        <v>Category.4</v>
      </c>
      <c r="E313" s="20" t="str">
        <v>GGG</v>
      </c>
      <c r="F313" s="20" t="str">
        <v>P_4</v>
      </c>
      <c r="G313" s="20">
        <v>76</v>
      </c>
    </row>
    <row r="314" spans="4:7" x14ac:dyDescent="0.3">
      <c r="D314" s="20" t="str">
        <v>Category.4</v>
      </c>
      <c r="E314" s="20" t="str">
        <v>GGG</v>
      </c>
      <c r="F314" s="20" t="str">
        <v>P_5</v>
      </c>
      <c r="G314" s="20">
        <v>77</v>
      </c>
    </row>
    <row r="315" spans="4:7" x14ac:dyDescent="0.3">
      <c r="D315" s="20" t="str">
        <v>Category.4</v>
      </c>
      <c r="E315" s="20" t="str">
        <v>GGG</v>
      </c>
      <c r="F315" s="20" t="str">
        <v>P_6</v>
      </c>
      <c r="G315" s="20">
        <v>78</v>
      </c>
    </row>
    <row r="316" spans="4:7" x14ac:dyDescent="0.3">
      <c r="D316" s="20" t="str">
        <v>Category.4</v>
      </c>
      <c r="E316" s="20" t="str">
        <v>GGG</v>
      </c>
      <c r="F316" s="20" t="str">
        <v>P_7</v>
      </c>
      <c r="G316" s="20">
        <v>79</v>
      </c>
    </row>
    <row r="317" spans="4:7" x14ac:dyDescent="0.3">
      <c r="D317" s="20" t="str">
        <v>Category.4</v>
      </c>
      <c r="E317" s="20" t="str">
        <v>GGG</v>
      </c>
      <c r="F317" s="20" t="str">
        <v>P_8</v>
      </c>
      <c r="G317" s="20">
        <v>80</v>
      </c>
    </row>
    <row r="318" spans="4:7" x14ac:dyDescent="0.3">
      <c r="D318" s="20" t="str">
        <v>Category.4</v>
      </c>
      <c r="E318" s="20" t="str">
        <v>GGG</v>
      </c>
      <c r="F318" s="20" t="str">
        <v>P_9</v>
      </c>
      <c r="G318" s="20">
        <v>81</v>
      </c>
    </row>
    <row r="319" spans="4:7" x14ac:dyDescent="0.3">
      <c r="D319" s="20" t="str">
        <v>Category.4</v>
      </c>
      <c r="E319" s="20" t="str">
        <v>GGG</v>
      </c>
      <c r="F319" s="20" t="str">
        <v>P_10</v>
      </c>
      <c r="G319" s="20">
        <v>82</v>
      </c>
    </row>
    <row r="320" spans="4:7" x14ac:dyDescent="0.3">
      <c r="D320" s="20" t="str">
        <v>Category.4</v>
      </c>
      <c r="E320" s="20" t="str">
        <v>GGG</v>
      </c>
      <c r="F320" s="20" t="str">
        <v>P_11</v>
      </c>
      <c r="G320" s="20">
        <v>83</v>
      </c>
    </row>
    <row r="321" spans="2:21" x14ac:dyDescent="0.3">
      <c r="D321" s="20" t="str">
        <v>Category.4</v>
      </c>
      <c r="E321" s="20" t="str">
        <v>GGG</v>
      </c>
      <c r="F321" s="20" t="str">
        <v>P_12</v>
      </c>
      <c r="G321" s="20">
        <v>84</v>
      </c>
    </row>
    <row r="322" spans="2:21" x14ac:dyDescent="0.3">
      <c r="D322" s="20" t="str">
        <v>Category.4</v>
      </c>
      <c r="E322" s="20" t="str">
        <v>HHH</v>
      </c>
      <c r="F322" s="20" t="str">
        <v>P_1</v>
      </c>
      <c r="G322" s="20">
        <v>85</v>
      </c>
    </row>
    <row r="323" spans="2:21" x14ac:dyDescent="0.3">
      <c r="D323" s="20" t="str">
        <v>Category.4</v>
      </c>
      <c r="E323" s="20" t="str">
        <v>HHH</v>
      </c>
      <c r="F323" s="20" t="str">
        <v>P_2</v>
      </c>
      <c r="G323" s="20">
        <v>86</v>
      </c>
    </row>
    <row r="324" spans="2:21" x14ac:dyDescent="0.3">
      <c r="D324" s="20" t="str">
        <v>Category.4</v>
      </c>
      <c r="E324" s="20" t="str">
        <v>HHH</v>
      </c>
      <c r="F324" s="20" t="str">
        <v>P_3</v>
      </c>
      <c r="G324" s="20">
        <v>87</v>
      </c>
    </row>
    <row r="325" spans="2:21" x14ac:dyDescent="0.3">
      <c r="D325" s="20" t="str">
        <v>Category.4</v>
      </c>
      <c r="E325" s="20" t="str">
        <v>HHH</v>
      </c>
      <c r="F325" s="20" t="str">
        <v>P_4</v>
      </c>
      <c r="G325" s="20">
        <v>88</v>
      </c>
    </row>
    <row r="326" spans="2:21" x14ac:dyDescent="0.3">
      <c r="D326" s="20" t="str">
        <v>Category.4</v>
      </c>
      <c r="E326" s="20" t="str">
        <v>HHH</v>
      </c>
      <c r="F326" s="20" t="str">
        <v>P_5</v>
      </c>
      <c r="G326" s="20">
        <v>89</v>
      </c>
    </row>
    <row r="327" spans="2:21" x14ac:dyDescent="0.3">
      <c r="D327" s="20" t="str">
        <v>Category.4</v>
      </c>
      <c r="E327" s="20" t="str">
        <v>HHH</v>
      </c>
      <c r="F327" s="20" t="str">
        <v>P_6</v>
      </c>
      <c r="G327" s="20">
        <v>90</v>
      </c>
    </row>
    <row r="328" spans="2:21" x14ac:dyDescent="0.3">
      <c r="D328" s="20" t="str">
        <v>Category.4</v>
      </c>
      <c r="E328" s="20" t="str">
        <v>HHH</v>
      </c>
      <c r="F328" s="20" t="str">
        <v>P_7</v>
      </c>
      <c r="G328" s="20">
        <v>91</v>
      </c>
    </row>
    <row r="329" spans="2:21" x14ac:dyDescent="0.3">
      <c r="D329" s="20" t="str">
        <v>Category.4</v>
      </c>
      <c r="E329" s="20" t="str">
        <v>HHH</v>
      </c>
      <c r="F329" s="20" t="str">
        <v>P_8</v>
      </c>
      <c r="G329" s="20">
        <v>92</v>
      </c>
    </row>
    <row r="330" spans="2:21" x14ac:dyDescent="0.3">
      <c r="D330" s="20" t="str">
        <v>Category.4</v>
      </c>
      <c r="E330" s="20" t="str">
        <v>HHH</v>
      </c>
      <c r="F330" s="20" t="str">
        <v>P_9</v>
      </c>
      <c r="G330" s="20">
        <v>93</v>
      </c>
    </row>
    <row r="331" spans="2:21" x14ac:dyDescent="0.3">
      <c r="D331" s="20" t="str">
        <v>Category.4</v>
      </c>
      <c r="E331" s="20" t="str">
        <v>HHH</v>
      </c>
      <c r="F331" s="20" t="str">
        <v>P_10</v>
      </c>
      <c r="G331" s="20">
        <v>94</v>
      </c>
    </row>
    <row r="332" spans="2:21" x14ac:dyDescent="0.3">
      <c r="D332" s="20" t="str">
        <v>Category.4</v>
      </c>
      <c r="E332" s="20" t="str">
        <v>HHH</v>
      </c>
      <c r="F332" s="20" t="str">
        <v>P_11</v>
      </c>
      <c r="G332" s="20">
        <v>95</v>
      </c>
    </row>
    <row r="333" spans="2:21" x14ac:dyDescent="0.3">
      <c r="D333" s="20" t="str">
        <v>Category.4</v>
      </c>
      <c r="E333" s="20" t="str">
        <v>HHH</v>
      </c>
      <c r="F333" s="20" t="str">
        <v>P_12</v>
      </c>
      <c r="G333" s="20">
        <v>96</v>
      </c>
    </row>
    <row r="336" spans="2:21" x14ac:dyDescent="0.3">
      <c r="B336" s="28" t="s">
        <v>79</v>
      </c>
      <c r="C336" s="27"/>
      <c r="D336" s="27"/>
      <c r="E336" s="27"/>
      <c r="F336" s="27"/>
      <c r="G336" s="27"/>
      <c r="H336" s="27"/>
      <c r="I336" s="27"/>
      <c r="J336" s="27"/>
      <c r="K336" s="27"/>
      <c r="L336" s="27"/>
      <c r="M336" s="27"/>
      <c r="N336" s="27"/>
      <c r="O336" s="27"/>
      <c r="P336" s="27"/>
      <c r="Q336" s="27"/>
      <c r="R336" s="27"/>
      <c r="S336" s="27"/>
      <c r="T336" s="27"/>
      <c r="U336" s="27"/>
    </row>
    <row r="338" spans="3:99" x14ac:dyDescent="0.3">
      <c r="C338" s="24" t="s">
        <v>69</v>
      </c>
      <c r="D338" s="26">
        <v>0</v>
      </c>
    </row>
    <row r="339" spans="3:99" x14ac:dyDescent="0.3">
      <c r="C339" s="24" t="s">
        <v>62</v>
      </c>
      <c r="D339" s="25" t="str">
        <f xml:space="preserve"> ""</f>
        <v/>
      </c>
    </row>
    <row r="340" spans="3:99" x14ac:dyDescent="0.3">
      <c r="C340" s="24" t="s">
        <v>63</v>
      </c>
      <c r="D340" s="26">
        <v>0</v>
      </c>
    </row>
    <row r="341" spans="3:99" x14ac:dyDescent="0.3">
      <c r="C341" s="24" t="s">
        <v>70</v>
      </c>
      <c r="D341" s="26">
        <v>0</v>
      </c>
    </row>
    <row r="342" spans="3:99" x14ac:dyDescent="0.3">
      <c r="C342" s="24" t="s">
        <v>64</v>
      </c>
      <c r="D342" s="26">
        <v>1</v>
      </c>
    </row>
    <row r="344" spans="3:99" ht="14.4" thickBot="1" x14ac:dyDescent="0.35">
      <c r="C344" s="21"/>
      <c r="D344" s="21" t="s">
        <v>59</v>
      </c>
      <c r="E344" s="21"/>
      <c r="F344" s="21" t="s">
        <v>60</v>
      </c>
      <c r="G344" s="21"/>
      <c r="H344" s="21" t="s">
        <v>61</v>
      </c>
    </row>
    <row r="345" spans="3:99" x14ac:dyDescent="0.3">
      <c r="C345" s="23" t="s">
        <v>59</v>
      </c>
      <c r="D345" s="68" t="str" cm="1">
        <f t="array" ref="D345:H440" xml:space="preserve"> _xlfn.LAMBDA(_xlpm.data,_xlpm.row_headers,_xlpm.column_headers,_xlop.by_column,_xlop.replace_blanks,_xlop.filter_blanks,_xlop.filter_errors,_xlop.output_vertical,
  _xlfn.LET(
    _xlpm._dd, _xlpm.data,
    _xlpm._rh, _xlpm.row_headers,
    _xlpm._ch, _xlpm.column_headers,
    _xlpm._byCol, IF( _xlfn.ISOMITTED(_xlpm.by_column), 0, IF(_xlpm.by_column, 1, 0)),
    _xlpm._rep, IF( _xlfn.ISOMITTED(_xlpm.replace_blanks), "",
      IF( ISLOGICAL(_xlpm.replace_blanks),
        IF(_xlpm.replace_blanks, NA(), ""),
        _xlpm.replace_blanks)
    ),
    _xlpm._fltrB, IF( _xlfn.ISOMITTED(_xlpm.filter_blanks), 0, IF(_xlpm.filter_blanks, 1, 0)),
    _xlpm._fltrE, IF( _xlfn.ISOMITTED(_xlpm.filter_errors), 0, IF(_xlpm.filter_errors, 1, 0)),
    _xlpm._vrt, IF( _xlfn.ISOMITTED(_xlpm.output_vertical), 1, IF(_xlpm.output_vertical, 1, 0)),
    _xlpm._inpChk, _xlfn.IFS(
      IFERROR( OR( ROWS(_xlpm._rh) &lt; 1, COLUMNS(_xlpm._rh) &lt; 1, ROWS(_xlpm._ch) &lt; 1, COLUMNS(_xlpm._ch) &lt; 1, ROWS(_xlpm._dd) &lt; 1, COLUMNS(_xlpm._dd) &lt; 1), 3), 3,
      IFERROR( OR( ROWS(_xlpm._dd) &lt;&gt; ROWS(_xlpm._rh), COLUMNS(_xlpm._dd) &lt;&gt; COLUMNS(_xlpm._ch)), 3), 2,
      TRUE, 1
    ),
    _xlpm._kCols, IF(_xlpm._byCol, TRANSPOSE(_xlpm._ch), _xlpm._rh),
    _xlpm._nCols, IF(_xlpm._byCol, _xlpm._rh, TRANSPOSE(_xlpm._ch)),
    _xlpm._rK, ROWS(_xlpm._kCols),
    _xlpm._cK, COLUMNS(_xlpm._kCols),
    _xlpm._rN, ROWS(_xlpm._nCols),
    _xlpm._cN, COLUMNS(_xlpm._nCols),
    _xlpm._keys, _xlfn.LET(
      _xlpm._kp, _xlfn.MAKEARRAY(_xlpm._rK * _xlpm._rN, _xlpm._cK, _xlfn.LAMBDA(_xlpm._row,_xlpm._col, INDEX(_xlpm._kCols, ROUNDUP(_xlpm._row / _xlpm._rN, 0), _xlpm._col))),
      IF( ISBLANK(_xlpm._kp), "", _xlpm._kp)
    ),
    _xlpm._names, _xlfn.LET(
      _xlpm._np, _xlfn.MAKEARRAY(_xlpm._rK * _xlpm._rN, _xlpm._cN, _xlfn.LAMBDA(_xlpm._row,_xlpm._col, INDEX(_xlpm._nCols, MOD(_xlpm._row - 1, _xlpm._rN) + 1, _xlpm._col))),
      IF( ISBLANK(_xlpm._np), "", _xlpm._np)
    ),
    _xlpm._values, _xlfn.LET(
      _xlpm._dp, _xlfn.TOCOL(_xlpm._dd, , _xlpm._byCol),
      IF( ISBLANK(_xlpm._dp), _xlpm._rep, _xlpm._dp)
    ),
    _xlpm._rtn, _xlfn.LET(
      _xlpm._dt, _xlfn.HSTACK(_xlpm._keys, _xlpm._names, _xlpm._values),
      _xlpm._vl, _xlfn.CHOOSECOLS(_xlpm._dt, -1),
      _xlpm._dfB, IF(_xlpm._fltrB, _xlfn._xlws.FILTER(_xlpm._dt, IF( ISERROR(_xlpm._vl), TRUE, _xlfn.IFNA(_xlpm._vl, "#") &lt;&gt; "")), _xlpm._dt),
      _xlpm._dfE, IF(_xlpm._fltrE, _xlfn._xlws.FILTER(_xlpm._dfB, NOT(ISERROR( _xlfn.CHOOSECOLS(_xlpm._dfB, -1)))), _xlpm._dfB),
      IF(NOT(_xlpm._vrt), TRANSPOSE(_xlpm._dfE), _xlpm._dfE)
    ),
    CHOOSE(_xlpm._inpChk, _xlpm._rtn, _xlfn.LAMBDA(0), #VALUE!)
  )
)($E$12:$P$19, $C$12:$D$19, $E$10:$P$11, D338, D339, D340, D341, D342)</f>
        <v>Category.1</v>
      </c>
      <c r="E345" s="20" t="str">
        <v>AAA</v>
      </c>
      <c r="F345" s="20" t="str">
        <v>Jan</v>
      </c>
      <c r="G345" s="20" t="str">
        <v>P_1</v>
      </c>
      <c r="H345" s="20">
        <v>1</v>
      </c>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c r="BW345" s="20"/>
      <c r="BX345" s="20"/>
      <c r="BY345" s="20"/>
      <c r="BZ345" s="20"/>
      <c r="CA345" s="20"/>
      <c r="CB345" s="20"/>
      <c r="CC345" s="20"/>
      <c r="CD345" s="20"/>
      <c r="CE345" s="20"/>
      <c r="CF345" s="20"/>
      <c r="CG345" s="20"/>
      <c r="CH345" s="20"/>
      <c r="CI345" s="20"/>
      <c r="CJ345" s="20"/>
      <c r="CK345" s="20"/>
      <c r="CL345" s="20"/>
      <c r="CM345" s="20"/>
      <c r="CN345" s="20"/>
      <c r="CO345" s="20"/>
      <c r="CP345" s="20"/>
      <c r="CQ345" s="20"/>
      <c r="CR345" s="20"/>
      <c r="CS345" s="20"/>
      <c r="CT345" s="20"/>
      <c r="CU345" s="20"/>
    </row>
    <row r="346" spans="3:99" x14ac:dyDescent="0.3">
      <c r="C346" s="23"/>
      <c r="D346" s="20" t="str">
        <v>Category.1</v>
      </c>
      <c r="E346" s="20" t="str">
        <v>AAA</v>
      </c>
      <c r="F346" s="20" t="str">
        <v>Feb</v>
      </c>
      <c r="G346" s="20" t="str">
        <v>P_2</v>
      </c>
      <c r="H346" s="20">
        <v>2</v>
      </c>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20"/>
      <c r="CD346" s="20"/>
      <c r="CE346" s="20"/>
      <c r="CF346" s="20"/>
      <c r="CG346" s="20"/>
      <c r="CH346" s="20"/>
      <c r="CI346" s="20"/>
      <c r="CJ346" s="20"/>
      <c r="CK346" s="20"/>
      <c r="CL346" s="20"/>
      <c r="CM346" s="20"/>
      <c r="CN346" s="20"/>
      <c r="CO346" s="20"/>
      <c r="CP346" s="20"/>
      <c r="CQ346" s="20"/>
      <c r="CR346" s="20"/>
      <c r="CS346" s="20"/>
      <c r="CT346" s="20"/>
      <c r="CU346" s="20"/>
    </row>
    <row r="347" spans="3:99" x14ac:dyDescent="0.3">
      <c r="C347" s="23" t="s">
        <v>60</v>
      </c>
      <c r="D347" s="20" t="str">
        <v>Category.1</v>
      </c>
      <c r="E347" s="20" t="str">
        <v>AAA</v>
      </c>
      <c r="F347" s="20" t="str">
        <v>Mar</v>
      </c>
      <c r="G347" s="20" t="str">
        <v>P_3</v>
      </c>
      <c r="H347" s="20">
        <v>3</v>
      </c>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20"/>
      <c r="CD347" s="20"/>
      <c r="CE347" s="20"/>
      <c r="CF347" s="20"/>
      <c r="CG347" s="20"/>
      <c r="CH347" s="20"/>
      <c r="CI347" s="20"/>
      <c r="CJ347" s="20"/>
      <c r="CK347" s="20"/>
      <c r="CL347" s="20"/>
      <c r="CM347" s="20"/>
      <c r="CN347" s="20"/>
      <c r="CO347" s="20"/>
      <c r="CP347" s="20"/>
      <c r="CQ347" s="20"/>
      <c r="CR347" s="20"/>
      <c r="CS347" s="20"/>
      <c r="CT347" s="20"/>
      <c r="CU347" s="20"/>
    </row>
    <row r="348" spans="3:99" x14ac:dyDescent="0.3">
      <c r="C348" s="23"/>
      <c r="D348" s="20" t="str">
        <v>Category.1</v>
      </c>
      <c r="E348" s="20" t="str">
        <v>AAA</v>
      </c>
      <c r="F348" s="20" t="str">
        <v>Apr</v>
      </c>
      <c r="G348" s="20" t="str">
        <v>P_4</v>
      </c>
      <c r="H348" s="20">
        <v>4</v>
      </c>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c r="BR348" s="20"/>
      <c r="BS348" s="20"/>
      <c r="BT348" s="20"/>
      <c r="BU348" s="20"/>
      <c r="BV348" s="20"/>
      <c r="BW348" s="20"/>
      <c r="BX348" s="20"/>
      <c r="BY348" s="20"/>
      <c r="BZ348" s="20"/>
      <c r="CA348" s="20"/>
      <c r="CB348" s="20"/>
      <c r="CC348" s="20"/>
      <c r="CD348" s="20"/>
      <c r="CE348" s="20"/>
      <c r="CF348" s="20"/>
      <c r="CG348" s="20"/>
      <c r="CH348" s="20"/>
      <c r="CI348" s="20"/>
      <c r="CJ348" s="20"/>
      <c r="CK348" s="20"/>
      <c r="CL348" s="20"/>
      <c r="CM348" s="20"/>
      <c r="CN348" s="20"/>
      <c r="CO348" s="20"/>
      <c r="CP348" s="20"/>
      <c r="CQ348" s="20"/>
      <c r="CR348" s="20"/>
      <c r="CS348" s="20"/>
      <c r="CT348" s="20"/>
      <c r="CU348" s="20"/>
    </row>
    <row r="349" spans="3:99" x14ac:dyDescent="0.3">
      <c r="C349" s="23" t="s">
        <v>61</v>
      </c>
      <c r="D349" s="20" t="str">
        <v>Category.1</v>
      </c>
      <c r="E349" s="20" t="str">
        <v>AAA</v>
      </c>
      <c r="F349" s="20" t="str">
        <v>May</v>
      </c>
      <c r="G349" s="20" t="str">
        <v>P_5</v>
      </c>
      <c r="H349" s="20">
        <v>5</v>
      </c>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c r="BS349" s="20"/>
      <c r="BT349" s="20"/>
      <c r="BU349" s="20"/>
      <c r="BV349" s="20"/>
      <c r="BW349" s="20"/>
      <c r="BX349" s="20"/>
      <c r="BY349" s="20"/>
      <c r="BZ349" s="20"/>
      <c r="CA349" s="20"/>
      <c r="CB349" s="20"/>
      <c r="CC349" s="20"/>
      <c r="CD349" s="20"/>
      <c r="CE349" s="20"/>
      <c r="CF349" s="20"/>
      <c r="CG349" s="20"/>
      <c r="CH349" s="20"/>
      <c r="CI349" s="20"/>
      <c r="CJ349" s="20"/>
      <c r="CK349" s="20"/>
      <c r="CL349" s="20"/>
      <c r="CM349" s="20"/>
      <c r="CN349" s="20"/>
      <c r="CO349" s="20"/>
      <c r="CP349" s="20"/>
      <c r="CQ349" s="20"/>
      <c r="CR349" s="20"/>
      <c r="CS349" s="20"/>
      <c r="CT349" s="20"/>
      <c r="CU349" s="20"/>
    </row>
    <row r="350" spans="3:99" x14ac:dyDescent="0.3">
      <c r="D350" s="20" t="str">
        <v>Category.1</v>
      </c>
      <c r="E350" s="20" t="str">
        <v>AAA</v>
      </c>
      <c r="F350" s="20" t="str">
        <v>Jun</v>
      </c>
      <c r="G350" s="20" t="str">
        <v>P_6</v>
      </c>
      <c r="H350" s="20">
        <v>6</v>
      </c>
    </row>
    <row r="351" spans="3:99" x14ac:dyDescent="0.3">
      <c r="D351" s="20" t="str">
        <v>Category.1</v>
      </c>
      <c r="E351" s="20" t="str">
        <v>AAA</v>
      </c>
      <c r="F351" s="20" t="str">
        <v>Jul</v>
      </c>
      <c r="G351" s="20" t="str">
        <v>P_7</v>
      </c>
      <c r="H351" s="20">
        <v>7</v>
      </c>
      <c r="J351" s="52" t="str" cm="1">
        <f t="array" aca="1" ref="J351:J397" ca="1" xml:space="preserve"> _xlfn.TEXTSPLIT( _xlfn.FORMULATEXT(D345), , CHAR(10))</f>
        <v>= LAMBDA(data,row_headers,column_headers,[by_column],[replace_blanks],[filter_blanks],[filter_errors],[output_vertical],</v>
      </c>
    </row>
    <row r="352" spans="3:99" x14ac:dyDescent="0.3">
      <c r="D352" s="20" t="str">
        <v>Category.1</v>
      </c>
      <c r="E352" s="20" t="str">
        <v>AAA</v>
      </c>
      <c r="F352" s="20" t="str">
        <v>Aug</v>
      </c>
      <c r="G352" s="20" t="str">
        <v>P_8</v>
      </c>
      <c r="H352" s="20">
        <v>8</v>
      </c>
      <c r="J352" s="52" t="str">
        <f ca="1"/>
        <v xml:space="preserve">  LET(</v>
      </c>
    </row>
    <row r="353" spans="4:10" x14ac:dyDescent="0.3">
      <c r="D353" s="20" t="str">
        <v>Category.1</v>
      </c>
      <c r="E353" s="20" t="str">
        <v>AAA</v>
      </c>
      <c r="F353" s="20" t="str">
        <v>Sep</v>
      </c>
      <c r="G353" s="20" t="str">
        <v>P_9</v>
      </c>
      <c r="H353" s="20">
        <v>9</v>
      </c>
      <c r="J353" s="52" t="str">
        <f ca="1"/>
        <v xml:space="preserve">    _dd, data,</v>
      </c>
    </row>
    <row r="354" spans="4:10" x14ac:dyDescent="0.3">
      <c r="D354" s="20" t="str">
        <v>Category.1</v>
      </c>
      <c r="E354" s="20" t="str">
        <v>AAA</v>
      </c>
      <c r="F354" s="20" t="str">
        <v>Oct</v>
      </c>
      <c r="G354" s="20" t="str">
        <v>P_10</v>
      </c>
      <c r="H354" s="20">
        <v>10</v>
      </c>
      <c r="J354" s="52" t="str">
        <f ca="1"/>
        <v xml:space="preserve">    _rh, row_headers,</v>
      </c>
    </row>
    <row r="355" spans="4:10" x14ac:dyDescent="0.3">
      <c r="D355" s="20" t="str">
        <v>Category.1</v>
      </c>
      <c r="E355" s="20" t="str">
        <v>AAA</v>
      </c>
      <c r="F355" s="20" t="str">
        <v>Nov</v>
      </c>
      <c r="G355" s="20" t="str">
        <v>P_11</v>
      </c>
      <c r="H355" s="20">
        <v>11</v>
      </c>
      <c r="J355" s="52" t="str">
        <f ca="1"/>
        <v xml:space="preserve">    _ch, column_headers,</v>
      </c>
    </row>
    <row r="356" spans="4:10" x14ac:dyDescent="0.3">
      <c r="D356" s="20" t="str">
        <v>Category.1</v>
      </c>
      <c r="E356" s="20" t="str">
        <v>AAA</v>
      </c>
      <c r="F356" s="20" t="str">
        <v>Dec</v>
      </c>
      <c r="G356" s="20" t="str">
        <v>P_12</v>
      </c>
      <c r="H356" s="20">
        <v>12</v>
      </c>
      <c r="J356" s="52" t="str">
        <f ca="1"/>
        <v xml:space="preserve">    _byCol, IF( ISOMITTED(by_column), 0, IF(by_column, 1, 0)),</v>
      </c>
    </row>
    <row r="357" spans="4:10" x14ac:dyDescent="0.3">
      <c r="D357" s="20" t="str">
        <v>Category.1</v>
      </c>
      <c r="E357" s="20" t="str">
        <v>BBB</v>
      </c>
      <c r="F357" s="20" t="str">
        <v>Jan</v>
      </c>
      <c r="G357" s="20" t="str">
        <v>P_1</v>
      </c>
      <c r="H357" s="20">
        <v>13</v>
      </c>
      <c r="J357" s="52" t="str">
        <f ca="1"/>
        <v xml:space="preserve">    _rep, IF( ISOMITTED(replace_blanks), "",</v>
      </c>
    </row>
    <row r="358" spans="4:10" x14ac:dyDescent="0.3">
      <c r="D358" s="20" t="str">
        <v>Category.1</v>
      </c>
      <c r="E358" s="20" t="str">
        <v>BBB</v>
      </c>
      <c r="F358" s="20" t="str">
        <v>Feb</v>
      </c>
      <c r="G358" s="20" t="str">
        <v>P_2</v>
      </c>
      <c r="H358" s="20">
        <v>14</v>
      </c>
      <c r="J358" s="52" t="str">
        <f ca="1"/>
        <v xml:space="preserve">      IF( ISLOGICAL(replace_blanks),</v>
      </c>
    </row>
    <row r="359" spans="4:10" x14ac:dyDescent="0.3">
      <c r="D359" s="20" t="str">
        <v>Category.1</v>
      </c>
      <c r="E359" s="20" t="str">
        <v>BBB</v>
      </c>
      <c r="F359" s="20" t="str">
        <v>Mar</v>
      </c>
      <c r="G359" s="20" t="str">
        <v>P_3</v>
      </c>
      <c r="H359" s="20">
        <v>15</v>
      </c>
      <c r="J359" s="52" t="str">
        <f ca="1"/>
        <v xml:space="preserve">        IF(replace_blanks, NA(), ""),</v>
      </c>
    </row>
    <row r="360" spans="4:10" x14ac:dyDescent="0.3">
      <c r="D360" s="20" t="str">
        <v>Category.1</v>
      </c>
      <c r="E360" s="20" t="str">
        <v>BBB</v>
      </c>
      <c r="F360" s="20" t="str">
        <v>Apr</v>
      </c>
      <c r="G360" s="20" t="str">
        <v>P_4</v>
      </c>
      <c r="H360" s="20">
        <v>16</v>
      </c>
      <c r="J360" s="52" t="str">
        <f ca="1"/>
        <v xml:space="preserve">        replace_blanks)</v>
      </c>
    </row>
    <row r="361" spans="4:10" x14ac:dyDescent="0.3">
      <c r="D361" s="20" t="str">
        <v>Category.1</v>
      </c>
      <c r="E361" s="20" t="str">
        <v>BBB</v>
      </c>
      <c r="F361" s="20" t="str">
        <v>May</v>
      </c>
      <c r="G361" s="20" t="str">
        <v>P_5</v>
      </c>
      <c r="H361" s="20">
        <v>17</v>
      </c>
      <c r="J361" s="52" t="str">
        <f ca="1"/>
        <v xml:space="preserve">    ),</v>
      </c>
    </row>
    <row r="362" spans="4:10" x14ac:dyDescent="0.3">
      <c r="D362" s="20" t="str">
        <v>Category.1</v>
      </c>
      <c r="E362" s="20" t="str">
        <v>BBB</v>
      </c>
      <c r="F362" s="20" t="str">
        <v>Jun</v>
      </c>
      <c r="G362" s="20" t="str">
        <v>P_6</v>
      </c>
      <c r="H362" s="20">
        <v>18</v>
      </c>
      <c r="J362" s="52" t="str">
        <f ca="1"/>
        <v xml:space="preserve">    _fltrB, IF( ISOMITTED(filter_blanks), 0, IF(filter_blanks, 1, 0)),</v>
      </c>
    </row>
    <row r="363" spans="4:10" x14ac:dyDescent="0.3">
      <c r="D363" s="20" t="str">
        <v>Category.1</v>
      </c>
      <c r="E363" s="20" t="str">
        <v>BBB</v>
      </c>
      <c r="F363" s="20" t="str">
        <v>Jul</v>
      </c>
      <c r="G363" s="20" t="str">
        <v>P_7</v>
      </c>
      <c r="H363" s="20">
        <v>19</v>
      </c>
      <c r="J363" s="52" t="str">
        <f ca="1"/>
        <v xml:space="preserve">    _fltrE, IF( ISOMITTED(filter_errors), 0, IF(filter_errors, 1, 0)),</v>
      </c>
    </row>
    <row r="364" spans="4:10" x14ac:dyDescent="0.3">
      <c r="D364" s="20" t="str">
        <v>Category.1</v>
      </c>
      <c r="E364" s="20" t="str">
        <v>BBB</v>
      </c>
      <c r="F364" s="20" t="str">
        <v>Aug</v>
      </c>
      <c r="G364" s="20" t="str">
        <v>P_8</v>
      </c>
      <c r="H364" s="20">
        <v>20</v>
      </c>
      <c r="J364" s="52" t="str">
        <f ca="1"/>
        <v xml:space="preserve">    _vrt, IF( ISOMITTED(output_vertical), 1, IF(output_vertical, 1, 0)),</v>
      </c>
    </row>
    <row r="365" spans="4:10" x14ac:dyDescent="0.3">
      <c r="D365" s="20" t="str">
        <v>Category.1</v>
      </c>
      <c r="E365" s="20" t="str">
        <v>BBB</v>
      </c>
      <c r="F365" s="20" t="str">
        <v>Sep</v>
      </c>
      <c r="G365" s="20" t="str">
        <v>P_9</v>
      </c>
      <c r="H365" s="20">
        <v>21</v>
      </c>
      <c r="J365" s="52" t="str">
        <f ca="1"/>
        <v xml:space="preserve">    _inpChk, IFS(</v>
      </c>
    </row>
    <row r="366" spans="4:10" x14ac:dyDescent="0.3">
      <c r="D366" s="20" t="str">
        <v>Category.1</v>
      </c>
      <c r="E366" s="20" t="str">
        <v>BBB</v>
      </c>
      <c r="F366" s="20" t="str">
        <v>Oct</v>
      </c>
      <c r="G366" s="20" t="str">
        <v>P_10</v>
      </c>
      <c r="H366" s="20">
        <v>22</v>
      </c>
      <c r="J366" s="52" t="str">
        <f ca="1"/>
        <v xml:space="preserve">      IFERROR( OR( ROWS(_rh) &lt; 1, COLUMNS(_rh) &lt; 1, ROWS(_ch) &lt; 1, COLUMNS(_ch) &lt; 1, ROWS(_dd) &lt; 1, COLUMNS(_dd) &lt; 1), 3), 3,</v>
      </c>
    </row>
    <row r="367" spans="4:10" x14ac:dyDescent="0.3">
      <c r="D367" s="20" t="str">
        <v>Category.1</v>
      </c>
      <c r="E367" s="20" t="str">
        <v>BBB</v>
      </c>
      <c r="F367" s="20" t="str">
        <v>Nov</v>
      </c>
      <c r="G367" s="20" t="str">
        <v>P_11</v>
      </c>
      <c r="H367" s="20">
        <v>23</v>
      </c>
      <c r="J367" s="52" t="str">
        <f ca="1"/>
        <v xml:space="preserve">      IFERROR( OR( ROWS(_dd) &lt;&gt; ROWS(_rh), COLUMNS(_dd) &lt;&gt; COLUMNS(_ch)), 3), 2,</v>
      </c>
    </row>
    <row r="368" spans="4:10" x14ac:dyDescent="0.3">
      <c r="D368" s="20" t="str">
        <v>Category.1</v>
      </c>
      <c r="E368" s="20" t="str">
        <v>BBB</v>
      </c>
      <c r="F368" s="20" t="str">
        <v>Dec</v>
      </c>
      <c r="G368" s="20" t="str">
        <v>P_12</v>
      </c>
      <c r="H368" s="20">
        <v>24</v>
      </c>
      <c r="J368" s="52" t="str">
        <f ca="1"/>
        <v xml:space="preserve">      TRUE, 1</v>
      </c>
    </row>
    <row r="369" spans="4:10" x14ac:dyDescent="0.3">
      <c r="D369" s="20" t="str">
        <v>Category.2</v>
      </c>
      <c r="E369" s="20" t="str">
        <v>CCC</v>
      </c>
      <c r="F369" s="20" t="str">
        <v>Jan</v>
      </c>
      <c r="G369" s="20" t="str">
        <v>P_1</v>
      </c>
      <c r="H369" s="20">
        <v>25</v>
      </c>
      <c r="J369" s="52" t="str">
        <f ca="1"/>
        <v xml:space="preserve">    ),</v>
      </c>
    </row>
    <row r="370" spans="4:10" x14ac:dyDescent="0.3">
      <c r="D370" s="20" t="str">
        <v>Category.2</v>
      </c>
      <c r="E370" s="20" t="str">
        <v>CCC</v>
      </c>
      <c r="F370" s="20" t="str">
        <v>Feb</v>
      </c>
      <c r="G370" s="20" t="str">
        <v>P_2</v>
      </c>
      <c r="H370" s="20">
        <v>26</v>
      </c>
      <c r="J370" s="52" t="str">
        <f ca="1"/>
        <v xml:space="preserve">    _kCols, IF(_byCol, TRANSPOSE(_ch), _rh),</v>
      </c>
    </row>
    <row r="371" spans="4:10" x14ac:dyDescent="0.3">
      <c r="D371" s="20" t="str">
        <v>Category.2</v>
      </c>
      <c r="E371" s="20" t="str">
        <v>CCC</v>
      </c>
      <c r="F371" s="20" t="str">
        <v>Mar</v>
      </c>
      <c r="G371" s="20" t="str">
        <v>P_3</v>
      </c>
      <c r="H371" s="20">
        <v>27</v>
      </c>
      <c r="J371" s="52" t="str">
        <f ca="1"/>
        <v xml:space="preserve">    _nCols, IF(_byCol, _rh, TRANSPOSE(_ch)),</v>
      </c>
    </row>
    <row r="372" spans="4:10" x14ac:dyDescent="0.3">
      <c r="D372" s="20" t="str">
        <v>Category.2</v>
      </c>
      <c r="E372" s="20" t="str">
        <v>CCC</v>
      </c>
      <c r="F372" s="20" t="str">
        <v>Apr</v>
      </c>
      <c r="G372" s="20" t="str">
        <v>P_4</v>
      </c>
      <c r="H372" s="20">
        <v>28</v>
      </c>
      <c r="J372" s="52" t="str">
        <f ca="1"/>
        <v xml:space="preserve">    _rK, ROWS(_kCols),</v>
      </c>
    </row>
    <row r="373" spans="4:10" x14ac:dyDescent="0.3">
      <c r="D373" s="20" t="str">
        <v>Category.2</v>
      </c>
      <c r="E373" s="20" t="str">
        <v>CCC</v>
      </c>
      <c r="F373" s="20" t="str">
        <v>May</v>
      </c>
      <c r="G373" s="20" t="str">
        <v>P_5</v>
      </c>
      <c r="H373" s="20">
        <v>29</v>
      </c>
      <c r="J373" s="52" t="str">
        <f ca="1"/>
        <v xml:space="preserve">    _cK, COLUMNS(_kCols),</v>
      </c>
    </row>
    <row r="374" spans="4:10" x14ac:dyDescent="0.3">
      <c r="D374" s="20" t="str">
        <v>Category.2</v>
      </c>
      <c r="E374" s="20" t="str">
        <v>CCC</v>
      </c>
      <c r="F374" s="20" t="str">
        <v>Jun</v>
      </c>
      <c r="G374" s="20" t="str">
        <v>P_6</v>
      </c>
      <c r="H374" s="20">
        <v>30</v>
      </c>
      <c r="J374" s="52" t="str">
        <f ca="1"/>
        <v xml:space="preserve">    _rN, ROWS(_nCols),</v>
      </c>
    </row>
    <row r="375" spans="4:10" x14ac:dyDescent="0.3">
      <c r="D375" s="20" t="str">
        <v>Category.2</v>
      </c>
      <c r="E375" s="20" t="str">
        <v>CCC</v>
      </c>
      <c r="F375" s="20" t="str">
        <v>Jul</v>
      </c>
      <c r="G375" s="20" t="str">
        <v>P_7</v>
      </c>
      <c r="H375" s="20">
        <v>31</v>
      </c>
      <c r="J375" s="52" t="str">
        <f ca="1"/>
        <v xml:space="preserve">    _cN, COLUMNS(_nCols),</v>
      </c>
    </row>
    <row r="376" spans="4:10" x14ac:dyDescent="0.3">
      <c r="D376" s="20" t="str">
        <v>Category.2</v>
      </c>
      <c r="E376" s="20" t="str">
        <v>CCC</v>
      </c>
      <c r="F376" s="20" t="str">
        <v>Aug</v>
      </c>
      <c r="G376" s="20" t="str">
        <v>P_8</v>
      </c>
      <c r="H376" s="20">
        <v>32</v>
      </c>
      <c r="J376" s="52" t="str">
        <f ca="1"/>
        <v xml:space="preserve">    _keys, LET(</v>
      </c>
    </row>
    <row r="377" spans="4:10" x14ac:dyDescent="0.3">
      <c r="D377" s="20" t="str">
        <v>Category.2</v>
      </c>
      <c r="E377" s="20" t="str">
        <v>CCC</v>
      </c>
      <c r="F377" s="20" t="str">
        <v>Sep</v>
      </c>
      <c r="G377" s="20" t="str">
        <v>P_9</v>
      </c>
      <c r="H377" s="20">
        <v>33</v>
      </c>
      <c r="J377" s="52" t="str">
        <f ca="1"/>
        <v xml:space="preserve">      _kp, MAKEARRAY(_rK * _rN, _cK, LAMBDA(_row,_col, INDEX(_kCols, ROUNDUP(_row / _rN, 0), _col))),</v>
      </c>
    </row>
    <row r="378" spans="4:10" x14ac:dyDescent="0.3">
      <c r="D378" s="20" t="str">
        <v>Category.2</v>
      </c>
      <c r="E378" s="20" t="str">
        <v>CCC</v>
      </c>
      <c r="F378" s="20" t="str">
        <v>Oct</v>
      </c>
      <c r="G378" s="20" t="str">
        <v>P_10</v>
      </c>
      <c r="H378" s="20">
        <v>34</v>
      </c>
      <c r="J378" s="52" t="str">
        <f ca="1"/>
        <v xml:space="preserve">      IF( ISBLANK(_kp), "", _kp)</v>
      </c>
    </row>
    <row r="379" spans="4:10" x14ac:dyDescent="0.3">
      <c r="D379" s="20" t="str">
        <v>Category.2</v>
      </c>
      <c r="E379" s="20" t="str">
        <v>CCC</v>
      </c>
      <c r="F379" s="20" t="str">
        <v>Nov</v>
      </c>
      <c r="G379" s="20" t="str">
        <v>P_11</v>
      </c>
      <c r="H379" s="20">
        <v>35</v>
      </c>
      <c r="J379" s="52" t="str">
        <f ca="1"/>
        <v xml:space="preserve">    ),</v>
      </c>
    </row>
    <row r="380" spans="4:10" x14ac:dyDescent="0.3">
      <c r="D380" s="20" t="str">
        <v>Category.2</v>
      </c>
      <c r="E380" s="20" t="str">
        <v>CCC</v>
      </c>
      <c r="F380" s="20" t="str">
        <v>Dec</v>
      </c>
      <c r="G380" s="20" t="str">
        <v>P_12</v>
      </c>
      <c r="H380" s="20">
        <v>36</v>
      </c>
      <c r="J380" s="52" t="str">
        <f ca="1"/>
        <v xml:space="preserve">    _names, LET(</v>
      </c>
    </row>
    <row r="381" spans="4:10" x14ac:dyDescent="0.3">
      <c r="D381" s="20" t="str">
        <v>Category.2</v>
      </c>
      <c r="E381" s="20" t="str">
        <v>DDD</v>
      </c>
      <c r="F381" s="20" t="str">
        <v>Jan</v>
      </c>
      <c r="G381" s="20" t="str">
        <v>P_1</v>
      </c>
      <c r="H381" s="20">
        <v>37</v>
      </c>
      <c r="J381" s="52" t="str">
        <f ca="1"/>
        <v xml:space="preserve">      _np, MAKEARRAY(_rK * _rN, _cN, LAMBDA(_row,_col, INDEX(_nCols, MOD(_row - 1, _rN) + 1, _col))),</v>
      </c>
    </row>
    <row r="382" spans="4:10" x14ac:dyDescent="0.3">
      <c r="D382" s="20" t="str">
        <v>Category.2</v>
      </c>
      <c r="E382" s="20" t="str">
        <v>DDD</v>
      </c>
      <c r="F382" s="20" t="str">
        <v>Feb</v>
      </c>
      <c r="G382" s="20" t="str">
        <v>P_2</v>
      </c>
      <c r="H382" s="20">
        <v>38</v>
      </c>
      <c r="J382" s="52" t="str">
        <f ca="1"/>
        <v xml:space="preserve">      IF( ISBLANK(_np), "", _np)</v>
      </c>
    </row>
    <row r="383" spans="4:10" x14ac:dyDescent="0.3">
      <c r="D383" s="20" t="str">
        <v>Category.2</v>
      </c>
      <c r="E383" s="20" t="str">
        <v>DDD</v>
      </c>
      <c r="F383" s="20" t="str">
        <v>Mar</v>
      </c>
      <c r="G383" s="20" t="str">
        <v>P_3</v>
      </c>
      <c r="H383" s="20">
        <v>39</v>
      </c>
      <c r="J383" s="52" t="str">
        <f ca="1"/>
        <v xml:space="preserve">    ),</v>
      </c>
    </row>
    <row r="384" spans="4:10" x14ac:dyDescent="0.3">
      <c r="D384" s="20" t="str">
        <v>Category.2</v>
      </c>
      <c r="E384" s="20" t="str">
        <v>DDD</v>
      </c>
      <c r="F384" s="20" t="str">
        <v>Apr</v>
      </c>
      <c r="G384" s="20" t="str">
        <v>P_4</v>
      </c>
      <c r="H384" s="20">
        <v>40</v>
      </c>
      <c r="J384" s="52" t="str">
        <f ca="1"/>
        <v xml:space="preserve">    _values, LET(</v>
      </c>
    </row>
    <row r="385" spans="4:10" x14ac:dyDescent="0.3">
      <c r="D385" s="20" t="str">
        <v>Category.2</v>
      </c>
      <c r="E385" s="20" t="str">
        <v>DDD</v>
      </c>
      <c r="F385" s="20" t="str">
        <v>May</v>
      </c>
      <c r="G385" s="20" t="str">
        <v>P_5</v>
      </c>
      <c r="H385" s="20">
        <v>41</v>
      </c>
      <c r="J385" s="52" t="str">
        <f ca="1"/>
        <v xml:space="preserve">      _dp, TOCOL(_dd, , _byCol),</v>
      </c>
    </row>
    <row r="386" spans="4:10" x14ac:dyDescent="0.3">
      <c r="D386" s="20" t="str">
        <v>Category.2</v>
      </c>
      <c r="E386" s="20" t="str">
        <v>DDD</v>
      </c>
      <c r="F386" s="20" t="str">
        <v>Jun</v>
      </c>
      <c r="G386" s="20" t="str">
        <v>P_6</v>
      </c>
      <c r="H386" s="20">
        <v>42</v>
      </c>
      <c r="J386" s="52" t="str">
        <f ca="1"/>
        <v xml:space="preserve">      IF( ISBLANK(_dp), _rep, _dp)</v>
      </c>
    </row>
    <row r="387" spans="4:10" x14ac:dyDescent="0.3">
      <c r="D387" s="20" t="str">
        <v>Category.2</v>
      </c>
      <c r="E387" s="20" t="str">
        <v>DDD</v>
      </c>
      <c r="F387" s="20" t="str">
        <v>Jul</v>
      </c>
      <c r="G387" s="20" t="str">
        <v>P_7</v>
      </c>
      <c r="H387" s="20">
        <v>43</v>
      </c>
      <c r="J387" s="52" t="str">
        <f ca="1"/>
        <v xml:space="preserve">    ),</v>
      </c>
    </row>
    <row r="388" spans="4:10" x14ac:dyDescent="0.3">
      <c r="D388" s="20" t="str">
        <v>Category.2</v>
      </c>
      <c r="E388" s="20" t="str">
        <v>DDD</v>
      </c>
      <c r="F388" s="20" t="str">
        <v>Aug</v>
      </c>
      <c r="G388" s="20" t="str">
        <v>P_8</v>
      </c>
      <c r="H388" s="20">
        <v>44</v>
      </c>
      <c r="J388" s="52" t="str">
        <f ca="1"/>
        <v xml:space="preserve">    _rtn, LET(</v>
      </c>
    </row>
    <row r="389" spans="4:10" x14ac:dyDescent="0.3">
      <c r="D389" s="20" t="str">
        <v>Category.2</v>
      </c>
      <c r="E389" s="20" t="str">
        <v>DDD</v>
      </c>
      <c r="F389" s="20" t="str">
        <v>Sep</v>
      </c>
      <c r="G389" s="20" t="str">
        <v>P_9</v>
      </c>
      <c r="H389" s="20">
        <v>45</v>
      </c>
      <c r="J389" s="52" t="str">
        <f ca="1"/>
        <v xml:space="preserve">      _dt, HSTACK(_keys, _names, _values),</v>
      </c>
    </row>
    <row r="390" spans="4:10" x14ac:dyDescent="0.3">
      <c r="D390" s="20" t="str">
        <v>Category.2</v>
      </c>
      <c r="E390" s="20" t="str">
        <v>DDD</v>
      </c>
      <c r="F390" s="20" t="str">
        <v>Oct</v>
      </c>
      <c r="G390" s="20" t="str">
        <v>P_10</v>
      </c>
      <c r="H390" s="20">
        <v>46</v>
      </c>
      <c r="J390" s="52" t="str">
        <f ca="1"/>
        <v xml:space="preserve">      _vl, CHOOSECOLS(_dt, -1),</v>
      </c>
    </row>
    <row r="391" spans="4:10" x14ac:dyDescent="0.3">
      <c r="D391" s="20" t="str">
        <v>Category.2</v>
      </c>
      <c r="E391" s="20" t="str">
        <v>DDD</v>
      </c>
      <c r="F391" s="20" t="str">
        <v>Nov</v>
      </c>
      <c r="G391" s="20" t="str">
        <v>P_11</v>
      </c>
      <c r="H391" s="20">
        <v>47</v>
      </c>
      <c r="J391" s="52" t="str">
        <f ca="1"/>
        <v xml:space="preserve">      _dfB, IF(_fltrB, FILTER(_dt, IF( ISERROR(_vl), TRUE, IFNA(_vl, "#") &lt;&gt; "")), _dt),</v>
      </c>
    </row>
    <row r="392" spans="4:10" x14ac:dyDescent="0.3">
      <c r="D392" s="20" t="str">
        <v>Category.2</v>
      </c>
      <c r="E392" s="20" t="str">
        <v>DDD</v>
      </c>
      <c r="F392" s="20" t="str">
        <v>Dec</v>
      </c>
      <c r="G392" s="20" t="str">
        <v>P_12</v>
      </c>
      <c r="H392" s="20">
        <v>48</v>
      </c>
      <c r="J392" s="52" t="str">
        <f ca="1"/>
        <v xml:space="preserve">      _dfE, IF(_fltrE, FILTER(_dfB, NOT(ISERROR( CHOOSECOLS(_dfB, -1)))), _dfB),</v>
      </c>
    </row>
    <row r="393" spans="4:10" x14ac:dyDescent="0.3">
      <c r="D393" s="20" t="str">
        <v>Category.3</v>
      </c>
      <c r="E393" s="20" t="str">
        <v>EEE</v>
      </c>
      <c r="F393" s="20" t="str">
        <v>Jan</v>
      </c>
      <c r="G393" s="20" t="str">
        <v>P_1</v>
      </c>
      <c r="H393" s="20">
        <v>49</v>
      </c>
      <c r="J393" s="52" t="str">
        <f ca="1"/>
        <v xml:space="preserve">      IF(NOT(_vrt), TRANSPOSE(_dfE), _dfE)</v>
      </c>
    </row>
    <row r="394" spans="4:10" x14ac:dyDescent="0.3">
      <c r="D394" s="20" t="str">
        <v>Category.3</v>
      </c>
      <c r="E394" s="20" t="str">
        <v>EEE</v>
      </c>
      <c r="F394" s="20" t="str">
        <v>Feb</v>
      </c>
      <c r="G394" s="20" t="str">
        <v>P_2</v>
      </c>
      <c r="H394" s="20">
        <v>50</v>
      </c>
      <c r="J394" s="52" t="str">
        <f ca="1"/>
        <v xml:space="preserve">    ),</v>
      </c>
    </row>
    <row r="395" spans="4:10" x14ac:dyDescent="0.3">
      <c r="D395" s="20" t="str">
        <v>Category.3</v>
      </c>
      <c r="E395" s="20" t="str">
        <v>EEE</v>
      </c>
      <c r="F395" s="20" t="str">
        <v>Mar</v>
      </c>
      <c r="G395" s="20" t="str">
        <v>P_3</v>
      </c>
      <c r="H395" s="20">
        <v>51</v>
      </c>
      <c r="J395" s="52" t="str">
        <f ca="1"/>
        <v xml:space="preserve">    CHOOSE(_inpChk, _rtn, LAMBDA(0), #VALUE!)</v>
      </c>
    </row>
    <row r="396" spans="4:10" x14ac:dyDescent="0.3">
      <c r="D396" s="20" t="str">
        <v>Category.3</v>
      </c>
      <c r="E396" s="20" t="str">
        <v>EEE</v>
      </c>
      <c r="F396" s="20" t="str">
        <v>Apr</v>
      </c>
      <c r="G396" s="20" t="str">
        <v>P_4</v>
      </c>
      <c r="H396" s="20">
        <v>52</v>
      </c>
      <c r="J396" s="52" t="str">
        <f ca="1"/>
        <v xml:space="preserve">  )</v>
      </c>
    </row>
    <row r="397" spans="4:10" x14ac:dyDescent="0.3">
      <c r="D397" s="20" t="str">
        <v>Category.3</v>
      </c>
      <c r="E397" s="20" t="str">
        <v>EEE</v>
      </c>
      <c r="F397" s="20" t="str">
        <v>May</v>
      </c>
      <c r="G397" s="20" t="str">
        <v>P_5</v>
      </c>
      <c r="H397" s="20">
        <v>53</v>
      </c>
      <c r="J397" s="52" t="str">
        <f ca="1"/>
        <v>)($E$12:$P$19, $C$12:$D$19, $E$10:$P$11, D338, D339, D340, D341, D342)</v>
      </c>
    </row>
    <row r="398" spans="4:10" x14ac:dyDescent="0.3">
      <c r="D398" s="20" t="str">
        <v>Category.3</v>
      </c>
      <c r="E398" s="20" t="str">
        <v>EEE</v>
      </c>
      <c r="F398" s="20" t="str">
        <v>Jun</v>
      </c>
      <c r="G398" s="20" t="str">
        <v>P_6</v>
      </c>
      <c r="H398" s="20">
        <v>54</v>
      </c>
    </row>
    <row r="399" spans="4:10" x14ac:dyDescent="0.3">
      <c r="D399" s="20" t="str">
        <v>Category.3</v>
      </c>
      <c r="E399" s="20" t="str">
        <v>EEE</v>
      </c>
      <c r="F399" s="20" t="str">
        <v>Jul</v>
      </c>
      <c r="G399" s="20" t="str">
        <v>P_7</v>
      </c>
      <c r="H399" s="20">
        <v>55</v>
      </c>
    </row>
    <row r="400" spans="4:10" x14ac:dyDescent="0.3">
      <c r="D400" s="20" t="str">
        <v>Category.3</v>
      </c>
      <c r="E400" s="20" t="str">
        <v>EEE</v>
      </c>
      <c r="F400" s="20" t="str">
        <v>Aug</v>
      </c>
      <c r="G400" s="20" t="str">
        <v>P_8</v>
      </c>
      <c r="H400" s="20">
        <v>56</v>
      </c>
    </row>
    <row r="401" spans="4:8" x14ac:dyDescent="0.3">
      <c r="D401" s="20" t="str">
        <v>Category.3</v>
      </c>
      <c r="E401" s="20" t="str">
        <v>EEE</v>
      </c>
      <c r="F401" s="20" t="str">
        <v>Sep</v>
      </c>
      <c r="G401" s="20" t="str">
        <v>P_9</v>
      </c>
      <c r="H401" s="20">
        <v>57</v>
      </c>
    </row>
    <row r="402" spans="4:8" x14ac:dyDescent="0.3">
      <c r="D402" s="20" t="str">
        <v>Category.3</v>
      </c>
      <c r="E402" s="20" t="str">
        <v>EEE</v>
      </c>
      <c r="F402" s="20" t="str">
        <v>Oct</v>
      </c>
      <c r="G402" s="20" t="str">
        <v>P_10</v>
      </c>
      <c r="H402" s="20">
        <v>58</v>
      </c>
    </row>
    <row r="403" spans="4:8" x14ac:dyDescent="0.3">
      <c r="D403" s="20" t="str">
        <v>Category.3</v>
      </c>
      <c r="E403" s="20" t="str">
        <v>EEE</v>
      </c>
      <c r="F403" s="20" t="str">
        <v>Nov</v>
      </c>
      <c r="G403" s="20" t="str">
        <v>P_11</v>
      </c>
      <c r="H403" s="20">
        <v>59</v>
      </c>
    </row>
    <row r="404" spans="4:8" x14ac:dyDescent="0.3">
      <c r="D404" s="20" t="str">
        <v>Category.3</v>
      </c>
      <c r="E404" s="20" t="str">
        <v>EEE</v>
      </c>
      <c r="F404" s="20" t="str">
        <v>Dec</v>
      </c>
      <c r="G404" s="20" t="str">
        <v>P_12</v>
      </c>
      <c r="H404" s="20">
        <v>60</v>
      </c>
    </row>
    <row r="405" spans="4:8" x14ac:dyDescent="0.3">
      <c r="D405" s="20" t="str">
        <v>Category.3</v>
      </c>
      <c r="E405" s="20" t="str">
        <v>FFF</v>
      </c>
      <c r="F405" s="20" t="str">
        <v>Jan</v>
      </c>
      <c r="G405" s="20" t="str">
        <v>P_1</v>
      </c>
      <c r="H405" s="20">
        <v>61</v>
      </c>
    </row>
    <row r="406" spans="4:8" x14ac:dyDescent="0.3">
      <c r="D406" s="20" t="str">
        <v>Category.3</v>
      </c>
      <c r="E406" s="20" t="str">
        <v>FFF</v>
      </c>
      <c r="F406" s="20" t="str">
        <v>Feb</v>
      </c>
      <c r="G406" s="20" t="str">
        <v>P_2</v>
      </c>
      <c r="H406" s="20">
        <v>62</v>
      </c>
    </row>
    <row r="407" spans="4:8" x14ac:dyDescent="0.3">
      <c r="D407" s="20" t="str">
        <v>Category.3</v>
      </c>
      <c r="E407" s="20" t="str">
        <v>FFF</v>
      </c>
      <c r="F407" s="20" t="str">
        <v>Mar</v>
      </c>
      <c r="G407" s="20" t="str">
        <v>P_3</v>
      </c>
      <c r="H407" s="20">
        <v>63</v>
      </c>
    </row>
    <row r="408" spans="4:8" x14ac:dyDescent="0.3">
      <c r="D408" s="20" t="str">
        <v>Category.3</v>
      </c>
      <c r="E408" s="20" t="str">
        <v>FFF</v>
      </c>
      <c r="F408" s="20" t="str">
        <v>Apr</v>
      </c>
      <c r="G408" s="20" t="str">
        <v>P_4</v>
      </c>
      <c r="H408" s="20">
        <v>64</v>
      </c>
    </row>
    <row r="409" spans="4:8" x14ac:dyDescent="0.3">
      <c r="D409" s="20" t="str">
        <v>Category.3</v>
      </c>
      <c r="E409" s="20" t="str">
        <v>FFF</v>
      </c>
      <c r="F409" s="20" t="str">
        <v>May</v>
      </c>
      <c r="G409" s="20" t="str">
        <v>P_5</v>
      </c>
      <c r="H409" s="20">
        <v>65</v>
      </c>
    </row>
    <row r="410" spans="4:8" x14ac:dyDescent="0.3">
      <c r="D410" s="20" t="str">
        <v>Category.3</v>
      </c>
      <c r="E410" s="20" t="str">
        <v>FFF</v>
      </c>
      <c r="F410" s="20" t="str">
        <v>Jun</v>
      </c>
      <c r="G410" s="20" t="str">
        <v>P_6</v>
      </c>
      <c r="H410" s="20">
        <v>66</v>
      </c>
    </row>
    <row r="411" spans="4:8" x14ac:dyDescent="0.3">
      <c r="D411" s="20" t="str">
        <v>Category.3</v>
      </c>
      <c r="E411" s="20" t="str">
        <v>FFF</v>
      </c>
      <c r="F411" s="20" t="str">
        <v>Jul</v>
      </c>
      <c r="G411" s="20" t="str">
        <v>P_7</v>
      </c>
      <c r="H411" s="20">
        <v>67</v>
      </c>
    </row>
    <row r="412" spans="4:8" x14ac:dyDescent="0.3">
      <c r="D412" s="20" t="str">
        <v>Category.3</v>
      </c>
      <c r="E412" s="20" t="str">
        <v>FFF</v>
      </c>
      <c r="F412" s="20" t="str">
        <v>Aug</v>
      </c>
      <c r="G412" s="20" t="str">
        <v>P_8</v>
      </c>
      <c r="H412" s="20">
        <v>68</v>
      </c>
    </row>
    <row r="413" spans="4:8" x14ac:dyDescent="0.3">
      <c r="D413" s="20" t="str">
        <v>Category.3</v>
      </c>
      <c r="E413" s="20" t="str">
        <v>FFF</v>
      </c>
      <c r="F413" s="20" t="str">
        <v>Sep</v>
      </c>
      <c r="G413" s="20" t="str">
        <v>P_9</v>
      </c>
      <c r="H413" s="20">
        <v>69</v>
      </c>
    </row>
    <row r="414" spans="4:8" x14ac:dyDescent="0.3">
      <c r="D414" s="20" t="str">
        <v>Category.3</v>
      </c>
      <c r="E414" s="20" t="str">
        <v>FFF</v>
      </c>
      <c r="F414" s="20" t="str">
        <v>Oct</v>
      </c>
      <c r="G414" s="20" t="str">
        <v>P_10</v>
      </c>
      <c r="H414" s="20">
        <v>70</v>
      </c>
    </row>
    <row r="415" spans="4:8" x14ac:dyDescent="0.3">
      <c r="D415" s="20" t="str">
        <v>Category.3</v>
      </c>
      <c r="E415" s="20" t="str">
        <v>FFF</v>
      </c>
      <c r="F415" s="20" t="str">
        <v>Nov</v>
      </c>
      <c r="G415" s="20" t="str">
        <v>P_11</v>
      </c>
      <c r="H415" s="20">
        <v>71</v>
      </c>
    </row>
    <row r="416" spans="4:8" x14ac:dyDescent="0.3">
      <c r="D416" s="20" t="str">
        <v>Category.3</v>
      </c>
      <c r="E416" s="20" t="str">
        <v>FFF</v>
      </c>
      <c r="F416" s="20" t="str">
        <v>Dec</v>
      </c>
      <c r="G416" s="20" t="str">
        <v>P_12</v>
      </c>
      <c r="H416" s="20">
        <v>72</v>
      </c>
    </row>
    <row r="417" spans="4:8" x14ac:dyDescent="0.3">
      <c r="D417" s="20" t="str">
        <v>Category.4</v>
      </c>
      <c r="E417" s="20" t="str">
        <v>GGG</v>
      </c>
      <c r="F417" s="20" t="str">
        <v>Jan</v>
      </c>
      <c r="G417" s="20" t="str">
        <v>P_1</v>
      </c>
      <c r="H417" s="20">
        <v>73</v>
      </c>
    </row>
    <row r="418" spans="4:8" x14ac:dyDescent="0.3">
      <c r="D418" s="20" t="str">
        <v>Category.4</v>
      </c>
      <c r="E418" s="20" t="str">
        <v>GGG</v>
      </c>
      <c r="F418" s="20" t="str">
        <v>Feb</v>
      </c>
      <c r="G418" s="20" t="str">
        <v>P_2</v>
      </c>
      <c r="H418" s="20">
        <v>74</v>
      </c>
    </row>
    <row r="419" spans="4:8" x14ac:dyDescent="0.3">
      <c r="D419" s="20" t="str">
        <v>Category.4</v>
      </c>
      <c r="E419" s="20" t="str">
        <v>GGG</v>
      </c>
      <c r="F419" s="20" t="str">
        <v>Mar</v>
      </c>
      <c r="G419" s="20" t="str">
        <v>P_3</v>
      </c>
      <c r="H419" s="20">
        <v>75</v>
      </c>
    </row>
    <row r="420" spans="4:8" x14ac:dyDescent="0.3">
      <c r="D420" s="20" t="str">
        <v>Category.4</v>
      </c>
      <c r="E420" s="20" t="str">
        <v>GGG</v>
      </c>
      <c r="F420" s="20" t="str">
        <v>Apr</v>
      </c>
      <c r="G420" s="20" t="str">
        <v>P_4</v>
      </c>
      <c r="H420" s="20">
        <v>76</v>
      </c>
    </row>
    <row r="421" spans="4:8" x14ac:dyDescent="0.3">
      <c r="D421" s="20" t="str">
        <v>Category.4</v>
      </c>
      <c r="E421" s="20" t="str">
        <v>GGG</v>
      </c>
      <c r="F421" s="20" t="str">
        <v>May</v>
      </c>
      <c r="G421" s="20" t="str">
        <v>P_5</v>
      </c>
      <c r="H421" s="20">
        <v>77</v>
      </c>
    </row>
    <row r="422" spans="4:8" x14ac:dyDescent="0.3">
      <c r="D422" s="20" t="str">
        <v>Category.4</v>
      </c>
      <c r="E422" s="20" t="str">
        <v>GGG</v>
      </c>
      <c r="F422" s="20" t="str">
        <v>Jun</v>
      </c>
      <c r="G422" s="20" t="str">
        <v>P_6</v>
      </c>
      <c r="H422" s="20">
        <v>78</v>
      </c>
    </row>
    <row r="423" spans="4:8" x14ac:dyDescent="0.3">
      <c r="D423" s="20" t="str">
        <v>Category.4</v>
      </c>
      <c r="E423" s="20" t="str">
        <v>GGG</v>
      </c>
      <c r="F423" s="20" t="str">
        <v>Jul</v>
      </c>
      <c r="G423" s="20" t="str">
        <v>P_7</v>
      </c>
      <c r="H423" s="20">
        <v>79</v>
      </c>
    </row>
    <row r="424" spans="4:8" x14ac:dyDescent="0.3">
      <c r="D424" s="20" t="str">
        <v>Category.4</v>
      </c>
      <c r="E424" s="20" t="str">
        <v>GGG</v>
      </c>
      <c r="F424" s="20" t="str">
        <v>Aug</v>
      </c>
      <c r="G424" s="20" t="str">
        <v>P_8</v>
      </c>
      <c r="H424" s="20">
        <v>80</v>
      </c>
    </row>
    <row r="425" spans="4:8" x14ac:dyDescent="0.3">
      <c r="D425" s="20" t="str">
        <v>Category.4</v>
      </c>
      <c r="E425" s="20" t="str">
        <v>GGG</v>
      </c>
      <c r="F425" s="20" t="str">
        <v>Sep</v>
      </c>
      <c r="G425" s="20" t="str">
        <v>P_9</v>
      </c>
      <c r="H425" s="20">
        <v>81</v>
      </c>
    </row>
    <row r="426" spans="4:8" x14ac:dyDescent="0.3">
      <c r="D426" s="20" t="str">
        <v>Category.4</v>
      </c>
      <c r="E426" s="20" t="str">
        <v>GGG</v>
      </c>
      <c r="F426" s="20" t="str">
        <v>Oct</v>
      </c>
      <c r="G426" s="20" t="str">
        <v>P_10</v>
      </c>
      <c r="H426" s="20">
        <v>82</v>
      </c>
    </row>
    <row r="427" spans="4:8" x14ac:dyDescent="0.3">
      <c r="D427" s="20" t="str">
        <v>Category.4</v>
      </c>
      <c r="E427" s="20" t="str">
        <v>GGG</v>
      </c>
      <c r="F427" s="20" t="str">
        <v>Nov</v>
      </c>
      <c r="G427" s="20" t="str">
        <v>P_11</v>
      </c>
      <c r="H427" s="20">
        <v>83</v>
      </c>
    </row>
    <row r="428" spans="4:8" x14ac:dyDescent="0.3">
      <c r="D428" s="20" t="str">
        <v>Category.4</v>
      </c>
      <c r="E428" s="20" t="str">
        <v>GGG</v>
      </c>
      <c r="F428" s="20" t="str">
        <v>Dec</v>
      </c>
      <c r="G428" s="20" t="str">
        <v>P_12</v>
      </c>
      <c r="H428" s="20">
        <v>84</v>
      </c>
    </row>
    <row r="429" spans="4:8" x14ac:dyDescent="0.3">
      <c r="D429" s="20" t="str">
        <v>Category.4</v>
      </c>
      <c r="E429" s="20" t="str">
        <v>HHH</v>
      </c>
      <c r="F429" s="20" t="str">
        <v>Jan</v>
      </c>
      <c r="G429" s="20" t="str">
        <v>P_1</v>
      </c>
      <c r="H429" s="20">
        <v>85</v>
      </c>
    </row>
    <row r="430" spans="4:8" x14ac:dyDescent="0.3">
      <c r="D430" s="20" t="str">
        <v>Category.4</v>
      </c>
      <c r="E430" s="20" t="str">
        <v>HHH</v>
      </c>
      <c r="F430" s="20" t="str">
        <v>Feb</v>
      </c>
      <c r="G430" s="20" t="str">
        <v>P_2</v>
      </c>
      <c r="H430" s="20">
        <v>86</v>
      </c>
    </row>
    <row r="431" spans="4:8" x14ac:dyDescent="0.3">
      <c r="D431" s="20" t="str">
        <v>Category.4</v>
      </c>
      <c r="E431" s="20" t="str">
        <v>HHH</v>
      </c>
      <c r="F431" s="20" t="str">
        <v>Mar</v>
      </c>
      <c r="G431" s="20" t="str">
        <v>P_3</v>
      </c>
      <c r="H431" s="20">
        <v>87</v>
      </c>
    </row>
    <row r="432" spans="4:8" x14ac:dyDescent="0.3">
      <c r="D432" s="20" t="str">
        <v>Category.4</v>
      </c>
      <c r="E432" s="20" t="str">
        <v>HHH</v>
      </c>
      <c r="F432" s="20" t="str">
        <v>Apr</v>
      </c>
      <c r="G432" s="20" t="str">
        <v>P_4</v>
      </c>
      <c r="H432" s="20">
        <v>88</v>
      </c>
    </row>
    <row r="433" spans="2:8" x14ac:dyDescent="0.3">
      <c r="D433" s="20" t="str">
        <v>Category.4</v>
      </c>
      <c r="E433" s="20" t="str">
        <v>HHH</v>
      </c>
      <c r="F433" s="20" t="str">
        <v>May</v>
      </c>
      <c r="G433" s="20" t="str">
        <v>P_5</v>
      </c>
      <c r="H433" s="20">
        <v>89</v>
      </c>
    </row>
    <row r="434" spans="2:8" x14ac:dyDescent="0.3">
      <c r="D434" s="20" t="str">
        <v>Category.4</v>
      </c>
      <c r="E434" s="20" t="str">
        <v>HHH</v>
      </c>
      <c r="F434" s="20" t="str">
        <v>Jun</v>
      </c>
      <c r="G434" s="20" t="str">
        <v>P_6</v>
      </c>
      <c r="H434" s="20">
        <v>90</v>
      </c>
    </row>
    <row r="435" spans="2:8" x14ac:dyDescent="0.3">
      <c r="D435" s="20" t="str">
        <v>Category.4</v>
      </c>
      <c r="E435" s="20" t="str">
        <v>HHH</v>
      </c>
      <c r="F435" s="20" t="str">
        <v>Jul</v>
      </c>
      <c r="G435" s="20" t="str">
        <v>P_7</v>
      </c>
      <c r="H435" s="20">
        <v>91</v>
      </c>
    </row>
    <row r="436" spans="2:8" x14ac:dyDescent="0.3">
      <c r="D436" s="20" t="str">
        <v>Category.4</v>
      </c>
      <c r="E436" s="20" t="str">
        <v>HHH</v>
      </c>
      <c r="F436" s="20" t="str">
        <v>Aug</v>
      </c>
      <c r="G436" s="20" t="str">
        <v>P_8</v>
      </c>
      <c r="H436" s="20">
        <v>92</v>
      </c>
    </row>
    <row r="437" spans="2:8" x14ac:dyDescent="0.3">
      <c r="D437" s="20" t="str">
        <v>Category.4</v>
      </c>
      <c r="E437" s="20" t="str">
        <v>HHH</v>
      </c>
      <c r="F437" s="20" t="str">
        <v>Sep</v>
      </c>
      <c r="G437" s="20" t="str">
        <v>P_9</v>
      </c>
      <c r="H437" s="20">
        <v>93</v>
      </c>
    </row>
    <row r="438" spans="2:8" x14ac:dyDescent="0.3">
      <c r="D438" s="20" t="str">
        <v>Category.4</v>
      </c>
      <c r="E438" s="20" t="str">
        <v>HHH</v>
      </c>
      <c r="F438" s="20" t="str">
        <v>Oct</v>
      </c>
      <c r="G438" s="20" t="str">
        <v>P_10</v>
      </c>
      <c r="H438" s="20">
        <v>94</v>
      </c>
    </row>
    <row r="439" spans="2:8" x14ac:dyDescent="0.3">
      <c r="D439" s="20" t="str">
        <v>Category.4</v>
      </c>
      <c r="E439" s="20" t="str">
        <v>HHH</v>
      </c>
      <c r="F439" s="20" t="str">
        <v>Nov</v>
      </c>
      <c r="G439" s="20" t="str">
        <v>P_11</v>
      </c>
      <c r="H439" s="20">
        <v>95</v>
      </c>
    </row>
    <row r="440" spans="2:8" x14ac:dyDescent="0.3">
      <c r="D440" s="20" t="str">
        <v>Category.4</v>
      </c>
      <c r="E440" s="20" t="str">
        <v>HHH</v>
      </c>
      <c r="F440" s="20" t="str">
        <v>Dec</v>
      </c>
      <c r="G440" s="20" t="str">
        <v>P_12</v>
      </c>
      <c r="H440" s="20">
        <v>96</v>
      </c>
    </row>
    <row r="443" spans="2:8" s="8" customFormat="1" ht="16.2" thickBot="1" x14ac:dyDescent="0.35">
      <c r="B443" s="9">
        <f xml:space="preserve"> MAX(B$1:B442) + 1</f>
        <v>3</v>
      </c>
      <c r="C443" s="8" t="s">
        <v>249</v>
      </c>
    </row>
    <row r="445" spans="2:8" x14ac:dyDescent="0.3">
      <c r="C445" t="s">
        <v>210</v>
      </c>
    </row>
    <row r="446" spans="2:8" x14ac:dyDescent="0.3">
      <c r="C446" s="54" t="s">
        <v>212</v>
      </c>
    </row>
    <row r="447" spans="2:8" x14ac:dyDescent="0.3">
      <c r="C447" s="54" t="s">
        <v>211</v>
      </c>
    </row>
    <row r="448" spans="2:8" x14ac:dyDescent="0.3">
      <c r="C448" t="s">
        <v>213</v>
      </c>
    </row>
    <row r="449" spans="2:21" x14ac:dyDescent="0.3">
      <c r="C449" t="s">
        <v>214</v>
      </c>
    </row>
    <row r="450" spans="2:21" x14ac:dyDescent="0.3">
      <c r="C450" s="57" t="s">
        <v>215</v>
      </c>
      <c r="D450" s="30" t="s">
        <v>217</v>
      </c>
    </row>
    <row r="451" spans="2:21" x14ac:dyDescent="0.3">
      <c r="C451" s="57" t="s">
        <v>216</v>
      </c>
      <c r="D451" s="30" t="s">
        <v>218</v>
      </c>
    </row>
    <row r="452" spans="2:21" x14ac:dyDescent="0.3">
      <c r="C452" s="58">
        <v>0</v>
      </c>
      <c r="D452" s="30" t="s">
        <v>220</v>
      </c>
    </row>
    <row r="453" spans="2:21" x14ac:dyDescent="0.3">
      <c r="C453" s="59" t="b">
        <v>1</v>
      </c>
      <c r="D453" s="30" t="s">
        <v>217</v>
      </c>
    </row>
    <row r="454" spans="2:21" x14ac:dyDescent="0.3">
      <c r="C454" s="59" t="b">
        <v>0</v>
      </c>
      <c r="D454" s="30" t="s">
        <v>220</v>
      </c>
    </row>
    <row r="455" spans="2:21" x14ac:dyDescent="0.3">
      <c r="C455" s="58" t="s">
        <v>219</v>
      </c>
      <c r="D455" s="30" t="s">
        <v>221</v>
      </c>
    </row>
    <row r="458" spans="2:21" x14ac:dyDescent="0.3">
      <c r="B458" s="28" t="s">
        <v>222</v>
      </c>
      <c r="C458" s="27"/>
      <c r="D458" s="27"/>
      <c r="E458" s="27"/>
      <c r="F458" s="27"/>
      <c r="G458" s="27"/>
      <c r="H458" s="27"/>
      <c r="I458" s="27"/>
      <c r="J458" s="27"/>
      <c r="K458" s="27"/>
      <c r="L458" s="27"/>
      <c r="M458" s="27"/>
      <c r="N458" s="27"/>
      <c r="O458" s="27"/>
      <c r="P458" s="27"/>
      <c r="Q458" s="27"/>
      <c r="R458" s="27"/>
      <c r="S458" s="27"/>
      <c r="T458" s="27"/>
      <c r="U458" s="27"/>
    </row>
    <row r="460" spans="2:21" x14ac:dyDescent="0.3">
      <c r="C460" s="24" t="s">
        <v>224</v>
      </c>
      <c r="D460" s="46" t="s">
        <v>226</v>
      </c>
    </row>
    <row r="462" spans="2:21" ht="14.4" thickBot="1" x14ac:dyDescent="0.35">
      <c r="C462" s="24" t="s">
        <v>228</v>
      </c>
      <c r="D462" s="68" t="str" cm="1">
        <f t="array" ref="D462:D463" xml:space="preserve"> _xlfn.LET(
  _xlpm.replace_row_blanks, D460,
  _xlpm._rep, IF(OR(ISNUMBER(_xlpm.replace_row_blanks), ISLOGICAL(_xlpm.replace_row_blanks)), "", _xlpm.replace_row_blanks),
  _xlpm._dir, IF(OR(ISNUMBER(_xlpm.replace_row_blanks), ISLOGICAL(_xlpm.replace_row_blanks)), INT(_xlpm.replace_row_blanks), 0),
  _xlfn.VSTACK(_xlpm._rep, _xlpm._dir)
)</f>
        <v>Test!</v>
      </c>
      <c r="F462" s="21" t="s">
        <v>223</v>
      </c>
      <c r="G462" s="21" t="s">
        <v>225</v>
      </c>
    </row>
    <row r="463" spans="2:21" x14ac:dyDescent="0.3">
      <c r="C463" t="s">
        <v>227</v>
      </c>
      <c r="D463" s="20">
        <v>0</v>
      </c>
      <c r="F463" s="46" t="s">
        <v>37</v>
      </c>
      <c r="G463" s="68" t="str" cm="1">
        <f t="array" ref="G463:G465" xml:space="preserve"> _xlfn.LET(
  _xlpm.replace_row_blanks, D460,
  _xlpm._rep, IF(OR(ISNUMBER(_xlpm.replace_row_blanks), ISLOGICAL(_xlpm.replace_row_blanks)), "", _xlpm.replace_row_blanks),
  _xlpm._dir, IF(OR(ISNUMBER(_xlpm.replace_row_blanks), ISLOGICAL(_xlpm.replace_row_blanks)), INT(_xlpm.replace_row_blanks), 0),
  _xlpm._arr, F463:F465,
  IF( ISBLANK(_xlpm._arr), _xlfn.IFS(_xlpm._dir &gt; 0, _xlfn.TAKE(_xlpm._arr, 1), _xlpm._dir &lt; 0, _xlfn.TAKE(_xlpm._arr, -1), TRUE, _xlpm._rep), _xlpm._arr)
)</f>
        <v>AAA</v>
      </c>
      <c r="H463" s="52" t="str" cm="1">
        <f t="array" aca="1" ref="H463:H469" ca="1" xml:space="preserve"> _xlfn.TEXTSPLIT( _xlfn.FORMULATEXT(G463), , CHAR(10))</f>
        <v>= LET(</v>
      </c>
    </row>
    <row r="464" spans="2:21" x14ac:dyDescent="0.3">
      <c r="F464" s="46"/>
      <c r="G464" s="20" t="str">
        <v>Test!</v>
      </c>
      <c r="H464" s="52" t="str">
        <f ca="1"/>
        <v xml:space="preserve">  replace_row_blanks, D460,</v>
      </c>
    </row>
    <row r="465" spans="2:21" x14ac:dyDescent="0.3">
      <c r="F465" s="46" t="s">
        <v>39</v>
      </c>
      <c r="G465" s="20" t="str">
        <v>CCC</v>
      </c>
      <c r="H465" s="52" t="str">
        <f ca="1"/>
        <v xml:space="preserve">  _rep, IF(OR(ISNUMBER(replace_row_blanks), ISLOGICAL(replace_row_blanks)), "", replace_row_blanks),</v>
      </c>
    </row>
    <row r="466" spans="2:21" x14ac:dyDescent="0.3">
      <c r="H466" s="52" t="str">
        <f ca="1"/>
        <v xml:space="preserve">  _dir, IF(OR(ISNUMBER(replace_row_blanks), ISLOGICAL(replace_row_blanks)), INT(replace_row_blanks), 0),</v>
      </c>
    </row>
    <row r="467" spans="2:21" x14ac:dyDescent="0.3">
      <c r="H467" s="52" t="str">
        <f ca="1"/>
        <v xml:space="preserve">  _arr, F463:F465,</v>
      </c>
    </row>
    <row r="468" spans="2:21" x14ac:dyDescent="0.3">
      <c r="H468" s="52" t="str">
        <f ca="1"/>
        <v xml:space="preserve">  IF( ISBLANK(_arr), IFS(_dir &gt; 0, TAKE(_arr, 1), _dir &lt; 0, TAKE(_arr, -1), TRUE, _rep), _arr)</v>
      </c>
    </row>
    <row r="469" spans="2:21" x14ac:dyDescent="0.3">
      <c r="H469" s="52" t="str">
        <f ca="1"/>
        <v>)</v>
      </c>
    </row>
    <row r="471" spans="2:21" x14ac:dyDescent="0.3">
      <c r="B471" s="28" t="s">
        <v>229</v>
      </c>
      <c r="C471" s="27"/>
      <c r="D471" s="27"/>
      <c r="E471" s="27"/>
      <c r="F471" s="27"/>
      <c r="G471" s="27"/>
      <c r="H471" s="27"/>
      <c r="I471" s="27"/>
      <c r="J471" s="27"/>
      <c r="K471" s="27"/>
      <c r="L471" s="27"/>
      <c r="M471" s="27"/>
      <c r="N471" s="27"/>
      <c r="O471" s="27"/>
      <c r="P471" s="27"/>
      <c r="Q471" s="27"/>
      <c r="R471" s="27"/>
      <c r="S471" s="27"/>
      <c r="T471" s="27"/>
      <c r="U471" s="27"/>
    </row>
    <row r="473" spans="2:21" x14ac:dyDescent="0.3">
      <c r="C473" s="24" t="s">
        <v>224</v>
      </c>
      <c r="D473" s="46">
        <v>1</v>
      </c>
      <c r="H473" s="56" t="s">
        <v>231</v>
      </c>
      <c r="I473" s="55" t="s">
        <v>232</v>
      </c>
    </row>
    <row r="474" spans="2:21" x14ac:dyDescent="0.3">
      <c r="I474" s="55" t="s">
        <v>233</v>
      </c>
    </row>
    <row r="475" spans="2:21" x14ac:dyDescent="0.3">
      <c r="C475" s="24" t="s">
        <v>228</v>
      </c>
      <c r="D475" s="68" t="str" cm="1">
        <f t="array" ref="D475:D476" xml:space="preserve"> _xlfn.LET(
  _xlpm.replace_row_blanks, D473,
  _xlpm._rep, IF(OR(ISNUMBER(_xlpm.replace_row_blanks), ISLOGICAL(_xlpm.replace_row_blanks)), "", _xlpm.replace_row_blanks),
  _xlpm._dir, IF(OR(ISNUMBER(_xlpm.replace_row_blanks), ISLOGICAL(_xlpm.replace_row_blanks)), INT(_xlpm.replace_row_blanks), 0),
  _xlfn.VSTACK(_xlpm._rep, _xlpm._dir)
)</f>
        <v/>
      </c>
      <c r="I475" s="55" t="s">
        <v>234</v>
      </c>
    </row>
    <row r="476" spans="2:21" x14ac:dyDescent="0.3">
      <c r="C476" t="s">
        <v>227</v>
      </c>
      <c r="D476" s="20">
        <v>1</v>
      </c>
      <c r="I476" s="55" t="s">
        <v>235</v>
      </c>
    </row>
    <row r="477" spans="2:21" x14ac:dyDescent="0.3">
      <c r="I477" s="55" t="s">
        <v>236</v>
      </c>
    </row>
    <row r="478" spans="2:21" ht="14.4" thickBot="1" x14ac:dyDescent="0.35">
      <c r="C478" s="21" t="s">
        <v>223</v>
      </c>
      <c r="D478" s="21" t="s">
        <v>225</v>
      </c>
      <c r="F478" s="21" t="s">
        <v>223</v>
      </c>
      <c r="G478" s="21" t="s">
        <v>225</v>
      </c>
      <c r="I478" s="55" t="s">
        <v>237</v>
      </c>
    </row>
    <row r="479" spans="2:21" x14ac:dyDescent="0.3">
      <c r="C479" s="46" t="s">
        <v>37</v>
      </c>
      <c r="D479" s="68" t="str" cm="1">
        <f t="array" ref="D479:D484" xml:space="preserve"> _xlfn.LET(
  _xlpm._rep, $D$475,
  _xlpm._dir, $D$476,
  _xlpm._inp, C479:C484,
  _xlpm._rr, ROWS(_xlpm._inp),
  _xlpm._cc, COLUMNS(_xlpm._inp),
  _xlpm._nArr, IF(_xlpm._dir = -1, INDEX(_xlpm._inp, _xlfn.SEQUENCE(_xlpm._rr, 1, _xlpm._rr, -1), _xlfn.SEQUENCE(1, _xlpm._cc)), _xlpm._inp),
  _xlpm._out, _xlfn.SCAN("", _xlpm._nArr,
    _xlfn.LAMBDA(_xlpm._acc,_xlpm._val, IF(ISBLANK(_xlpm._val), IF(_xlpm._dir = 0, _xlpm._rep, _xlpm._acc), _xlpm._val))
  ),
  _xlpm._rtn, IF(_xlpm._dir = -1, INDEX(_xlpm._out, _xlfn.SEQUENCE(_xlpm._rr, 1, _xlpm._rr, -1), _xlfn.SEQUENCE(1, _xlpm._cc)), _xlpm._out),
  _xlpm._rtn
)</f>
        <v>AAA</v>
      </c>
      <c r="F479" s="46"/>
      <c r="G479" s="68" t="str" cm="1">
        <f t="array" ref="G479:G484" xml:space="preserve"> _xlfn.LET(
  _xlpm._rep, $D$475,
  _xlpm._dir, $D$476,
  _xlpm._inp, F479:F484,
  _xlpm._rr, ROWS(_xlpm._inp),
  _xlpm._cc, COLUMNS(_xlpm._inp),
  _xlpm._nArr, IF(_xlpm._dir = -1, INDEX(_xlpm._inp, _xlfn.SEQUENCE(_xlpm._rr, 1, _xlpm._rr, -1), _xlfn.SEQUENCE(1, _xlpm._cc)), _xlpm._inp),
  _xlpm._out, _xlfn.SCAN("", _xlpm._nArr,
    _xlfn.LAMBDA(_xlpm._acc,_xlpm._val, IF(ISBLANK(_xlpm._val), IF(_xlpm._dir = 0, _xlpm._rep, _xlpm._acc), _xlpm._val))
  ),
  _xlpm._rtn, IF(_xlpm._dir = -1, INDEX(_xlpm._out, _xlfn.SEQUENCE(_xlpm._rr, 1, _xlpm._rr, -1), _xlfn.SEQUENCE(1, _xlpm._cc)), _xlpm._out),
  _xlpm._rtn
)</f>
        <v/>
      </c>
      <c r="H479" s="52" t="str" cm="1">
        <f t="array" aca="1" ref="H479:H491" ca="1" xml:space="preserve"> _xlfn.TEXTSPLIT( _xlfn.FORMULATEXT(D479), , CHAR(10))</f>
        <v>= LET(</v>
      </c>
    </row>
    <row r="480" spans="2:21" x14ac:dyDescent="0.3">
      <c r="C480" s="46"/>
      <c r="D480" s="20" t="str">
        <v>AAA</v>
      </c>
      <c r="F480" s="46" t="s">
        <v>37</v>
      </c>
      <c r="G480" s="20" t="str">
        <v>AAA</v>
      </c>
      <c r="H480" s="52" t="str">
        <f ca="1"/>
        <v xml:space="preserve">  _rep, $D$475,</v>
      </c>
    </row>
    <row r="481" spans="2:21" x14ac:dyDescent="0.3">
      <c r="C481" s="46" t="s">
        <v>38</v>
      </c>
      <c r="D481" s="20" t="str">
        <v>BBB</v>
      </c>
      <c r="F481" s="46"/>
      <c r="G481" s="20" t="str">
        <v>AAA</v>
      </c>
      <c r="H481" s="52" t="str">
        <f ca="1"/>
        <v xml:space="preserve">  _dir, $D$476,</v>
      </c>
    </row>
    <row r="482" spans="2:21" x14ac:dyDescent="0.3">
      <c r="C482" s="46"/>
      <c r="D482" s="20" t="str">
        <v>BBB</v>
      </c>
      <c r="F482" s="46" t="s">
        <v>38</v>
      </c>
      <c r="G482" s="20" t="str">
        <v>BBB</v>
      </c>
      <c r="H482" s="52" t="str">
        <f ca="1"/>
        <v xml:space="preserve">  _inp, C479:C484,</v>
      </c>
    </row>
    <row r="483" spans="2:21" x14ac:dyDescent="0.3">
      <c r="C483" s="46" t="s">
        <v>39</v>
      </c>
      <c r="D483" s="20" t="str">
        <v>CCC</v>
      </c>
      <c r="F483" s="46"/>
      <c r="G483" s="20" t="str">
        <v>BBB</v>
      </c>
      <c r="H483" s="52" t="str">
        <f ca="1"/>
        <v xml:space="preserve">  _rr, ROWS(_inp),</v>
      </c>
    </row>
    <row r="484" spans="2:21" x14ac:dyDescent="0.3">
      <c r="C484" s="46"/>
      <c r="D484" s="20" t="str">
        <v>CCC</v>
      </c>
      <c r="F484" s="46" t="s">
        <v>39</v>
      </c>
      <c r="G484" s="20" t="str">
        <v>CCC</v>
      </c>
      <c r="H484" s="52" t="str">
        <f ca="1"/>
        <v xml:space="preserve">  _cc, COLUMNS(_inp),</v>
      </c>
    </row>
    <row r="485" spans="2:21" x14ac:dyDescent="0.3">
      <c r="H485" s="52" t="str">
        <f ca="1"/>
        <v xml:space="preserve">  _nArr, IF(_dir = -1, INDEX(_inp, SEQUENCE(_rr, 1, _rr, -1), SEQUENCE(1, _cc)), _inp),</v>
      </c>
    </row>
    <row r="486" spans="2:21" x14ac:dyDescent="0.3">
      <c r="H486" s="52" t="str">
        <f ca="1"/>
        <v xml:space="preserve">  _out, SCAN("", _nArr,</v>
      </c>
    </row>
    <row r="487" spans="2:21" x14ac:dyDescent="0.3">
      <c r="H487" s="52" t="str">
        <f ca="1"/>
        <v xml:space="preserve">    LAMBDA(_acc,_val, IF(ISBLANK(_val), IF(_dir = 0, _rep, _acc), _val))</v>
      </c>
    </row>
    <row r="488" spans="2:21" x14ac:dyDescent="0.3">
      <c r="H488" s="52" t="str">
        <f ca="1"/>
        <v xml:space="preserve">  ),</v>
      </c>
    </row>
    <row r="489" spans="2:21" x14ac:dyDescent="0.3">
      <c r="H489" s="52" t="str">
        <f ca="1"/>
        <v xml:space="preserve">  _rtn, IF(_dir = -1, INDEX(_out, SEQUENCE(_rr, 1, _rr, -1), SEQUENCE(1, _cc)), _out),</v>
      </c>
    </row>
    <row r="490" spans="2:21" x14ac:dyDescent="0.3">
      <c r="H490" s="52" t="str">
        <f ca="1"/>
        <v xml:space="preserve">  _rtn</v>
      </c>
    </row>
    <row r="491" spans="2:21" x14ac:dyDescent="0.3">
      <c r="H491" s="52" t="str">
        <f ca="1"/>
        <v>)</v>
      </c>
    </row>
    <row r="493" spans="2:21" x14ac:dyDescent="0.3">
      <c r="B493" s="28" t="s">
        <v>230</v>
      </c>
      <c r="C493" s="27"/>
      <c r="D493" s="27"/>
      <c r="E493" s="27"/>
      <c r="F493" s="27"/>
      <c r="G493" s="27"/>
      <c r="H493" s="27"/>
      <c r="I493" s="27"/>
      <c r="J493" s="27"/>
      <c r="K493" s="27"/>
      <c r="L493" s="27"/>
      <c r="M493" s="27"/>
      <c r="N493" s="27"/>
      <c r="O493" s="27"/>
      <c r="P493" s="27"/>
      <c r="Q493" s="27"/>
      <c r="R493" s="27"/>
      <c r="S493" s="27"/>
      <c r="T493" s="27"/>
      <c r="U493" s="27"/>
    </row>
    <row r="495" spans="2:21" x14ac:dyDescent="0.3">
      <c r="C495" s="24" t="s">
        <v>224</v>
      </c>
      <c r="D495" s="46" t="b">
        <v>1</v>
      </c>
      <c r="L495" s="56" t="s">
        <v>231</v>
      </c>
      <c r="M495" s="55" t="s">
        <v>241</v>
      </c>
    </row>
    <row r="496" spans="2:21" x14ac:dyDescent="0.3">
      <c r="M496" s="55" t="s">
        <v>242</v>
      </c>
    </row>
    <row r="497" spans="3:13" x14ac:dyDescent="0.3">
      <c r="C497" s="24" t="s">
        <v>228</v>
      </c>
      <c r="D497" s="68" t="str" cm="1">
        <f t="array" ref="D497:D498" xml:space="preserve"> _xlfn.LET(
  _xlpm.replace_row_blanks, D495,
  _xlpm._rep, IF(OR(ISNUMBER(_xlpm.replace_row_blanks), ISLOGICAL(_xlpm.replace_row_blanks)), "", _xlpm.replace_row_blanks),
  _xlpm._dir, IF(OR(ISNUMBER(_xlpm.replace_row_blanks), ISLOGICAL(_xlpm.replace_row_blanks)), INT(_xlpm.replace_row_blanks), 0),
  _xlfn.VSTACK(_xlpm._rep, _xlpm._dir)
)</f>
        <v/>
      </c>
      <c r="M497" s="55" t="s">
        <v>247</v>
      </c>
    </row>
    <row r="498" spans="3:13" x14ac:dyDescent="0.3">
      <c r="C498" t="s">
        <v>227</v>
      </c>
      <c r="D498" s="20">
        <v>1</v>
      </c>
      <c r="M498" s="55" t="s">
        <v>248</v>
      </c>
    </row>
    <row r="499" spans="3:13" x14ac:dyDescent="0.3">
      <c r="M499" s="55" t="s">
        <v>243</v>
      </c>
    </row>
    <row r="500" spans="3:13" ht="14.4" thickBot="1" x14ac:dyDescent="0.35">
      <c r="C500" s="21" t="s">
        <v>223</v>
      </c>
      <c r="D500" s="21"/>
      <c r="E500" s="21" t="s">
        <v>225</v>
      </c>
      <c r="F500" s="21"/>
      <c r="H500" s="21" t="s">
        <v>223</v>
      </c>
      <c r="I500" s="21"/>
      <c r="J500" s="21" t="s">
        <v>225</v>
      </c>
      <c r="K500" s="21"/>
      <c r="M500" s="55" t="s">
        <v>244</v>
      </c>
    </row>
    <row r="501" spans="3:13" x14ac:dyDescent="0.3">
      <c r="C501" s="46" t="s">
        <v>37</v>
      </c>
      <c r="D501" s="46" t="s">
        <v>238</v>
      </c>
      <c r="E501" s="68" t="str" cm="1">
        <f t="array" ref="E501:F506" xml:space="preserve"> _xlfn.LET(
  _xlpm._rep, $D$497,
  _xlpm._dir, $D$498,
  _xlpm._inp, C501:D506,
  _xlpm._rr, ROWS(_xlpm._inp),
  _xlpm._cc, COLUMNS(_xlpm._inp),
  _xlpm._nArr, IF(_xlpm._dir = -1, INDEX(_xlpm._inp, _xlfn.SEQUENCE(_xlpm._rr, 1, _xlpm._rr, -1), _xlfn.SEQUENCE(1, _xlpm._cc)), _xlpm._inp),
  _xlpm._out, _xlfn.DROP( _xlfn.REDUCE(0, _xlfn.SEQUENCE(_xlpm._cc), _xlfn.LAMBDA(_xlpm._arr,_xlpm._col,
    _xlfn.HSTACK(_xlpm._arr,
      _xlfn.SCAN("", _xlfn.CHOOSECOLS(_xlpm._nArr, _xlpm._col),
        _xlfn.LAMBDA(_xlpm._acc,_xlpm._val, IF(ISBLANK(_xlpm._val), IF(_xlpm._dir = 0, _xlpm._rep, _xlpm._acc), _xlpm._val))
      )
    ))),
  , 1),
  _xlpm._rtn, IF(_xlpm._dir = -1, INDEX(_xlpm._out, _xlfn.SEQUENCE(_xlpm._rr, 1, _xlpm._rr, -1), _xlfn.SEQUENCE(1, _xlpm._cc)), _xlpm._out),
  _xlpm._rtn
)</f>
        <v>AAA</v>
      </c>
      <c r="F501" s="20" t="str">
        <v>Cat.Z</v>
      </c>
      <c r="H501" s="46"/>
      <c r="I501" s="46"/>
      <c r="J501" s="68" t="str" cm="1">
        <f t="array" ref="J501:K506" xml:space="preserve"> _xlfn.LET(
  _xlpm._rep, $D$497,
  _xlpm._dir, $D$498,
  _xlpm._inp, H501:I506,
  _xlpm._rr, ROWS(_xlpm._inp),
  _xlpm._cc, COLUMNS(_xlpm._inp),
  _xlpm._nArr, IF(_xlpm._dir = -1, INDEX(_xlpm._inp, _xlfn.SEQUENCE(_xlpm._rr, 1, _xlpm._rr, -1), _xlfn.SEQUENCE(1, _xlpm._cc)), _xlpm._inp),
  _xlpm._out, _xlfn.DROP( _xlfn.REDUCE(0, _xlfn.SEQUENCE(_xlpm._cc), _xlfn.LAMBDA(_xlpm._arr,_xlpm._col,
    _xlfn.HSTACK(_xlpm._arr,
      _xlfn.SCAN("", _xlfn.CHOOSECOLS(_xlpm._nArr, _xlpm._col),
        _xlfn.LAMBDA(_xlpm._acc,_xlpm._val, IF(ISBLANK(_xlpm._val), IF(_xlpm._dir = 0, _xlpm._rep, _xlpm._acc), _xlpm._val))
      )
    ))),
  , 1),
  _xlpm._rtn, IF(_xlpm._dir = -1, INDEX(_xlpm._out, _xlfn.SEQUENCE(_xlpm._rr, 1, _xlpm._rr, -1), _xlfn.SEQUENCE(1, _xlpm._cc)), _xlpm._out),
  _xlpm._rtn
)</f>
        <v/>
      </c>
      <c r="K501" s="20" t="str">
        <v/>
      </c>
      <c r="M501" s="55" t="s">
        <v>245</v>
      </c>
    </row>
    <row r="502" spans="3:13" x14ac:dyDescent="0.3">
      <c r="C502" s="46"/>
      <c r="D502" s="46"/>
      <c r="E502" s="20" t="str">
        <v>AAA</v>
      </c>
      <c r="F502" s="20" t="str">
        <v>Cat.Z</v>
      </c>
      <c r="H502" s="46" t="s">
        <v>37</v>
      </c>
      <c r="I502" s="46" t="s">
        <v>238</v>
      </c>
      <c r="J502" s="20" t="str">
        <v>AAA</v>
      </c>
      <c r="K502" s="20" t="str">
        <v>Cat.Z</v>
      </c>
      <c r="M502" s="55" t="s">
        <v>246</v>
      </c>
    </row>
    <row r="503" spans="3:13" x14ac:dyDescent="0.3">
      <c r="C503" s="46" t="s">
        <v>38</v>
      </c>
      <c r="D503" s="46" t="s">
        <v>239</v>
      </c>
      <c r="E503" s="20" t="str">
        <v>BBB</v>
      </c>
      <c r="F503" s="20" t="str">
        <v>Cat.Y</v>
      </c>
      <c r="H503" s="46"/>
      <c r="I503" s="46"/>
      <c r="J503" s="20" t="str">
        <v>AAA</v>
      </c>
      <c r="K503" s="20" t="str">
        <v>Cat.Z</v>
      </c>
    </row>
    <row r="504" spans="3:13" x14ac:dyDescent="0.3">
      <c r="C504" s="46"/>
      <c r="D504" s="46"/>
      <c r="E504" s="20" t="str">
        <v>BBB</v>
      </c>
      <c r="F504" s="20" t="str">
        <v>Cat.Y</v>
      </c>
      <c r="H504" s="46" t="s">
        <v>38</v>
      </c>
      <c r="I504" s="46" t="s">
        <v>239</v>
      </c>
      <c r="J504" s="20" t="str">
        <v>BBB</v>
      </c>
      <c r="K504" s="20" t="str">
        <v>Cat.Y</v>
      </c>
    </row>
    <row r="505" spans="3:13" x14ac:dyDescent="0.3">
      <c r="C505" s="46" t="s">
        <v>39</v>
      </c>
      <c r="D505" s="46" t="s">
        <v>240</v>
      </c>
      <c r="E505" s="20" t="str">
        <v>CCC</v>
      </c>
      <c r="F505" s="20" t="str">
        <v>Cat.X</v>
      </c>
      <c r="H505" s="46"/>
      <c r="I505" s="46"/>
      <c r="J505" s="20" t="str">
        <v>BBB</v>
      </c>
      <c r="K505" s="20" t="str">
        <v>Cat.Y</v>
      </c>
    </row>
    <row r="506" spans="3:13" x14ac:dyDescent="0.3">
      <c r="C506" s="46"/>
      <c r="D506" s="46"/>
      <c r="E506" s="20" t="str">
        <v>CCC</v>
      </c>
      <c r="F506" s="20" t="str">
        <v>Cat.X</v>
      </c>
      <c r="H506" s="46" t="s">
        <v>39</v>
      </c>
      <c r="I506" s="46" t="s">
        <v>240</v>
      </c>
      <c r="J506" s="20" t="str">
        <v>CCC</v>
      </c>
      <c r="K506" s="20" t="str">
        <v>Cat.X</v>
      </c>
    </row>
    <row r="507" spans="3:13" x14ac:dyDescent="0.3">
      <c r="E507" s="52" t="str" cm="1">
        <f t="array" aca="1" ref="E507:E523" ca="1" xml:space="preserve"> _xlfn.TEXTSPLIT( _xlfn.FORMULATEXT(E501), , CHAR(10))</f>
        <v>= LET(</v>
      </c>
    </row>
    <row r="508" spans="3:13" x14ac:dyDescent="0.3">
      <c r="E508" s="52" t="str">
        <f ca="1"/>
        <v xml:space="preserve">  _rep, $D$497,</v>
      </c>
    </row>
    <row r="509" spans="3:13" x14ac:dyDescent="0.3">
      <c r="E509" s="52" t="str">
        <f ca="1"/>
        <v xml:space="preserve">  _dir, $D$498,</v>
      </c>
    </row>
    <row r="510" spans="3:13" x14ac:dyDescent="0.3">
      <c r="E510" s="52" t="str">
        <f ca="1"/>
        <v xml:space="preserve">  _inp, C501:D506,</v>
      </c>
    </row>
    <row r="511" spans="3:13" x14ac:dyDescent="0.3">
      <c r="E511" s="52" t="str">
        <f ca="1"/>
        <v xml:space="preserve">  _rr, ROWS(_inp),</v>
      </c>
    </row>
    <row r="512" spans="3:13" x14ac:dyDescent="0.3">
      <c r="E512" s="52" t="str">
        <f ca="1"/>
        <v xml:space="preserve">  _cc, COLUMNS(_inp),</v>
      </c>
    </row>
    <row r="513" spans="2:21" x14ac:dyDescent="0.3">
      <c r="E513" s="52" t="str">
        <f ca="1"/>
        <v xml:space="preserve">  _nArr, IF(_dir = -1, INDEX(_inp, SEQUENCE(_rr, 1, _rr, -1), SEQUENCE(1, _cc)), _inp),</v>
      </c>
    </row>
    <row r="514" spans="2:21" x14ac:dyDescent="0.3">
      <c r="E514" s="52" t="str">
        <f ca="1"/>
        <v xml:space="preserve">  _out, DROP( REDUCE(0, SEQUENCE(_cc), LAMBDA(_arr,_col,</v>
      </c>
    </row>
    <row r="515" spans="2:21" x14ac:dyDescent="0.3">
      <c r="E515" s="52" t="str">
        <f ca="1"/>
        <v xml:space="preserve">    HSTACK(_arr,</v>
      </c>
    </row>
    <row r="516" spans="2:21" x14ac:dyDescent="0.3">
      <c r="E516" s="52" t="str">
        <f ca="1"/>
        <v xml:space="preserve">      SCAN("", CHOOSECOLS(_nArr, _col),</v>
      </c>
    </row>
    <row r="517" spans="2:21" x14ac:dyDescent="0.3">
      <c r="E517" s="52" t="str">
        <f ca="1"/>
        <v xml:space="preserve">        LAMBDA(_acc,_val, IF(ISBLANK(_val), IF(_dir = 0, _rep, _acc), _val))</v>
      </c>
    </row>
    <row r="518" spans="2:21" x14ac:dyDescent="0.3">
      <c r="E518" s="52" t="str">
        <f ca="1"/>
        <v xml:space="preserve">      )</v>
      </c>
    </row>
    <row r="519" spans="2:21" x14ac:dyDescent="0.3">
      <c r="E519" s="52" t="str">
        <f ca="1"/>
        <v xml:space="preserve">    ))),</v>
      </c>
    </row>
    <row r="520" spans="2:21" x14ac:dyDescent="0.3">
      <c r="E520" s="52" t="str">
        <f ca="1"/>
        <v xml:space="preserve">  , 1),</v>
      </c>
    </row>
    <row r="521" spans="2:21" x14ac:dyDescent="0.3">
      <c r="E521" s="52" t="str">
        <f ca="1"/>
        <v xml:space="preserve">  _rtn, IF(_dir = -1, INDEX(_out, SEQUENCE(_rr, 1, _rr, -1), SEQUENCE(1, _cc)), _out),</v>
      </c>
    </row>
    <row r="522" spans="2:21" x14ac:dyDescent="0.3">
      <c r="E522" s="52" t="str">
        <f ca="1"/>
        <v xml:space="preserve">  _rtn</v>
      </c>
    </row>
    <row r="523" spans="2:21" x14ac:dyDescent="0.3">
      <c r="E523" s="52" t="str">
        <f ca="1"/>
        <v>)</v>
      </c>
    </row>
    <row r="525" spans="2:21" x14ac:dyDescent="0.3">
      <c r="B525" s="28" t="s">
        <v>250</v>
      </c>
      <c r="C525" s="27"/>
      <c r="D525" s="27"/>
      <c r="E525" s="27"/>
      <c r="F525" s="27"/>
      <c r="G525" s="27"/>
      <c r="H525" s="27"/>
      <c r="I525" s="27"/>
      <c r="J525" s="27"/>
      <c r="K525" s="27"/>
      <c r="L525" s="27"/>
      <c r="M525" s="27"/>
      <c r="N525" s="27"/>
      <c r="O525" s="27"/>
      <c r="P525" s="27"/>
      <c r="Q525" s="27"/>
      <c r="R525" s="27"/>
      <c r="S525" s="27"/>
      <c r="T525" s="27"/>
      <c r="U525" s="27"/>
    </row>
    <row r="527" spans="2:21" x14ac:dyDescent="0.3">
      <c r="C527" s="24" t="s">
        <v>69</v>
      </c>
      <c r="D527" s="26">
        <v>0</v>
      </c>
    </row>
    <row r="528" spans="2:21" x14ac:dyDescent="0.3">
      <c r="C528" s="24" t="s">
        <v>251</v>
      </c>
      <c r="D528" s="25" t="str">
        <f xml:space="preserve"> ""</f>
        <v/>
      </c>
    </row>
    <row r="529" spans="3:99" x14ac:dyDescent="0.3">
      <c r="C529" s="24" t="s">
        <v>252</v>
      </c>
      <c r="D529" s="26">
        <v>0</v>
      </c>
    </row>
    <row r="530" spans="3:99" x14ac:dyDescent="0.3">
      <c r="C530" s="24" t="s">
        <v>253</v>
      </c>
      <c r="D530" s="26">
        <v>0</v>
      </c>
    </row>
    <row r="531" spans="3:99" x14ac:dyDescent="0.3">
      <c r="C531" s="24" t="s">
        <v>254</v>
      </c>
      <c r="D531" s="25" t="str">
        <f xml:space="preserve"> ""</f>
        <v/>
      </c>
    </row>
    <row r="532" spans="3:99" x14ac:dyDescent="0.3">
      <c r="C532" s="24" t="s">
        <v>255</v>
      </c>
      <c r="D532" s="25" t="str">
        <f xml:space="preserve"> ""</f>
        <v/>
      </c>
    </row>
    <row r="533" spans="3:99" x14ac:dyDescent="0.3">
      <c r="C533" s="24" t="s">
        <v>64</v>
      </c>
      <c r="D533" s="26">
        <v>1</v>
      </c>
    </row>
    <row r="535" spans="3:99" ht="14.4" thickBot="1" x14ac:dyDescent="0.35">
      <c r="C535" s="21"/>
      <c r="D535" s="21" t="s">
        <v>59</v>
      </c>
      <c r="E535" s="21"/>
      <c r="F535" s="21" t="s">
        <v>60</v>
      </c>
      <c r="G535" s="21"/>
      <c r="H535" s="21" t="s">
        <v>61</v>
      </c>
    </row>
    <row r="536" spans="3:99" x14ac:dyDescent="0.3">
      <c r="C536" s="23" t="s">
        <v>59</v>
      </c>
      <c r="D536" s="68" t="str" cm="1">
        <f t="array" ref="D536:H631" xml:space="preserve"> _xlfn.LAMBDA(_xlpm.data,_xlpm.row_headers,_xlpm.column_headers,_xlop.by_column,_xlop.replace_data_blanks,_xlop.filter_blanks,_xlop.filter_errors,_xlop.fill_row_blanks,_xlop.fill_column_blanks,_xlop.output_vertical,
  _xlfn.LET(
    _xlpm._dd, _xlpm.data,
    _xlpm._rh, _xlpm.row_headers,
    _xlpm._ch, _xlpm.column_headers,
    _xlpm._byCol, IF( _xlfn.ISOMITTED(_xlpm.by_column), 0, IF(_xlpm.by_column, 1, 0)),
    _xlpm._repD, IF( _xlfn.ISOMITTED(_xlpm.replace_data_blanks), "",
      IF( ISLOGICAL(_xlpm.replace_data_blanks),
        IF(_xlpm.replace_data_blanks, NA(), ""),
        _xlpm.replace_data_blanks)
    ),
    _xlpm._rowB, IF( _xlfn.ISOMITTED(_xlpm.fill_row_blanks), 0, _xlpm.fill_row_blanks),
    _xlpm._colB, IF( _xlfn.ISOMITTED(_xlpm.fill_column_blanks), 0, _xlpm.fill_column_blanks),
    _xlpm._repR, IF( OR(ISNUMBER(_xlpm._rowB), ISLOGICAL(_xlpm._rowB)), "", _xlpm._rowB),
    _xlpm._repC, IF( OR(ISNUMBER(_xlpm._colB), ISLOGICAL(_xlpm._colB)), "", _xlpm._colB),
    _xlpm._dirR, IF( OR(ISNUMBER(_xlpm._rowB), ISLOGICAL(_xlpm._rowB)), INT(_xlpm._rowB), 0),
    _xlpm._dirC, IF( OR(ISNUMBER(_xlpm._colB), ISLOGICAL(_xlpm._colB)), INT(_xlpm._colB), 0),
    _xlpm._fltrB, IF( _xlfn.ISOMITTED(_xlpm.filter_blanks), 0, IF(_xlpm.filter_blanks, 1, 0)),
    _xlpm._fltrE, IF( _xlfn.ISOMITTED(_xlpm.filter_errors), 0, IF(_xlpm.filter_errors, 1, 0)),
    _xlpm._vrt, IF( _xlfn.ISOMITTED(_xlpm.output_vertical), 1, IF(_xlpm.output_vertical, 1, 0)),
    _xlpm._inpChk, _xlfn.IFS(
      IFERROR( OR( ROWS(_xlpm._rh) &lt; 1, COLUMNS(_xlpm._rh) &lt; 1, ROWS(_xlpm._ch) &lt; 1, COLUMNS(_xlpm._ch) &lt; 1, ROWS(_xlpm._dd) &lt; 1, COLUMNS(_xlpm._dd) &lt; 1), 3), 3,
      IFERROR( OR( ROWS(_xlpm._dd) &lt;&gt; ROWS(_xlpm._rh), COLUMNS(_xlpm._dd) &lt;&gt; COLUMNS(_xlpm._ch)), 3), 2,
      TRUE, 1
    ),
    _xlpm._kCols, IF(_xlpm._byCol, TRANSPOSE(_xlpm._ch), _xlpm._rh),
    _xlpm._nCols, IF(_xlpm._byCol, _xlpm._rh, TRANSPOSE(_xlpm._ch)),
    _xlpm._rK, ROWS(_xlpm._kCols),
    _xlpm._cK, COLUMNS(_xlpm._kCols),
    _xlpm._rN, ROWS(_xlpm._nCols),
    _xlpm._cN, COLUMNS(_xlpm._nCols),
    _xlpm._keys, _xlfn.LET(
      _xlpm._kRep, IF(_xlpm._byCol, _xlpm._repC, _xlpm._repR),
      _xlpm._kDir, IF(_xlpm._byCol, _xlpm._dirC, _xlpm._dirR),
      _xlpm._kArr, IF(_xlpm._kDir = -1, INDEX(_xlpm._kCols, _xlfn.SEQUENCE(_xlpm._rK, 1, _xlpm._rK, -1), _xlfn.SEQUENCE(1, _xlpm._cK)), _xlpm._kCols),
      _xlpm._kFil, _xlfn.DROP( _xlfn.REDUCE(0, _xlfn.SEQUENCE(_xlpm._cK), _xlfn.LAMBDA(_xlpm._arr,_xlpm._col,
        _xlfn.HSTACK(_xlpm._arr,
          _xlfn.SCAN("", _xlfn.CHOOSECOLS(_xlpm._kArr, _xlpm._col),
            _xlfn.LAMBDA(_xlpm._acc,_xlpm._val, IF(ISBLANK(_xlpm._val), IF(_xlpm._kDir = 0, _xlpm._kRep, _xlpm._acc), _xlpm._val))
          )
        ))),
      , 1),
      _xlpm._out, IF(_xlpm._kDir = -1, INDEX(_xlpm._kFil, _xlfn.SEQUENCE(_xlpm._rK, 1, _xlpm._rK, -1), _xlfn.SEQUENCE(1, _xlpm._cK)), _xlpm._kFil),
      _xlfn.MAKEARRAY(_xlpm._rK * _xlpm._rN, _xlpm._cK, _xlfn.LAMBDA(_xlpm._row,_xlpm._col, INDEX(_xlpm._out, ROUNDUP(_xlpm._row / _xlpm._rN, 0), _xlpm._col)))
    ),
    _xlpm._names, _xlfn.LET(
      _xlpm._nRep, IF(_xlpm._byCol, _xlpm._repR, _xlpm._repC),
      _xlpm._nDir, IF(_xlpm._byCol, _xlpm._dirR, _xlpm._dirC),
      _xlpm._nArr, IF(_xlpm._nDir = -1, INDEX(_xlpm._nCols, _xlfn.SEQUENCE(_xlpm._rN, 1, _xlpm._rN, -1), _xlfn.SEQUENCE(1, _xlpm._cN)), _xlpm._nCols),
      _xlpm._nFil, _xlfn.DROP( _xlfn.REDUCE(0, _xlfn.SEQUENCE(_xlpm._cN), _xlfn.LAMBDA(_xlpm._arr,_xlpm._col,
        _xlfn.HSTACK(_xlpm._arr,
          _xlfn.SCAN("", _xlfn.CHOOSECOLS(_xlpm._nArr, _xlpm._col),
            _xlfn.LAMBDA(_xlpm._acc,_xlpm._val, IF(ISBLANK(_xlpm._val), IF(_xlpm._nDir = 0, _xlpm._nRep, _xlpm._acc), _xlpm._val))
          )
        ))),
      , 1),
      _xlpm._out, IF(_xlpm._nDir = -1, INDEX(_xlpm._nFil, _xlfn.SEQUENCE(_xlpm._rN, 1, _xlpm._rN, -1), _xlfn.SEQUENCE(1, _xlpm._cN)), _xlpm._nFil),
      _xlfn.MAKEARRAY(_xlpm._rK * _xlpm._rN, _xlpm._cN, _xlfn.LAMBDA(_xlpm._row,_xlpm._col, INDEX(_xlpm._out, MOD(_xlpm._row - 1, _xlpm._rN) + 1, _xlpm._col)))
    ),
    _xlpm._values, _xlfn.LET(
      _xlpm._dp, _xlfn.TOCOL(_xlpm._dd, , _xlpm._byCol),
      IF( ISBLANK(_xlpm._dp), _xlpm._repD, _xlpm._dp)
    ),
    _xlpm._rtn, _xlfn.LET(
      _xlpm._dt, _xlfn.HSTACK(_xlpm._keys, _xlpm._names, _xlpm._values),
      _xlpm._vl, _xlfn.CHOOSECOLS(_xlpm._dt, -1),
      _xlpm._dfB, IF(_xlpm._fltrB, _xlfn._xlws.FILTER(_xlpm._dt, IF( ISERROR(_xlpm._vl), TRUE, _xlfn.IFNA(_xlpm._vl, "#") &lt;&gt; "")), _xlpm._dt),
      _xlpm._dfE, IF(_xlpm._fltrE, _xlfn._xlws.FILTER(_xlpm._dfB, NOT(ISERROR( _xlfn.CHOOSECOLS(_xlpm._dfB, -1)))), _xlpm._dfB),
      IF(NOT(_xlpm._vrt), TRANSPOSE(_xlpm._dfE), _xlpm._dfE)
    ),
    CHOOSE(_xlpm._inpChk, _xlpm._rtn, _xlfn.LAMBDA(0), #VALUE!)
  )
)($E$12:$P$19, $C$12:$D$19, $E$10:$P$11, D527, D528, D529, D530, D531, D532, D533)</f>
        <v>Category.1</v>
      </c>
      <c r="E536" s="20" t="str">
        <v>AAA</v>
      </c>
      <c r="F536" s="20" t="str">
        <v>Jan</v>
      </c>
      <c r="G536" s="20" t="str">
        <v>P_1</v>
      </c>
      <c r="H536" s="20">
        <v>1</v>
      </c>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c r="CB536" s="20"/>
      <c r="CC536" s="20"/>
      <c r="CD536" s="20"/>
      <c r="CE536" s="20"/>
      <c r="CF536" s="20"/>
      <c r="CG536" s="20"/>
      <c r="CH536" s="20"/>
      <c r="CI536" s="20"/>
      <c r="CJ536" s="20"/>
      <c r="CK536" s="20"/>
      <c r="CL536" s="20"/>
      <c r="CM536" s="20"/>
      <c r="CN536" s="20"/>
      <c r="CO536" s="20"/>
      <c r="CP536" s="20"/>
      <c r="CQ536" s="20"/>
      <c r="CR536" s="20"/>
      <c r="CS536" s="20"/>
      <c r="CT536" s="20"/>
      <c r="CU536" s="20"/>
    </row>
    <row r="537" spans="3:99" x14ac:dyDescent="0.3">
      <c r="C537" s="23"/>
      <c r="D537" s="20" t="str">
        <v>Category.1</v>
      </c>
      <c r="E537" s="20" t="str">
        <v>AAA</v>
      </c>
      <c r="F537" s="20" t="str">
        <v>Feb</v>
      </c>
      <c r="G537" s="20" t="str">
        <v>P_2</v>
      </c>
      <c r="H537" s="20">
        <v>2</v>
      </c>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c r="BR537" s="20"/>
      <c r="BS537" s="20"/>
      <c r="BT537" s="20"/>
      <c r="BU537" s="20"/>
      <c r="BV537" s="20"/>
      <c r="BW537" s="20"/>
      <c r="BX537" s="20"/>
      <c r="BY537" s="20"/>
      <c r="BZ537" s="20"/>
      <c r="CA537" s="20"/>
      <c r="CB537" s="20"/>
      <c r="CC537" s="20"/>
      <c r="CD537" s="20"/>
      <c r="CE537" s="20"/>
      <c r="CF537" s="20"/>
      <c r="CG537" s="20"/>
      <c r="CH537" s="20"/>
      <c r="CI537" s="20"/>
      <c r="CJ537" s="20"/>
      <c r="CK537" s="20"/>
      <c r="CL537" s="20"/>
      <c r="CM537" s="20"/>
      <c r="CN537" s="20"/>
      <c r="CO537" s="20"/>
      <c r="CP537" s="20"/>
      <c r="CQ537" s="20"/>
      <c r="CR537" s="20"/>
      <c r="CS537" s="20"/>
      <c r="CT537" s="20"/>
      <c r="CU537" s="20"/>
    </row>
    <row r="538" spans="3:99" x14ac:dyDescent="0.3">
      <c r="C538" s="23" t="s">
        <v>60</v>
      </c>
      <c r="D538" s="20" t="str">
        <v>Category.1</v>
      </c>
      <c r="E538" s="20" t="str">
        <v>AAA</v>
      </c>
      <c r="F538" s="20" t="str">
        <v>Mar</v>
      </c>
      <c r="G538" s="20" t="str">
        <v>P_3</v>
      </c>
      <c r="H538" s="20">
        <v>3</v>
      </c>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c r="BR538" s="20"/>
      <c r="BS538" s="20"/>
      <c r="BT538" s="20"/>
      <c r="BU538" s="20"/>
      <c r="BV538" s="20"/>
      <c r="BW538" s="20"/>
      <c r="BX538" s="20"/>
      <c r="BY538" s="20"/>
      <c r="BZ538" s="20"/>
      <c r="CA538" s="20"/>
      <c r="CB538" s="20"/>
      <c r="CC538" s="20"/>
      <c r="CD538" s="20"/>
      <c r="CE538" s="20"/>
      <c r="CF538" s="20"/>
      <c r="CG538" s="20"/>
      <c r="CH538" s="20"/>
      <c r="CI538" s="20"/>
      <c r="CJ538" s="20"/>
      <c r="CK538" s="20"/>
      <c r="CL538" s="20"/>
      <c r="CM538" s="20"/>
      <c r="CN538" s="20"/>
      <c r="CO538" s="20"/>
      <c r="CP538" s="20"/>
      <c r="CQ538" s="20"/>
      <c r="CR538" s="20"/>
      <c r="CS538" s="20"/>
      <c r="CT538" s="20"/>
      <c r="CU538" s="20"/>
    </row>
    <row r="539" spans="3:99" x14ac:dyDescent="0.3">
      <c r="C539" s="23"/>
      <c r="D539" s="20" t="str">
        <v>Category.1</v>
      </c>
      <c r="E539" s="20" t="str">
        <v>AAA</v>
      </c>
      <c r="F539" s="20" t="str">
        <v>Apr</v>
      </c>
      <c r="G539" s="20" t="str">
        <v>P_4</v>
      </c>
      <c r="H539" s="20">
        <v>4</v>
      </c>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c r="BR539" s="20"/>
      <c r="BS539" s="20"/>
      <c r="BT539" s="20"/>
      <c r="BU539" s="20"/>
      <c r="BV539" s="20"/>
      <c r="BW539" s="20"/>
      <c r="BX539" s="20"/>
      <c r="BY539" s="20"/>
      <c r="BZ539" s="20"/>
      <c r="CA539" s="20"/>
      <c r="CB539" s="20"/>
      <c r="CC539" s="20"/>
      <c r="CD539" s="20"/>
      <c r="CE539" s="20"/>
      <c r="CF539" s="20"/>
      <c r="CG539" s="20"/>
      <c r="CH539" s="20"/>
      <c r="CI539" s="20"/>
      <c r="CJ539" s="20"/>
      <c r="CK539" s="20"/>
      <c r="CL539" s="20"/>
      <c r="CM539" s="20"/>
      <c r="CN539" s="20"/>
      <c r="CO539" s="20"/>
      <c r="CP539" s="20"/>
      <c r="CQ539" s="20"/>
      <c r="CR539" s="20"/>
      <c r="CS539" s="20"/>
      <c r="CT539" s="20"/>
      <c r="CU539" s="20"/>
    </row>
    <row r="540" spans="3:99" x14ac:dyDescent="0.3">
      <c r="C540" s="23" t="s">
        <v>61</v>
      </c>
      <c r="D540" s="20" t="str">
        <v>Category.1</v>
      </c>
      <c r="E540" s="20" t="str">
        <v>AAA</v>
      </c>
      <c r="F540" s="20" t="str">
        <v>May</v>
      </c>
      <c r="G540" s="20" t="str">
        <v>P_5</v>
      </c>
      <c r="H540" s="20">
        <v>5</v>
      </c>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c r="BR540" s="20"/>
      <c r="BS540" s="20"/>
      <c r="BT540" s="20"/>
      <c r="BU540" s="20"/>
      <c r="BV540" s="20"/>
      <c r="BW540" s="20"/>
      <c r="BX540" s="20"/>
      <c r="BY540" s="20"/>
      <c r="BZ540" s="20"/>
      <c r="CA540" s="20"/>
      <c r="CB540" s="20"/>
      <c r="CC540" s="20"/>
      <c r="CD540" s="20"/>
      <c r="CE540" s="20"/>
      <c r="CF540" s="20"/>
      <c r="CG540" s="20"/>
      <c r="CH540" s="20"/>
      <c r="CI540" s="20"/>
      <c r="CJ540" s="20"/>
      <c r="CK540" s="20"/>
      <c r="CL540" s="20"/>
      <c r="CM540" s="20"/>
      <c r="CN540" s="20"/>
      <c r="CO540" s="20"/>
      <c r="CP540" s="20"/>
      <c r="CQ540" s="20"/>
      <c r="CR540" s="20"/>
      <c r="CS540" s="20"/>
      <c r="CT540" s="20"/>
      <c r="CU540" s="20"/>
    </row>
    <row r="541" spans="3:99" x14ac:dyDescent="0.3">
      <c r="D541" s="20" t="str">
        <v>Category.1</v>
      </c>
      <c r="E541" s="20" t="str">
        <v>AAA</v>
      </c>
      <c r="F541" s="20" t="str">
        <v>Jun</v>
      </c>
      <c r="G541" s="20" t="str">
        <v>P_6</v>
      </c>
      <c r="H541" s="20">
        <v>6</v>
      </c>
    </row>
    <row r="542" spans="3:99" x14ac:dyDescent="0.3">
      <c r="D542" s="20" t="str">
        <v>Category.1</v>
      </c>
      <c r="E542" s="20" t="str">
        <v>AAA</v>
      </c>
      <c r="F542" s="20" t="str">
        <v>Jul</v>
      </c>
      <c r="G542" s="20" t="str">
        <v>P_7</v>
      </c>
      <c r="H542" s="20">
        <v>7</v>
      </c>
      <c r="J542" s="52" t="str" cm="1">
        <f t="array" aca="1" ref="J542:J614" ca="1" xml:space="preserve"> _xlfn.TEXTSPLIT( _xlfn.FORMULATEXT(D536), , CHAR(10))</f>
        <v>= LAMBDA(data,row_headers,column_headers,[by_column],[replace_data_blanks],[filter_blanks],[filter_errors],[fill_row_blanks],[fill_column_blanks],[output_vertical],</v>
      </c>
    </row>
    <row r="543" spans="3:99" x14ac:dyDescent="0.3">
      <c r="D543" s="20" t="str">
        <v>Category.1</v>
      </c>
      <c r="E543" s="20" t="str">
        <v>AAA</v>
      </c>
      <c r="F543" s="20" t="str">
        <v>Aug</v>
      </c>
      <c r="G543" s="20" t="str">
        <v>P_8</v>
      </c>
      <c r="H543" s="20">
        <v>8</v>
      </c>
      <c r="J543" s="52" t="str">
        <f ca="1"/>
        <v xml:space="preserve">  LET(</v>
      </c>
    </row>
    <row r="544" spans="3:99" x14ac:dyDescent="0.3">
      <c r="D544" s="20" t="str">
        <v>Category.1</v>
      </c>
      <c r="E544" s="20" t="str">
        <v>AAA</v>
      </c>
      <c r="F544" s="20" t="str">
        <v>Sep</v>
      </c>
      <c r="G544" s="20" t="str">
        <v>P_9</v>
      </c>
      <c r="H544" s="20">
        <v>9</v>
      </c>
      <c r="J544" s="52" t="str">
        <f ca="1"/>
        <v xml:space="preserve">    _dd, data,</v>
      </c>
    </row>
    <row r="545" spans="4:10" x14ac:dyDescent="0.3">
      <c r="D545" s="20" t="str">
        <v>Category.1</v>
      </c>
      <c r="E545" s="20" t="str">
        <v>AAA</v>
      </c>
      <c r="F545" s="20" t="str">
        <v>Oct</v>
      </c>
      <c r="G545" s="20" t="str">
        <v>P_10</v>
      </c>
      <c r="H545" s="20">
        <v>10</v>
      </c>
      <c r="J545" s="52" t="str">
        <f ca="1"/>
        <v xml:space="preserve">    _rh, row_headers,</v>
      </c>
    </row>
    <row r="546" spans="4:10" x14ac:dyDescent="0.3">
      <c r="D546" s="20" t="str">
        <v>Category.1</v>
      </c>
      <c r="E546" s="20" t="str">
        <v>AAA</v>
      </c>
      <c r="F546" s="20" t="str">
        <v>Nov</v>
      </c>
      <c r="G546" s="20" t="str">
        <v>P_11</v>
      </c>
      <c r="H546" s="20">
        <v>11</v>
      </c>
      <c r="J546" s="52" t="str">
        <f ca="1"/>
        <v xml:space="preserve">    _ch, column_headers,</v>
      </c>
    </row>
    <row r="547" spans="4:10" x14ac:dyDescent="0.3">
      <c r="D547" s="20" t="str">
        <v>Category.1</v>
      </c>
      <c r="E547" s="20" t="str">
        <v>AAA</v>
      </c>
      <c r="F547" s="20" t="str">
        <v>Dec</v>
      </c>
      <c r="G547" s="20" t="str">
        <v>P_12</v>
      </c>
      <c r="H547" s="20">
        <v>12</v>
      </c>
      <c r="J547" s="52" t="str">
        <f ca="1"/>
        <v xml:space="preserve">    _byCol, IF( ISOMITTED(by_column), 0, IF(by_column, 1, 0)),</v>
      </c>
    </row>
    <row r="548" spans="4:10" x14ac:dyDescent="0.3">
      <c r="D548" s="20" t="str">
        <v>Category.1</v>
      </c>
      <c r="E548" s="20" t="str">
        <v>BBB</v>
      </c>
      <c r="F548" s="20" t="str">
        <v>Jan</v>
      </c>
      <c r="G548" s="20" t="str">
        <v>P_1</v>
      </c>
      <c r="H548" s="20">
        <v>13</v>
      </c>
      <c r="J548" s="52" t="str">
        <f ca="1"/>
        <v xml:space="preserve">    _repD, IF( ISOMITTED(replace_data_blanks), "",</v>
      </c>
    </row>
    <row r="549" spans="4:10" x14ac:dyDescent="0.3">
      <c r="D549" s="20" t="str">
        <v>Category.1</v>
      </c>
      <c r="E549" s="20" t="str">
        <v>BBB</v>
      </c>
      <c r="F549" s="20" t="str">
        <v>Feb</v>
      </c>
      <c r="G549" s="20" t="str">
        <v>P_2</v>
      </c>
      <c r="H549" s="20">
        <v>14</v>
      </c>
      <c r="J549" s="52" t="str">
        <f ca="1"/>
        <v xml:space="preserve">      IF( ISLOGICAL(replace_data_blanks),</v>
      </c>
    </row>
    <row r="550" spans="4:10" x14ac:dyDescent="0.3">
      <c r="D550" s="20" t="str">
        <v>Category.1</v>
      </c>
      <c r="E550" s="20" t="str">
        <v>BBB</v>
      </c>
      <c r="F550" s="20" t="str">
        <v>Mar</v>
      </c>
      <c r="G550" s="20" t="str">
        <v>P_3</v>
      </c>
      <c r="H550" s="20">
        <v>15</v>
      </c>
      <c r="J550" s="52" t="str">
        <f ca="1"/>
        <v xml:space="preserve">        IF(replace_data_blanks, NA(), ""),</v>
      </c>
    </row>
    <row r="551" spans="4:10" x14ac:dyDescent="0.3">
      <c r="D551" s="20" t="str">
        <v>Category.1</v>
      </c>
      <c r="E551" s="20" t="str">
        <v>BBB</v>
      </c>
      <c r="F551" s="20" t="str">
        <v>Apr</v>
      </c>
      <c r="G551" s="20" t="str">
        <v>P_4</v>
      </c>
      <c r="H551" s="20">
        <v>16</v>
      </c>
      <c r="J551" s="52" t="str">
        <f ca="1"/>
        <v xml:space="preserve">        replace_data_blanks)</v>
      </c>
    </row>
    <row r="552" spans="4:10" x14ac:dyDescent="0.3">
      <c r="D552" s="20" t="str">
        <v>Category.1</v>
      </c>
      <c r="E552" s="20" t="str">
        <v>BBB</v>
      </c>
      <c r="F552" s="20" t="str">
        <v>May</v>
      </c>
      <c r="G552" s="20" t="str">
        <v>P_5</v>
      </c>
      <c r="H552" s="20">
        <v>17</v>
      </c>
      <c r="J552" s="52" t="str">
        <f ca="1"/>
        <v xml:space="preserve">    ),</v>
      </c>
    </row>
    <row r="553" spans="4:10" x14ac:dyDescent="0.3">
      <c r="D553" s="20" t="str">
        <v>Category.1</v>
      </c>
      <c r="E553" s="20" t="str">
        <v>BBB</v>
      </c>
      <c r="F553" s="20" t="str">
        <v>Jun</v>
      </c>
      <c r="G553" s="20" t="str">
        <v>P_6</v>
      </c>
      <c r="H553" s="20">
        <v>18</v>
      </c>
      <c r="J553" s="52" t="str">
        <f ca="1"/>
        <v xml:space="preserve">    _rowB, IF( ISOMITTED(fill_row_blanks), 0, fill_row_blanks),</v>
      </c>
    </row>
    <row r="554" spans="4:10" x14ac:dyDescent="0.3">
      <c r="D554" s="20" t="str">
        <v>Category.1</v>
      </c>
      <c r="E554" s="20" t="str">
        <v>BBB</v>
      </c>
      <c r="F554" s="20" t="str">
        <v>Jul</v>
      </c>
      <c r="G554" s="20" t="str">
        <v>P_7</v>
      </c>
      <c r="H554" s="20">
        <v>19</v>
      </c>
      <c r="J554" s="52" t="str">
        <f ca="1"/>
        <v xml:space="preserve">    _colB, IF( ISOMITTED(fill_column_blanks), 0, fill_column_blanks),</v>
      </c>
    </row>
    <row r="555" spans="4:10" x14ac:dyDescent="0.3">
      <c r="D555" s="20" t="str">
        <v>Category.1</v>
      </c>
      <c r="E555" s="20" t="str">
        <v>BBB</v>
      </c>
      <c r="F555" s="20" t="str">
        <v>Aug</v>
      </c>
      <c r="G555" s="20" t="str">
        <v>P_8</v>
      </c>
      <c r="H555" s="20">
        <v>20</v>
      </c>
      <c r="J555" s="52" t="str">
        <f ca="1"/>
        <v xml:space="preserve">    _repR, IF( OR(ISNUMBER(_rowB), ISLOGICAL(_rowB)), "", _rowB),</v>
      </c>
    </row>
    <row r="556" spans="4:10" x14ac:dyDescent="0.3">
      <c r="D556" s="20" t="str">
        <v>Category.1</v>
      </c>
      <c r="E556" s="20" t="str">
        <v>BBB</v>
      </c>
      <c r="F556" s="20" t="str">
        <v>Sep</v>
      </c>
      <c r="G556" s="20" t="str">
        <v>P_9</v>
      </c>
      <c r="H556" s="20">
        <v>21</v>
      </c>
      <c r="J556" s="52" t="str">
        <f ca="1"/>
        <v xml:space="preserve">    _repC, IF( OR(ISNUMBER(_colB), ISLOGICAL(_colB)), "", _colB),</v>
      </c>
    </row>
    <row r="557" spans="4:10" x14ac:dyDescent="0.3">
      <c r="D557" s="20" t="str">
        <v>Category.1</v>
      </c>
      <c r="E557" s="20" t="str">
        <v>BBB</v>
      </c>
      <c r="F557" s="20" t="str">
        <v>Oct</v>
      </c>
      <c r="G557" s="20" t="str">
        <v>P_10</v>
      </c>
      <c r="H557" s="20">
        <v>22</v>
      </c>
      <c r="J557" s="52" t="str">
        <f ca="1"/>
        <v xml:space="preserve">    _dirR, IF( OR(ISNUMBER(_rowB), ISLOGICAL(_rowB)), INT(_rowB), 0),</v>
      </c>
    </row>
    <row r="558" spans="4:10" x14ac:dyDescent="0.3">
      <c r="D558" s="20" t="str">
        <v>Category.1</v>
      </c>
      <c r="E558" s="20" t="str">
        <v>BBB</v>
      </c>
      <c r="F558" s="20" t="str">
        <v>Nov</v>
      </c>
      <c r="G558" s="20" t="str">
        <v>P_11</v>
      </c>
      <c r="H558" s="20">
        <v>23</v>
      </c>
      <c r="J558" s="52" t="str">
        <f ca="1"/>
        <v xml:space="preserve">    _dirC, IF( OR(ISNUMBER(_colB), ISLOGICAL(_colB)), INT(_colB), 0),</v>
      </c>
    </row>
    <row r="559" spans="4:10" x14ac:dyDescent="0.3">
      <c r="D559" s="20" t="str">
        <v>Category.1</v>
      </c>
      <c r="E559" s="20" t="str">
        <v>BBB</v>
      </c>
      <c r="F559" s="20" t="str">
        <v>Dec</v>
      </c>
      <c r="G559" s="20" t="str">
        <v>P_12</v>
      </c>
      <c r="H559" s="20">
        <v>24</v>
      </c>
      <c r="J559" s="52" t="str">
        <f ca="1"/>
        <v xml:space="preserve">    _fltrB, IF( ISOMITTED(filter_blanks), 0, IF(filter_blanks, 1, 0)),</v>
      </c>
    </row>
    <row r="560" spans="4:10" x14ac:dyDescent="0.3">
      <c r="D560" s="20" t="str">
        <v>Category.2</v>
      </c>
      <c r="E560" s="20" t="str">
        <v>CCC</v>
      </c>
      <c r="F560" s="20" t="str">
        <v>Jan</v>
      </c>
      <c r="G560" s="20" t="str">
        <v>P_1</v>
      </c>
      <c r="H560" s="20">
        <v>25</v>
      </c>
      <c r="J560" s="52" t="str">
        <f ca="1"/>
        <v xml:space="preserve">    _fltrE, IF( ISOMITTED(filter_errors), 0, IF(filter_errors, 1, 0)),</v>
      </c>
    </row>
    <row r="561" spans="4:10" x14ac:dyDescent="0.3">
      <c r="D561" s="20" t="str">
        <v>Category.2</v>
      </c>
      <c r="E561" s="20" t="str">
        <v>CCC</v>
      </c>
      <c r="F561" s="20" t="str">
        <v>Feb</v>
      </c>
      <c r="G561" s="20" t="str">
        <v>P_2</v>
      </c>
      <c r="H561" s="20">
        <v>26</v>
      </c>
      <c r="J561" s="52" t="str">
        <f ca="1"/>
        <v xml:space="preserve">    _vrt, IF( ISOMITTED(output_vertical), 1, IF(output_vertical, 1, 0)),</v>
      </c>
    </row>
    <row r="562" spans="4:10" x14ac:dyDescent="0.3">
      <c r="D562" s="20" t="str">
        <v>Category.2</v>
      </c>
      <c r="E562" s="20" t="str">
        <v>CCC</v>
      </c>
      <c r="F562" s="20" t="str">
        <v>Mar</v>
      </c>
      <c r="G562" s="20" t="str">
        <v>P_3</v>
      </c>
      <c r="H562" s="20">
        <v>27</v>
      </c>
      <c r="J562" s="52" t="str">
        <f ca="1"/>
        <v xml:space="preserve">    _inpChk, IFS(</v>
      </c>
    </row>
    <row r="563" spans="4:10" x14ac:dyDescent="0.3">
      <c r="D563" s="20" t="str">
        <v>Category.2</v>
      </c>
      <c r="E563" s="20" t="str">
        <v>CCC</v>
      </c>
      <c r="F563" s="20" t="str">
        <v>Apr</v>
      </c>
      <c r="G563" s="20" t="str">
        <v>P_4</v>
      </c>
      <c r="H563" s="20">
        <v>28</v>
      </c>
      <c r="J563" s="52" t="str">
        <f ca="1"/>
        <v xml:space="preserve">      IFERROR( OR( ROWS(_rh) &lt; 1, COLUMNS(_rh) &lt; 1, ROWS(_ch) &lt; 1, COLUMNS(_ch) &lt; 1, ROWS(_dd) &lt; 1, COLUMNS(_dd) &lt; 1), 3), 3,</v>
      </c>
    </row>
    <row r="564" spans="4:10" x14ac:dyDescent="0.3">
      <c r="D564" s="20" t="str">
        <v>Category.2</v>
      </c>
      <c r="E564" s="20" t="str">
        <v>CCC</v>
      </c>
      <c r="F564" s="20" t="str">
        <v>May</v>
      </c>
      <c r="G564" s="20" t="str">
        <v>P_5</v>
      </c>
      <c r="H564" s="20">
        <v>29</v>
      </c>
      <c r="J564" s="52" t="str">
        <f ca="1"/>
        <v xml:space="preserve">      IFERROR( OR( ROWS(_dd) &lt;&gt; ROWS(_rh), COLUMNS(_dd) &lt;&gt; COLUMNS(_ch)), 3), 2,</v>
      </c>
    </row>
    <row r="565" spans="4:10" x14ac:dyDescent="0.3">
      <c r="D565" s="20" t="str">
        <v>Category.2</v>
      </c>
      <c r="E565" s="20" t="str">
        <v>CCC</v>
      </c>
      <c r="F565" s="20" t="str">
        <v>Jun</v>
      </c>
      <c r="G565" s="20" t="str">
        <v>P_6</v>
      </c>
      <c r="H565" s="20">
        <v>30</v>
      </c>
      <c r="J565" s="52" t="str">
        <f ca="1"/>
        <v xml:space="preserve">      TRUE, 1</v>
      </c>
    </row>
    <row r="566" spans="4:10" x14ac:dyDescent="0.3">
      <c r="D566" s="20" t="str">
        <v>Category.2</v>
      </c>
      <c r="E566" s="20" t="str">
        <v>CCC</v>
      </c>
      <c r="F566" s="20" t="str">
        <v>Jul</v>
      </c>
      <c r="G566" s="20" t="str">
        <v>P_7</v>
      </c>
      <c r="H566" s="20">
        <v>31</v>
      </c>
      <c r="J566" s="52" t="str">
        <f ca="1"/>
        <v xml:space="preserve">    ),</v>
      </c>
    </row>
    <row r="567" spans="4:10" x14ac:dyDescent="0.3">
      <c r="D567" s="20" t="str">
        <v>Category.2</v>
      </c>
      <c r="E567" s="20" t="str">
        <v>CCC</v>
      </c>
      <c r="F567" s="20" t="str">
        <v>Aug</v>
      </c>
      <c r="G567" s="20" t="str">
        <v>P_8</v>
      </c>
      <c r="H567" s="20">
        <v>32</v>
      </c>
      <c r="J567" s="52" t="str">
        <f ca="1"/>
        <v xml:space="preserve">    _kCols, IF(_byCol, TRANSPOSE(_ch), _rh),</v>
      </c>
    </row>
    <row r="568" spans="4:10" x14ac:dyDescent="0.3">
      <c r="D568" s="20" t="str">
        <v>Category.2</v>
      </c>
      <c r="E568" s="20" t="str">
        <v>CCC</v>
      </c>
      <c r="F568" s="20" t="str">
        <v>Sep</v>
      </c>
      <c r="G568" s="20" t="str">
        <v>P_9</v>
      </c>
      <c r="H568" s="20">
        <v>33</v>
      </c>
      <c r="J568" s="52" t="str">
        <f ca="1"/>
        <v xml:space="preserve">    _nCols, IF(_byCol, _rh, TRANSPOSE(_ch)),</v>
      </c>
    </row>
    <row r="569" spans="4:10" x14ac:dyDescent="0.3">
      <c r="D569" s="20" t="str">
        <v>Category.2</v>
      </c>
      <c r="E569" s="20" t="str">
        <v>CCC</v>
      </c>
      <c r="F569" s="20" t="str">
        <v>Oct</v>
      </c>
      <c r="G569" s="20" t="str">
        <v>P_10</v>
      </c>
      <c r="H569" s="20">
        <v>34</v>
      </c>
      <c r="J569" s="52" t="str">
        <f ca="1"/>
        <v xml:space="preserve">    _rK, ROWS(_kCols),</v>
      </c>
    </row>
    <row r="570" spans="4:10" x14ac:dyDescent="0.3">
      <c r="D570" s="20" t="str">
        <v>Category.2</v>
      </c>
      <c r="E570" s="20" t="str">
        <v>CCC</v>
      </c>
      <c r="F570" s="20" t="str">
        <v>Nov</v>
      </c>
      <c r="G570" s="20" t="str">
        <v>P_11</v>
      </c>
      <c r="H570" s="20">
        <v>35</v>
      </c>
      <c r="J570" s="52" t="str">
        <f ca="1"/>
        <v xml:space="preserve">    _cK, COLUMNS(_kCols),</v>
      </c>
    </row>
    <row r="571" spans="4:10" x14ac:dyDescent="0.3">
      <c r="D571" s="20" t="str">
        <v>Category.2</v>
      </c>
      <c r="E571" s="20" t="str">
        <v>CCC</v>
      </c>
      <c r="F571" s="20" t="str">
        <v>Dec</v>
      </c>
      <c r="G571" s="20" t="str">
        <v>P_12</v>
      </c>
      <c r="H571" s="20">
        <v>36</v>
      </c>
      <c r="J571" s="52" t="str">
        <f ca="1"/>
        <v xml:space="preserve">    _rN, ROWS(_nCols),</v>
      </c>
    </row>
    <row r="572" spans="4:10" x14ac:dyDescent="0.3">
      <c r="D572" s="20" t="str">
        <v>Category.2</v>
      </c>
      <c r="E572" s="20" t="str">
        <v>DDD</v>
      </c>
      <c r="F572" s="20" t="str">
        <v>Jan</v>
      </c>
      <c r="G572" s="20" t="str">
        <v>P_1</v>
      </c>
      <c r="H572" s="20">
        <v>37</v>
      </c>
      <c r="J572" s="52" t="str">
        <f ca="1"/>
        <v xml:space="preserve">    _cN, COLUMNS(_nCols),</v>
      </c>
    </row>
    <row r="573" spans="4:10" x14ac:dyDescent="0.3">
      <c r="D573" s="20" t="str">
        <v>Category.2</v>
      </c>
      <c r="E573" s="20" t="str">
        <v>DDD</v>
      </c>
      <c r="F573" s="20" t="str">
        <v>Feb</v>
      </c>
      <c r="G573" s="20" t="str">
        <v>P_2</v>
      </c>
      <c r="H573" s="20">
        <v>38</v>
      </c>
      <c r="J573" s="52" t="str">
        <f ca="1"/>
        <v xml:space="preserve">    _keys, LET(</v>
      </c>
    </row>
    <row r="574" spans="4:10" x14ac:dyDescent="0.3">
      <c r="D574" s="20" t="str">
        <v>Category.2</v>
      </c>
      <c r="E574" s="20" t="str">
        <v>DDD</v>
      </c>
      <c r="F574" s="20" t="str">
        <v>Mar</v>
      </c>
      <c r="G574" s="20" t="str">
        <v>P_3</v>
      </c>
      <c r="H574" s="20">
        <v>39</v>
      </c>
      <c r="J574" s="52" t="str">
        <f ca="1"/>
        <v xml:space="preserve">      _kRep, IF(_byCol, _repC, _repR),</v>
      </c>
    </row>
    <row r="575" spans="4:10" x14ac:dyDescent="0.3">
      <c r="D575" s="20" t="str">
        <v>Category.2</v>
      </c>
      <c r="E575" s="20" t="str">
        <v>DDD</v>
      </c>
      <c r="F575" s="20" t="str">
        <v>Apr</v>
      </c>
      <c r="G575" s="20" t="str">
        <v>P_4</v>
      </c>
      <c r="H575" s="20">
        <v>40</v>
      </c>
      <c r="J575" s="52" t="str">
        <f ca="1"/>
        <v xml:space="preserve">      _kDir, IF(_byCol, _dirC, _dirR),</v>
      </c>
    </row>
    <row r="576" spans="4:10" x14ac:dyDescent="0.3">
      <c r="D576" s="20" t="str">
        <v>Category.2</v>
      </c>
      <c r="E576" s="20" t="str">
        <v>DDD</v>
      </c>
      <c r="F576" s="20" t="str">
        <v>May</v>
      </c>
      <c r="G576" s="20" t="str">
        <v>P_5</v>
      </c>
      <c r="H576" s="20">
        <v>41</v>
      </c>
      <c r="J576" s="52" t="str">
        <f ca="1"/>
        <v xml:space="preserve">      _kArr, IF(_kDir = -1, INDEX(_kCols, SEQUENCE(_rK, 1, _rK, -1), SEQUENCE(1, _cK)), _kCols),</v>
      </c>
    </row>
    <row r="577" spans="4:10" x14ac:dyDescent="0.3">
      <c r="D577" s="20" t="str">
        <v>Category.2</v>
      </c>
      <c r="E577" s="20" t="str">
        <v>DDD</v>
      </c>
      <c r="F577" s="20" t="str">
        <v>Jun</v>
      </c>
      <c r="G577" s="20" t="str">
        <v>P_6</v>
      </c>
      <c r="H577" s="20">
        <v>42</v>
      </c>
      <c r="J577" s="52" t="str">
        <f ca="1"/>
        <v xml:space="preserve">      _kFil, DROP( REDUCE(0, SEQUENCE(_cK), LAMBDA(_arr,_col,</v>
      </c>
    </row>
    <row r="578" spans="4:10" x14ac:dyDescent="0.3">
      <c r="D578" s="20" t="str">
        <v>Category.2</v>
      </c>
      <c r="E578" s="20" t="str">
        <v>DDD</v>
      </c>
      <c r="F578" s="20" t="str">
        <v>Jul</v>
      </c>
      <c r="G578" s="20" t="str">
        <v>P_7</v>
      </c>
      <c r="H578" s="20">
        <v>43</v>
      </c>
      <c r="J578" s="52" t="str">
        <f ca="1"/>
        <v xml:space="preserve">        HSTACK(_arr,</v>
      </c>
    </row>
    <row r="579" spans="4:10" x14ac:dyDescent="0.3">
      <c r="D579" s="20" t="str">
        <v>Category.2</v>
      </c>
      <c r="E579" s="20" t="str">
        <v>DDD</v>
      </c>
      <c r="F579" s="20" t="str">
        <v>Aug</v>
      </c>
      <c r="G579" s="20" t="str">
        <v>P_8</v>
      </c>
      <c r="H579" s="20">
        <v>44</v>
      </c>
      <c r="J579" s="52" t="str">
        <f ca="1"/>
        <v xml:space="preserve">          SCAN("", CHOOSECOLS(_kArr, _col),</v>
      </c>
    </row>
    <row r="580" spans="4:10" x14ac:dyDescent="0.3">
      <c r="D580" s="20" t="str">
        <v>Category.2</v>
      </c>
      <c r="E580" s="20" t="str">
        <v>DDD</v>
      </c>
      <c r="F580" s="20" t="str">
        <v>Sep</v>
      </c>
      <c r="G580" s="20" t="str">
        <v>P_9</v>
      </c>
      <c r="H580" s="20">
        <v>45</v>
      </c>
      <c r="J580" s="52" t="str">
        <f ca="1"/>
        <v xml:space="preserve">            LAMBDA(_acc,_val, IF(ISBLANK(_val), IF(_kDir = 0, _kRep, _acc), _val))</v>
      </c>
    </row>
    <row r="581" spans="4:10" x14ac:dyDescent="0.3">
      <c r="D581" s="20" t="str">
        <v>Category.2</v>
      </c>
      <c r="E581" s="20" t="str">
        <v>DDD</v>
      </c>
      <c r="F581" s="20" t="str">
        <v>Oct</v>
      </c>
      <c r="G581" s="20" t="str">
        <v>P_10</v>
      </c>
      <c r="H581" s="20">
        <v>46</v>
      </c>
      <c r="J581" s="52" t="str">
        <f ca="1"/>
        <v xml:space="preserve">          )</v>
      </c>
    </row>
    <row r="582" spans="4:10" x14ac:dyDescent="0.3">
      <c r="D582" s="20" t="str">
        <v>Category.2</v>
      </c>
      <c r="E582" s="20" t="str">
        <v>DDD</v>
      </c>
      <c r="F582" s="20" t="str">
        <v>Nov</v>
      </c>
      <c r="G582" s="20" t="str">
        <v>P_11</v>
      </c>
      <c r="H582" s="20">
        <v>47</v>
      </c>
      <c r="J582" s="52" t="str">
        <f ca="1"/>
        <v xml:space="preserve">        ))),</v>
      </c>
    </row>
    <row r="583" spans="4:10" x14ac:dyDescent="0.3">
      <c r="D583" s="20" t="str">
        <v>Category.2</v>
      </c>
      <c r="E583" s="20" t="str">
        <v>DDD</v>
      </c>
      <c r="F583" s="20" t="str">
        <v>Dec</v>
      </c>
      <c r="G583" s="20" t="str">
        <v>P_12</v>
      </c>
      <c r="H583" s="20">
        <v>48</v>
      </c>
      <c r="J583" s="52" t="str">
        <f ca="1"/>
        <v xml:space="preserve">      , 1),</v>
      </c>
    </row>
    <row r="584" spans="4:10" x14ac:dyDescent="0.3">
      <c r="D584" s="20" t="str">
        <v>Category.3</v>
      </c>
      <c r="E584" s="20" t="str">
        <v>EEE</v>
      </c>
      <c r="F584" s="20" t="str">
        <v>Jan</v>
      </c>
      <c r="G584" s="20" t="str">
        <v>P_1</v>
      </c>
      <c r="H584" s="20">
        <v>49</v>
      </c>
      <c r="J584" s="52" t="str">
        <f ca="1"/>
        <v xml:space="preserve">      _out, IF(_kDir = -1, INDEX(_kFil, SEQUENCE(_rK, 1, _rK, -1), SEQUENCE(1, _cK)), _kFil),</v>
      </c>
    </row>
    <row r="585" spans="4:10" x14ac:dyDescent="0.3">
      <c r="D585" s="20" t="str">
        <v>Category.3</v>
      </c>
      <c r="E585" s="20" t="str">
        <v>EEE</v>
      </c>
      <c r="F585" s="20" t="str">
        <v>Feb</v>
      </c>
      <c r="G585" s="20" t="str">
        <v>P_2</v>
      </c>
      <c r="H585" s="20">
        <v>50</v>
      </c>
      <c r="J585" s="52" t="str">
        <f ca="1"/>
        <v xml:space="preserve">      MAKEARRAY(_rK * _rN, _cK, LAMBDA(_row,_col, INDEX(_out, ROUNDUP(_row / _rN, 0), _col)))</v>
      </c>
    </row>
    <row r="586" spans="4:10" x14ac:dyDescent="0.3">
      <c r="D586" s="20" t="str">
        <v>Category.3</v>
      </c>
      <c r="E586" s="20" t="str">
        <v>EEE</v>
      </c>
      <c r="F586" s="20" t="str">
        <v>Mar</v>
      </c>
      <c r="G586" s="20" t="str">
        <v>P_3</v>
      </c>
      <c r="H586" s="20">
        <v>51</v>
      </c>
      <c r="J586" s="52" t="str">
        <f ca="1"/>
        <v xml:space="preserve">    ),</v>
      </c>
    </row>
    <row r="587" spans="4:10" x14ac:dyDescent="0.3">
      <c r="D587" s="20" t="str">
        <v>Category.3</v>
      </c>
      <c r="E587" s="20" t="str">
        <v>EEE</v>
      </c>
      <c r="F587" s="20" t="str">
        <v>Apr</v>
      </c>
      <c r="G587" s="20" t="str">
        <v>P_4</v>
      </c>
      <c r="H587" s="20">
        <v>52</v>
      </c>
      <c r="J587" s="52" t="str">
        <f ca="1"/>
        <v xml:space="preserve">    _names, LET(</v>
      </c>
    </row>
    <row r="588" spans="4:10" x14ac:dyDescent="0.3">
      <c r="D588" s="20" t="str">
        <v>Category.3</v>
      </c>
      <c r="E588" s="20" t="str">
        <v>EEE</v>
      </c>
      <c r="F588" s="20" t="str">
        <v>May</v>
      </c>
      <c r="G588" s="20" t="str">
        <v>P_5</v>
      </c>
      <c r="H588" s="20">
        <v>53</v>
      </c>
      <c r="J588" s="52" t="str">
        <f ca="1"/>
        <v xml:space="preserve">      _nRep, IF(_byCol, _repR, _repC),</v>
      </c>
    </row>
    <row r="589" spans="4:10" x14ac:dyDescent="0.3">
      <c r="D589" s="20" t="str">
        <v>Category.3</v>
      </c>
      <c r="E589" s="20" t="str">
        <v>EEE</v>
      </c>
      <c r="F589" s="20" t="str">
        <v>Jun</v>
      </c>
      <c r="G589" s="20" t="str">
        <v>P_6</v>
      </c>
      <c r="H589" s="20">
        <v>54</v>
      </c>
      <c r="J589" s="52" t="str">
        <f ca="1"/>
        <v xml:space="preserve">      _nDir, IF(_byCol, _dirR, _dirC),</v>
      </c>
    </row>
    <row r="590" spans="4:10" x14ac:dyDescent="0.3">
      <c r="D590" s="20" t="str">
        <v>Category.3</v>
      </c>
      <c r="E590" s="20" t="str">
        <v>EEE</v>
      </c>
      <c r="F590" s="20" t="str">
        <v>Jul</v>
      </c>
      <c r="G590" s="20" t="str">
        <v>P_7</v>
      </c>
      <c r="H590" s="20">
        <v>55</v>
      </c>
      <c r="J590" s="52" t="str">
        <f ca="1"/>
        <v xml:space="preserve">      _nArr, IF(_nDir = -1, INDEX(_nCols, SEQUENCE(_rN, 1, _rN, -1), SEQUENCE(1, _cN)), _nCols),</v>
      </c>
    </row>
    <row r="591" spans="4:10" x14ac:dyDescent="0.3">
      <c r="D591" s="20" t="str">
        <v>Category.3</v>
      </c>
      <c r="E591" s="20" t="str">
        <v>EEE</v>
      </c>
      <c r="F591" s="20" t="str">
        <v>Aug</v>
      </c>
      <c r="G591" s="20" t="str">
        <v>P_8</v>
      </c>
      <c r="H591" s="20">
        <v>56</v>
      </c>
      <c r="J591" s="52" t="str">
        <f ca="1"/>
        <v xml:space="preserve">      _nFil, DROP( REDUCE(0, SEQUENCE(_cN), LAMBDA(_arr,_col,</v>
      </c>
    </row>
    <row r="592" spans="4:10" x14ac:dyDescent="0.3">
      <c r="D592" s="20" t="str">
        <v>Category.3</v>
      </c>
      <c r="E592" s="20" t="str">
        <v>EEE</v>
      </c>
      <c r="F592" s="20" t="str">
        <v>Sep</v>
      </c>
      <c r="G592" s="20" t="str">
        <v>P_9</v>
      </c>
      <c r="H592" s="20">
        <v>57</v>
      </c>
      <c r="J592" s="52" t="str">
        <f ca="1"/>
        <v xml:space="preserve">        HSTACK(_arr,</v>
      </c>
    </row>
    <row r="593" spans="4:10" x14ac:dyDescent="0.3">
      <c r="D593" s="20" t="str">
        <v>Category.3</v>
      </c>
      <c r="E593" s="20" t="str">
        <v>EEE</v>
      </c>
      <c r="F593" s="20" t="str">
        <v>Oct</v>
      </c>
      <c r="G593" s="20" t="str">
        <v>P_10</v>
      </c>
      <c r="H593" s="20">
        <v>58</v>
      </c>
      <c r="J593" s="52" t="str">
        <f ca="1"/>
        <v xml:space="preserve">          SCAN("", CHOOSECOLS(_nArr, _col),</v>
      </c>
    </row>
    <row r="594" spans="4:10" x14ac:dyDescent="0.3">
      <c r="D594" s="20" t="str">
        <v>Category.3</v>
      </c>
      <c r="E594" s="20" t="str">
        <v>EEE</v>
      </c>
      <c r="F594" s="20" t="str">
        <v>Nov</v>
      </c>
      <c r="G594" s="20" t="str">
        <v>P_11</v>
      </c>
      <c r="H594" s="20">
        <v>59</v>
      </c>
      <c r="J594" s="52" t="str">
        <f ca="1"/>
        <v xml:space="preserve">            LAMBDA(_acc,_val, IF(ISBLANK(_val), IF(_nDir = 0, _nRep, _acc), _val))</v>
      </c>
    </row>
    <row r="595" spans="4:10" x14ac:dyDescent="0.3">
      <c r="D595" s="20" t="str">
        <v>Category.3</v>
      </c>
      <c r="E595" s="20" t="str">
        <v>EEE</v>
      </c>
      <c r="F595" s="20" t="str">
        <v>Dec</v>
      </c>
      <c r="G595" s="20" t="str">
        <v>P_12</v>
      </c>
      <c r="H595" s="20">
        <v>60</v>
      </c>
      <c r="J595" s="52" t="str">
        <f ca="1"/>
        <v xml:space="preserve">          )</v>
      </c>
    </row>
    <row r="596" spans="4:10" x14ac:dyDescent="0.3">
      <c r="D596" s="20" t="str">
        <v>Category.3</v>
      </c>
      <c r="E596" s="20" t="str">
        <v>FFF</v>
      </c>
      <c r="F596" s="20" t="str">
        <v>Jan</v>
      </c>
      <c r="G596" s="20" t="str">
        <v>P_1</v>
      </c>
      <c r="H596" s="20">
        <v>61</v>
      </c>
      <c r="J596" s="52" t="str">
        <f ca="1"/>
        <v xml:space="preserve">        ))),</v>
      </c>
    </row>
    <row r="597" spans="4:10" x14ac:dyDescent="0.3">
      <c r="D597" s="20" t="str">
        <v>Category.3</v>
      </c>
      <c r="E597" s="20" t="str">
        <v>FFF</v>
      </c>
      <c r="F597" s="20" t="str">
        <v>Feb</v>
      </c>
      <c r="G597" s="20" t="str">
        <v>P_2</v>
      </c>
      <c r="H597" s="20">
        <v>62</v>
      </c>
      <c r="J597" s="52" t="str">
        <f ca="1"/>
        <v xml:space="preserve">      , 1),</v>
      </c>
    </row>
    <row r="598" spans="4:10" x14ac:dyDescent="0.3">
      <c r="D598" s="20" t="str">
        <v>Category.3</v>
      </c>
      <c r="E598" s="20" t="str">
        <v>FFF</v>
      </c>
      <c r="F598" s="20" t="str">
        <v>Mar</v>
      </c>
      <c r="G598" s="20" t="str">
        <v>P_3</v>
      </c>
      <c r="H598" s="20">
        <v>63</v>
      </c>
      <c r="J598" s="52" t="str">
        <f ca="1"/>
        <v xml:space="preserve">      _out, IF(_nDir = -1, INDEX(_nFil, SEQUENCE(_rN, 1, _rN, -1), SEQUENCE(1, _cN)), _nFil),</v>
      </c>
    </row>
    <row r="599" spans="4:10" x14ac:dyDescent="0.3">
      <c r="D599" s="20" t="str">
        <v>Category.3</v>
      </c>
      <c r="E599" s="20" t="str">
        <v>FFF</v>
      </c>
      <c r="F599" s="20" t="str">
        <v>Apr</v>
      </c>
      <c r="G599" s="20" t="str">
        <v>P_4</v>
      </c>
      <c r="H599" s="20">
        <v>64</v>
      </c>
      <c r="J599" s="52" t="str">
        <f ca="1"/>
        <v xml:space="preserve">      MAKEARRAY(_rK * _rN, _cN, LAMBDA(_row,_col, INDEX(_out, MOD(_row - 1, _rN) + 1, _col)))</v>
      </c>
    </row>
    <row r="600" spans="4:10" x14ac:dyDescent="0.3">
      <c r="D600" s="20" t="str">
        <v>Category.3</v>
      </c>
      <c r="E600" s="20" t="str">
        <v>FFF</v>
      </c>
      <c r="F600" s="20" t="str">
        <v>May</v>
      </c>
      <c r="G600" s="20" t="str">
        <v>P_5</v>
      </c>
      <c r="H600" s="20">
        <v>65</v>
      </c>
      <c r="J600" s="52" t="str">
        <f ca="1"/>
        <v xml:space="preserve">    ),</v>
      </c>
    </row>
    <row r="601" spans="4:10" x14ac:dyDescent="0.3">
      <c r="D601" s="20" t="str">
        <v>Category.3</v>
      </c>
      <c r="E601" s="20" t="str">
        <v>FFF</v>
      </c>
      <c r="F601" s="20" t="str">
        <v>Jun</v>
      </c>
      <c r="G601" s="20" t="str">
        <v>P_6</v>
      </c>
      <c r="H601" s="20">
        <v>66</v>
      </c>
      <c r="J601" s="52" t="str">
        <f ca="1"/>
        <v xml:space="preserve">    _values, LET(</v>
      </c>
    </row>
    <row r="602" spans="4:10" x14ac:dyDescent="0.3">
      <c r="D602" s="20" t="str">
        <v>Category.3</v>
      </c>
      <c r="E602" s="20" t="str">
        <v>FFF</v>
      </c>
      <c r="F602" s="20" t="str">
        <v>Jul</v>
      </c>
      <c r="G602" s="20" t="str">
        <v>P_7</v>
      </c>
      <c r="H602" s="20">
        <v>67</v>
      </c>
      <c r="J602" s="52" t="str">
        <f ca="1"/>
        <v xml:space="preserve">      _dp, TOCOL(_dd, , _byCol),</v>
      </c>
    </row>
    <row r="603" spans="4:10" x14ac:dyDescent="0.3">
      <c r="D603" s="20" t="str">
        <v>Category.3</v>
      </c>
      <c r="E603" s="20" t="str">
        <v>FFF</v>
      </c>
      <c r="F603" s="20" t="str">
        <v>Aug</v>
      </c>
      <c r="G603" s="20" t="str">
        <v>P_8</v>
      </c>
      <c r="H603" s="20">
        <v>68</v>
      </c>
      <c r="J603" s="52" t="str">
        <f ca="1"/>
        <v xml:space="preserve">      IF( ISBLANK(_dp), _repD, _dp)</v>
      </c>
    </row>
    <row r="604" spans="4:10" x14ac:dyDescent="0.3">
      <c r="D604" s="20" t="str">
        <v>Category.3</v>
      </c>
      <c r="E604" s="20" t="str">
        <v>FFF</v>
      </c>
      <c r="F604" s="20" t="str">
        <v>Sep</v>
      </c>
      <c r="G604" s="20" t="str">
        <v>P_9</v>
      </c>
      <c r="H604" s="20">
        <v>69</v>
      </c>
      <c r="J604" s="52" t="str">
        <f ca="1"/>
        <v xml:space="preserve">    ),</v>
      </c>
    </row>
    <row r="605" spans="4:10" x14ac:dyDescent="0.3">
      <c r="D605" s="20" t="str">
        <v>Category.3</v>
      </c>
      <c r="E605" s="20" t="str">
        <v>FFF</v>
      </c>
      <c r="F605" s="20" t="str">
        <v>Oct</v>
      </c>
      <c r="G605" s="20" t="str">
        <v>P_10</v>
      </c>
      <c r="H605" s="20">
        <v>70</v>
      </c>
      <c r="J605" s="52" t="str">
        <f ca="1"/>
        <v xml:space="preserve">    _rtn, LET(</v>
      </c>
    </row>
    <row r="606" spans="4:10" x14ac:dyDescent="0.3">
      <c r="D606" s="20" t="str">
        <v>Category.3</v>
      </c>
      <c r="E606" s="20" t="str">
        <v>FFF</v>
      </c>
      <c r="F606" s="20" t="str">
        <v>Nov</v>
      </c>
      <c r="G606" s="20" t="str">
        <v>P_11</v>
      </c>
      <c r="H606" s="20">
        <v>71</v>
      </c>
      <c r="J606" s="52" t="str">
        <f ca="1"/>
        <v xml:space="preserve">      _dt, HSTACK(_keys, _names, _values),</v>
      </c>
    </row>
    <row r="607" spans="4:10" x14ac:dyDescent="0.3">
      <c r="D607" s="20" t="str">
        <v>Category.3</v>
      </c>
      <c r="E607" s="20" t="str">
        <v>FFF</v>
      </c>
      <c r="F607" s="20" t="str">
        <v>Dec</v>
      </c>
      <c r="G607" s="20" t="str">
        <v>P_12</v>
      </c>
      <c r="H607" s="20">
        <v>72</v>
      </c>
      <c r="J607" s="52" t="str">
        <f ca="1"/>
        <v xml:space="preserve">      _vl, CHOOSECOLS(_dt, -1),</v>
      </c>
    </row>
    <row r="608" spans="4:10" x14ac:dyDescent="0.3">
      <c r="D608" s="20" t="str">
        <v>Category.4</v>
      </c>
      <c r="E608" s="20" t="str">
        <v>GGG</v>
      </c>
      <c r="F608" s="20" t="str">
        <v>Jan</v>
      </c>
      <c r="G608" s="20" t="str">
        <v>P_1</v>
      </c>
      <c r="H608" s="20">
        <v>73</v>
      </c>
      <c r="J608" s="52" t="str">
        <f ca="1"/>
        <v xml:space="preserve">      _dfB, IF(_fltrB, FILTER(_dt, IF( ISERROR(_vl), TRUE, IFNA(_vl, "#") &lt;&gt; "")), _dt),</v>
      </c>
    </row>
    <row r="609" spans="4:10" x14ac:dyDescent="0.3">
      <c r="D609" s="20" t="str">
        <v>Category.4</v>
      </c>
      <c r="E609" s="20" t="str">
        <v>GGG</v>
      </c>
      <c r="F609" s="20" t="str">
        <v>Feb</v>
      </c>
      <c r="G609" s="20" t="str">
        <v>P_2</v>
      </c>
      <c r="H609" s="20">
        <v>74</v>
      </c>
      <c r="J609" s="52" t="str">
        <f ca="1"/>
        <v xml:space="preserve">      _dfE, IF(_fltrE, FILTER(_dfB, NOT(ISERROR( CHOOSECOLS(_dfB, -1)))), _dfB),</v>
      </c>
    </row>
    <row r="610" spans="4:10" x14ac:dyDescent="0.3">
      <c r="D610" s="20" t="str">
        <v>Category.4</v>
      </c>
      <c r="E610" s="20" t="str">
        <v>GGG</v>
      </c>
      <c r="F610" s="20" t="str">
        <v>Mar</v>
      </c>
      <c r="G610" s="20" t="str">
        <v>P_3</v>
      </c>
      <c r="H610" s="20">
        <v>75</v>
      </c>
      <c r="J610" s="52" t="str">
        <f ca="1"/>
        <v xml:space="preserve">      IF(NOT(_vrt), TRANSPOSE(_dfE), _dfE)</v>
      </c>
    </row>
    <row r="611" spans="4:10" x14ac:dyDescent="0.3">
      <c r="D611" s="20" t="str">
        <v>Category.4</v>
      </c>
      <c r="E611" s="20" t="str">
        <v>GGG</v>
      </c>
      <c r="F611" s="20" t="str">
        <v>Apr</v>
      </c>
      <c r="G611" s="20" t="str">
        <v>P_4</v>
      </c>
      <c r="H611" s="20">
        <v>76</v>
      </c>
      <c r="J611" s="52" t="str">
        <f ca="1"/>
        <v xml:space="preserve">    ),</v>
      </c>
    </row>
    <row r="612" spans="4:10" x14ac:dyDescent="0.3">
      <c r="D612" s="20" t="str">
        <v>Category.4</v>
      </c>
      <c r="E612" s="20" t="str">
        <v>GGG</v>
      </c>
      <c r="F612" s="20" t="str">
        <v>May</v>
      </c>
      <c r="G612" s="20" t="str">
        <v>P_5</v>
      </c>
      <c r="H612" s="20">
        <v>77</v>
      </c>
      <c r="J612" s="52" t="str">
        <f ca="1"/>
        <v xml:space="preserve">    CHOOSE(_inpChk, _rtn, LAMBDA(0), #VALUE!)</v>
      </c>
    </row>
    <row r="613" spans="4:10" x14ac:dyDescent="0.3">
      <c r="D613" s="20" t="str">
        <v>Category.4</v>
      </c>
      <c r="E613" s="20" t="str">
        <v>GGG</v>
      </c>
      <c r="F613" s="20" t="str">
        <v>Jun</v>
      </c>
      <c r="G613" s="20" t="str">
        <v>P_6</v>
      </c>
      <c r="H613" s="20">
        <v>78</v>
      </c>
      <c r="J613" s="52" t="str">
        <f ca="1"/>
        <v xml:space="preserve">  )</v>
      </c>
    </row>
    <row r="614" spans="4:10" x14ac:dyDescent="0.3">
      <c r="D614" s="20" t="str">
        <v>Category.4</v>
      </c>
      <c r="E614" s="20" t="str">
        <v>GGG</v>
      </c>
      <c r="F614" s="20" t="str">
        <v>Jul</v>
      </c>
      <c r="G614" s="20" t="str">
        <v>P_7</v>
      </c>
      <c r="H614" s="20">
        <v>79</v>
      </c>
      <c r="J614" s="52" t="str">
        <f ca="1"/>
        <v>)($E$12:$P$19, $C$12:$D$19, $E$10:$P$11, D527, D528, D529, D530, D531, D532, D533)</v>
      </c>
    </row>
    <row r="615" spans="4:10" x14ac:dyDescent="0.3">
      <c r="D615" s="20" t="str">
        <v>Category.4</v>
      </c>
      <c r="E615" s="20" t="str">
        <v>GGG</v>
      </c>
      <c r="F615" s="20" t="str">
        <v>Aug</v>
      </c>
      <c r="G615" s="20" t="str">
        <v>P_8</v>
      </c>
      <c r="H615" s="20">
        <v>80</v>
      </c>
    </row>
    <row r="616" spans="4:10" x14ac:dyDescent="0.3">
      <c r="D616" s="20" t="str">
        <v>Category.4</v>
      </c>
      <c r="E616" s="20" t="str">
        <v>GGG</v>
      </c>
      <c r="F616" s="20" t="str">
        <v>Sep</v>
      </c>
      <c r="G616" s="20" t="str">
        <v>P_9</v>
      </c>
      <c r="H616" s="20">
        <v>81</v>
      </c>
    </row>
    <row r="617" spans="4:10" x14ac:dyDescent="0.3">
      <c r="D617" s="20" t="str">
        <v>Category.4</v>
      </c>
      <c r="E617" s="20" t="str">
        <v>GGG</v>
      </c>
      <c r="F617" s="20" t="str">
        <v>Oct</v>
      </c>
      <c r="G617" s="20" t="str">
        <v>P_10</v>
      </c>
      <c r="H617" s="20">
        <v>82</v>
      </c>
    </row>
    <row r="618" spans="4:10" x14ac:dyDescent="0.3">
      <c r="D618" s="20" t="str">
        <v>Category.4</v>
      </c>
      <c r="E618" s="20" t="str">
        <v>GGG</v>
      </c>
      <c r="F618" s="20" t="str">
        <v>Nov</v>
      </c>
      <c r="G618" s="20" t="str">
        <v>P_11</v>
      </c>
      <c r="H618" s="20">
        <v>83</v>
      </c>
    </row>
    <row r="619" spans="4:10" x14ac:dyDescent="0.3">
      <c r="D619" s="20" t="str">
        <v>Category.4</v>
      </c>
      <c r="E619" s="20" t="str">
        <v>GGG</v>
      </c>
      <c r="F619" s="20" t="str">
        <v>Dec</v>
      </c>
      <c r="G619" s="20" t="str">
        <v>P_12</v>
      </c>
      <c r="H619" s="20">
        <v>84</v>
      </c>
    </row>
    <row r="620" spans="4:10" x14ac:dyDescent="0.3">
      <c r="D620" s="20" t="str">
        <v>Category.4</v>
      </c>
      <c r="E620" s="20" t="str">
        <v>HHH</v>
      </c>
      <c r="F620" s="20" t="str">
        <v>Jan</v>
      </c>
      <c r="G620" s="20" t="str">
        <v>P_1</v>
      </c>
      <c r="H620" s="20">
        <v>85</v>
      </c>
    </row>
    <row r="621" spans="4:10" x14ac:dyDescent="0.3">
      <c r="D621" s="20" t="str">
        <v>Category.4</v>
      </c>
      <c r="E621" s="20" t="str">
        <v>HHH</v>
      </c>
      <c r="F621" s="20" t="str">
        <v>Feb</v>
      </c>
      <c r="G621" s="20" t="str">
        <v>P_2</v>
      </c>
      <c r="H621" s="20">
        <v>86</v>
      </c>
    </row>
    <row r="622" spans="4:10" x14ac:dyDescent="0.3">
      <c r="D622" s="20" t="str">
        <v>Category.4</v>
      </c>
      <c r="E622" s="20" t="str">
        <v>HHH</v>
      </c>
      <c r="F622" s="20" t="str">
        <v>Mar</v>
      </c>
      <c r="G622" s="20" t="str">
        <v>P_3</v>
      </c>
      <c r="H622" s="20">
        <v>87</v>
      </c>
    </row>
    <row r="623" spans="4:10" x14ac:dyDescent="0.3">
      <c r="D623" s="20" t="str">
        <v>Category.4</v>
      </c>
      <c r="E623" s="20" t="str">
        <v>HHH</v>
      </c>
      <c r="F623" s="20" t="str">
        <v>Apr</v>
      </c>
      <c r="G623" s="20" t="str">
        <v>P_4</v>
      </c>
      <c r="H623" s="20">
        <v>88</v>
      </c>
    </row>
    <row r="624" spans="4:10" x14ac:dyDescent="0.3">
      <c r="D624" s="20" t="str">
        <v>Category.4</v>
      </c>
      <c r="E624" s="20" t="str">
        <v>HHH</v>
      </c>
      <c r="F624" s="20" t="str">
        <v>May</v>
      </c>
      <c r="G624" s="20" t="str">
        <v>P_5</v>
      </c>
      <c r="H624" s="20">
        <v>89</v>
      </c>
    </row>
    <row r="625" spans="2:21" x14ac:dyDescent="0.3">
      <c r="D625" s="20" t="str">
        <v>Category.4</v>
      </c>
      <c r="E625" s="20" t="str">
        <v>HHH</v>
      </c>
      <c r="F625" s="20" t="str">
        <v>Jun</v>
      </c>
      <c r="G625" s="20" t="str">
        <v>P_6</v>
      </c>
      <c r="H625" s="20">
        <v>90</v>
      </c>
    </row>
    <row r="626" spans="2:21" x14ac:dyDescent="0.3">
      <c r="D626" s="20" t="str">
        <v>Category.4</v>
      </c>
      <c r="E626" s="20" t="str">
        <v>HHH</v>
      </c>
      <c r="F626" s="20" t="str">
        <v>Jul</v>
      </c>
      <c r="G626" s="20" t="str">
        <v>P_7</v>
      </c>
      <c r="H626" s="20">
        <v>91</v>
      </c>
    </row>
    <row r="627" spans="2:21" x14ac:dyDescent="0.3">
      <c r="D627" s="20" t="str">
        <v>Category.4</v>
      </c>
      <c r="E627" s="20" t="str">
        <v>HHH</v>
      </c>
      <c r="F627" s="20" t="str">
        <v>Aug</v>
      </c>
      <c r="G627" s="20" t="str">
        <v>P_8</v>
      </c>
      <c r="H627" s="20">
        <v>92</v>
      </c>
    </row>
    <row r="628" spans="2:21" x14ac:dyDescent="0.3">
      <c r="D628" s="20" t="str">
        <v>Category.4</v>
      </c>
      <c r="E628" s="20" t="str">
        <v>HHH</v>
      </c>
      <c r="F628" s="20" t="str">
        <v>Sep</v>
      </c>
      <c r="G628" s="20" t="str">
        <v>P_9</v>
      </c>
      <c r="H628" s="20">
        <v>93</v>
      </c>
    </row>
    <row r="629" spans="2:21" x14ac:dyDescent="0.3">
      <c r="D629" s="20" t="str">
        <v>Category.4</v>
      </c>
      <c r="E629" s="20" t="str">
        <v>HHH</v>
      </c>
      <c r="F629" s="20" t="str">
        <v>Oct</v>
      </c>
      <c r="G629" s="20" t="str">
        <v>P_10</v>
      </c>
      <c r="H629" s="20">
        <v>94</v>
      </c>
    </row>
    <row r="630" spans="2:21" x14ac:dyDescent="0.3">
      <c r="D630" s="20" t="str">
        <v>Category.4</v>
      </c>
      <c r="E630" s="20" t="str">
        <v>HHH</v>
      </c>
      <c r="F630" s="20" t="str">
        <v>Nov</v>
      </c>
      <c r="G630" s="20" t="str">
        <v>P_11</v>
      </c>
      <c r="H630" s="20">
        <v>95</v>
      </c>
    </row>
    <row r="631" spans="2:21" x14ac:dyDescent="0.3">
      <c r="D631" s="20" t="str">
        <v>Category.4</v>
      </c>
      <c r="E631" s="20" t="str">
        <v>HHH</v>
      </c>
      <c r="F631" s="20" t="str">
        <v>Dec</v>
      </c>
      <c r="G631" s="20" t="str">
        <v>P_12</v>
      </c>
      <c r="H631" s="20">
        <v>96</v>
      </c>
    </row>
    <row r="634" spans="2:21" s="8" customFormat="1" ht="16.2" thickBot="1" x14ac:dyDescent="0.35">
      <c r="B634" s="9">
        <f xml:space="preserve"> MAX(B$1:B633) + 1</f>
        <v>4</v>
      </c>
      <c r="C634" s="8" t="s">
        <v>6</v>
      </c>
    </row>
    <row r="636" spans="2:21" x14ac:dyDescent="0.3">
      <c r="B636" s="28" t="s">
        <v>71</v>
      </c>
      <c r="C636" s="27"/>
      <c r="D636" s="27"/>
      <c r="E636" s="27"/>
      <c r="F636" s="27"/>
      <c r="G636" s="27"/>
      <c r="H636" s="27"/>
      <c r="I636" s="27"/>
      <c r="J636" s="27"/>
      <c r="K636" s="27"/>
      <c r="L636" s="27"/>
      <c r="M636" s="27"/>
      <c r="N636" s="27"/>
      <c r="O636" s="27"/>
      <c r="P636" s="27"/>
      <c r="Q636" s="27"/>
      <c r="R636" s="27"/>
      <c r="S636" s="27"/>
      <c r="T636" s="27"/>
      <c r="U636" s="27"/>
    </row>
    <row r="638" spans="2:21" x14ac:dyDescent="0.3">
      <c r="B638" s="13" t="s">
        <v>72</v>
      </c>
    </row>
    <row r="639" spans="2:21" x14ac:dyDescent="0.3">
      <c r="C639" t="s">
        <v>160</v>
      </c>
    </row>
    <row r="640" spans="2:21" x14ac:dyDescent="0.3">
      <c r="C640" t="s">
        <v>161</v>
      </c>
    </row>
    <row r="641" spans="2:9" x14ac:dyDescent="0.3">
      <c r="C641" t="s">
        <v>162</v>
      </c>
    </row>
    <row r="642" spans="2:9" x14ac:dyDescent="0.3">
      <c r="C642" t="s">
        <v>163</v>
      </c>
    </row>
    <row r="644" spans="2:9" x14ac:dyDescent="0.3">
      <c r="B644" s="13" t="s">
        <v>73</v>
      </c>
    </row>
    <row r="645" spans="2:9" x14ac:dyDescent="0.3">
      <c r="C645" s="29" t="s">
        <v>122</v>
      </c>
      <c r="F645" s="62" t="s">
        <v>258</v>
      </c>
      <c r="G645" t="s">
        <v>257</v>
      </c>
    </row>
    <row r="646" spans="2:9" x14ac:dyDescent="0.3">
      <c r="C646" s="29" t="s">
        <v>120</v>
      </c>
      <c r="F646" s="62" t="s">
        <v>258</v>
      </c>
      <c r="G646" t="s">
        <v>259</v>
      </c>
    </row>
    <row r="647" spans="2:9" x14ac:dyDescent="0.3">
      <c r="C647" s="29"/>
      <c r="G647" t="s">
        <v>137</v>
      </c>
    </row>
    <row r="648" spans="2:9" x14ac:dyDescent="0.3">
      <c r="C648" s="29" t="s">
        <v>121</v>
      </c>
      <c r="F648" s="62" t="s">
        <v>258</v>
      </c>
      <c r="G648" t="s">
        <v>260</v>
      </c>
    </row>
    <row r="649" spans="2:9" x14ac:dyDescent="0.3">
      <c r="C649" s="29"/>
      <c r="G649" t="s">
        <v>138</v>
      </c>
    </row>
    <row r="650" spans="2:9" x14ac:dyDescent="0.3">
      <c r="C650" s="29" t="s">
        <v>116</v>
      </c>
      <c r="F650" s="63" t="s">
        <v>261</v>
      </c>
      <c r="G650" t="s">
        <v>262</v>
      </c>
    </row>
    <row r="651" spans="2:9" x14ac:dyDescent="0.3">
      <c r="C651" s="29"/>
      <c r="H651" s="42" t="s">
        <v>156</v>
      </c>
      <c r="I651" t="s">
        <v>155</v>
      </c>
    </row>
    <row r="652" spans="2:9" x14ac:dyDescent="0.3">
      <c r="C652" s="29"/>
      <c r="H652" s="42" t="s">
        <v>157</v>
      </c>
      <c r="I652" t="s">
        <v>164</v>
      </c>
    </row>
    <row r="653" spans="2:9" x14ac:dyDescent="0.3">
      <c r="C653" s="29"/>
      <c r="G653" t="s">
        <v>154</v>
      </c>
    </row>
    <row r="654" spans="2:9" x14ac:dyDescent="0.3">
      <c r="C654" s="61" t="s">
        <v>256</v>
      </c>
      <c r="F654" s="63" t="s">
        <v>261</v>
      </c>
      <c r="G654" t="s">
        <v>263</v>
      </c>
    </row>
    <row r="655" spans="2:9" x14ac:dyDescent="0.3">
      <c r="C655" s="29"/>
      <c r="G655" t="s">
        <v>147</v>
      </c>
    </row>
    <row r="656" spans="2:9" x14ac:dyDescent="0.3">
      <c r="C656" s="29"/>
      <c r="G656" t="s">
        <v>148</v>
      </c>
    </row>
    <row r="657" spans="3:9" x14ac:dyDescent="0.3">
      <c r="C657" s="29"/>
      <c r="H657" s="41" t="b">
        <v>1</v>
      </c>
      <c r="I657" s="30" t="s">
        <v>152</v>
      </c>
    </row>
    <row r="658" spans="3:9" x14ac:dyDescent="0.3">
      <c r="C658" s="29"/>
      <c r="H658" s="41" t="b">
        <v>0</v>
      </c>
      <c r="I658" s="30" t="s">
        <v>149</v>
      </c>
    </row>
    <row r="659" spans="3:9" x14ac:dyDescent="0.3">
      <c r="C659" s="29"/>
      <c r="G659" t="s">
        <v>153</v>
      </c>
      <c r="I659" s="30"/>
    </row>
    <row r="660" spans="3:9" x14ac:dyDescent="0.3">
      <c r="C660" s="29" t="s">
        <v>117</v>
      </c>
      <c r="F660" s="63" t="s">
        <v>261</v>
      </c>
      <c r="G660" t="s">
        <v>264</v>
      </c>
    </row>
    <row r="661" spans="3:9" x14ac:dyDescent="0.3">
      <c r="C661" s="29"/>
      <c r="G661" s="40" t="s">
        <v>139</v>
      </c>
    </row>
    <row r="662" spans="3:9" x14ac:dyDescent="0.3">
      <c r="C662" s="29"/>
      <c r="G662" t="s">
        <v>144</v>
      </c>
    </row>
    <row r="663" spans="3:9" x14ac:dyDescent="0.3">
      <c r="C663" s="29"/>
      <c r="G663" t="s">
        <v>145</v>
      </c>
    </row>
    <row r="664" spans="3:9" x14ac:dyDescent="0.3">
      <c r="C664" s="29"/>
      <c r="G664" t="s">
        <v>146</v>
      </c>
    </row>
    <row r="665" spans="3:9" x14ac:dyDescent="0.3">
      <c r="C665" s="66" t="s">
        <v>118</v>
      </c>
      <c r="F665" s="63" t="s">
        <v>261</v>
      </c>
      <c r="G665" t="s">
        <v>265</v>
      </c>
    </row>
    <row r="666" spans="3:9" x14ac:dyDescent="0.3">
      <c r="C666" s="29"/>
      <c r="G666" s="40" t="s">
        <v>140</v>
      </c>
    </row>
    <row r="667" spans="3:9" x14ac:dyDescent="0.3">
      <c r="C667" s="29"/>
      <c r="G667" t="s">
        <v>145</v>
      </c>
    </row>
    <row r="668" spans="3:9" x14ac:dyDescent="0.3">
      <c r="C668" s="29"/>
      <c r="G668" t="s">
        <v>146</v>
      </c>
    </row>
    <row r="669" spans="3:9" x14ac:dyDescent="0.3">
      <c r="C669" s="29" t="s">
        <v>267</v>
      </c>
      <c r="F669" t="s">
        <v>141</v>
      </c>
      <c r="G669" t="s">
        <v>325</v>
      </c>
    </row>
    <row r="670" spans="3:9" x14ac:dyDescent="0.3">
      <c r="G670" t="s">
        <v>302</v>
      </c>
    </row>
    <row r="671" spans="3:9" x14ac:dyDescent="0.3">
      <c r="H671" s="57" t="s">
        <v>215</v>
      </c>
      <c r="I671" s="30" t="s">
        <v>304</v>
      </c>
    </row>
    <row r="672" spans="3:9" x14ac:dyDescent="0.3">
      <c r="H672" s="57" t="s">
        <v>216</v>
      </c>
      <c r="I672" s="30" t="s">
        <v>305</v>
      </c>
    </row>
    <row r="673" spans="3:9" x14ac:dyDescent="0.3">
      <c r="H673" s="58">
        <v>0</v>
      </c>
      <c r="I673" s="30" t="s">
        <v>307</v>
      </c>
    </row>
    <row r="674" spans="3:9" x14ac:dyDescent="0.3">
      <c r="H674" s="58" t="b">
        <v>1</v>
      </c>
      <c r="I674" s="30" t="s">
        <v>308</v>
      </c>
    </row>
    <row r="675" spans="3:9" x14ac:dyDescent="0.3">
      <c r="H675" s="58" t="b">
        <v>0</v>
      </c>
      <c r="I675" s="30" t="s">
        <v>307</v>
      </c>
    </row>
    <row r="676" spans="3:9" x14ac:dyDescent="0.3">
      <c r="H676" s="58" t="s">
        <v>219</v>
      </c>
      <c r="I676" s="30" t="s">
        <v>309</v>
      </c>
    </row>
    <row r="677" spans="3:9" x14ac:dyDescent="0.3">
      <c r="G677" t="s">
        <v>306</v>
      </c>
    </row>
    <row r="678" spans="3:9" x14ac:dyDescent="0.3">
      <c r="C678" s="29" t="s">
        <v>268</v>
      </c>
      <c r="F678" t="s">
        <v>141</v>
      </c>
      <c r="G678" t="s">
        <v>326</v>
      </c>
    </row>
    <row r="679" spans="3:9" x14ac:dyDescent="0.3">
      <c r="C679" s="29"/>
      <c r="G679" t="s">
        <v>303</v>
      </c>
    </row>
    <row r="680" spans="3:9" x14ac:dyDescent="0.3">
      <c r="C680" s="29"/>
      <c r="H680" s="57" t="s">
        <v>215</v>
      </c>
      <c r="I680" s="30" t="s">
        <v>310</v>
      </c>
    </row>
    <row r="681" spans="3:9" x14ac:dyDescent="0.3">
      <c r="C681" s="29"/>
      <c r="H681" s="57" t="s">
        <v>216</v>
      </c>
      <c r="I681" s="30" t="s">
        <v>311</v>
      </c>
    </row>
    <row r="682" spans="3:9" x14ac:dyDescent="0.3">
      <c r="C682" s="29"/>
      <c r="H682" s="58">
        <v>0</v>
      </c>
      <c r="I682" s="30" t="s">
        <v>307</v>
      </c>
    </row>
    <row r="683" spans="3:9" x14ac:dyDescent="0.3">
      <c r="C683" s="29"/>
      <c r="H683" s="58" t="b">
        <v>1</v>
      </c>
      <c r="I683" s="30" t="s">
        <v>310</v>
      </c>
    </row>
    <row r="684" spans="3:9" x14ac:dyDescent="0.3">
      <c r="C684" s="29"/>
      <c r="H684" s="58" t="b">
        <v>0</v>
      </c>
      <c r="I684" s="30" t="s">
        <v>307</v>
      </c>
    </row>
    <row r="685" spans="3:9" x14ac:dyDescent="0.3">
      <c r="C685" s="29"/>
      <c r="H685" s="58" t="s">
        <v>219</v>
      </c>
      <c r="I685" s="30" t="s">
        <v>309</v>
      </c>
    </row>
    <row r="686" spans="3:9" x14ac:dyDescent="0.3">
      <c r="C686" s="29"/>
      <c r="G686" t="s">
        <v>306</v>
      </c>
    </row>
    <row r="687" spans="3:9" x14ac:dyDescent="0.3">
      <c r="C687" s="29" t="s">
        <v>119</v>
      </c>
      <c r="F687" s="63" t="s">
        <v>261</v>
      </c>
      <c r="G687" t="s">
        <v>266</v>
      </c>
    </row>
    <row r="688" spans="3:9" x14ac:dyDescent="0.3">
      <c r="C688" s="29"/>
      <c r="H688" s="41" t="s">
        <v>150</v>
      </c>
      <c r="I688" s="30" t="s">
        <v>142</v>
      </c>
    </row>
    <row r="689" spans="2:9" x14ac:dyDescent="0.3">
      <c r="C689" s="29"/>
      <c r="H689" s="41" t="s">
        <v>151</v>
      </c>
      <c r="I689" s="30" t="s">
        <v>143</v>
      </c>
    </row>
    <row r="690" spans="2:9" x14ac:dyDescent="0.3">
      <c r="G690" t="s">
        <v>145</v>
      </c>
    </row>
    <row r="691" spans="2:9" x14ac:dyDescent="0.3">
      <c r="G691" t="s">
        <v>146</v>
      </c>
    </row>
    <row r="693" spans="2:9" x14ac:dyDescent="0.3">
      <c r="B693" s="13" t="s">
        <v>74</v>
      </c>
    </row>
    <row r="694" spans="2:9" x14ac:dyDescent="0.3">
      <c r="C694" s="38" t="e">
        <v>#VALUE!</v>
      </c>
      <c r="D694" s="38"/>
      <c r="E694" t="s">
        <v>136</v>
      </c>
    </row>
    <row r="695" spans="2:9" x14ac:dyDescent="0.3">
      <c r="C695" s="38" t="e" vm="1">
        <v>#VALUE!</v>
      </c>
      <c r="D695" s="38"/>
      <c r="E695" t="s">
        <v>123</v>
      </c>
    </row>
    <row r="696" spans="2:9" x14ac:dyDescent="0.3">
      <c r="F696" t="s">
        <v>124</v>
      </c>
    </row>
    <row r="697" spans="2:9" x14ac:dyDescent="0.3">
      <c r="F697" s="39" t="s">
        <v>125</v>
      </c>
    </row>
    <row r="699" spans="2:9" x14ac:dyDescent="0.3">
      <c r="B699" s="13" t="s">
        <v>75</v>
      </c>
    </row>
    <row r="700" spans="2:9" x14ac:dyDescent="0.3">
      <c r="C700" s="34" t="s">
        <v>107</v>
      </c>
      <c r="F700" s="30"/>
    </row>
    <row r="701" spans="2:9" x14ac:dyDescent="0.3">
      <c r="C701" s="35" t="s">
        <v>126</v>
      </c>
      <c r="F701" s="30"/>
    </row>
    <row r="702" spans="2:9" x14ac:dyDescent="0.3">
      <c r="C702" s="31" t="s">
        <v>110</v>
      </c>
      <c r="F702" s="30"/>
    </row>
    <row r="703" spans="2:9" x14ac:dyDescent="0.3">
      <c r="C703" s="31" t="s">
        <v>108</v>
      </c>
      <c r="F703" s="30"/>
    </row>
    <row r="704" spans="2:9" x14ac:dyDescent="0.3">
      <c r="C704" s="31" t="s">
        <v>109</v>
      </c>
      <c r="F704" s="30"/>
    </row>
    <row r="705" spans="3:6" x14ac:dyDescent="0.3">
      <c r="C705" s="31" t="s">
        <v>111</v>
      </c>
      <c r="F705" s="30"/>
    </row>
    <row r="706" spans="3:6" x14ac:dyDescent="0.3">
      <c r="C706" s="31" t="s">
        <v>271</v>
      </c>
      <c r="F706" s="30"/>
    </row>
    <row r="707" spans="3:6" x14ac:dyDescent="0.3">
      <c r="C707" s="31" t="s">
        <v>112</v>
      </c>
      <c r="F707" s="30"/>
    </row>
    <row r="708" spans="3:6" x14ac:dyDescent="0.3">
      <c r="C708" s="31" t="s">
        <v>113</v>
      </c>
      <c r="F708" s="30"/>
    </row>
    <row r="709" spans="3:6" x14ac:dyDescent="0.3">
      <c r="C709" s="31" t="s">
        <v>270</v>
      </c>
      <c r="F709" s="30"/>
    </row>
    <row r="710" spans="3:6" x14ac:dyDescent="0.3">
      <c r="C710" s="31" t="s">
        <v>269</v>
      </c>
      <c r="F710" s="30"/>
    </row>
    <row r="711" spans="3:6" x14ac:dyDescent="0.3">
      <c r="C711" s="31" t="s">
        <v>114</v>
      </c>
      <c r="F711" s="30"/>
    </row>
    <row r="712" spans="3:6" x14ac:dyDescent="0.3">
      <c r="C712" s="35" t="s">
        <v>127</v>
      </c>
      <c r="F712" s="30"/>
    </row>
    <row r="713" spans="3:6" x14ac:dyDescent="0.3">
      <c r="C713" s="31" t="s">
        <v>80</v>
      </c>
    </row>
    <row r="714" spans="3:6" x14ac:dyDescent="0.3">
      <c r="C714" s="32" t="s">
        <v>83</v>
      </c>
    </row>
    <row r="715" spans="3:6" x14ac:dyDescent="0.3">
      <c r="C715" s="32" t="s">
        <v>81</v>
      </c>
    </row>
    <row r="716" spans="3:6" x14ac:dyDescent="0.3">
      <c r="C716" s="32" t="s">
        <v>82</v>
      </c>
    </row>
    <row r="717" spans="3:6" x14ac:dyDescent="0.3">
      <c r="C717" s="36" t="s">
        <v>128</v>
      </c>
    </row>
    <row r="718" spans="3:6" x14ac:dyDescent="0.3">
      <c r="C718" s="32" t="s">
        <v>89</v>
      </c>
    </row>
    <row r="719" spans="3:6" x14ac:dyDescent="0.3">
      <c r="C719" s="32" t="s">
        <v>272</v>
      </c>
    </row>
    <row r="720" spans="3:6" x14ac:dyDescent="0.3">
      <c r="C720" s="33" t="s">
        <v>273</v>
      </c>
    </row>
    <row r="721" spans="3:3" x14ac:dyDescent="0.3">
      <c r="C721" s="43" t="s">
        <v>274</v>
      </c>
    </row>
    <row r="722" spans="3:3" x14ac:dyDescent="0.3">
      <c r="C722" s="43" t="s">
        <v>275</v>
      </c>
    </row>
    <row r="723" spans="3:3" x14ac:dyDescent="0.3">
      <c r="C723" s="32" t="s">
        <v>88</v>
      </c>
    </row>
    <row r="724" spans="3:3" x14ac:dyDescent="0.3">
      <c r="C724" s="32" t="s">
        <v>90</v>
      </c>
    </row>
    <row r="725" spans="3:3" x14ac:dyDescent="0.3">
      <c r="C725" s="32" t="s">
        <v>91</v>
      </c>
    </row>
    <row r="726" spans="3:3" x14ac:dyDescent="0.3">
      <c r="C726" s="32" t="s">
        <v>276</v>
      </c>
    </row>
    <row r="727" spans="3:3" x14ac:dyDescent="0.3">
      <c r="C727" s="32" t="s">
        <v>277</v>
      </c>
    </row>
    <row r="728" spans="3:3" x14ac:dyDescent="0.3">
      <c r="C728" s="32" t="s">
        <v>92</v>
      </c>
    </row>
    <row r="729" spans="3:3" x14ac:dyDescent="0.3">
      <c r="C729" s="36" t="s">
        <v>322</v>
      </c>
    </row>
    <row r="730" spans="3:3" x14ac:dyDescent="0.3">
      <c r="C730" s="36" t="s">
        <v>323</v>
      </c>
    </row>
    <row r="731" spans="3:3" x14ac:dyDescent="0.3">
      <c r="C731" s="32" t="s">
        <v>278</v>
      </c>
    </row>
    <row r="732" spans="3:3" x14ac:dyDescent="0.3">
      <c r="C732" s="32" t="s">
        <v>279</v>
      </c>
    </row>
    <row r="733" spans="3:3" x14ac:dyDescent="0.3">
      <c r="C733" s="32" t="s">
        <v>280</v>
      </c>
    </row>
    <row r="734" spans="3:3" x14ac:dyDescent="0.3">
      <c r="C734" s="32" t="s">
        <v>281</v>
      </c>
    </row>
    <row r="735" spans="3:3" x14ac:dyDescent="0.3">
      <c r="C735" s="36" t="s">
        <v>129</v>
      </c>
    </row>
    <row r="736" spans="3:3" x14ac:dyDescent="0.3">
      <c r="C736" s="32" t="s">
        <v>84</v>
      </c>
    </row>
    <row r="737" spans="3:3" x14ac:dyDescent="0.3">
      <c r="C737" s="33" t="s">
        <v>85</v>
      </c>
    </row>
    <row r="738" spans="3:3" x14ac:dyDescent="0.3">
      <c r="C738" s="33" t="s">
        <v>86</v>
      </c>
    </row>
    <row r="739" spans="3:3" x14ac:dyDescent="0.3">
      <c r="C739" s="33" t="s">
        <v>87</v>
      </c>
    </row>
    <row r="740" spans="3:3" x14ac:dyDescent="0.3">
      <c r="C740" s="32" t="s">
        <v>88</v>
      </c>
    </row>
    <row r="741" spans="3:3" x14ac:dyDescent="0.3">
      <c r="C741" s="36" t="s">
        <v>133</v>
      </c>
    </row>
    <row r="742" spans="3:3" x14ac:dyDescent="0.3">
      <c r="C742" s="36" t="s">
        <v>134</v>
      </c>
    </row>
    <row r="743" spans="3:3" x14ac:dyDescent="0.3">
      <c r="C743" s="36" t="s">
        <v>135</v>
      </c>
    </row>
    <row r="744" spans="3:3" x14ac:dyDescent="0.3">
      <c r="C744" s="32" t="s">
        <v>93</v>
      </c>
    </row>
    <row r="745" spans="3:3" x14ac:dyDescent="0.3">
      <c r="C745" s="32" t="s">
        <v>94</v>
      </c>
    </row>
    <row r="746" spans="3:3" x14ac:dyDescent="0.3">
      <c r="C746" s="32" t="s">
        <v>95</v>
      </c>
    </row>
    <row r="747" spans="3:3" x14ac:dyDescent="0.3">
      <c r="C747" s="32" t="s">
        <v>96</v>
      </c>
    </row>
    <row r="748" spans="3:3" x14ac:dyDescent="0.3">
      <c r="C748" s="32" t="s">
        <v>97</v>
      </c>
    </row>
    <row r="749" spans="3:3" x14ac:dyDescent="0.3">
      <c r="C749" s="32" t="s">
        <v>98</v>
      </c>
    </row>
    <row r="750" spans="3:3" x14ac:dyDescent="0.3">
      <c r="C750" s="36" t="s">
        <v>312</v>
      </c>
    </row>
    <row r="751" spans="3:3" x14ac:dyDescent="0.3">
      <c r="C751" s="36" t="s">
        <v>317</v>
      </c>
    </row>
    <row r="752" spans="3:3" x14ac:dyDescent="0.3">
      <c r="C752" s="36" t="s">
        <v>319</v>
      </c>
    </row>
    <row r="753" spans="3:3" x14ac:dyDescent="0.3">
      <c r="C753" s="36" t="s">
        <v>320</v>
      </c>
    </row>
    <row r="754" spans="3:3" x14ac:dyDescent="0.3">
      <c r="C754" s="36" t="s">
        <v>318</v>
      </c>
    </row>
    <row r="755" spans="3:3" x14ac:dyDescent="0.3">
      <c r="C755" s="36" t="s">
        <v>321</v>
      </c>
    </row>
    <row r="756" spans="3:3" x14ac:dyDescent="0.3">
      <c r="C756" s="32" t="s">
        <v>158</v>
      </c>
    </row>
    <row r="757" spans="3:3" x14ac:dyDescent="0.3">
      <c r="C757" s="33" t="s">
        <v>282</v>
      </c>
    </row>
    <row r="758" spans="3:3" x14ac:dyDescent="0.3">
      <c r="C758" s="33" t="s">
        <v>283</v>
      </c>
    </row>
    <row r="759" spans="3:3" x14ac:dyDescent="0.3">
      <c r="C759" s="33" t="s">
        <v>284</v>
      </c>
    </row>
    <row r="760" spans="3:3" x14ac:dyDescent="0.3">
      <c r="C760" s="33" t="s">
        <v>285</v>
      </c>
    </row>
    <row r="761" spans="3:3" x14ac:dyDescent="0.3">
      <c r="C761" s="43" t="s">
        <v>286</v>
      </c>
    </row>
    <row r="762" spans="3:3" x14ac:dyDescent="0.3">
      <c r="C762" s="64" t="s">
        <v>287</v>
      </c>
    </row>
    <row r="763" spans="3:3" x14ac:dyDescent="0.3">
      <c r="C763" s="65" t="s">
        <v>288</v>
      </c>
    </row>
    <row r="764" spans="3:3" x14ac:dyDescent="0.3">
      <c r="C764" s="64" t="s">
        <v>106</v>
      </c>
    </row>
    <row r="765" spans="3:3" x14ac:dyDescent="0.3">
      <c r="C765" s="43" t="s">
        <v>289</v>
      </c>
    </row>
    <row r="766" spans="3:3" x14ac:dyDescent="0.3">
      <c r="C766" s="33" t="s">
        <v>290</v>
      </c>
    </row>
    <row r="767" spans="3:3" x14ac:dyDescent="0.3">
      <c r="C767" s="33" t="s">
        <v>291</v>
      </c>
    </row>
    <row r="768" spans="3:3" x14ac:dyDescent="0.3">
      <c r="C768" s="33" t="s">
        <v>292</v>
      </c>
    </row>
    <row r="769" spans="3:3" x14ac:dyDescent="0.3">
      <c r="C769" s="32" t="s">
        <v>88</v>
      </c>
    </row>
    <row r="770" spans="3:3" x14ac:dyDescent="0.3">
      <c r="C770" s="32" t="s">
        <v>159</v>
      </c>
    </row>
    <row r="771" spans="3:3" x14ac:dyDescent="0.3">
      <c r="C771" s="33" t="s">
        <v>293</v>
      </c>
    </row>
    <row r="772" spans="3:3" x14ac:dyDescent="0.3">
      <c r="C772" s="33" t="s">
        <v>294</v>
      </c>
    </row>
    <row r="773" spans="3:3" x14ac:dyDescent="0.3">
      <c r="C773" s="33" t="s">
        <v>295</v>
      </c>
    </row>
    <row r="774" spans="3:3" x14ac:dyDescent="0.3">
      <c r="C774" s="33" t="s">
        <v>296</v>
      </c>
    </row>
    <row r="775" spans="3:3" x14ac:dyDescent="0.3">
      <c r="C775" s="43" t="s">
        <v>286</v>
      </c>
    </row>
    <row r="776" spans="3:3" x14ac:dyDescent="0.3">
      <c r="C776" s="64" t="s">
        <v>297</v>
      </c>
    </row>
    <row r="777" spans="3:3" x14ac:dyDescent="0.3">
      <c r="C777" s="65" t="s">
        <v>298</v>
      </c>
    </row>
    <row r="778" spans="3:3" x14ac:dyDescent="0.3">
      <c r="C778" s="64" t="s">
        <v>106</v>
      </c>
    </row>
    <row r="779" spans="3:3" x14ac:dyDescent="0.3">
      <c r="C779" s="43" t="s">
        <v>289</v>
      </c>
    </row>
    <row r="780" spans="3:3" x14ac:dyDescent="0.3">
      <c r="C780" s="33" t="s">
        <v>290</v>
      </c>
    </row>
    <row r="781" spans="3:3" x14ac:dyDescent="0.3">
      <c r="C781" s="33" t="s">
        <v>299</v>
      </c>
    </row>
    <row r="782" spans="3:3" x14ac:dyDescent="0.3">
      <c r="C782" s="33" t="s">
        <v>300</v>
      </c>
    </row>
    <row r="783" spans="3:3" x14ac:dyDescent="0.3">
      <c r="C783" s="32" t="s">
        <v>88</v>
      </c>
    </row>
    <row r="784" spans="3:3" x14ac:dyDescent="0.3">
      <c r="C784" s="36" t="s">
        <v>313</v>
      </c>
    </row>
    <row r="785" spans="3:3" x14ac:dyDescent="0.3">
      <c r="C785" s="32" t="s">
        <v>99</v>
      </c>
    </row>
    <row r="786" spans="3:3" x14ac:dyDescent="0.3">
      <c r="C786" s="33" t="s">
        <v>100</v>
      </c>
    </row>
    <row r="787" spans="3:3" x14ac:dyDescent="0.3">
      <c r="C787" s="33" t="s">
        <v>301</v>
      </c>
    </row>
    <row r="788" spans="3:3" x14ac:dyDescent="0.3">
      <c r="C788" s="32" t="s">
        <v>88</v>
      </c>
    </row>
    <row r="789" spans="3:3" x14ac:dyDescent="0.3">
      <c r="C789" s="36" t="s">
        <v>130</v>
      </c>
    </row>
    <row r="790" spans="3:3" x14ac:dyDescent="0.3">
      <c r="C790" s="32" t="s">
        <v>101</v>
      </c>
    </row>
    <row r="791" spans="3:3" x14ac:dyDescent="0.3">
      <c r="C791" s="33" t="s">
        <v>102</v>
      </c>
    </row>
    <row r="792" spans="3:3" x14ac:dyDescent="0.3">
      <c r="C792" s="33" t="s">
        <v>165</v>
      </c>
    </row>
    <row r="793" spans="3:3" x14ac:dyDescent="0.3">
      <c r="C793" s="37" t="s">
        <v>132</v>
      </c>
    </row>
    <row r="794" spans="3:3" x14ac:dyDescent="0.3">
      <c r="C794" s="37" t="s">
        <v>314</v>
      </c>
    </row>
    <row r="795" spans="3:3" x14ac:dyDescent="0.3">
      <c r="C795" s="37" t="s">
        <v>315</v>
      </c>
    </row>
    <row r="796" spans="3:3" x14ac:dyDescent="0.3">
      <c r="C796" s="33" t="s">
        <v>166</v>
      </c>
    </row>
    <row r="797" spans="3:3" x14ac:dyDescent="0.3">
      <c r="C797" s="33" t="s">
        <v>103</v>
      </c>
    </row>
    <row r="798" spans="3:3" x14ac:dyDescent="0.3">
      <c r="C798" s="37" t="s">
        <v>316</v>
      </c>
    </row>
    <row r="799" spans="3:3" x14ac:dyDescent="0.3">
      <c r="C799" s="33" t="s">
        <v>104</v>
      </c>
    </row>
    <row r="800" spans="3:3" x14ac:dyDescent="0.3">
      <c r="C800" s="32" t="s">
        <v>88</v>
      </c>
    </row>
    <row r="801" spans="2:3" x14ac:dyDescent="0.3">
      <c r="C801" s="36" t="s">
        <v>131</v>
      </c>
    </row>
    <row r="802" spans="2:3" x14ac:dyDescent="0.3">
      <c r="C802" s="32" t="s">
        <v>105</v>
      </c>
    </row>
    <row r="803" spans="2:3" x14ac:dyDescent="0.3">
      <c r="C803" s="31" t="s">
        <v>106</v>
      </c>
    </row>
    <row r="804" spans="2:3" x14ac:dyDescent="0.3">
      <c r="C804" s="29" t="s">
        <v>106</v>
      </c>
    </row>
    <row r="806" spans="2:3" x14ac:dyDescent="0.3">
      <c r="C806" s="13" t="s">
        <v>115</v>
      </c>
    </row>
    <row r="807" spans="2:3" x14ac:dyDescent="0.3">
      <c r="C807" s="34" t="s">
        <v>324</v>
      </c>
    </row>
    <row r="809" spans="2:3" ht="14.4" thickBot="1" x14ac:dyDescent="0.35"/>
    <row r="810" spans="2:3" s="5" customFormat="1" x14ac:dyDescent="0.3">
      <c r="B810" s="5" t="s">
        <v>0</v>
      </c>
    </row>
  </sheetData>
  <dataValidations count="1">
    <dataValidation type="list" allowBlank="1" showInputMessage="1" showErrorMessage="1" sqref="D129:D130 D234:D235 D338 D340:D342 D527 D529:D530 D533" xr:uid="{A328A8BB-5D6B-4D55-A4BD-9B509DF72601}">
      <formula1>_YesNo</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2EE3F-2D2A-445C-92E5-4D58027CAF1D}">
  <sheetPr codeName="Sheet2"/>
  <dimension ref="B1:AE1058"/>
  <sheetViews>
    <sheetView showGridLines="0" tabSelected="1" workbookViewId="0">
      <pane ySplit="1" topLeftCell="A2" activePane="bottomLeft" state="frozen"/>
      <selection pane="bottomLeft"/>
    </sheetView>
  </sheetViews>
  <sheetFormatPr defaultRowHeight="13.8" x14ac:dyDescent="0.3"/>
  <cols>
    <col min="1" max="3" width="4.33203125" customWidth="1"/>
    <col min="4" max="4" width="9.33203125" customWidth="1"/>
    <col min="5" max="5" width="9.109375" customWidth="1"/>
  </cols>
  <sheetData>
    <row r="1" spans="2:20" s="4" customFormat="1" ht="30" customHeight="1" x14ac:dyDescent="0.3">
      <c r="C1" s="2" t="s">
        <v>680</v>
      </c>
    </row>
    <row r="2" spans="2:20" s="8" customFormat="1" ht="16.2" thickBot="1" x14ac:dyDescent="0.35">
      <c r="B2" s="9">
        <f xml:space="preserve"> MAX(B$1:B1) + 1</f>
        <v>1</v>
      </c>
      <c r="C2" s="8" t="s">
        <v>167</v>
      </c>
    </row>
    <row r="4" spans="2:20" x14ac:dyDescent="0.3">
      <c r="B4" s="28" t="s">
        <v>643</v>
      </c>
      <c r="C4" s="27"/>
      <c r="D4" s="27"/>
      <c r="E4" s="27"/>
      <c r="F4" s="27"/>
      <c r="G4" s="27"/>
      <c r="H4" s="27"/>
      <c r="I4" s="27"/>
      <c r="J4" s="27"/>
      <c r="K4" s="27"/>
      <c r="L4" s="27"/>
      <c r="M4" s="27"/>
      <c r="N4" s="27"/>
      <c r="O4" s="27"/>
      <c r="P4" s="27"/>
      <c r="Q4" s="27"/>
      <c r="R4" s="27"/>
      <c r="S4" s="27"/>
      <c r="T4" s="27"/>
    </row>
    <row r="6" spans="2:20" x14ac:dyDescent="0.3">
      <c r="D6" s="44" t="s">
        <v>168</v>
      </c>
      <c r="E6" t="s">
        <v>644</v>
      </c>
    </row>
    <row r="7" spans="2:20" x14ac:dyDescent="0.3">
      <c r="D7" s="44" t="s">
        <v>169</v>
      </c>
      <c r="E7" t="s">
        <v>645</v>
      </c>
    </row>
    <row r="8" spans="2:20" x14ac:dyDescent="0.3">
      <c r="E8" t="s">
        <v>646</v>
      </c>
    </row>
    <row r="9" spans="2:20" x14ac:dyDescent="0.3">
      <c r="E9" t="s">
        <v>647</v>
      </c>
    </row>
    <row r="10" spans="2:20" x14ac:dyDescent="0.3">
      <c r="D10" s="44" t="s">
        <v>327</v>
      </c>
      <c r="E10" s="103" t="s">
        <v>968</v>
      </c>
    </row>
    <row r="12" spans="2:20" x14ac:dyDescent="0.3">
      <c r="C12" s="14" t="s">
        <v>648</v>
      </c>
    </row>
    <row r="13" spans="2:20" x14ac:dyDescent="0.3">
      <c r="D13" t="s">
        <v>649</v>
      </c>
    </row>
    <row r="14" spans="2:20" x14ac:dyDescent="0.3">
      <c r="D14" s="25" t="s">
        <v>198</v>
      </c>
      <c r="E14" s="25">
        <v>111</v>
      </c>
    </row>
    <row r="15" spans="2:20" x14ac:dyDescent="0.3">
      <c r="D15" s="25" t="s">
        <v>199</v>
      </c>
      <c r="E15" s="25">
        <v>222</v>
      </c>
    </row>
    <row r="16" spans="2:20" x14ac:dyDescent="0.3">
      <c r="D16" s="25" t="s">
        <v>200</v>
      </c>
      <c r="E16" s="25">
        <v>333</v>
      </c>
    </row>
    <row r="17" spans="4:11" x14ac:dyDescent="0.3">
      <c r="D17" s="25" t="s">
        <v>201</v>
      </c>
      <c r="E17" s="25"/>
    </row>
    <row r="18" spans="4:11" x14ac:dyDescent="0.3">
      <c r="D18" s="25" t="e">
        <v>#N/A</v>
      </c>
      <c r="E18" s="67"/>
    </row>
    <row r="20" spans="4:11" x14ac:dyDescent="0.3">
      <c r="D20" t="s">
        <v>650</v>
      </c>
      <c r="G20" t="s">
        <v>651</v>
      </c>
      <c r="J20" t="s">
        <v>652</v>
      </c>
    </row>
    <row r="21" spans="4:11" x14ac:dyDescent="0.3">
      <c r="D21" s="68" t="str" cm="1">
        <f t="array" aca="1" ref="D21:E32" ca="1" xml:space="preserve"> RXL_Data.CrossJoin($D$14:$D$17, $E$14:$E$16)</f>
        <v>Alpha</v>
      </c>
      <c r="E21" s="20">
        <f ca="1"/>
        <v>111</v>
      </c>
      <c r="G21" s="68" t="str" cm="1">
        <f t="array" aca="1" ref="G21:H36" ca="1" xml:space="preserve"> RXL_Data.CrossJoin($D$14:$D$17, $E$14:$E$17)</f>
        <v>Alpha</v>
      </c>
      <c r="H21" s="20">
        <f ca="1"/>
        <v>111</v>
      </c>
      <c r="J21" s="68" t="str" cm="1">
        <f t="array" aca="1" ref="J21:K40" ca="1" xml:space="preserve"> RXL_Data.CrossJoin($D$14:$D$18, $E$14:$E$17)</f>
        <v>Alpha</v>
      </c>
      <c r="K21" s="20">
        <f ca="1"/>
        <v>111</v>
      </c>
    </row>
    <row r="22" spans="4:11" x14ac:dyDescent="0.3">
      <c r="D22" s="20" t="str">
        <f ca="1"/>
        <v>Alpha</v>
      </c>
      <c r="E22" s="20">
        <f ca="1"/>
        <v>222</v>
      </c>
      <c r="G22" s="20" t="str">
        <f ca="1"/>
        <v>Alpha</v>
      </c>
      <c r="H22" s="20">
        <f ca="1"/>
        <v>222</v>
      </c>
      <c r="J22" s="20" t="str">
        <f ca="1"/>
        <v>Alpha</v>
      </c>
      <c r="K22" s="20">
        <f ca="1"/>
        <v>222</v>
      </c>
    </row>
    <row r="23" spans="4:11" x14ac:dyDescent="0.3">
      <c r="D23" s="20" t="str">
        <f ca="1"/>
        <v>Alpha</v>
      </c>
      <c r="E23" s="20">
        <f ca="1"/>
        <v>333</v>
      </c>
      <c r="G23" s="20" t="str">
        <f ca="1"/>
        <v>Alpha</v>
      </c>
      <c r="H23" s="20">
        <f ca="1"/>
        <v>333</v>
      </c>
      <c r="J23" s="20" t="str">
        <f ca="1"/>
        <v>Alpha</v>
      </c>
      <c r="K23" s="20">
        <f ca="1"/>
        <v>333</v>
      </c>
    </row>
    <row r="24" spans="4:11" x14ac:dyDescent="0.3">
      <c r="D24" s="20" t="str">
        <f ca="1"/>
        <v>Bravo</v>
      </c>
      <c r="E24" s="20">
        <f ca="1"/>
        <v>111</v>
      </c>
      <c r="G24" s="20" t="str">
        <f ca="1"/>
        <v>Alpha</v>
      </c>
      <c r="H24" s="20" t="str">
        <f ca="1"/>
        <v/>
      </c>
      <c r="J24" s="20" t="str">
        <f ca="1"/>
        <v>Alpha</v>
      </c>
      <c r="K24" s="20" t="str">
        <f ca="1"/>
        <v/>
      </c>
    </row>
    <row r="25" spans="4:11" x14ac:dyDescent="0.3">
      <c r="D25" s="20" t="str">
        <f ca="1"/>
        <v>Bravo</v>
      </c>
      <c r="E25" s="20">
        <f ca="1"/>
        <v>222</v>
      </c>
      <c r="G25" s="20" t="str">
        <f ca="1"/>
        <v>Bravo</v>
      </c>
      <c r="H25" s="20">
        <f ca="1"/>
        <v>111</v>
      </c>
      <c r="J25" s="20" t="str">
        <f ca="1"/>
        <v>Bravo</v>
      </c>
      <c r="K25" s="20">
        <f ca="1"/>
        <v>111</v>
      </c>
    </row>
    <row r="26" spans="4:11" x14ac:dyDescent="0.3">
      <c r="D26" s="20" t="str">
        <f ca="1"/>
        <v>Bravo</v>
      </c>
      <c r="E26" s="20">
        <f ca="1"/>
        <v>333</v>
      </c>
      <c r="G26" s="20" t="str">
        <f ca="1"/>
        <v>Bravo</v>
      </c>
      <c r="H26" s="20">
        <f ca="1"/>
        <v>222</v>
      </c>
      <c r="J26" s="20" t="str">
        <f ca="1"/>
        <v>Bravo</v>
      </c>
      <c r="K26" s="20">
        <f ca="1"/>
        <v>222</v>
      </c>
    </row>
    <row r="27" spans="4:11" x14ac:dyDescent="0.3">
      <c r="D27" s="20" t="str">
        <f ca="1"/>
        <v>Charlie</v>
      </c>
      <c r="E27" s="20">
        <f ca="1"/>
        <v>111</v>
      </c>
      <c r="G27" s="20" t="str">
        <f ca="1"/>
        <v>Bravo</v>
      </c>
      <c r="H27" s="20">
        <f ca="1"/>
        <v>333</v>
      </c>
      <c r="J27" s="20" t="str">
        <f ca="1"/>
        <v>Bravo</v>
      </c>
      <c r="K27" s="20">
        <f ca="1"/>
        <v>333</v>
      </c>
    </row>
    <row r="28" spans="4:11" x14ac:dyDescent="0.3">
      <c r="D28" s="20" t="str">
        <f ca="1"/>
        <v>Charlie</v>
      </c>
      <c r="E28" s="20">
        <f ca="1"/>
        <v>222</v>
      </c>
      <c r="G28" s="20" t="str">
        <f ca="1"/>
        <v>Bravo</v>
      </c>
      <c r="H28" s="20" t="str">
        <f ca="1"/>
        <v/>
      </c>
      <c r="J28" s="20" t="str">
        <f ca="1"/>
        <v>Bravo</v>
      </c>
      <c r="K28" s="20" t="str">
        <f ca="1"/>
        <v/>
      </c>
    </row>
    <row r="29" spans="4:11" x14ac:dyDescent="0.3">
      <c r="D29" s="20" t="str">
        <f ca="1"/>
        <v>Charlie</v>
      </c>
      <c r="E29" s="20">
        <f ca="1"/>
        <v>333</v>
      </c>
      <c r="G29" s="20" t="str">
        <f ca="1"/>
        <v>Charlie</v>
      </c>
      <c r="H29" s="20">
        <f ca="1"/>
        <v>111</v>
      </c>
      <c r="J29" s="20" t="str">
        <f ca="1"/>
        <v>Charlie</v>
      </c>
      <c r="K29" s="20">
        <f ca="1"/>
        <v>111</v>
      </c>
    </row>
    <row r="30" spans="4:11" x14ac:dyDescent="0.3">
      <c r="D30" s="20" t="str">
        <f ca="1"/>
        <v>Delta</v>
      </c>
      <c r="E30" s="20">
        <f ca="1"/>
        <v>111</v>
      </c>
      <c r="G30" s="20" t="str">
        <f ca="1"/>
        <v>Charlie</v>
      </c>
      <c r="H30" s="20">
        <f ca="1"/>
        <v>222</v>
      </c>
      <c r="J30" s="20" t="str">
        <f ca="1"/>
        <v>Charlie</v>
      </c>
      <c r="K30" s="20">
        <f ca="1"/>
        <v>222</v>
      </c>
    </row>
    <row r="31" spans="4:11" x14ac:dyDescent="0.3">
      <c r="D31" s="20" t="str">
        <f ca="1"/>
        <v>Delta</v>
      </c>
      <c r="E31" s="20">
        <f ca="1"/>
        <v>222</v>
      </c>
      <c r="G31" s="20" t="str">
        <f ca="1"/>
        <v>Charlie</v>
      </c>
      <c r="H31" s="20">
        <f ca="1"/>
        <v>333</v>
      </c>
      <c r="J31" s="20" t="str">
        <f ca="1"/>
        <v>Charlie</v>
      </c>
      <c r="K31" s="20">
        <f ca="1"/>
        <v>333</v>
      </c>
    </row>
    <row r="32" spans="4:11" x14ac:dyDescent="0.3">
      <c r="D32" s="20" t="str">
        <f ca="1"/>
        <v>Delta</v>
      </c>
      <c r="E32" s="20">
        <f ca="1"/>
        <v>333</v>
      </c>
      <c r="G32" s="20" t="str">
        <f ca="1"/>
        <v>Charlie</v>
      </c>
      <c r="H32" s="20" t="str">
        <f ca="1"/>
        <v/>
      </c>
      <c r="J32" s="20" t="str">
        <f ca="1"/>
        <v>Charlie</v>
      </c>
      <c r="K32" s="20" t="str">
        <f ca="1"/>
        <v/>
      </c>
    </row>
    <row r="33" spans="4:11" x14ac:dyDescent="0.3">
      <c r="G33" s="20" t="str">
        <f ca="1"/>
        <v>Delta</v>
      </c>
      <c r="H33" s="20">
        <f ca="1"/>
        <v>111</v>
      </c>
      <c r="J33" s="20" t="str">
        <f ca="1"/>
        <v>Delta</v>
      </c>
      <c r="K33" s="20">
        <f ca="1"/>
        <v>111</v>
      </c>
    </row>
    <row r="34" spans="4:11" x14ac:dyDescent="0.3">
      <c r="G34" s="20" t="str">
        <f ca="1"/>
        <v>Delta</v>
      </c>
      <c r="H34" s="20">
        <f ca="1"/>
        <v>222</v>
      </c>
      <c r="J34" s="20" t="str">
        <f ca="1"/>
        <v>Delta</v>
      </c>
      <c r="K34" s="20">
        <f ca="1"/>
        <v>222</v>
      </c>
    </row>
    <row r="35" spans="4:11" x14ac:dyDescent="0.3">
      <c r="G35" s="20" t="str">
        <f ca="1"/>
        <v>Delta</v>
      </c>
      <c r="H35" s="20">
        <f ca="1"/>
        <v>333</v>
      </c>
      <c r="J35" s="20" t="str">
        <f ca="1"/>
        <v>Delta</v>
      </c>
      <c r="K35" s="20">
        <f ca="1"/>
        <v>333</v>
      </c>
    </row>
    <row r="36" spans="4:11" x14ac:dyDescent="0.3">
      <c r="G36" s="20" t="str">
        <f ca="1"/>
        <v>Delta</v>
      </c>
      <c r="H36" s="20" t="str">
        <f ca="1"/>
        <v/>
      </c>
      <c r="J36" s="20" t="str">
        <f ca="1"/>
        <v>Delta</v>
      </c>
      <c r="K36" s="20" t="str">
        <f ca="1"/>
        <v/>
      </c>
    </row>
    <row r="37" spans="4:11" x14ac:dyDescent="0.3">
      <c r="J37" s="20" t="e">
        <f ca="1"/>
        <v>#N/A</v>
      </c>
      <c r="K37" s="20">
        <f ca="1"/>
        <v>111</v>
      </c>
    </row>
    <row r="38" spans="4:11" x14ac:dyDescent="0.3">
      <c r="J38" s="20" t="e">
        <f ca="1"/>
        <v>#N/A</v>
      </c>
      <c r="K38" s="20">
        <f ca="1"/>
        <v>222</v>
      </c>
    </row>
    <row r="39" spans="4:11" x14ac:dyDescent="0.3">
      <c r="J39" s="20" t="e">
        <f ca="1"/>
        <v>#N/A</v>
      </c>
      <c r="K39" s="20">
        <f ca="1"/>
        <v>333</v>
      </c>
    </row>
    <row r="40" spans="4:11" x14ac:dyDescent="0.3">
      <c r="D40" s="52" t="str">
        <f ca="1" xml:space="preserve"> _xlfn.FORMULATEXT(D21)</f>
        <v>= RXL_Data.CrossJoin($D$14:$D$17, $E$14:$E$16)</v>
      </c>
      <c r="J40" s="20" t="e">
        <f ca="1"/>
        <v>#N/A</v>
      </c>
      <c r="K40" s="20" t="str">
        <f ca="1"/>
        <v/>
      </c>
    </row>
    <row r="41" spans="4:11" x14ac:dyDescent="0.3">
      <c r="G41" s="52" t="str">
        <f ca="1" xml:space="preserve"> _xlfn.FORMULATEXT(G21)</f>
        <v>= RXL_Data.CrossJoin($D$14:$D$17, $E$14:$E$17)</v>
      </c>
    </row>
    <row r="42" spans="4:11" x14ac:dyDescent="0.3">
      <c r="J42" s="52" t="str">
        <f ca="1" xml:space="preserve"> _xlfn.FORMULATEXT(J21)</f>
        <v>= RXL_Data.CrossJoin($D$14:$D$18, $E$14:$E$17)</v>
      </c>
    </row>
    <row r="44" spans="4:11" x14ac:dyDescent="0.3">
      <c r="D44" t="s">
        <v>651</v>
      </c>
      <c r="G44" t="s">
        <v>651</v>
      </c>
      <c r="J44" t="s">
        <v>651</v>
      </c>
    </row>
    <row r="45" spans="4:11" x14ac:dyDescent="0.3">
      <c r="D45" s="30" t="s">
        <v>653</v>
      </c>
      <c r="G45" s="30" t="s">
        <v>654</v>
      </c>
      <c r="J45" s="30" t="s">
        <v>655</v>
      </c>
    </row>
    <row r="46" spans="4:11" x14ac:dyDescent="0.3">
      <c r="D46" s="68" t="str" cm="1">
        <f t="array" aca="1" ref="D46:E61" ca="1" xml:space="preserve"> RXL_Data.CrossJoin($D$14:$D$17, $E$14:$E$17, , , , , 0)</f>
        <v>Alpha</v>
      </c>
      <c r="E46" s="20">
        <f ca="1"/>
        <v>111</v>
      </c>
      <c r="G46" s="68" t="str" cm="1">
        <f t="array" aca="1" ref="G46:H61" ca="1" xml:space="preserve"> RXL_Data.CrossJoin($D$14:$D$17, $E$14:$E$17, , , , , "(null)")</f>
        <v>Alpha</v>
      </c>
      <c r="H46" s="20">
        <f ca="1"/>
        <v>111</v>
      </c>
      <c r="J46" s="68" t="str" cm="1">
        <f t="array" aca="1" ref="J46:K61" ca="1" xml:space="preserve"> RXL_Data.CrossJoin($D$14:$D$17, $E$14:$E$17, , , , , NA())</f>
        <v>Alpha</v>
      </c>
      <c r="K46" s="20">
        <f ca="1"/>
        <v>111</v>
      </c>
    </row>
    <row r="47" spans="4:11" x14ac:dyDescent="0.3">
      <c r="D47" s="20" t="str">
        <f ca="1"/>
        <v>Alpha</v>
      </c>
      <c r="E47" s="20">
        <f ca="1"/>
        <v>222</v>
      </c>
      <c r="G47" s="20" t="str">
        <f ca="1"/>
        <v>Alpha</v>
      </c>
      <c r="H47" s="20">
        <f ca="1"/>
        <v>222</v>
      </c>
      <c r="J47" s="20" t="str">
        <f ca="1"/>
        <v>Alpha</v>
      </c>
      <c r="K47" s="20">
        <f ca="1"/>
        <v>222</v>
      </c>
    </row>
    <row r="48" spans="4:11" x14ac:dyDescent="0.3">
      <c r="D48" s="20" t="str">
        <f ca="1"/>
        <v>Alpha</v>
      </c>
      <c r="E48" s="20">
        <f ca="1"/>
        <v>333</v>
      </c>
      <c r="G48" s="20" t="str">
        <f ca="1"/>
        <v>Alpha</v>
      </c>
      <c r="H48" s="20">
        <f ca="1"/>
        <v>333</v>
      </c>
      <c r="J48" s="20" t="str">
        <f ca="1"/>
        <v>Alpha</v>
      </c>
      <c r="K48" s="20">
        <f ca="1"/>
        <v>333</v>
      </c>
    </row>
    <row r="49" spans="4:11" x14ac:dyDescent="0.3">
      <c r="D49" s="20" t="str">
        <f ca="1"/>
        <v>Alpha</v>
      </c>
      <c r="E49" s="20">
        <f ca="1"/>
        <v>0</v>
      </c>
      <c r="G49" s="20" t="str">
        <f ca="1"/>
        <v>Alpha</v>
      </c>
      <c r="H49" s="20" t="str">
        <f ca="1"/>
        <v>(null)</v>
      </c>
      <c r="J49" s="20" t="str">
        <f ca="1"/>
        <v>Alpha</v>
      </c>
      <c r="K49" s="20" t="e">
        <f ca="1"/>
        <v>#N/A</v>
      </c>
    </row>
    <row r="50" spans="4:11" x14ac:dyDescent="0.3">
      <c r="D50" s="20" t="str">
        <f ca="1"/>
        <v>Bravo</v>
      </c>
      <c r="E50" s="20">
        <f ca="1"/>
        <v>111</v>
      </c>
      <c r="G50" s="20" t="str">
        <f ca="1"/>
        <v>Bravo</v>
      </c>
      <c r="H50" s="20">
        <f ca="1"/>
        <v>111</v>
      </c>
      <c r="J50" s="20" t="str">
        <f ca="1"/>
        <v>Bravo</v>
      </c>
      <c r="K50" s="20">
        <f ca="1"/>
        <v>111</v>
      </c>
    </row>
    <row r="51" spans="4:11" x14ac:dyDescent="0.3">
      <c r="D51" s="20" t="str">
        <f ca="1"/>
        <v>Bravo</v>
      </c>
      <c r="E51" s="20">
        <f ca="1"/>
        <v>222</v>
      </c>
      <c r="G51" s="20" t="str">
        <f ca="1"/>
        <v>Bravo</v>
      </c>
      <c r="H51" s="20">
        <f ca="1"/>
        <v>222</v>
      </c>
      <c r="J51" s="20" t="str">
        <f ca="1"/>
        <v>Bravo</v>
      </c>
      <c r="K51" s="20">
        <f ca="1"/>
        <v>222</v>
      </c>
    </row>
    <row r="52" spans="4:11" x14ac:dyDescent="0.3">
      <c r="D52" s="20" t="str">
        <f ca="1"/>
        <v>Bravo</v>
      </c>
      <c r="E52" s="20">
        <f ca="1"/>
        <v>333</v>
      </c>
      <c r="G52" s="20" t="str">
        <f ca="1"/>
        <v>Bravo</v>
      </c>
      <c r="H52" s="20">
        <f ca="1"/>
        <v>333</v>
      </c>
      <c r="J52" s="20" t="str">
        <f ca="1"/>
        <v>Bravo</v>
      </c>
      <c r="K52" s="20">
        <f ca="1"/>
        <v>333</v>
      </c>
    </row>
    <row r="53" spans="4:11" x14ac:dyDescent="0.3">
      <c r="D53" s="20" t="str">
        <f ca="1"/>
        <v>Bravo</v>
      </c>
      <c r="E53" s="20">
        <f ca="1"/>
        <v>0</v>
      </c>
      <c r="G53" s="20" t="str">
        <f ca="1"/>
        <v>Bravo</v>
      </c>
      <c r="H53" s="20" t="str">
        <f ca="1"/>
        <v>(null)</v>
      </c>
      <c r="J53" s="20" t="str">
        <f ca="1"/>
        <v>Bravo</v>
      </c>
      <c r="K53" s="20" t="e">
        <f ca="1"/>
        <v>#N/A</v>
      </c>
    </row>
    <row r="54" spans="4:11" x14ac:dyDescent="0.3">
      <c r="D54" s="20" t="str">
        <f ca="1"/>
        <v>Charlie</v>
      </c>
      <c r="E54" s="20">
        <f ca="1"/>
        <v>111</v>
      </c>
      <c r="G54" s="20" t="str">
        <f ca="1"/>
        <v>Charlie</v>
      </c>
      <c r="H54" s="20">
        <f ca="1"/>
        <v>111</v>
      </c>
      <c r="J54" s="20" t="str">
        <f ca="1"/>
        <v>Charlie</v>
      </c>
      <c r="K54" s="20">
        <f ca="1"/>
        <v>111</v>
      </c>
    </row>
    <row r="55" spans="4:11" x14ac:dyDescent="0.3">
      <c r="D55" s="20" t="str">
        <f ca="1"/>
        <v>Charlie</v>
      </c>
      <c r="E55" s="20">
        <f ca="1"/>
        <v>222</v>
      </c>
      <c r="G55" s="20" t="str">
        <f ca="1"/>
        <v>Charlie</v>
      </c>
      <c r="H55" s="20">
        <f ca="1"/>
        <v>222</v>
      </c>
      <c r="J55" s="20" t="str">
        <f ca="1"/>
        <v>Charlie</v>
      </c>
      <c r="K55" s="20">
        <f ca="1"/>
        <v>222</v>
      </c>
    </row>
    <row r="56" spans="4:11" x14ac:dyDescent="0.3">
      <c r="D56" s="20" t="str">
        <f ca="1"/>
        <v>Charlie</v>
      </c>
      <c r="E56" s="20">
        <f ca="1"/>
        <v>333</v>
      </c>
      <c r="G56" s="20" t="str">
        <f ca="1"/>
        <v>Charlie</v>
      </c>
      <c r="H56" s="20">
        <f ca="1"/>
        <v>333</v>
      </c>
      <c r="J56" s="20" t="str">
        <f ca="1"/>
        <v>Charlie</v>
      </c>
      <c r="K56" s="20">
        <f ca="1"/>
        <v>333</v>
      </c>
    </row>
    <row r="57" spans="4:11" x14ac:dyDescent="0.3">
      <c r="D57" s="20" t="str">
        <f ca="1"/>
        <v>Charlie</v>
      </c>
      <c r="E57" s="20">
        <f ca="1"/>
        <v>0</v>
      </c>
      <c r="G57" s="20" t="str">
        <f ca="1"/>
        <v>Charlie</v>
      </c>
      <c r="H57" s="20" t="str">
        <f ca="1"/>
        <v>(null)</v>
      </c>
      <c r="J57" s="20" t="str">
        <f ca="1"/>
        <v>Charlie</v>
      </c>
      <c r="K57" s="20" t="e">
        <f ca="1"/>
        <v>#N/A</v>
      </c>
    </row>
    <row r="58" spans="4:11" x14ac:dyDescent="0.3">
      <c r="D58" s="20" t="str">
        <f ca="1"/>
        <v>Delta</v>
      </c>
      <c r="E58" s="20">
        <f ca="1"/>
        <v>111</v>
      </c>
      <c r="G58" s="20" t="str">
        <f ca="1"/>
        <v>Delta</v>
      </c>
      <c r="H58" s="20">
        <f ca="1"/>
        <v>111</v>
      </c>
      <c r="J58" s="20" t="str">
        <f ca="1"/>
        <v>Delta</v>
      </c>
      <c r="K58" s="20">
        <f ca="1"/>
        <v>111</v>
      </c>
    </row>
    <row r="59" spans="4:11" x14ac:dyDescent="0.3">
      <c r="D59" s="20" t="str">
        <f ca="1"/>
        <v>Delta</v>
      </c>
      <c r="E59" s="20">
        <f ca="1"/>
        <v>222</v>
      </c>
      <c r="G59" s="20" t="str">
        <f ca="1"/>
        <v>Delta</v>
      </c>
      <c r="H59" s="20">
        <f ca="1"/>
        <v>222</v>
      </c>
      <c r="J59" s="20" t="str">
        <f ca="1"/>
        <v>Delta</v>
      </c>
      <c r="K59" s="20">
        <f ca="1"/>
        <v>222</v>
      </c>
    </row>
    <row r="60" spans="4:11" x14ac:dyDescent="0.3">
      <c r="D60" s="20" t="str">
        <f ca="1"/>
        <v>Delta</v>
      </c>
      <c r="E60" s="20">
        <f ca="1"/>
        <v>333</v>
      </c>
      <c r="G60" s="20" t="str">
        <f ca="1"/>
        <v>Delta</v>
      </c>
      <c r="H60" s="20">
        <f ca="1"/>
        <v>333</v>
      </c>
      <c r="J60" s="20" t="str">
        <f ca="1"/>
        <v>Delta</v>
      </c>
      <c r="K60" s="20">
        <f ca="1"/>
        <v>333</v>
      </c>
    </row>
    <row r="61" spans="4:11" x14ac:dyDescent="0.3">
      <c r="D61" s="20" t="str">
        <f ca="1"/>
        <v>Delta</v>
      </c>
      <c r="E61" s="20">
        <f ca="1"/>
        <v>0</v>
      </c>
      <c r="G61" s="20" t="str">
        <f ca="1"/>
        <v>Delta</v>
      </c>
      <c r="H61" s="20" t="str">
        <f ca="1"/>
        <v>(null)</v>
      </c>
      <c r="J61" s="20" t="str">
        <f ca="1"/>
        <v>Delta</v>
      </c>
      <c r="K61" s="20" t="e">
        <f ca="1"/>
        <v>#N/A</v>
      </c>
    </row>
    <row r="62" spans="4:11" x14ac:dyDescent="0.3">
      <c r="D62" s="52" t="str">
        <f ca="1" xml:space="preserve"> _xlfn.FORMULATEXT(D46)</f>
        <v>= RXL_Data.CrossJoin($D$14:$D$17, $E$14:$E$17, , , , , 0)</v>
      </c>
    </row>
    <row r="63" spans="4:11" x14ac:dyDescent="0.3">
      <c r="G63" s="52" t="str">
        <f ca="1" xml:space="preserve"> _xlfn.FORMULATEXT(G46)</f>
        <v>= RXL_Data.CrossJoin($D$14:$D$17, $E$14:$E$17, , , , , "(null)")</v>
      </c>
    </row>
    <row r="64" spans="4:11" x14ac:dyDescent="0.3">
      <c r="J64" s="52" t="str">
        <f ca="1" xml:space="preserve"> _xlfn.FORMULATEXT(J46)</f>
        <v>= RXL_Data.CrossJoin($D$14:$D$17, $E$14:$E$17, , , , , NA())</v>
      </c>
    </row>
    <row r="66" spans="3:13" x14ac:dyDescent="0.3">
      <c r="C66" s="14" t="s">
        <v>656</v>
      </c>
    </row>
    <row r="67" spans="3:13" x14ac:dyDescent="0.3">
      <c r="D67" t="s">
        <v>649</v>
      </c>
    </row>
    <row r="68" spans="3:13" x14ac:dyDescent="0.3">
      <c r="D68" s="25" t="s">
        <v>198</v>
      </c>
      <c r="E68" s="25">
        <v>111</v>
      </c>
      <c r="G68" s="25" t="s">
        <v>202</v>
      </c>
      <c r="H68" s="25">
        <v>555</v>
      </c>
      <c r="J68" s="25"/>
      <c r="K68" s="25" t="s">
        <v>657</v>
      </c>
      <c r="L68" s="25" t="s">
        <v>658</v>
      </c>
      <c r="M68" s="25" t="s">
        <v>659</v>
      </c>
    </row>
    <row r="69" spans="3:13" x14ac:dyDescent="0.3">
      <c r="D69" s="25" t="s">
        <v>199</v>
      </c>
      <c r="E69" s="25">
        <v>222</v>
      </c>
      <c r="G69" s="25" t="s">
        <v>660</v>
      </c>
      <c r="H69" s="25">
        <v>666</v>
      </c>
      <c r="J69" s="25">
        <v>666</v>
      </c>
      <c r="K69" s="25">
        <v>777</v>
      </c>
      <c r="L69" s="25">
        <v>888</v>
      </c>
      <c r="M69" s="25">
        <v>999</v>
      </c>
    </row>
    <row r="70" spans="3:13" x14ac:dyDescent="0.3">
      <c r="D70" s="25" t="s">
        <v>200</v>
      </c>
      <c r="E70" s="25">
        <v>333</v>
      </c>
      <c r="G70" s="25" t="s">
        <v>661</v>
      </c>
      <c r="H70" s="25">
        <v>777</v>
      </c>
    </row>
    <row r="71" spans="3:13" x14ac:dyDescent="0.3">
      <c r="D71" s="25" t="s">
        <v>201</v>
      </c>
      <c r="E71" s="25"/>
      <c r="G71" s="25"/>
      <c r="H71" s="25"/>
    </row>
    <row r="73" spans="3:13" x14ac:dyDescent="0.3">
      <c r="D73" t="s">
        <v>662</v>
      </c>
      <c r="J73" t="s">
        <v>663</v>
      </c>
    </row>
    <row r="74" spans="3:13" x14ac:dyDescent="0.3">
      <c r="D74" s="68" t="str" cm="1">
        <f t="array" aca="1" ref="D74:G82" ca="1" xml:space="preserve"> RXL_Data.CrossJoin($D$68:$E$70, $G$68:$H$70)</f>
        <v>Alpha</v>
      </c>
      <c r="E74" s="20">
        <f ca="1"/>
        <v>111</v>
      </c>
      <c r="F74" s="20" t="str">
        <f ca="1"/>
        <v>Echo</v>
      </c>
      <c r="G74" s="20">
        <f ca="1"/>
        <v>555</v>
      </c>
      <c r="J74" s="68" t="str" cm="1">
        <f t="array" aca="1" ref="J74:M82" ca="1" xml:space="preserve"> RXL_Data.CrossJoin($D$68:$E$70, $K$68:$M$69)</f>
        <v>Alpha</v>
      </c>
      <c r="K74" s="20">
        <f ca="1"/>
        <v>111</v>
      </c>
      <c r="L74" s="20" t="str">
        <f ca="1"/>
        <v>Xray</v>
      </c>
      <c r="M74" s="20">
        <f ca="1"/>
        <v>777</v>
      </c>
    </row>
    <row r="75" spans="3:13" x14ac:dyDescent="0.3">
      <c r="D75" s="20" t="str">
        <f ca="1"/>
        <v>Alpha</v>
      </c>
      <c r="E75" s="20">
        <f ca="1"/>
        <v>111</v>
      </c>
      <c r="F75" s="20" t="str">
        <f ca="1"/>
        <v>Foxtrot</v>
      </c>
      <c r="G75" s="20">
        <f ca="1"/>
        <v>666</v>
      </c>
      <c r="J75" s="20" t="str">
        <f ca="1"/>
        <v>Alpha</v>
      </c>
      <c r="K75" s="20">
        <f ca="1"/>
        <v>111</v>
      </c>
      <c r="L75" s="20" t="str">
        <f ca="1"/>
        <v>Yankee</v>
      </c>
      <c r="M75" s="20">
        <f ca="1"/>
        <v>888</v>
      </c>
    </row>
    <row r="76" spans="3:13" x14ac:dyDescent="0.3">
      <c r="D76" s="20" t="str">
        <f ca="1"/>
        <v>Alpha</v>
      </c>
      <c r="E76" s="20">
        <f ca="1"/>
        <v>111</v>
      </c>
      <c r="F76" s="20" t="str">
        <f ca="1"/>
        <v>Golf</v>
      </c>
      <c r="G76" s="20">
        <f ca="1"/>
        <v>777</v>
      </c>
      <c r="J76" s="20" t="str">
        <f ca="1"/>
        <v>Alpha</v>
      </c>
      <c r="K76" s="20">
        <f ca="1"/>
        <v>111</v>
      </c>
      <c r="L76" s="20" t="str">
        <f ca="1"/>
        <v>Zulu</v>
      </c>
      <c r="M76" s="20">
        <f ca="1"/>
        <v>999</v>
      </c>
    </row>
    <row r="77" spans="3:13" x14ac:dyDescent="0.3">
      <c r="D77" s="20" t="str">
        <f ca="1"/>
        <v>Bravo</v>
      </c>
      <c r="E77" s="20">
        <f ca="1"/>
        <v>222</v>
      </c>
      <c r="F77" s="20" t="str">
        <f ca="1"/>
        <v>Echo</v>
      </c>
      <c r="G77" s="20">
        <f ca="1"/>
        <v>555</v>
      </c>
      <c r="J77" s="20" t="str">
        <f ca="1"/>
        <v>Bravo</v>
      </c>
      <c r="K77" s="20">
        <f ca="1"/>
        <v>222</v>
      </c>
      <c r="L77" s="20" t="str">
        <f ca="1"/>
        <v>Xray</v>
      </c>
      <c r="M77" s="20">
        <f ca="1"/>
        <v>777</v>
      </c>
    </row>
    <row r="78" spans="3:13" x14ac:dyDescent="0.3">
      <c r="D78" s="20" t="str">
        <f ca="1"/>
        <v>Bravo</v>
      </c>
      <c r="E78" s="20">
        <f ca="1"/>
        <v>222</v>
      </c>
      <c r="F78" s="20" t="str">
        <f ca="1"/>
        <v>Foxtrot</v>
      </c>
      <c r="G78" s="20">
        <f ca="1"/>
        <v>666</v>
      </c>
      <c r="J78" s="20" t="str">
        <f ca="1"/>
        <v>Bravo</v>
      </c>
      <c r="K78" s="20">
        <f ca="1"/>
        <v>222</v>
      </c>
      <c r="L78" s="20" t="str">
        <f ca="1"/>
        <v>Yankee</v>
      </c>
      <c r="M78" s="20">
        <f ca="1"/>
        <v>888</v>
      </c>
    </row>
    <row r="79" spans="3:13" x14ac:dyDescent="0.3">
      <c r="D79" s="20" t="str">
        <f ca="1"/>
        <v>Bravo</v>
      </c>
      <c r="E79" s="20">
        <f ca="1"/>
        <v>222</v>
      </c>
      <c r="F79" s="20" t="str">
        <f ca="1"/>
        <v>Golf</v>
      </c>
      <c r="G79" s="20">
        <f ca="1"/>
        <v>777</v>
      </c>
      <c r="J79" s="20" t="str">
        <f ca="1"/>
        <v>Bravo</v>
      </c>
      <c r="K79" s="20">
        <f ca="1"/>
        <v>222</v>
      </c>
      <c r="L79" s="20" t="str">
        <f ca="1"/>
        <v>Zulu</v>
      </c>
      <c r="M79" s="20">
        <f ca="1"/>
        <v>999</v>
      </c>
    </row>
    <row r="80" spans="3:13" x14ac:dyDescent="0.3">
      <c r="D80" s="20" t="str">
        <f ca="1"/>
        <v>Charlie</v>
      </c>
      <c r="E80" s="20">
        <f ca="1"/>
        <v>333</v>
      </c>
      <c r="F80" s="20" t="str">
        <f ca="1"/>
        <v>Echo</v>
      </c>
      <c r="G80" s="20">
        <f ca="1"/>
        <v>555</v>
      </c>
      <c r="J80" s="20" t="str">
        <f ca="1"/>
        <v>Charlie</v>
      </c>
      <c r="K80" s="20">
        <f ca="1"/>
        <v>333</v>
      </c>
      <c r="L80" s="20" t="str">
        <f ca="1"/>
        <v>Xray</v>
      </c>
      <c r="M80" s="20">
        <f ca="1"/>
        <v>777</v>
      </c>
    </row>
    <row r="81" spans="4:13" x14ac:dyDescent="0.3">
      <c r="D81" s="20" t="str">
        <f ca="1"/>
        <v>Charlie</v>
      </c>
      <c r="E81" s="20">
        <f ca="1"/>
        <v>333</v>
      </c>
      <c r="F81" s="20" t="str">
        <f ca="1"/>
        <v>Foxtrot</v>
      </c>
      <c r="G81" s="20">
        <f ca="1"/>
        <v>666</v>
      </c>
      <c r="J81" s="20" t="str">
        <f ca="1"/>
        <v>Charlie</v>
      </c>
      <c r="K81" s="20">
        <f ca="1"/>
        <v>333</v>
      </c>
      <c r="L81" s="20" t="str">
        <f ca="1"/>
        <v>Yankee</v>
      </c>
      <c r="M81" s="20">
        <f ca="1"/>
        <v>888</v>
      </c>
    </row>
    <row r="82" spans="4:13" x14ac:dyDescent="0.3">
      <c r="D82" s="20" t="str">
        <f ca="1"/>
        <v>Charlie</v>
      </c>
      <c r="E82" s="20">
        <f ca="1"/>
        <v>333</v>
      </c>
      <c r="F82" s="20" t="str">
        <f ca="1"/>
        <v>Golf</v>
      </c>
      <c r="G82" s="20">
        <f ca="1"/>
        <v>777</v>
      </c>
      <c r="J82" s="20" t="str">
        <f ca="1"/>
        <v>Charlie</v>
      </c>
      <c r="K82" s="20">
        <f ca="1"/>
        <v>333</v>
      </c>
      <c r="L82" s="20" t="str">
        <f ca="1"/>
        <v>Zulu</v>
      </c>
      <c r="M82" s="20">
        <f ca="1"/>
        <v>999</v>
      </c>
    </row>
    <row r="83" spans="4:13" x14ac:dyDescent="0.3">
      <c r="D83" s="52" t="str">
        <f ca="1" xml:space="preserve"> _xlfn.FORMULATEXT(D74)</f>
        <v>= RXL_Data.CrossJoin($D$68:$E$70, $G$68:$H$70)</v>
      </c>
      <c r="J83" s="52" t="str">
        <f ca="1" xml:space="preserve"> _xlfn.FORMULATEXT(J74)</f>
        <v>= RXL_Data.CrossJoin($D$68:$E$70, $K$68:$M$69)</v>
      </c>
    </row>
    <row r="85" spans="4:13" x14ac:dyDescent="0.3">
      <c r="D85" t="s">
        <v>664</v>
      </c>
      <c r="J85" t="s">
        <v>664</v>
      </c>
    </row>
    <row r="86" spans="4:13" x14ac:dyDescent="0.3">
      <c r="D86" s="30" t="s">
        <v>665</v>
      </c>
      <c r="J86" s="30" t="s">
        <v>666</v>
      </c>
    </row>
    <row r="87" spans="4:13" x14ac:dyDescent="0.3">
      <c r="D87" s="68" t="str" cm="1">
        <f t="array" aca="1" ref="D87:F104" ca="1" xml:space="preserve"> RXL_Data.CrossJoin($D$68:$E$70, $K$68:$M$69, TRUE)</f>
        <v>Alpha</v>
      </c>
      <c r="E87" s="20" t="str">
        <f ca="1"/>
        <v>Xray</v>
      </c>
      <c r="F87" s="20">
        <f ca="1"/>
        <v>777</v>
      </c>
      <c r="J87" s="68" t="str" cm="1">
        <f t="array" aca="1" ref="J87:L104" ca="1" xml:space="preserve"> RXL_Data.CrossJoin($D$68:$E$70, $K$68:$M$69, TRUE, FALSE)</f>
        <v>Alpha</v>
      </c>
      <c r="K87" s="20" t="str">
        <f ca="1"/>
        <v>Xray</v>
      </c>
      <c r="L87" s="20">
        <f ca="1"/>
        <v>777</v>
      </c>
    </row>
    <row r="88" spans="4:13" x14ac:dyDescent="0.3">
      <c r="D88" s="20" t="str">
        <f ca="1"/>
        <v>Alpha</v>
      </c>
      <c r="E88" s="20" t="str">
        <f ca="1"/>
        <v>Yankee</v>
      </c>
      <c r="F88" s="20">
        <f ca="1"/>
        <v>888</v>
      </c>
      <c r="J88" s="20" t="str">
        <f ca="1"/>
        <v>Alpha</v>
      </c>
      <c r="K88" s="20" t="str">
        <f ca="1"/>
        <v>Yankee</v>
      </c>
      <c r="L88" s="20">
        <f ca="1"/>
        <v>888</v>
      </c>
    </row>
    <row r="89" spans="4:13" x14ac:dyDescent="0.3">
      <c r="D89" s="20" t="str">
        <f ca="1"/>
        <v>Alpha</v>
      </c>
      <c r="E89" s="20" t="str">
        <f ca="1"/>
        <v>Zulu</v>
      </c>
      <c r="F89" s="20">
        <f ca="1"/>
        <v>999</v>
      </c>
      <c r="J89" s="20" t="str">
        <f ca="1"/>
        <v>Alpha</v>
      </c>
      <c r="K89" s="20" t="str">
        <f ca="1"/>
        <v>Zulu</v>
      </c>
      <c r="L89" s="20">
        <f ca="1"/>
        <v>999</v>
      </c>
    </row>
    <row r="90" spans="4:13" x14ac:dyDescent="0.3">
      <c r="D90" s="20" t="str">
        <f ca="1"/>
        <v>Bravo</v>
      </c>
      <c r="E90" s="20" t="str">
        <f ca="1"/>
        <v>Xray</v>
      </c>
      <c r="F90" s="20">
        <f ca="1"/>
        <v>777</v>
      </c>
      <c r="J90" s="20">
        <f ca="1"/>
        <v>111</v>
      </c>
      <c r="K90" s="20" t="str">
        <f ca="1"/>
        <v>Xray</v>
      </c>
      <c r="L90" s="20">
        <f ca="1"/>
        <v>777</v>
      </c>
    </row>
    <row r="91" spans="4:13" x14ac:dyDescent="0.3">
      <c r="D91" s="20" t="str">
        <f ca="1"/>
        <v>Bravo</v>
      </c>
      <c r="E91" s="20" t="str">
        <f ca="1"/>
        <v>Yankee</v>
      </c>
      <c r="F91" s="20">
        <f ca="1"/>
        <v>888</v>
      </c>
      <c r="J91" s="20">
        <f ca="1"/>
        <v>111</v>
      </c>
      <c r="K91" s="20" t="str">
        <f ca="1"/>
        <v>Yankee</v>
      </c>
      <c r="L91" s="20">
        <f ca="1"/>
        <v>888</v>
      </c>
    </row>
    <row r="92" spans="4:13" x14ac:dyDescent="0.3">
      <c r="D92" s="20" t="str">
        <f ca="1"/>
        <v>Bravo</v>
      </c>
      <c r="E92" s="20" t="str">
        <f ca="1"/>
        <v>Zulu</v>
      </c>
      <c r="F92" s="20">
        <f ca="1"/>
        <v>999</v>
      </c>
      <c r="J92" s="20">
        <f ca="1"/>
        <v>111</v>
      </c>
      <c r="K92" s="20" t="str">
        <f ca="1"/>
        <v>Zulu</v>
      </c>
      <c r="L92" s="20">
        <f ca="1"/>
        <v>999</v>
      </c>
    </row>
    <row r="93" spans="4:13" x14ac:dyDescent="0.3">
      <c r="D93" s="20" t="str">
        <f ca="1"/>
        <v>Charlie</v>
      </c>
      <c r="E93" s="20" t="str">
        <f ca="1"/>
        <v>Xray</v>
      </c>
      <c r="F93" s="20">
        <f ca="1"/>
        <v>777</v>
      </c>
      <c r="J93" s="20" t="str">
        <f ca="1"/>
        <v>Bravo</v>
      </c>
      <c r="K93" s="20" t="str">
        <f ca="1"/>
        <v>Xray</v>
      </c>
      <c r="L93" s="20">
        <f ca="1"/>
        <v>777</v>
      </c>
    </row>
    <row r="94" spans="4:13" x14ac:dyDescent="0.3">
      <c r="D94" s="20" t="str">
        <f ca="1"/>
        <v>Charlie</v>
      </c>
      <c r="E94" s="20" t="str">
        <f ca="1"/>
        <v>Yankee</v>
      </c>
      <c r="F94" s="20">
        <f ca="1"/>
        <v>888</v>
      </c>
      <c r="J94" s="20" t="str">
        <f ca="1"/>
        <v>Bravo</v>
      </c>
      <c r="K94" s="20" t="str">
        <f ca="1"/>
        <v>Yankee</v>
      </c>
      <c r="L94" s="20">
        <f ca="1"/>
        <v>888</v>
      </c>
    </row>
    <row r="95" spans="4:13" x14ac:dyDescent="0.3">
      <c r="D95" s="20" t="str">
        <f ca="1"/>
        <v>Charlie</v>
      </c>
      <c r="E95" s="20" t="str">
        <f ca="1"/>
        <v>Zulu</v>
      </c>
      <c r="F95" s="20">
        <f ca="1"/>
        <v>999</v>
      </c>
      <c r="J95" s="20" t="str">
        <f ca="1"/>
        <v>Bravo</v>
      </c>
      <c r="K95" s="20" t="str">
        <f ca="1"/>
        <v>Zulu</v>
      </c>
      <c r="L95" s="20">
        <f ca="1"/>
        <v>999</v>
      </c>
    </row>
    <row r="96" spans="4:13" x14ac:dyDescent="0.3">
      <c r="D96" s="20">
        <f ca="1"/>
        <v>111</v>
      </c>
      <c r="E96" s="20" t="str">
        <f ca="1"/>
        <v>Xray</v>
      </c>
      <c r="F96" s="20">
        <f ca="1"/>
        <v>777</v>
      </c>
      <c r="J96" s="20">
        <f ca="1"/>
        <v>222</v>
      </c>
      <c r="K96" s="20" t="str">
        <f ca="1"/>
        <v>Xray</v>
      </c>
      <c r="L96" s="20">
        <f ca="1"/>
        <v>777</v>
      </c>
    </row>
    <row r="97" spans="4:12" x14ac:dyDescent="0.3">
      <c r="D97" s="20">
        <f ca="1"/>
        <v>111</v>
      </c>
      <c r="E97" s="20" t="str">
        <f ca="1"/>
        <v>Yankee</v>
      </c>
      <c r="F97" s="20">
        <f ca="1"/>
        <v>888</v>
      </c>
      <c r="J97" s="20">
        <f ca="1"/>
        <v>222</v>
      </c>
      <c r="K97" s="20" t="str">
        <f ca="1"/>
        <v>Yankee</v>
      </c>
      <c r="L97" s="20">
        <f ca="1"/>
        <v>888</v>
      </c>
    </row>
    <row r="98" spans="4:12" x14ac:dyDescent="0.3">
      <c r="D98" s="20">
        <f ca="1"/>
        <v>111</v>
      </c>
      <c r="E98" s="20" t="str">
        <f ca="1"/>
        <v>Zulu</v>
      </c>
      <c r="F98" s="20">
        <f ca="1"/>
        <v>999</v>
      </c>
      <c r="J98" s="20">
        <f ca="1"/>
        <v>222</v>
      </c>
      <c r="K98" s="20" t="str">
        <f ca="1"/>
        <v>Zulu</v>
      </c>
      <c r="L98" s="20">
        <f ca="1"/>
        <v>999</v>
      </c>
    </row>
    <row r="99" spans="4:12" x14ac:dyDescent="0.3">
      <c r="D99" s="20">
        <f ca="1"/>
        <v>222</v>
      </c>
      <c r="E99" s="20" t="str">
        <f ca="1"/>
        <v>Xray</v>
      </c>
      <c r="F99" s="20">
        <f ca="1"/>
        <v>777</v>
      </c>
      <c r="J99" s="20" t="str">
        <f ca="1"/>
        <v>Charlie</v>
      </c>
      <c r="K99" s="20" t="str">
        <f ca="1"/>
        <v>Xray</v>
      </c>
      <c r="L99" s="20">
        <f ca="1"/>
        <v>777</v>
      </c>
    </row>
    <row r="100" spans="4:12" x14ac:dyDescent="0.3">
      <c r="D100" s="20">
        <f ca="1"/>
        <v>222</v>
      </c>
      <c r="E100" s="20" t="str">
        <f ca="1"/>
        <v>Yankee</v>
      </c>
      <c r="F100" s="20">
        <f ca="1"/>
        <v>888</v>
      </c>
      <c r="J100" s="20" t="str">
        <f ca="1"/>
        <v>Charlie</v>
      </c>
      <c r="K100" s="20" t="str">
        <f ca="1"/>
        <v>Yankee</v>
      </c>
      <c r="L100" s="20">
        <f ca="1"/>
        <v>888</v>
      </c>
    </row>
    <row r="101" spans="4:12" x14ac:dyDescent="0.3">
      <c r="D101" s="20">
        <f ca="1"/>
        <v>222</v>
      </c>
      <c r="E101" s="20" t="str">
        <f ca="1"/>
        <v>Zulu</v>
      </c>
      <c r="F101" s="20">
        <f ca="1"/>
        <v>999</v>
      </c>
      <c r="J101" s="20" t="str">
        <f ca="1"/>
        <v>Charlie</v>
      </c>
      <c r="K101" s="20" t="str">
        <f ca="1"/>
        <v>Zulu</v>
      </c>
      <c r="L101" s="20">
        <f ca="1"/>
        <v>999</v>
      </c>
    </row>
    <row r="102" spans="4:12" x14ac:dyDescent="0.3">
      <c r="D102" s="20">
        <f ca="1"/>
        <v>333</v>
      </c>
      <c r="E102" s="20" t="str">
        <f ca="1"/>
        <v>Xray</v>
      </c>
      <c r="F102" s="20">
        <f ca="1"/>
        <v>777</v>
      </c>
      <c r="J102" s="20">
        <f ca="1"/>
        <v>333</v>
      </c>
      <c r="K102" s="20" t="str">
        <f ca="1"/>
        <v>Xray</v>
      </c>
      <c r="L102" s="20">
        <f ca="1"/>
        <v>777</v>
      </c>
    </row>
    <row r="103" spans="4:12" x14ac:dyDescent="0.3">
      <c r="D103" s="20">
        <f ca="1"/>
        <v>333</v>
      </c>
      <c r="E103" s="20" t="str">
        <f ca="1"/>
        <v>Yankee</v>
      </c>
      <c r="F103" s="20">
        <f ca="1"/>
        <v>888</v>
      </c>
      <c r="J103" s="20">
        <f ca="1"/>
        <v>333</v>
      </c>
      <c r="K103" s="20" t="str">
        <f ca="1"/>
        <v>Yankee</v>
      </c>
      <c r="L103" s="20">
        <f ca="1"/>
        <v>888</v>
      </c>
    </row>
    <row r="104" spans="4:12" x14ac:dyDescent="0.3">
      <c r="D104" s="20">
        <f ca="1"/>
        <v>333</v>
      </c>
      <c r="E104" s="20" t="str">
        <f ca="1"/>
        <v>Zulu</v>
      </c>
      <c r="F104" s="20">
        <f ca="1"/>
        <v>999</v>
      </c>
      <c r="J104" s="20">
        <f ca="1"/>
        <v>333</v>
      </c>
      <c r="K104" s="20" t="str">
        <f ca="1"/>
        <v>Zulu</v>
      </c>
      <c r="L104" s="20">
        <f ca="1"/>
        <v>999</v>
      </c>
    </row>
    <row r="105" spans="4:12" x14ac:dyDescent="0.3">
      <c r="D105" s="52" t="str">
        <f ca="1" xml:space="preserve"> _xlfn.FORMULATEXT(D87)</f>
        <v>= RXL_Data.CrossJoin($D$68:$E$70, $K$68:$M$69, TRUE)</v>
      </c>
      <c r="J105" s="52" t="str">
        <f ca="1" xml:space="preserve"> _xlfn.FORMULATEXT(J87)</f>
        <v>= RXL_Data.CrossJoin($D$68:$E$70, $K$68:$M$69, TRUE, FALSE)</v>
      </c>
    </row>
    <row r="107" spans="4:12" x14ac:dyDescent="0.3">
      <c r="D107" t="s">
        <v>664</v>
      </c>
      <c r="J107" t="s">
        <v>664</v>
      </c>
    </row>
    <row r="108" spans="4:12" x14ac:dyDescent="0.3">
      <c r="D108" s="30" t="s">
        <v>667</v>
      </c>
      <c r="J108" s="30" t="s">
        <v>668</v>
      </c>
    </row>
    <row r="109" spans="4:12" x14ac:dyDescent="0.3">
      <c r="D109" s="68" t="str" cm="1">
        <f t="array" aca="1" ref="D109:F126" ca="1" xml:space="preserve"> RXL_Data.CrossJoin($D$68:$E$70, $K$68:$M$69, , , TRUE)</f>
        <v>Alpha</v>
      </c>
      <c r="E109" s="20">
        <f ca="1"/>
        <v>111</v>
      </c>
      <c r="F109" s="20" t="str">
        <f ca="1"/>
        <v>Xray</v>
      </c>
      <c r="J109" s="68" t="str" cm="1">
        <f t="array" aca="1" ref="J109:L126" ca="1" xml:space="preserve"> RXL_Data.CrossJoin($D$68:$E$70, $K$68:$M$69, , , TRUE, FALSE)</f>
        <v>Alpha</v>
      </c>
      <c r="K109" s="20">
        <f ca="1"/>
        <v>111</v>
      </c>
      <c r="L109" s="20" t="str">
        <f ca="1"/>
        <v>Xray</v>
      </c>
    </row>
    <row r="110" spans="4:12" x14ac:dyDescent="0.3">
      <c r="D110" s="20" t="str">
        <f ca="1"/>
        <v>Alpha</v>
      </c>
      <c r="E110" s="20">
        <f ca="1"/>
        <v>111</v>
      </c>
      <c r="F110" s="20">
        <f ca="1"/>
        <v>777</v>
      </c>
      <c r="J110" s="20" t="str">
        <f ca="1"/>
        <v>Alpha</v>
      </c>
      <c r="K110" s="20">
        <f ca="1"/>
        <v>111</v>
      </c>
      <c r="L110" s="20" t="str">
        <f ca="1"/>
        <v>Yankee</v>
      </c>
    </row>
    <row r="111" spans="4:12" x14ac:dyDescent="0.3">
      <c r="D111" s="20" t="str">
        <f ca="1"/>
        <v>Alpha</v>
      </c>
      <c r="E111" s="20">
        <f ca="1"/>
        <v>111</v>
      </c>
      <c r="F111" s="20" t="str">
        <f ca="1"/>
        <v>Yankee</v>
      </c>
      <c r="J111" s="20" t="str">
        <f ca="1"/>
        <v>Alpha</v>
      </c>
      <c r="K111" s="20">
        <f ca="1"/>
        <v>111</v>
      </c>
      <c r="L111" s="20" t="str">
        <f ca="1"/>
        <v>Zulu</v>
      </c>
    </row>
    <row r="112" spans="4:12" x14ac:dyDescent="0.3">
      <c r="D112" s="20" t="str">
        <f ca="1"/>
        <v>Alpha</v>
      </c>
      <c r="E112" s="20">
        <f ca="1"/>
        <v>111</v>
      </c>
      <c r="F112" s="20">
        <f ca="1"/>
        <v>888</v>
      </c>
      <c r="J112" s="20" t="str">
        <f ca="1"/>
        <v>Alpha</v>
      </c>
      <c r="K112" s="20">
        <f ca="1"/>
        <v>111</v>
      </c>
      <c r="L112" s="20">
        <f ca="1"/>
        <v>777</v>
      </c>
    </row>
    <row r="113" spans="4:12" x14ac:dyDescent="0.3">
      <c r="D113" s="20" t="str">
        <f ca="1"/>
        <v>Alpha</v>
      </c>
      <c r="E113" s="20">
        <f ca="1"/>
        <v>111</v>
      </c>
      <c r="F113" s="20" t="str">
        <f ca="1"/>
        <v>Zulu</v>
      </c>
      <c r="J113" s="20" t="str">
        <f ca="1"/>
        <v>Alpha</v>
      </c>
      <c r="K113" s="20">
        <f ca="1"/>
        <v>111</v>
      </c>
      <c r="L113" s="20">
        <f ca="1"/>
        <v>888</v>
      </c>
    </row>
    <row r="114" spans="4:12" x14ac:dyDescent="0.3">
      <c r="D114" s="20" t="str">
        <f ca="1"/>
        <v>Alpha</v>
      </c>
      <c r="E114" s="20">
        <f ca="1"/>
        <v>111</v>
      </c>
      <c r="F114" s="20">
        <f ca="1"/>
        <v>999</v>
      </c>
      <c r="J114" s="20" t="str">
        <f ca="1"/>
        <v>Alpha</v>
      </c>
      <c r="K114" s="20">
        <f ca="1"/>
        <v>111</v>
      </c>
      <c r="L114" s="20">
        <f ca="1"/>
        <v>999</v>
      </c>
    </row>
    <row r="115" spans="4:12" x14ac:dyDescent="0.3">
      <c r="D115" s="20" t="str">
        <f ca="1"/>
        <v>Bravo</v>
      </c>
      <c r="E115" s="20">
        <f ca="1"/>
        <v>222</v>
      </c>
      <c r="F115" s="20" t="str">
        <f ca="1"/>
        <v>Xray</v>
      </c>
      <c r="J115" s="20" t="str">
        <f ca="1"/>
        <v>Bravo</v>
      </c>
      <c r="K115" s="20">
        <f ca="1"/>
        <v>222</v>
      </c>
      <c r="L115" s="20" t="str">
        <f ca="1"/>
        <v>Xray</v>
      </c>
    </row>
    <row r="116" spans="4:12" x14ac:dyDescent="0.3">
      <c r="D116" s="20" t="str">
        <f ca="1"/>
        <v>Bravo</v>
      </c>
      <c r="E116" s="20">
        <f ca="1"/>
        <v>222</v>
      </c>
      <c r="F116" s="20">
        <f ca="1"/>
        <v>777</v>
      </c>
      <c r="J116" s="20" t="str">
        <f ca="1"/>
        <v>Bravo</v>
      </c>
      <c r="K116" s="20">
        <f ca="1"/>
        <v>222</v>
      </c>
      <c r="L116" s="20" t="str">
        <f ca="1"/>
        <v>Yankee</v>
      </c>
    </row>
    <row r="117" spans="4:12" x14ac:dyDescent="0.3">
      <c r="D117" s="20" t="str">
        <f ca="1"/>
        <v>Bravo</v>
      </c>
      <c r="E117" s="20">
        <f ca="1"/>
        <v>222</v>
      </c>
      <c r="F117" s="20" t="str">
        <f ca="1"/>
        <v>Yankee</v>
      </c>
      <c r="J117" s="20" t="str">
        <f ca="1"/>
        <v>Bravo</v>
      </c>
      <c r="K117" s="20">
        <f ca="1"/>
        <v>222</v>
      </c>
      <c r="L117" s="20" t="str">
        <f ca="1"/>
        <v>Zulu</v>
      </c>
    </row>
    <row r="118" spans="4:12" x14ac:dyDescent="0.3">
      <c r="D118" s="20" t="str">
        <f ca="1"/>
        <v>Bravo</v>
      </c>
      <c r="E118" s="20">
        <f ca="1"/>
        <v>222</v>
      </c>
      <c r="F118" s="20">
        <f ca="1"/>
        <v>888</v>
      </c>
      <c r="J118" s="20" t="str">
        <f ca="1"/>
        <v>Bravo</v>
      </c>
      <c r="K118" s="20">
        <f ca="1"/>
        <v>222</v>
      </c>
      <c r="L118" s="20">
        <f ca="1"/>
        <v>777</v>
      </c>
    </row>
    <row r="119" spans="4:12" x14ac:dyDescent="0.3">
      <c r="D119" s="20" t="str">
        <f ca="1"/>
        <v>Bravo</v>
      </c>
      <c r="E119" s="20">
        <f ca="1"/>
        <v>222</v>
      </c>
      <c r="F119" s="20" t="str">
        <f ca="1"/>
        <v>Zulu</v>
      </c>
      <c r="J119" s="20" t="str">
        <f ca="1"/>
        <v>Bravo</v>
      </c>
      <c r="K119" s="20">
        <f ca="1"/>
        <v>222</v>
      </c>
      <c r="L119" s="20">
        <f ca="1"/>
        <v>888</v>
      </c>
    </row>
    <row r="120" spans="4:12" x14ac:dyDescent="0.3">
      <c r="D120" s="20" t="str">
        <f ca="1"/>
        <v>Bravo</v>
      </c>
      <c r="E120" s="20">
        <f ca="1"/>
        <v>222</v>
      </c>
      <c r="F120" s="20">
        <f ca="1"/>
        <v>999</v>
      </c>
      <c r="J120" s="20" t="str">
        <f ca="1"/>
        <v>Bravo</v>
      </c>
      <c r="K120" s="20">
        <f ca="1"/>
        <v>222</v>
      </c>
      <c r="L120" s="20">
        <f ca="1"/>
        <v>999</v>
      </c>
    </row>
    <row r="121" spans="4:12" x14ac:dyDescent="0.3">
      <c r="D121" s="20" t="str">
        <f ca="1"/>
        <v>Charlie</v>
      </c>
      <c r="E121" s="20">
        <f ca="1"/>
        <v>333</v>
      </c>
      <c r="F121" s="20" t="str">
        <f ca="1"/>
        <v>Xray</v>
      </c>
      <c r="J121" s="20" t="str">
        <f ca="1"/>
        <v>Charlie</v>
      </c>
      <c r="K121" s="20">
        <f ca="1"/>
        <v>333</v>
      </c>
      <c r="L121" s="20" t="str">
        <f ca="1"/>
        <v>Xray</v>
      </c>
    </row>
    <row r="122" spans="4:12" x14ac:dyDescent="0.3">
      <c r="D122" s="20" t="str">
        <f ca="1"/>
        <v>Charlie</v>
      </c>
      <c r="E122" s="20">
        <f ca="1"/>
        <v>333</v>
      </c>
      <c r="F122" s="20">
        <f ca="1"/>
        <v>777</v>
      </c>
      <c r="J122" s="20" t="str">
        <f ca="1"/>
        <v>Charlie</v>
      </c>
      <c r="K122" s="20">
        <f ca="1"/>
        <v>333</v>
      </c>
      <c r="L122" s="20" t="str">
        <f ca="1"/>
        <v>Yankee</v>
      </c>
    </row>
    <row r="123" spans="4:12" x14ac:dyDescent="0.3">
      <c r="D123" s="20" t="str">
        <f ca="1"/>
        <v>Charlie</v>
      </c>
      <c r="E123" s="20">
        <f ca="1"/>
        <v>333</v>
      </c>
      <c r="F123" s="20" t="str">
        <f ca="1"/>
        <v>Yankee</v>
      </c>
      <c r="J123" s="20" t="str">
        <f ca="1"/>
        <v>Charlie</v>
      </c>
      <c r="K123" s="20">
        <f ca="1"/>
        <v>333</v>
      </c>
      <c r="L123" s="20" t="str">
        <f ca="1"/>
        <v>Zulu</v>
      </c>
    </row>
    <row r="124" spans="4:12" x14ac:dyDescent="0.3">
      <c r="D124" s="20" t="str">
        <f ca="1"/>
        <v>Charlie</v>
      </c>
      <c r="E124" s="20">
        <f ca="1"/>
        <v>333</v>
      </c>
      <c r="F124" s="20">
        <f ca="1"/>
        <v>888</v>
      </c>
      <c r="J124" s="20" t="str">
        <f ca="1"/>
        <v>Charlie</v>
      </c>
      <c r="K124" s="20">
        <f ca="1"/>
        <v>333</v>
      </c>
      <c r="L124" s="20">
        <f ca="1"/>
        <v>777</v>
      </c>
    </row>
    <row r="125" spans="4:12" x14ac:dyDescent="0.3">
      <c r="D125" s="20" t="str">
        <f ca="1"/>
        <v>Charlie</v>
      </c>
      <c r="E125" s="20">
        <f ca="1"/>
        <v>333</v>
      </c>
      <c r="F125" s="20" t="str">
        <f ca="1"/>
        <v>Zulu</v>
      </c>
      <c r="J125" s="20" t="str">
        <f ca="1"/>
        <v>Charlie</v>
      </c>
      <c r="K125" s="20">
        <f ca="1"/>
        <v>333</v>
      </c>
      <c r="L125" s="20">
        <f ca="1"/>
        <v>888</v>
      </c>
    </row>
    <row r="126" spans="4:12" x14ac:dyDescent="0.3">
      <c r="D126" s="20" t="str">
        <f ca="1"/>
        <v>Charlie</v>
      </c>
      <c r="E126" s="20">
        <f ca="1"/>
        <v>333</v>
      </c>
      <c r="F126" s="20">
        <f ca="1"/>
        <v>999</v>
      </c>
      <c r="J126" s="20" t="str">
        <f ca="1"/>
        <v>Charlie</v>
      </c>
      <c r="K126" s="20">
        <f ca="1"/>
        <v>333</v>
      </c>
      <c r="L126" s="20">
        <f ca="1"/>
        <v>999</v>
      </c>
    </row>
    <row r="127" spans="4:12" x14ac:dyDescent="0.3">
      <c r="D127" s="52" t="str">
        <f ca="1" xml:space="preserve"> _xlfn.FORMULATEXT(D109)</f>
        <v>= RXL_Data.CrossJoin($D$68:$E$70, $K$68:$M$69, , , TRUE)</v>
      </c>
      <c r="J127" s="52" t="str">
        <f ca="1" xml:space="preserve"> _xlfn.FORMULATEXT(J109)</f>
        <v>= RXL_Data.CrossJoin($D$68:$E$70, $K$68:$M$69, , , TRUE, FALSE)</v>
      </c>
    </row>
    <row r="129" spans="3:7" x14ac:dyDescent="0.3">
      <c r="C129" s="14" t="s">
        <v>669</v>
      </c>
    </row>
    <row r="130" spans="3:7" x14ac:dyDescent="0.3">
      <c r="D130" t="s">
        <v>670</v>
      </c>
    </row>
    <row r="131" spans="3:7" x14ac:dyDescent="0.3">
      <c r="D131" s="81" t="s">
        <v>672</v>
      </c>
    </row>
    <row r="132" spans="3:7" x14ac:dyDescent="0.3">
      <c r="D132" s="68" t="str" cm="1">
        <f t="array" aca="1" ref="D132:G143" ca="1" xml:space="preserve"> RXL_Data.CrossJoin($D$68:$E$71, $G$68:$H$71, , , , , , TRUE)</f>
        <v>Alpha</v>
      </c>
      <c r="E132" s="20">
        <f ca="1"/>
        <v>111</v>
      </c>
      <c r="F132" s="20" t="str">
        <f ca="1"/>
        <v>Echo</v>
      </c>
      <c r="G132" s="20">
        <f ca="1"/>
        <v>555</v>
      </c>
    </row>
    <row r="133" spans="3:7" x14ac:dyDescent="0.3">
      <c r="D133" s="20" t="str">
        <f ca="1"/>
        <v>Alpha</v>
      </c>
      <c r="E133" s="20">
        <f ca="1"/>
        <v>111</v>
      </c>
      <c r="F133" s="20" t="str">
        <f ca="1"/>
        <v>Foxtrot</v>
      </c>
      <c r="G133" s="20">
        <f ca="1"/>
        <v>666</v>
      </c>
    </row>
    <row r="134" spans="3:7" x14ac:dyDescent="0.3">
      <c r="D134" s="20" t="str">
        <f ca="1"/>
        <v>Alpha</v>
      </c>
      <c r="E134" s="20">
        <f ca="1"/>
        <v>111</v>
      </c>
      <c r="F134" s="20" t="str">
        <f ca="1"/>
        <v>Golf</v>
      </c>
      <c r="G134" s="20">
        <f ca="1"/>
        <v>777</v>
      </c>
    </row>
    <row r="135" spans="3:7" x14ac:dyDescent="0.3">
      <c r="D135" s="20" t="str">
        <f ca="1"/>
        <v>Bravo</v>
      </c>
      <c r="E135" s="20">
        <f ca="1"/>
        <v>222</v>
      </c>
      <c r="F135" s="20" t="str">
        <f ca="1"/>
        <v>Echo</v>
      </c>
      <c r="G135" s="20">
        <f ca="1"/>
        <v>555</v>
      </c>
    </row>
    <row r="136" spans="3:7" x14ac:dyDescent="0.3">
      <c r="D136" s="20" t="str">
        <f ca="1"/>
        <v>Bravo</v>
      </c>
      <c r="E136" s="20">
        <f ca="1"/>
        <v>222</v>
      </c>
      <c r="F136" s="20" t="str">
        <f ca="1"/>
        <v>Foxtrot</v>
      </c>
      <c r="G136" s="20">
        <f ca="1"/>
        <v>666</v>
      </c>
    </row>
    <row r="137" spans="3:7" x14ac:dyDescent="0.3">
      <c r="D137" s="20" t="str">
        <f ca="1"/>
        <v>Bravo</v>
      </c>
      <c r="E137" s="20">
        <f ca="1"/>
        <v>222</v>
      </c>
      <c r="F137" s="20" t="str">
        <f ca="1"/>
        <v>Golf</v>
      </c>
      <c r="G137" s="20">
        <f ca="1"/>
        <v>777</v>
      </c>
    </row>
    <row r="138" spans="3:7" x14ac:dyDescent="0.3">
      <c r="D138" s="20" t="str">
        <f ca="1"/>
        <v>Charlie</v>
      </c>
      <c r="E138" s="20">
        <f ca="1"/>
        <v>333</v>
      </c>
      <c r="F138" s="20" t="str">
        <f ca="1"/>
        <v>Echo</v>
      </c>
      <c r="G138" s="20">
        <f ca="1"/>
        <v>555</v>
      </c>
    </row>
    <row r="139" spans="3:7" x14ac:dyDescent="0.3">
      <c r="D139" s="20" t="str">
        <f ca="1"/>
        <v>Charlie</v>
      </c>
      <c r="E139" s="20">
        <f ca="1"/>
        <v>333</v>
      </c>
      <c r="F139" s="20" t="str">
        <f ca="1"/>
        <v>Foxtrot</v>
      </c>
      <c r="G139" s="20">
        <f ca="1"/>
        <v>666</v>
      </c>
    </row>
    <row r="140" spans="3:7" x14ac:dyDescent="0.3">
      <c r="D140" s="20" t="str">
        <f ca="1"/>
        <v>Charlie</v>
      </c>
      <c r="E140" s="20">
        <f ca="1"/>
        <v>333</v>
      </c>
      <c r="F140" s="20" t="str">
        <f ca="1"/>
        <v>Golf</v>
      </c>
      <c r="G140" s="20">
        <f ca="1"/>
        <v>777</v>
      </c>
    </row>
    <row r="141" spans="3:7" x14ac:dyDescent="0.3">
      <c r="D141" s="20" t="str">
        <f ca="1"/>
        <v>Delta</v>
      </c>
      <c r="E141" s="20" t="str">
        <f ca="1"/>
        <v/>
      </c>
      <c r="F141" s="20" t="str">
        <f ca="1"/>
        <v>Echo</v>
      </c>
      <c r="G141" s="20">
        <f ca="1"/>
        <v>555</v>
      </c>
    </row>
    <row r="142" spans="3:7" x14ac:dyDescent="0.3">
      <c r="D142" s="20" t="str">
        <f ca="1"/>
        <v>Delta</v>
      </c>
      <c r="E142" s="20" t="str">
        <f ca="1"/>
        <v/>
      </c>
      <c r="F142" s="20" t="str">
        <f ca="1"/>
        <v>Foxtrot</v>
      </c>
      <c r="G142" s="20">
        <f ca="1"/>
        <v>666</v>
      </c>
    </row>
    <row r="143" spans="3:7" x14ac:dyDescent="0.3">
      <c r="D143" s="20" t="str">
        <f ca="1"/>
        <v>Delta</v>
      </c>
      <c r="E143" s="20" t="str">
        <f ca="1"/>
        <v/>
      </c>
      <c r="F143" s="20" t="str">
        <f ca="1"/>
        <v>Golf</v>
      </c>
      <c r="G143" s="20">
        <f ca="1"/>
        <v>777</v>
      </c>
    </row>
    <row r="144" spans="3:7" x14ac:dyDescent="0.3">
      <c r="D144" s="52" t="str">
        <f ca="1" xml:space="preserve"> _xlfn.FORMULATEXT(D132)</f>
        <v>= RXL_Data.CrossJoin($D$68:$E$71, $G$68:$H$71, , , , , , TRUE)</v>
      </c>
    </row>
    <row r="146" spans="4:6" x14ac:dyDescent="0.3">
      <c r="D146" t="s">
        <v>671</v>
      </c>
    </row>
    <row r="147" spans="4:6" x14ac:dyDescent="0.3">
      <c r="D147" s="81" t="s">
        <v>673</v>
      </c>
    </row>
    <row r="148" spans="4:6" x14ac:dyDescent="0.3">
      <c r="D148" s="68" t="str" cm="1">
        <f t="array" aca="1" ref="D148:F168" ca="1" xml:space="preserve"> RXL_Data.CrossJoin($D$68:$E$71, $G$68:$H$71, TRUE, , , , , TRUE)</f>
        <v>Alpha</v>
      </c>
      <c r="E148" s="20" t="str">
        <f ca="1"/>
        <v>Echo</v>
      </c>
      <c r="F148" s="20">
        <f ca="1"/>
        <v>555</v>
      </c>
    </row>
    <row r="149" spans="4:6" x14ac:dyDescent="0.3">
      <c r="D149" s="20" t="str">
        <f ca="1"/>
        <v>Alpha</v>
      </c>
      <c r="E149" s="20" t="str">
        <f ca="1"/>
        <v>Foxtrot</v>
      </c>
      <c r="F149" s="20">
        <f ca="1"/>
        <v>666</v>
      </c>
    </row>
    <row r="150" spans="4:6" x14ac:dyDescent="0.3">
      <c r="D150" s="20" t="str">
        <f ca="1"/>
        <v>Alpha</v>
      </c>
      <c r="E150" s="20" t="str">
        <f ca="1"/>
        <v>Golf</v>
      </c>
      <c r="F150" s="20">
        <f ca="1"/>
        <v>777</v>
      </c>
    </row>
    <row r="151" spans="4:6" x14ac:dyDescent="0.3">
      <c r="D151" s="20" t="str">
        <f ca="1"/>
        <v>Bravo</v>
      </c>
      <c r="E151" s="20" t="str">
        <f ca="1"/>
        <v>Echo</v>
      </c>
      <c r="F151" s="20">
        <f ca="1"/>
        <v>555</v>
      </c>
    </row>
    <row r="152" spans="4:6" x14ac:dyDescent="0.3">
      <c r="D152" s="20" t="str">
        <f ca="1"/>
        <v>Bravo</v>
      </c>
      <c r="E152" s="20" t="str">
        <f ca="1"/>
        <v>Foxtrot</v>
      </c>
      <c r="F152" s="20">
        <f ca="1"/>
        <v>666</v>
      </c>
    </row>
    <row r="153" spans="4:6" x14ac:dyDescent="0.3">
      <c r="D153" s="20" t="str">
        <f ca="1"/>
        <v>Bravo</v>
      </c>
      <c r="E153" s="20" t="str">
        <f ca="1"/>
        <v>Golf</v>
      </c>
      <c r="F153" s="20">
        <f ca="1"/>
        <v>777</v>
      </c>
    </row>
    <row r="154" spans="4:6" x14ac:dyDescent="0.3">
      <c r="D154" s="20" t="str">
        <f ca="1"/>
        <v>Charlie</v>
      </c>
      <c r="E154" s="20" t="str">
        <f ca="1"/>
        <v>Echo</v>
      </c>
      <c r="F154" s="20">
        <f ca="1"/>
        <v>555</v>
      </c>
    </row>
    <row r="155" spans="4:6" x14ac:dyDescent="0.3">
      <c r="D155" s="20" t="str">
        <f ca="1"/>
        <v>Charlie</v>
      </c>
      <c r="E155" s="20" t="str">
        <f ca="1"/>
        <v>Foxtrot</v>
      </c>
      <c r="F155" s="20">
        <f ca="1"/>
        <v>666</v>
      </c>
    </row>
    <row r="156" spans="4:6" x14ac:dyDescent="0.3">
      <c r="D156" s="20" t="str">
        <f ca="1"/>
        <v>Charlie</v>
      </c>
      <c r="E156" s="20" t="str">
        <f ca="1"/>
        <v>Golf</v>
      </c>
      <c r="F156" s="20">
        <f ca="1"/>
        <v>777</v>
      </c>
    </row>
    <row r="157" spans="4:6" x14ac:dyDescent="0.3">
      <c r="D157" s="20" t="str">
        <f ca="1"/>
        <v>Delta</v>
      </c>
      <c r="E157" s="20" t="str">
        <f ca="1"/>
        <v>Echo</v>
      </c>
      <c r="F157" s="20">
        <f ca="1"/>
        <v>555</v>
      </c>
    </row>
    <row r="158" spans="4:6" x14ac:dyDescent="0.3">
      <c r="D158" s="20" t="str">
        <f ca="1"/>
        <v>Delta</v>
      </c>
      <c r="E158" s="20" t="str">
        <f ca="1"/>
        <v>Foxtrot</v>
      </c>
      <c r="F158" s="20">
        <f ca="1"/>
        <v>666</v>
      </c>
    </row>
    <row r="159" spans="4:6" x14ac:dyDescent="0.3">
      <c r="D159" s="20" t="str">
        <f ca="1"/>
        <v>Delta</v>
      </c>
      <c r="E159" s="20" t="str">
        <f ca="1"/>
        <v>Golf</v>
      </c>
      <c r="F159" s="20">
        <f ca="1"/>
        <v>777</v>
      </c>
    </row>
    <row r="160" spans="4:6" x14ac:dyDescent="0.3">
      <c r="D160" s="20">
        <f ca="1"/>
        <v>111</v>
      </c>
      <c r="E160" s="20" t="str">
        <f ca="1"/>
        <v>Echo</v>
      </c>
      <c r="F160" s="20">
        <f ca="1"/>
        <v>555</v>
      </c>
    </row>
    <row r="161" spans="3:7" x14ac:dyDescent="0.3">
      <c r="D161" s="20">
        <f ca="1"/>
        <v>111</v>
      </c>
      <c r="E161" s="20" t="str">
        <f ca="1"/>
        <v>Foxtrot</v>
      </c>
      <c r="F161" s="20">
        <f ca="1"/>
        <v>666</v>
      </c>
    </row>
    <row r="162" spans="3:7" x14ac:dyDescent="0.3">
      <c r="D162" s="20">
        <f ca="1"/>
        <v>111</v>
      </c>
      <c r="E162" s="20" t="str">
        <f ca="1"/>
        <v>Golf</v>
      </c>
      <c r="F162" s="20">
        <f ca="1"/>
        <v>777</v>
      </c>
    </row>
    <row r="163" spans="3:7" x14ac:dyDescent="0.3">
      <c r="D163" s="20">
        <f ca="1"/>
        <v>222</v>
      </c>
      <c r="E163" s="20" t="str">
        <f ca="1"/>
        <v>Echo</v>
      </c>
      <c r="F163" s="20">
        <f ca="1"/>
        <v>555</v>
      </c>
    </row>
    <row r="164" spans="3:7" x14ac:dyDescent="0.3">
      <c r="D164" s="20">
        <f ca="1"/>
        <v>222</v>
      </c>
      <c r="E164" s="20" t="str">
        <f ca="1"/>
        <v>Foxtrot</v>
      </c>
      <c r="F164" s="20">
        <f ca="1"/>
        <v>666</v>
      </c>
    </row>
    <row r="165" spans="3:7" x14ac:dyDescent="0.3">
      <c r="D165" s="20">
        <f ca="1"/>
        <v>222</v>
      </c>
      <c r="E165" s="20" t="str">
        <f ca="1"/>
        <v>Golf</v>
      </c>
      <c r="F165" s="20">
        <f ca="1"/>
        <v>777</v>
      </c>
    </row>
    <row r="166" spans="3:7" x14ac:dyDescent="0.3">
      <c r="D166" s="20">
        <f ca="1"/>
        <v>333</v>
      </c>
      <c r="E166" s="20" t="str">
        <f ca="1"/>
        <v>Echo</v>
      </c>
      <c r="F166" s="20">
        <f ca="1"/>
        <v>555</v>
      </c>
    </row>
    <row r="167" spans="3:7" x14ac:dyDescent="0.3">
      <c r="D167" s="20">
        <f ca="1"/>
        <v>333</v>
      </c>
      <c r="E167" s="20" t="str">
        <f ca="1"/>
        <v>Foxtrot</v>
      </c>
      <c r="F167" s="20">
        <f ca="1"/>
        <v>666</v>
      </c>
    </row>
    <row r="168" spans="3:7" x14ac:dyDescent="0.3">
      <c r="D168" s="20">
        <f ca="1"/>
        <v>333</v>
      </c>
      <c r="E168" s="20" t="str">
        <f ca="1"/>
        <v>Golf</v>
      </c>
      <c r="F168" s="20">
        <f ca="1"/>
        <v>777</v>
      </c>
    </row>
    <row r="169" spans="3:7" x14ac:dyDescent="0.3">
      <c r="D169" s="52" t="str">
        <f ca="1" xml:space="preserve"> _xlfn.FORMULATEXT(D148)</f>
        <v>= RXL_Data.CrossJoin($D$68:$E$71, $G$68:$H$71, TRUE, , , , , TRUE)</v>
      </c>
    </row>
    <row r="171" spans="3:7" x14ac:dyDescent="0.3">
      <c r="C171" s="14" t="s">
        <v>674</v>
      </c>
    </row>
    <row r="172" spans="3:7" x14ac:dyDescent="0.3">
      <c r="D172" t="s">
        <v>649</v>
      </c>
    </row>
    <row r="173" spans="3:7" x14ac:dyDescent="0.3">
      <c r="D173" s="25" t="s">
        <v>198</v>
      </c>
      <c r="F173" s="25" t="s">
        <v>202</v>
      </c>
      <c r="G173" s="25">
        <v>111</v>
      </c>
    </row>
    <row r="174" spans="3:7" x14ac:dyDescent="0.3">
      <c r="D174" s="25" t="s">
        <v>199</v>
      </c>
      <c r="F174" s="25" t="s">
        <v>660</v>
      </c>
      <c r="G174" s="25">
        <v>111</v>
      </c>
    </row>
    <row r="175" spans="3:7" x14ac:dyDescent="0.3">
      <c r="D175" s="25" t="s">
        <v>200</v>
      </c>
      <c r="F175" s="25" t="s">
        <v>661</v>
      </c>
      <c r="G175" s="25">
        <v>111</v>
      </c>
    </row>
    <row r="176" spans="3:7" x14ac:dyDescent="0.3">
      <c r="D176" s="25" t="s">
        <v>201</v>
      </c>
      <c r="F176" s="25"/>
      <c r="G176" s="25"/>
    </row>
    <row r="177" spans="4:31" x14ac:dyDescent="0.3">
      <c r="L177" t="s">
        <v>678</v>
      </c>
    </row>
    <row r="178" spans="4:31" x14ac:dyDescent="0.3">
      <c r="D178" t="s">
        <v>675</v>
      </c>
      <c r="H178" t="s">
        <v>675</v>
      </c>
      <c r="L178" s="30" t="s">
        <v>677</v>
      </c>
    </row>
    <row r="179" spans="4:31" x14ac:dyDescent="0.3">
      <c r="D179" s="30" t="s">
        <v>676</v>
      </c>
      <c r="H179" s="30" t="s">
        <v>677</v>
      </c>
      <c r="L179" s="30" t="s">
        <v>679</v>
      </c>
    </row>
    <row r="180" spans="4:31" x14ac:dyDescent="0.3">
      <c r="D180" s="68" t="str" cm="1">
        <f t="array" aca="1" ref="D180:E211" ca="1" xml:space="preserve"> RXL_Data.CrossJoin($D$173:$D$176, $F$173:$G$176, TRUE, , TRUE, , , , , FALSE)</f>
        <v>Alpha</v>
      </c>
      <c r="E180" s="20" t="str">
        <f ca="1"/>
        <v>Echo</v>
      </c>
      <c r="H180" s="68" t="str" cm="1">
        <f t="array" aca="1" ref="H180:I199" ca="1" xml:space="preserve"> RXL_Data.CrossJoin($D$173:$D$176, $F$173:$G$176, TRUE, , TRUE, , , , , TRUE)</f>
        <v>Alpha</v>
      </c>
      <c r="I180" s="20" t="str">
        <f ca="1"/>
        <v>Echo</v>
      </c>
      <c r="L180" s="68" t="str" cm="1">
        <f t="array" aca="1" ref="L180:AE181" ca="1" xml:space="preserve"> RXL_Data.CrossJoin($D$173:$D$176, $F$173:$G$176, TRUE, , TRUE, , , , , TRUE, FALSE)</f>
        <v>Alpha</v>
      </c>
      <c r="M180" s="20" t="str">
        <f ca="1"/>
        <v>Alpha</v>
      </c>
      <c r="N180" s="20" t="str">
        <f ca="1"/>
        <v>Alpha</v>
      </c>
      <c r="O180" s="20" t="str">
        <f ca="1"/>
        <v>Alpha</v>
      </c>
      <c r="P180" s="20" t="str">
        <f ca="1"/>
        <v>Alpha</v>
      </c>
      <c r="Q180" s="20" t="str">
        <f ca="1"/>
        <v>Bravo</v>
      </c>
      <c r="R180" s="20" t="str">
        <f ca="1"/>
        <v>Bravo</v>
      </c>
      <c r="S180" s="20" t="str">
        <f ca="1"/>
        <v>Bravo</v>
      </c>
      <c r="T180" s="20" t="str">
        <f ca="1"/>
        <v>Bravo</v>
      </c>
      <c r="U180" s="20" t="str">
        <f ca="1"/>
        <v>Bravo</v>
      </c>
      <c r="V180" s="20" t="str">
        <f ca="1"/>
        <v>Charlie</v>
      </c>
      <c r="W180" s="20" t="str">
        <f ca="1"/>
        <v>Charlie</v>
      </c>
      <c r="X180" s="20" t="str">
        <f ca="1"/>
        <v>Charlie</v>
      </c>
      <c r="Y180" s="20" t="str">
        <f ca="1"/>
        <v>Charlie</v>
      </c>
      <c r="Z180" s="20" t="str">
        <f ca="1"/>
        <v>Charlie</v>
      </c>
      <c r="AA180" s="20" t="str">
        <f ca="1"/>
        <v>Delta</v>
      </c>
      <c r="AB180" s="20" t="str">
        <f ca="1"/>
        <v>Delta</v>
      </c>
      <c r="AC180" s="20" t="str">
        <f ca="1"/>
        <v>Delta</v>
      </c>
      <c r="AD180" s="20" t="str">
        <f ca="1"/>
        <v>Delta</v>
      </c>
      <c r="AE180" s="20" t="str">
        <f ca="1"/>
        <v>Delta</v>
      </c>
    </row>
    <row r="181" spans="4:31" x14ac:dyDescent="0.3">
      <c r="D181" s="20" t="str">
        <f ca="1"/>
        <v>Alpha</v>
      </c>
      <c r="E181" s="20" t="str">
        <f ca="1"/>
        <v>Foxtrot</v>
      </c>
      <c r="H181" s="20" t="str">
        <f ca="1"/>
        <v>Alpha</v>
      </c>
      <c r="I181" s="20" t="str">
        <f ca="1"/>
        <v>Foxtrot</v>
      </c>
      <c r="L181" s="20" t="str">
        <f ca="1"/>
        <v>Echo</v>
      </c>
      <c r="M181" s="20" t="str">
        <f ca="1"/>
        <v>Foxtrot</v>
      </c>
      <c r="N181" s="20" t="str">
        <f ca="1"/>
        <v>Golf</v>
      </c>
      <c r="O181" s="20" t="str">
        <f ca="1"/>
        <v/>
      </c>
      <c r="P181" s="20">
        <f ca="1"/>
        <v>111</v>
      </c>
      <c r="Q181" s="20" t="str">
        <f ca="1"/>
        <v>Echo</v>
      </c>
      <c r="R181" s="20" t="str">
        <f ca="1"/>
        <v>Foxtrot</v>
      </c>
      <c r="S181" s="20" t="str">
        <f ca="1"/>
        <v>Golf</v>
      </c>
      <c r="T181" s="20" t="str">
        <f ca="1"/>
        <v/>
      </c>
      <c r="U181" s="20">
        <f ca="1"/>
        <v>111</v>
      </c>
      <c r="V181" s="20" t="str">
        <f ca="1"/>
        <v>Echo</v>
      </c>
      <c r="W181" s="20" t="str">
        <f ca="1"/>
        <v>Foxtrot</v>
      </c>
      <c r="X181" s="20" t="str">
        <f ca="1"/>
        <v>Golf</v>
      </c>
      <c r="Y181" s="20" t="str">
        <f ca="1"/>
        <v/>
      </c>
      <c r="Z181" s="20">
        <f ca="1"/>
        <v>111</v>
      </c>
      <c r="AA181" s="20" t="str">
        <f ca="1"/>
        <v>Echo</v>
      </c>
      <c r="AB181" s="20" t="str">
        <f ca="1"/>
        <v>Foxtrot</v>
      </c>
      <c r="AC181" s="20" t="str">
        <f ca="1"/>
        <v>Golf</v>
      </c>
      <c r="AD181" s="20" t="str">
        <f ca="1"/>
        <v/>
      </c>
      <c r="AE181" s="20">
        <f ca="1"/>
        <v>111</v>
      </c>
    </row>
    <row r="182" spans="4:31" x14ac:dyDescent="0.3">
      <c r="D182" s="20" t="str">
        <f ca="1"/>
        <v>Alpha</v>
      </c>
      <c r="E182" s="20" t="str">
        <f ca="1"/>
        <v>Golf</v>
      </c>
      <c r="H182" s="20" t="str">
        <f ca="1"/>
        <v>Alpha</v>
      </c>
      <c r="I182" s="20" t="str">
        <f ca="1"/>
        <v>Golf</v>
      </c>
      <c r="L182" s="52" t="str">
        <f ca="1" xml:space="preserve"> _xlfn.FORMULATEXT(L180)</f>
        <v>= RXL_Data.CrossJoin($D$173:$D$176, $F$173:$G$176, TRUE, , TRUE, , , , , TRUE, FALSE)</v>
      </c>
    </row>
    <row r="183" spans="4:31" x14ac:dyDescent="0.3">
      <c r="D183" s="20" t="str">
        <f ca="1"/>
        <v>Alpha</v>
      </c>
      <c r="E183" s="20" t="str">
        <f ca="1"/>
        <v/>
      </c>
      <c r="H183" s="20" t="str">
        <f ca="1"/>
        <v>Alpha</v>
      </c>
      <c r="I183" s="20" t="str">
        <f ca="1"/>
        <v/>
      </c>
    </row>
    <row r="184" spans="4:31" x14ac:dyDescent="0.3">
      <c r="D184" s="20" t="str">
        <f ca="1"/>
        <v>Alpha</v>
      </c>
      <c r="E184" s="20">
        <f ca="1"/>
        <v>111</v>
      </c>
      <c r="H184" s="20" t="str">
        <f ca="1"/>
        <v>Alpha</v>
      </c>
      <c r="I184" s="20">
        <f ca="1"/>
        <v>111</v>
      </c>
    </row>
    <row r="185" spans="4:31" x14ac:dyDescent="0.3">
      <c r="D185" s="20" t="str">
        <f ca="1"/>
        <v>Alpha</v>
      </c>
      <c r="E185" s="20">
        <f ca="1"/>
        <v>111</v>
      </c>
      <c r="H185" s="20" t="str">
        <f ca="1"/>
        <v>Bravo</v>
      </c>
      <c r="I185" s="20" t="str">
        <f ca="1"/>
        <v>Echo</v>
      </c>
    </row>
    <row r="186" spans="4:31" x14ac:dyDescent="0.3">
      <c r="D186" s="20" t="str">
        <f ca="1"/>
        <v>Alpha</v>
      </c>
      <c r="E186" s="20">
        <f ca="1"/>
        <v>111</v>
      </c>
      <c r="H186" s="20" t="str">
        <f ca="1"/>
        <v>Bravo</v>
      </c>
      <c r="I186" s="20" t="str">
        <f ca="1"/>
        <v>Foxtrot</v>
      </c>
    </row>
    <row r="187" spans="4:31" x14ac:dyDescent="0.3">
      <c r="D187" s="20" t="str">
        <f ca="1"/>
        <v>Alpha</v>
      </c>
      <c r="E187" s="20" t="str">
        <f ca="1"/>
        <v/>
      </c>
      <c r="H187" s="20" t="str">
        <f ca="1"/>
        <v>Bravo</v>
      </c>
      <c r="I187" s="20" t="str">
        <f ca="1"/>
        <v>Golf</v>
      </c>
    </row>
    <row r="188" spans="4:31" x14ac:dyDescent="0.3">
      <c r="D188" s="20" t="str">
        <f ca="1"/>
        <v>Bravo</v>
      </c>
      <c r="E188" s="20" t="str">
        <f ca="1"/>
        <v>Echo</v>
      </c>
      <c r="H188" s="20" t="str">
        <f ca="1"/>
        <v>Bravo</v>
      </c>
      <c r="I188" s="20" t="str">
        <f ca="1"/>
        <v/>
      </c>
    </row>
    <row r="189" spans="4:31" x14ac:dyDescent="0.3">
      <c r="D189" s="20" t="str">
        <f ca="1"/>
        <v>Bravo</v>
      </c>
      <c r="E189" s="20" t="str">
        <f ca="1"/>
        <v>Foxtrot</v>
      </c>
      <c r="H189" s="20" t="str">
        <f ca="1"/>
        <v>Bravo</v>
      </c>
      <c r="I189" s="20">
        <f ca="1"/>
        <v>111</v>
      </c>
    </row>
    <row r="190" spans="4:31" x14ac:dyDescent="0.3">
      <c r="D190" s="20" t="str">
        <f ca="1"/>
        <v>Bravo</v>
      </c>
      <c r="E190" s="20" t="str">
        <f ca="1"/>
        <v>Golf</v>
      </c>
      <c r="H190" s="20" t="str">
        <f ca="1"/>
        <v>Charlie</v>
      </c>
      <c r="I190" s="20" t="str">
        <f ca="1"/>
        <v>Echo</v>
      </c>
    </row>
    <row r="191" spans="4:31" x14ac:dyDescent="0.3">
      <c r="D191" s="20" t="str">
        <f ca="1"/>
        <v>Bravo</v>
      </c>
      <c r="E191" s="20" t="str">
        <f ca="1"/>
        <v/>
      </c>
      <c r="H191" s="20" t="str">
        <f ca="1"/>
        <v>Charlie</v>
      </c>
      <c r="I191" s="20" t="str">
        <f ca="1"/>
        <v>Foxtrot</v>
      </c>
    </row>
    <row r="192" spans="4:31" x14ac:dyDescent="0.3">
      <c r="D192" s="20" t="str">
        <f ca="1"/>
        <v>Bravo</v>
      </c>
      <c r="E192" s="20">
        <f ca="1"/>
        <v>111</v>
      </c>
      <c r="H192" s="20" t="str">
        <f ca="1"/>
        <v>Charlie</v>
      </c>
      <c r="I192" s="20" t="str">
        <f ca="1"/>
        <v>Golf</v>
      </c>
    </row>
    <row r="193" spans="4:9" x14ac:dyDescent="0.3">
      <c r="D193" s="20" t="str">
        <f ca="1"/>
        <v>Bravo</v>
      </c>
      <c r="E193" s="20">
        <f ca="1"/>
        <v>111</v>
      </c>
      <c r="H193" s="20" t="str">
        <f ca="1"/>
        <v>Charlie</v>
      </c>
      <c r="I193" s="20" t="str">
        <f ca="1"/>
        <v/>
      </c>
    </row>
    <row r="194" spans="4:9" x14ac:dyDescent="0.3">
      <c r="D194" s="20" t="str">
        <f ca="1"/>
        <v>Bravo</v>
      </c>
      <c r="E194" s="20">
        <f ca="1"/>
        <v>111</v>
      </c>
      <c r="H194" s="20" t="str">
        <f ca="1"/>
        <v>Charlie</v>
      </c>
      <c r="I194" s="20">
        <f ca="1"/>
        <v>111</v>
      </c>
    </row>
    <row r="195" spans="4:9" x14ac:dyDescent="0.3">
      <c r="D195" s="20" t="str">
        <f ca="1"/>
        <v>Bravo</v>
      </c>
      <c r="E195" s="20" t="str">
        <f ca="1"/>
        <v/>
      </c>
      <c r="H195" s="20" t="str">
        <f ca="1"/>
        <v>Delta</v>
      </c>
      <c r="I195" s="20" t="str">
        <f ca="1"/>
        <v>Echo</v>
      </c>
    </row>
    <row r="196" spans="4:9" x14ac:dyDescent="0.3">
      <c r="D196" s="20" t="str">
        <f ca="1"/>
        <v>Charlie</v>
      </c>
      <c r="E196" s="20" t="str">
        <f ca="1"/>
        <v>Echo</v>
      </c>
      <c r="H196" s="20" t="str">
        <f ca="1"/>
        <v>Delta</v>
      </c>
      <c r="I196" s="20" t="str">
        <f ca="1"/>
        <v>Foxtrot</v>
      </c>
    </row>
    <row r="197" spans="4:9" x14ac:dyDescent="0.3">
      <c r="D197" s="20" t="str">
        <f ca="1"/>
        <v>Charlie</v>
      </c>
      <c r="E197" s="20" t="str">
        <f ca="1"/>
        <v>Foxtrot</v>
      </c>
      <c r="H197" s="20" t="str">
        <f ca="1"/>
        <v>Delta</v>
      </c>
      <c r="I197" s="20" t="str">
        <f ca="1"/>
        <v>Golf</v>
      </c>
    </row>
    <row r="198" spans="4:9" x14ac:dyDescent="0.3">
      <c r="D198" s="20" t="str">
        <f ca="1"/>
        <v>Charlie</v>
      </c>
      <c r="E198" s="20" t="str">
        <f ca="1"/>
        <v>Golf</v>
      </c>
      <c r="H198" s="20" t="str">
        <f ca="1"/>
        <v>Delta</v>
      </c>
      <c r="I198" s="20" t="str">
        <f ca="1"/>
        <v/>
      </c>
    </row>
    <row r="199" spans="4:9" x14ac:dyDescent="0.3">
      <c r="D199" s="20" t="str">
        <f ca="1"/>
        <v>Charlie</v>
      </c>
      <c r="E199" s="20" t="str">
        <f ca="1"/>
        <v/>
      </c>
      <c r="H199" s="20" t="str">
        <f ca="1"/>
        <v>Delta</v>
      </c>
      <c r="I199" s="20">
        <f ca="1"/>
        <v>111</v>
      </c>
    </row>
    <row r="200" spans="4:9" x14ac:dyDescent="0.3">
      <c r="D200" s="20" t="str">
        <f ca="1"/>
        <v>Charlie</v>
      </c>
      <c r="E200" s="20">
        <f ca="1"/>
        <v>111</v>
      </c>
      <c r="H200" s="20"/>
      <c r="I200" s="20"/>
    </row>
    <row r="201" spans="4:9" x14ac:dyDescent="0.3">
      <c r="D201" s="20" t="str">
        <f ca="1"/>
        <v>Charlie</v>
      </c>
      <c r="E201" s="20">
        <f ca="1"/>
        <v>111</v>
      </c>
      <c r="H201" s="20"/>
      <c r="I201" s="20"/>
    </row>
    <row r="202" spans="4:9" x14ac:dyDescent="0.3">
      <c r="D202" s="20" t="str">
        <f ca="1"/>
        <v>Charlie</v>
      </c>
      <c r="E202" s="20">
        <f ca="1"/>
        <v>111</v>
      </c>
      <c r="H202" s="20"/>
      <c r="I202" s="20"/>
    </row>
    <row r="203" spans="4:9" x14ac:dyDescent="0.3">
      <c r="D203" s="20" t="str">
        <f ca="1"/>
        <v>Charlie</v>
      </c>
      <c r="E203" s="20" t="str">
        <f ca="1"/>
        <v/>
      </c>
      <c r="H203" s="20"/>
      <c r="I203" s="20"/>
    </row>
    <row r="204" spans="4:9" x14ac:dyDescent="0.3">
      <c r="D204" s="20" t="str">
        <f ca="1"/>
        <v>Delta</v>
      </c>
      <c r="E204" s="20" t="str">
        <f ca="1"/>
        <v>Echo</v>
      </c>
      <c r="H204" s="20"/>
      <c r="I204" s="20"/>
    </row>
    <row r="205" spans="4:9" x14ac:dyDescent="0.3">
      <c r="D205" s="20" t="str">
        <f ca="1"/>
        <v>Delta</v>
      </c>
      <c r="E205" s="20" t="str">
        <f ca="1"/>
        <v>Foxtrot</v>
      </c>
      <c r="H205" s="20"/>
      <c r="I205" s="20"/>
    </row>
    <row r="206" spans="4:9" x14ac:dyDescent="0.3">
      <c r="D206" s="20" t="str">
        <f ca="1"/>
        <v>Delta</v>
      </c>
      <c r="E206" s="20" t="str">
        <f ca="1"/>
        <v>Golf</v>
      </c>
      <c r="H206" s="20"/>
      <c r="I206" s="20"/>
    </row>
    <row r="207" spans="4:9" x14ac:dyDescent="0.3">
      <c r="D207" s="20" t="str">
        <f ca="1"/>
        <v>Delta</v>
      </c>
      <c r="E207" s="20" t="str">
        <f ca="1"/>
        <v/>
      </c>
      <c r="H207" s="20"/>
      <c r="I207" s="20"/>
    </row>
    <row r="208" spans="4:9" x14ac:dyDescent="0.3">
      <c r="D208" s="20" t="str">
        <f ca="1"/>
        <v>Delta</v>
      </c>
      <c r="E208" s="20">
        <f ca="1"/>
        <v>111</v>
      </c>
      <c r="H208" s="20"/>
      <c r="I208" s="20"/>
    </row>
    <row r="209" spans="2:20" x14ac:dyDescent="0.3">
      <c r="D209" s="20" t="str">
        <f ca="1"/>
        <v>Delta</v>
      </c>
      <c r="E209" s="20">
        <f ca="1"/>
        <v>111</v>
      </c>
      <c r="H209" s="20"/>
      <c r="I209" s="20"/>
    </row>
    <row r="210" spans="2:20" x14ac:dyDescent="0.3">
      <c r="D210" s="20" t="str">
        <f ca="1"/>
        <v>Delta</v>
      </c>
      <c r="E210" s="20">
        <f ca="1"/>
        <v>111</v>
      </c>
      <c r="H210" s="20"/>
      <c r="I210" s="20"/>
    </row>
    <row r="211" spans="2:20" x14ac:dyDescent="0.3">
      <c r="D211" s="20" t="str">
        <f ca="1"/>
        <v>Delta</v>
      </c>
      <c r="E211" s="20" t="str">
        <f ca="1"/>
        <v/>
      </c>
      <c r="H211" s="20"/>
      <c r="I211" s="20"/>
    </row>
    <row r="212" spans="2:20" x14ac:dyDescent="0.3">
      <c r="D212" s="52" t="str">
        <f ca="1" xml:space="preserve"> _xlfn.FORMULATEXT(D180)</f>
        <v>= RXL_Data.CrossJoin($D$173:$D$176, $F$173:$G$176, TRUE, , TRUE, , , , , FALSE)</v>
      </c>
    </row>
    <row r="213" spans="2:20" x14ac:dyDescent="0.3">
      <c r="H213" s="52" t="str">
        <f ca="1" xml:space="preserve"> _xlfn.FORMULATEXT(H180)</f>
        <v>= RXL_Data.CrossJoin($D$173:$D$176, $F$173:$G$176, TRUE, , TRUE, , , , , TRUE)</v>
      </c>
    </row>
    <row r="216" spans="2:20" x14ac:dyDescent="0.3">
      <c r="B216" s="28" t="s">
        <v>1466</v>
      </c>
      <c r="C216" s="27"/>
      <c r="D216" s="27"/>
      <c r="E216" s="27"/>
      <c r="F216" s="27"/>
      <c r="G216" s="27"/>
      <c r="H216" s="27"/>
      <c r="I216" s="27"/>
      <c r="J216" s="27"/>
      <c r="K216" s="27"/>
      <c r="L216" s="27"/>
      <c r="M216" s="27"/>
      <c r="N216" s="27"/>
      <c r="O216" s="27"/>
      <c r="P216" s="27"/>
      <c r="Q216" s="27"/>
      <c r="R216" s="27"/>
      <c r="S216" s="27"/>
      <c r="T216" s="27"/>
    </row>
    <row r="218" spans="2:20" x14ac:dyDescent="0.3">
      <c r="D218" s="44" t="s">
        <v>168</v>
      </c>
      <c r="E218" t="s">
        <v>1467</v>
      </c>
    </row>
    <row r="219" spans="2:20" x14ac:dyDescent="0.3">
      <c r="D219" s="44" t="s">
        <v>169</v>
      </c>
      <c r="E219" t="s">
        <v>1468</v>
      </c>
    </row>
    <row r="220" spans="2:20" x14ac:dyDescent="0.3">
      <c r="E220" t="s">
        <v>1469</v>
      </c>
    </row>
    <row r="221" spans="2:20" x14ac:dyDescent="0.3">
      <c r="E221" t="s">
        <v>1470</v>
      </c>
    </row>
    <row r="222" spans="2:20" x14ac:dyDescent="0.3">
      <c r="F222" t="s">
        <v>1471</v>
      </c>
      <c r="H222" t="s">
        <v>1472</v>
      </c>
    </row>
    <row r="223" spans="2:20" x14ac:dyDescent="0.3">
      <c r="F223" t="s">
        <v>1473</v>
      </c>
      <c r="H223" t="s">
        <v>1474</v>
      </c>
    </row>
    <row r="224" spans="2:20" x14ac:dyDescent="0.3">
      <c r="F224" t="s">
        <v>1475</v>
      </c>
      <c r="H224" t="s">
        <v>1476</v>
      </c>
    </row>
    <row r="225" spans="3:12" x14ac:dyDescent="0.3">
      <c r="F225" t="s">
        <v>1477</v>
      </c>
      <c r="H225" t="s">
        <v>1478</v>
      </c>
    </row>
    <row r="226" spans="3:12" x14ac:dyDescent="0.3">
      <c r="D226" s="44" t="s">
        <v>327</v>
      </c>
      <c r="E226" s="103" t="s">
        <v>1479</v>
      </c>
    </row>
    <row r="228" spans="3:12" x14ac:dyDescent="0.3">
      <c r="C228" s="14" t="s">
        <v>174</v>
      </c>
    </row>
    <row r="229" spans="3:12" ht="14.4" thickBot="1" x14ac:dyDescent="0.35">
      <c r="D229" s="51" t="s">
        <v>1220</v>
      </c>
      <c r="E229" s="51" t="s">
        <v>1047</v>
      </c>
      <c r="F229" s="51" t="s">
        <v>1048</v>
      </c>
      <c r="G229" s="51" t="s">
        <v>1049</v>
      </c>
      <c r="I229" s="51" t="s">
        <v>1220</v>
      </c>
      <c r="J229" s="51" t="s">
        <v>1221</v>
      </c>
      <c r="K229" s="51" t="s">
        <v>1222</v>
      </c>
      <c r="L229" s="51" t="s">
        <v>1223</v>
      </c>
    </row>
    <row r="230" spans="3:12" x14ac:dyDescent="0.3">
      <c r="D230" s="1" t="s">
        <v>1224</v>
      </c>
      <c r="E230" s="1" t="s">
        <v>37</v>
      </c>
      <c r="F230" s="1">
        <v>1</v>
      </c>
      <c r="G230" s="1" t="s">
        <v>1227</v>
      </c>
      <c r="I230" s="1" t="s">
        <v>1228</v>
      </c>
      <c r="J230" s="1">
        <v>9</v>
      </c>
      <c r="K230" s="1" t="s">
        <v>1229</v>
      </c>
      <c r="L230" s="1" t="s">
        <v>1230</v>
      </c>
    </row>
    <row r="231" spans="3:12" x14ac:dyDescent="0.3">
      <c r="D231" s="1" t="s">
        <v>1231</v>
      </c>
      <c r="E231" s="1" t="s">
        <v>38</v>
      </c>
      <c r="F231" s="1">
        <v>2</v>
      </c>
      <c r="G231" s="1" t="s">
        <v>1234</v>
      </c>
      <c r="I231" s="1" t="s">
        <v>1235</v>
      </c>
      <c r="J231" s="1">
        <v>7</v>
      </c>
      <c r="K231" s="1" t="s">
        <v>1236</v>
      </c>
      <c r="L231" s="1" t="s">
        <v>1237</v>
      </c>
    </row>
    <row r="232" spans="3:12" x14ac:dyDescent="0.3">
      <c r="D232" s="1" t="s">
        <v>1225</v>
      </c>
      <c r="E232" s="1" t="s">
        <v>39</v>
      </c>
      <c r="F232" s="1">
        <v>3</v>
      </c>
      <c r="G232" s="1" t="s">
        <v>1240</v>
      </c>
      <c r="I232" s="1" t="s">
        <v>1241</v>
      </c>
      <c r="J232" s="1">
        <v>10</v>
      </c>
      <c r="K232" s="1" t="s">
        <v>106</v>
      </c>
      <c r="L232" s="1" t="s">
        <v>1242</v>
      </c>
    </row>
    <row r="233" spans="3:12" x14ac:dyDescent="0.3">
      <c r="D233" s="1" t="s">
        <v>1238</v>
      </c>
      <c r="E233" s="1" t="s">
        <v>40</v>
      </c>
      <c r="F233" s="1">
        <v>4</v>
      </c>
      <c r="G233" s="1" t="s">
        <v>1244</v>
      </c>
      <c r="I233" s="1" t="s">
        <v>1231</v>
      </c>
      <c r="J233" s="1">
        <v>2</v>
      </c>
      <c r="K233" s="1" t="s">
        <v>1234</v>
      </c>
      <c r="L233" s="1" t="s">
        <v>1245</v>
      </c>
    </row>
    <row r="234" spans="3:12" x14ac:dyDescent="0.3">
      <c r="D234" s="1" t="s">
        <v>1246</v>
      </c>
      <c r="E234" s="1" t="s">
        <v>41</v>
      </c>
      <c r="F234" s="1">
        <v>5</v>
      </c>
      <c r="G234" s="1" t="s">
        <v>1248</v>
      </c>
      <c r="I234" s="1" t="s">
        <v>1238</v>
      </c>
      <c r="J234" s="1">
        <v>4</v>
      </c>
      <c r="K234" s="1" t="s">
        <v>1244</v>
      </c>
      <c r="L234" s="1" t="s">
        <v>1249</v>
      </c>
    </row>
    <row r="235" spans="3:12" x14ac:dyDescent="0.3">
      <c r="D235" s="1" t="s">
        <v>1232</v>
      </c>
      <c r="E235" s="1" t="s">
        <v>42</v>
      </c>
      <c r="F235" s="1">
        <v>6</v>
      </c>
      <c r="G235" s="1" t="s">
        <v>1251</v>
      </c>
      <c r="I235" s="1" t="s">
        <v>1252</v>
      </c>
      <c r="J235" s="1">
        <v>8</v>
      </c>
      <c r="K235" s="1" t="s">
        <v>1253</v>
      </c>
      <c r="L235" s="1" t="s">
        <v>1254</v>
      </c>
    </row>
    <row r="236" spans="3:12" x14ac:dyDescent="0.3">
      <c r="D236" s="1" t="s">
        <v>1235</v>
      </c>
      <c r="E236" s="1" t="s">
        <v>43</v>
      </c>
      <c r="F236" s="1">
        <v>7</v>
      </c>
      <c r="G236" s="1" t="s">
        <v>1236</v>
      </c>
      <c r="I236" s="1" t="s">
        <v>1256</v>
      </c>
      <c r="J236" s="1">
        <v>12</v>
      </c>
      <c r="K236" s="1" t="s">
        <v>1257</v>
      </c>
      <c r="L236" s="1" t="s">
        <v>1258</v>
      </c>
    </row>
    <row r="237" spans="3:12" x14ac:dyDescent="0.3">
      <c r="D237" s="1" t="s">
        <v>1252</v>
      </c>
      <c r="E237" s="1" t="s">
        <v>44</v>
      </c>
      <c r="F237" s="1">
        <v>8</v>
      </c>
      <c r="G237" s="1" t="s">
        <v>1253</v>
      </c>
      <c r="I237" s="1" t="s">
        <v>1224</v>
      </c>
      <c r="J237" s="1">
        <v>1</v>
      </c>
      <c r="K237" s="1" t="s">
        <v>1227</v>
      </c>
      <c r="L237" s="1" t="s">
        <v>1260</v>
      </c>
    </row>
    <row r="238" spans="3:12" x14ac:dyDescent="0.3">
      <c r="D238" s="1" t="s">
        <v>1228</v>
      </c>
      <c r="E238" s="1" t="s">
        <v>689</v>
      </c>
      <c r="F238" s="1">
        <v>9</v>
      </c>
      <c r="G238" s="1" t="s">
        <v>1229</v>
      </c>
      <c r="I238" s="1" t="s">
        <v>1232</v>
      </c>
      <c r="J238" s="1">
        <v>6</v>
      </c>
      <c r="K238" s="1" t="s">
        <v>1251</v>
      </c>
      <c r="L238" s="1" t="s">
        <v>1261</v>
      </c>
    </row>
    <row r="239" spans="3:12" x14ac:dyDescent="0.3">
      <c r="D239" s="1" t="s">
        <v>1241</v>
      </c>
      <c r="E239" s="1" t="s">
        <v>690</v>
      </c>
      <c r="F239" s="1">
        <v>10</v>
      </c>
      <c r="G239" s="1" t="s">
        <v>106</v>
      </c>
      <c r="I239" s="1" t="s">
        <v>1262</v>
      </c>
      <c r="J239" s="1">
        <v>11</v>
      </c>
      <c r="K239" s="1" t="s">
        <v>1263</v>
      </c>
      <c r="L239" s="1" t="s">
        <v>1264</v>
      </c>
    </row>
    <row r="242" spans="3:11" x14ac:dyDescent="0.3">
      <c r="C242" s="14" t="s">
        <v>1194</v>
      </c>
    </row>
    <row r="243" spans="3:11" x14ac:dyDescent="0.3">
      <c r="D243" t="s">
        <v>1480</v>
      </c>
    </row>
    <row r="244" spans="3:11" x14ac:dyDescent="0.3">
      <c r="D244" s="159" t="s">
        <v>1481</v>
      </c>
    </row>
    <row r="245" spans="3:11" ht="14.4" thickBot="1" x14ac:dyDescent="0.35">
      <c r="D245" s="51" t="s">
        <v>1220</v>
      </c>
      <c r="E245" s="51" t="s">
        <v>1047</v>
      </c>
      <c r="F245" s="51" t="s">
        <v>1048</v>
      </c>
      <c r="G245" s="51" t="s">
        <v>1049</v>
      </c>
      <c r="H245" s="51" t="s">
        <v>1220</v>
      </c>
      <c r="I245" s="51" t="s">
        <v>1221</v>
      </c>
      <c r="J245" s="51" t="s">
        <v>1222</v>
      </c>
      <c r="K245" s="51" t="s">
        <v>1223</v>
      </c>
    </row>
    <row r="246" spans="3:11" x14ac:dyDescent="0.3">
      <c r="D246" s="114" t="str" cm="1">
        <f t="array" ref="D246:K255" xml:space="preserve"> RXL_Data.Join($D$230:$G$239, $I$230:$L$239, 1, 1)</f>
        <v>X-001</v>
      </c>
      <c r="E246" s="115" t="str">
        <v>AAA</v>
      </c>
      <c r="F246" s="115">
        <v>1</v>
      </c>
      <c r="G246" s="115" t="str">
        <v>!</v>
      </c>
      <c r="H246" s="115" t="str">
        <v>X-001</v>
      </c>
      <c r="I246" s="115">
        <v>1</v>
      </c>
      <c r="J246" s="115" t="str">
        <v>!</v>
      </c>
      <c r="K246" s="115" t="str">
        <v>one</v>
      </c>
    </row>
    <row r="247" spans="3:11" x14ac:dyDescent="0.3">
      <c r="D247" s="115" t="str">
        <v>X-002</v>
      </c>
      <c r="E247" s="115" t="str">
        <v>BBB</v>
      </c>
      <c r="F247" s="115">
        <v>2</v>
      </c>
      <c r="G247" s="115" t="str">
        <v>"</v>
      </c>
      <c r="H247" s="115" t="str">
        <v>X-002</v>
      </c>
      <c r="I247" s="115">
        <v>2</v>
      </c>
      <c r="J247" s="115" t="str">
        <v>"</v>
      </c>
      <c r="K247" s="115" t="str">
        <v>two</v>
      </c>
    </row>
    <row r="248" spans="3:11" x14ac:dyDescent="0.3">
      <c r="D248" s="115" t="str">
        <v>X-003</v>
      </c>
      <c r="E248" s="115" t="str">
        <v>CCC</v>
      </c>
      <c r="F248" s="115">
        <v>3</v>
      </c>
      <c r="G248" s="115" t="str">
        <v>£</v>
      </c>
      <c r="H248" s="115" t="e">
        <v>#N/A</v>
      </c>
      <c r="I248" s="115" t="e">
        <v>#N/A</v>
      </c>
      <c r="J248" s="115" t="e">
        <v>#N/A</v>
      </c>
      <c r="K248" s="115" t="e">
        <v>#N/A</v>
      </c>
    </row>
    <row r="249" spans="3:11" x14ac:dyDescent="0.3">
      <c r="D249" s="115" t="str">
        <v>X-004</v>
      </c>
      <c r="E249" s="115" t="str">
        <v>DDD</v>
      </c>
      <c r="F249" s="115">
        <v>4</v>
      </c>
      <c r="G249" s="115" t="str">
        <v>$</v>
      </c>
      <c r="H249" s="115" t="str">
        <v>X-004</v>
      </c>
      <c r="I249" s="115">
        <v>4</v>
      </c>
      <c r="J249" s="115" t="str">
        <v>$</v>
      </c>
      <c r="K249" s="115" t="str">
        <v>four</v>
      </c>
    </row>
    <row r="250" spans="3:11" x14ac:dyDescent="0.3">
      <c r="D250" s="115" t="str">
        <v>X-005</v>
      </c>
      <c r="E250" s="115" t="str">
        <v>EEE</v>
      </c>
      <c r="F250" s="115">
        <v>5</v>
      </c>
      <c r="G250" s="115" t="str">
        <v>%</v>
      </c>
      <c r="H250" s="115" t="e">
        <v>#N/A</v>
      </c>
      <c r="I250" s="115" t="e">
        <v>#N/A</v>
      </c>
      <c r="J250" s="115" t="e">
        <v>#N/A</v>
      </c>
      <c r="K250" s="115" t="e">
        <v>#N/A</v>
      </c>
    </row>
    <row r="251" spans="3:11" x14ac:dyDescent="0.3">
      <c r="D251" s="115" t="str">
        <v>X-006</v>
      </c>
      <c r="E251" s="115" t="str">
        <v>FFF</v>
      </c>
      <c r="F251" s="115">
        <v>6</v>
      </c>
      <c r="G251" s="115" t="str">
        <v>^</v>
      </c>
      <c r="H251" s="115" t="str">
        <v>X-006</v>
      </c>
      <c r="I251" s="115">
        <v>6</v>
      </c>
      <c r="J251" s="115" t="str">
        <v>^</v>
      </c>
      <c r="K251" s="115" t="str">
        <v>six</v>
      </c>
    </row>
    <row r="252" spans="3:11" x14ac:dyDescent="0.3">
      <c r="D252" s="115" t="str">
        <v>X-007</v>
      </c>
      <c r="E252" s="115" t="str">
        <v>GGG</v>
      </c>
      <c r="F252" s="115">
        <v>7</v>
      </c>
      <c r="G252" s="115" t="str">
        <v>&amp;</v>
      </c>
      <c r="H252" s="115" t="str">
        <v>X-007</v>
      </c>
      <c r="I252" s="115">
        <v>7</v>
      </c>
      <c r="J252" s="115" t="str">
        <v>&amp;</v>
      </c>
      <c r="K252" s="115" t="str">
        <v>seven</v>
      </c>
    </row>
    <row r="253" spans="3:11" x14ac:dyDescent="0.3">
      <c r="D253" s="115" t="str">
        <v>X-008</v>
      </c>
      <c r="E253" s="115" t="str">
        <v>HHH</v>
      </c>
      <c r="F253" s="115">
        <v>8</v>
      </c>
      <c r="G253" s="115" t="str">
        <v>*</v>
      </c>
      <c r="H253" s="115" t="str">
        <v>X-008</v>
      </c>
      <c r="I253" s="115">
        <v>8</v>
      </c>
      <c r="J253" s="115" t="str">
        <v>*</v>
      </c>
      <c r="K253" s="115" t="str">
        <v>eight</v>
      </c>
    </row>
    <row r="254" spans="3:11" x14ac:dyDescent="0.3">
      <c r="D254" s="115" t="str">
        <v>X-009</v>
      </c>
      <c r="E254" s="115" t="str">
        <v>III</v>
      </c>
      <c r="F254" s="115">
        <v>9</v>
      </c>
      <c r="G254" s="115" t="str">
        <v>(</v>
      </c>
      <c r="H254" s="115" t="str">
        <v>X-009</v>
      </c>
      <c r="I254" s="115">
        <v>9</v>
      </c>
      <c r="J254" s="115" t="str">
        <v>(</v>
      </c>
      <c r="K254" s="115" t="str">
        <v>nine</v>
      </c>
    </row>
    <row r="255" spans="3:11" x14ac:dyDescent="0.3">
      <c r="D255" s="115" t="str">
        <v>X-010</v>
      </c>
      <c r="E255" s="115" t="str">
        <v>JJJ</v>
      </c>
      <c r="F255" s="115">
        <v>10</v>
      </c>
      <c r="G255" s="115" t="str">
        <v>)</v>
      </c>
      <c r="H255" s="115" t="str">
        <v>X-010</v>
      </c>
      <c r="I255" s="115">
        <v>10</v>
      </c>
      <c r="J255" s="115" t="str">
        <v>)</v>
      </c>
      <c r="K255" s="115" t="str">
        <v>ten</v>
      </c>
    </row>
    <row r="256" spans="3:11" x14ac:dyDescent="0.3">
      <c r="D256" s="52" t="str">
        <f ca="1" xml:space="preserve"> _xlfn.FORMULATEXT(D246)</f>
        <v>= RXL_Data.Join($D$230:$G$239, $I$230:$L$239, 1, 1)</v>
      </c>
    </row>
    <row r="258" spans="4:11" x14ac:dyDescent="0.3">
      <c r="D258" t="s">
        <v>1482</v>
      </c>
    </row>
    <row r="259" spans="4:11" x14ac:dyDescent="0.3">
      <c r="D259" s="159" t="s">
        <v>1481</v>
      </c>
    </row>
    <row r="260" spans="4:11" ht="14.4" thickBot="1" x14ac:dyDescent="0.35">
      <c r="D260" s="51" t="s">
        <v>1220</v>
      </c>
      <c r="E260" s="51" t="s">
        <v>1047</v>
      </c>
      <c r="F260" s="51" t="s">
        <v>1048</v>
      </c>
      <c r="G260" s="51" t="s">
        <v>1049</v>
      </c>
      <c r="H260" s="51" t="s">
        <v>1220</v>
      </c>
      <c r="I260" s="51" t="s">
        <v>1221</v>
      </c>
      <c r="J260" s="51" t="s">
        <v>1222</v>
      </c>
      <c r="K260" s="51" t="s">
        <v>1223</v>
      </c>
    </row>
    <row r="261" spans="4:11" x14ac:dyDescent="0.3">
      <c r="D261" s="114" t="str" cm="1">
        <f t="array" ref="D261:K270" xml:space="preserve"> RXL_Data.Join($D$230:$G$239, $I$230:$L$239, 4, 3)</f>
        <v>X-001</v>
      </c>
      <c r="E261" s="115" t="str">
        <v>AAA</v>
      </c>
      <c r="F261" s="115">
        <v>1</v>
      </c>
      <c r="G261" s="115" t="str">
        <v>!</v>
      </c>
      <c r="H261" s="115" t="str">
        <v>X-001</v>
      </c>
      <c r="I261" s="115">
        <v>1</v>
      </c>
      <c r="J261" s="115" t="str">
        <v>!</v>
      </c>
      <c r="K261" s="115" t="str">
        <v>one</v>
      </c>
    </row>
    <row r="262" spans="4:11" x14ac:dyDescent="0.3">
      <c r="D262" s="115" t="str">
        <v>X-002</v>
      </c>
      <c r="E262" s="115" t="str">
        <v>BBB</v>
      </c>
      <c r="F262" s="115">
        <v>2</v>
      </c>
      <c r="G262" s="115" t="str">
        <v>"</v>
      </c>
      <c r="H262" s="115" t="str">
        <v>X-002</v>
      </c>
      <c r="I262" s="115">
        <v>2</v>
      </c>
      <c r="J262" s="115" t="str">
        <v>"</v>
      </c>
      <c r="K262" s="115" t="str">
        <v>two</v>
      </c>
    </row>
    <row r="263" spans="4:11" x14ac:dyDescent="0.3">
      <c r="D263" s="115" t="str">
        <v>X-003</v>
      </c>
      <c r="E263" s="115" t="str">
        <v>CCC</v>
      </c>
      <c r="F263" s="115">
        <v>3</v>
      </c>
      <c r="G263" s="115" t="str">
        <v>£</v>
      </c>
      <c r="H263" s="115" t="e">
        <v>#N/A</v>
      </c>
      <c r="I263" s="115" t="e">
        <v>#N/A</v>
      </c>
      <c r="J263" s="115" t="e">
        <v>#N/A</v>
      </c>
      <c r="K263" s="115" t="e">
        <v>#N/A</v>
      </c>
    </row>
    <row r="264" spans="4:11" x14ac:dyDescent="0.3">
      <c r="D264" s="115" t="str">
        <v>X-004</v>
      </c>
      <c r="E264" s="115" t="str">
        <v>DDD</v>
      </c>
      <c r="F264" s="115">
        <v>4</v>
      </c>
      <c r="G264" s="115" t="str">
        <v>$</v>
      </c>
      <c r="H264" s="115" t="str">
        <v>X-004</v>
      </c>
      <c r="I264" s="115">
        <v>4</v>
      </c>
      <c r="J264" s="115" t="str">
        <v>$</v>
      </c>
      <c r="K264" s="115" t="str">
        <v>four</v>
      </c>
    </row>
    <row r="265" spans="4:11" x14ac:dyDescent="0.3">
      <c r="D265" s="115" t="str">
        <v>X-005</v>
      </c>
      <c r="E265" s="115" t="str">
        <v>EEE</v>
      </c>
      <c r="F265" s="115">
        <v>5</v>
      </c>
      <c r="G265" s="115" t="str">
        <v>%</v>
      </c>
      <c r="H265" s="115" t="e">
        <v>#N/A</v>
      </c>
      <c r="I265" s="115" t="e">
        <v>#N/A</v>
      </c>
      <c r="J265" s="115" t="e">
        <v>#N/A</v>
      </c>
      <c r="K265" s="115" t="e">
        <v>#N/A</v>
      </c>
    </row>
    <row r="266" spans="4:11" x14ac:dyDescent="0.3">
      <c r="D266" s="115" t="str">
        <v>X-006</v>
      </c>
      <c r="E266" s="115" t="str">
        <v>FFF</v>
      </c>
      <c r="F266" s="115">
        <v>6</v>
      </c>
      <c r="G266" s="115" t="str">
        <v>^</v>
      </c>
      <c r="H266" s="115" t="str">
        <v>X-006</v>
      </c>
      <c r="I266" s="115">
        <v>6</v>
      </c>
      <c r="J266" s="115" t="str">
        <v>^</v>
      </c>
      <c r="K266" s="115" t="str">
        <v>six</v>
      </c>
    </row>
    <row r="267" spans="4:11" x14ac:dyDescent="0.3">
      <c r="D267" s="115" t="str">
        <v>X-007</v>
      </c>
      <c r="E267" s="115" t="str">
        <v>GGG</v>
      </c>
      <c r="F267" s="115">
        <v>7</v>
      </c>
      <c r="G267" s="115" t="str">
        <v>&amp;</v>
      </c>
      <c r="H267" s="115" t="str">
        <v>X-007</v>
      </c>
      <c r="I267" s="115">
        <v>7</v>
      </c>
      <c r="J267" s="115" t="str">
        <v>&amp;</v>
      </c>
      <c r="K267" s="115" t="str">
        <v>seven</v>
      </c>
    </row>
    <row r="268" spans="4:11" x14ac:dyDescent="0.3">
      <c r="D268" s="115" t="str">
        <v>X-008</v>
      </c>
      <c r="E268" s="115" t="str">
        <v>HHH</v>
      </c>
      <c r="F268" s="115">
        <v>8</v>
      </c>
      <c r="G268" s="115" t="str">
        <v>*</v>
      </c>
      <c r="H268" s="115" t="str">
        <v>X-009</v>
      </c>
      <c r="I268" s="115">
        <v>9</v>
      </c>
      <c r="J268" s="115" t="str">
        <v>(</v>
      </c>
      <c r="K268" s="115" t="str">
        <v>nine</v>
      </c>
    </row>
    <row r="269" spans="4:11" x14ac:dyDescent="0.3">
      <c r="D269" s="115" t="str">
        <v>X-009</v>
      </c>
      <c r="E269" s="115" t="str">
        <v>III</v>
      </c>
      <c r="F269" s="115">
        <v>9</v>
      </c>
      <c r="G269" s="115" t="str">
        <v>(</v>
      </c>
      <c r="H269" s="115" t="str">
        <v>X-009</v>
      </c>
      <c r="I269" s="115">
        <v>9</v>
      </c>
      <c r="J269" s="115" t="str">
        <v>(</v>
      </c>
      <c r="K269" s="115" t="str">
        <v>nine</v>
      </c>
    </row>
    <row r="270" spans="4:11" x14ac:dyDescent="0.3">
      <c r="D270" s="115" t="str">
        <v>X-010</v>
      </c>
      <c r="E270" s="115" t="str">
        <v>JJJ</v>
      </c>
      <c r="F270" s="115">
        <v>10</v>
      </c>
      <c r="G270" s="115" t="str">
        <v>)</v>
      </c>
      <c r="H270" s="115" t="str">
        <v>X-010</v>
      </c>
      <c r="I270" s="115">
        <v>10</v>
      </c>
      <c r="J270" s="115" t="str">
        <v>)</v>
      </c>
      <c r="K270" s="115" t="str">
        <v>ten</v>
      </c>
    </row>
    <row r="271" spans="4:11" x14ac:dyDescent="0.3">
      <c r="D271" s="52" t="str">
        <f ca="1" xml:space="preserve"> _xlfn.FORMULATEXT(D261)</f>
        <v>= RXL_Data.Join($D$230:$G$239, $I$230:$L$239, 4, 3)</v>
      </c>
    </row>
    <row r="274" spans="3:11" x14ac:dyDescent="0.3">
      <c r="C274" s="14" t="s">
        <v>1483</v>
      </c>
    </row>
    <row r="275" spans="3:11" x14ac:dyDescent="0.3">
      <c r="D275" t="s">
        <v>1484</v>
      </c>
    </row>
    <row r="276" spans="3:11" x14ac:dyDescent="0.3">
      <c r="D276" s="159" t="s">
        <v>1498</v>
      </c>
    </row>
    <row r="277" spans="3:11" ht="14.4" thickBot="1" x14ac:dyDescent="0.35">
      <c r="D277" s="51" t="s">
        <v>1220</v>
      </c>
      <c r="E277" s="51" t="s">
        <v>1047</v>
      </c>
      <c r="F277" s="51" t="s">
        <v>1048</v>
      </c>
      <c r="G277" s="51" t="s">
        <v>1049</v>
      </c>
      <c r="H277" s="51" t="s">
        <v>1220</v>
      </c>
      <c r="I277" s="51" t="s">
        <v>1221</v>
      </c>
      <c r="J277" s="51" t="s">
        <v>1222</v>
      </c>
      <c r="K277" s="51" t="s">
        <v>1223</v>
      </c>
    </row>
    <row r="278" spans="3:11" x14ac:dyDescent="0.3">
      <c r="D278" s="114" t="str" cm="1">
        <f t="array" ref="D278:K287" xml:space="preserve"> RXL_Data.Join($D$230:$G$239, $I$230:$L$239, 1, 1, "left")</f>
        <v>X-001</v>
      </c>
      <c r="E278" s="115" t="str">
        <v>AAA</v>
      </c>
      <c r="F278" s="115">
        <v>1</v>
      </c>
      <c r="G278" s="115" t="str">
        <v>!</v>
      </c>
      <c r="H278" s="115" t="str">
        <v>X-001</v>
      </c>
      <c r="I278" s="115">
        <v>1</v>
      </c>
      <c r="J278" s="115" t="str">
        <v>!</v>
      </c>
      <c r="K278" s="115" t="str">
        <v>one</v>
      </c>
    </row>
    <row r="279" spans="3:11" x14ac:dyDescent="0.3">
      <c r="D279" s="115" t="str">
        <v>X-002</v>
      </c>
      <c r="E279" s="115" t="str">
        <v>BBB</v>
      </c>
      <c r="F279" s="115">
        <v>2</v>
      </c>
      <c r="G279" s="115" t="str">
        <v>"</v>
      </c>
      <c r="H279" s="115" t="str">
        <v>X-002</v>
      </c>
      <c r="I279" s="115">
        <v>2</v>
      </c>
      <c r="J279" s="115" t="str">
        <v>"</v>
      </c>
      <c r="K279" s="115" t="str">
        <v>two</v>
      </c>
    </row>
    <row r="280" spans="3:11" x14ac:dyDescent="0.3">
      <c r="D280" s="115" t="str">
        <v>X-003</v>
      </c>
      <c r="E280" s="115" t="str">
        <v>CCC</v>
      </c>
      <c r="F280" s="115">
        <v>3</v>
      </c>
      <c r="G280" s="115" t="str">
        <v>£</v>
      </c>
      <c r="H280" s="115" t="e">
        <v>#N/A</v>
      </c>
      <c r="I280" s="115" t="e">
        <v>#N/A</v>
      </c>
      <c r="J280" s="115" t="e">
        <v>#N/A</v>
      </c>
      <c r="K280" s="115" t="e">
        <v>#N/A</v>
      </c>
    </row>
    <row r="281" spans="3:11" x14ac:dyDescent="0.3">
      <c r="D281" s="115" t="str">
        <v>X-004</v>
      </c>
      <c r="E281" s="115" t="str">
        <v>DDD</v>
      </c>
      <c r="F281" s="115">
        <v>4</v>
      </c>
      <c r="G281" s="115" t="str">
        <v>$</v>
      </c>
      <c r="H281" s="115" t="str">
        <v>X-004</v>
      </c>
      <c r="I281" s="115">
        <v>4</v>
      </c>
      <c r="J281" s="115" t="str">
        <v>$</v>
      </c>
      <c r="K281" s="115" t="str">
        <v>four</v>
      </c>
    </row>
    <row r="282" spans="3:11" x14ac:dyDescent="0.3">
      <c r="D282" s="115" t="str">
        <v>X-005</v>
      </c>
      <c r="E282" s="115" t="str">
        <v>EEE</v>
      </c>
      <c r="F282" s="115">
        <v>5</v>
      </c>
      <c r="G282" s="115" t="str">
        <v>%</v>
      </c>
      <c r="H282" s="115" t="e">
        <v>#N/A</v>
      </c>
      <c r="I282" s="115" t="e">
        <v>#N/A</v>
      </c>
      <c r="J282" s="115" t="e">
        <v>#N/A</v>
      </c>
      <c r="K282" s="115" t="e">
        <v>#N/A</v>
      </c>
    </row>
    <row r="283" spans="3:11" x14ac:dyDescent="0.3">
      <c r="D283" s="115" t="str">
        <v>X-006</v>
      </c>
      <c r="E283" s="115" t="str">
        <v>FFF</v>
      </c>
      <c r="F283" s="115">
        <v>6</v>
      </c>
      <c r="G283" s="115" t="str">
        <v>^</v>
      </c>
      <c r="H283" s="115" t="str">
        <v>X-006</v>
      </c>
      <c r="I283" s="115">
        <v>6</v>
      </c>
      <c r="J283" s="115" t="str">
        <v>^</v>
      </c>
      <c r="K283" s="115" t="str">
        <v>six</v>
      </c>
    </row>
    <row r="284" spans="3:11" x14ac:dyDescent="0.3">
      <c r="D284" s="115" t="str">
        <v>X-007</v>
      </c>
      <c r="E284" s="115" t="str">
        <v>GGG</v>
      </c>
      <c r="F284" s="115">
        <v>7</v>
      </c>
      <c r="G284" s="115" t="str">
        <v>&amp;</v>
      </c>
      <c r="H284" s="115" t="str">
        <v>X-007</v>
      </c>
      <c r="I284" s="115">
        <v>7</v>
      </c>
      <c r="J284" s="115" t="str">
        <v>&amp;</v>
      </c>
      <c r="K284" s="115" t="str">
        <v>seven</v>
      </c>
    </row>
    <row r="285" spans="3:11" x14ac:dyDescent="0.3">
      <c r="D285" s="115" t="str">
        <v>X-008</v>
      </c>
      <c r="E285" s="115" t="str">
        <v>HHH</v>
      </c>
      <c r="F285" s="115">
        <v>8</v>
      </c>
      <c r="G285" s="115" t="str">
        <v>*</v>
      </c>
      <c r="H285" s="115" t="str">
        <v>X-008</v>
      </c>
      <c r="I285" s="115">
        <v>8</v>
      </c>
      <c r="J285" s="115" t="str">
        <v>*</v>
      </c>
      <c r="K285" s="115" t="str">
        <v>eight</v>
      </c>
    </row>
    <row r="286" spans="3:11" x14ac:dyDescent="0.3">
      <c r="D286" s="115" t="str">
        <v>X-009</v>
      </c>
      <c r="E286" s="115" t="str">
        <v>III</v>
      </c>
      <c r="F286" s="115">
        <v>9</v>
      </c>
      <c r="G286" s="115" t="str">
        <v>(</v>
      </c>
      <c r="H286" s="115" t="str">
        <v>X-009</v>
      </c>
      <c r="I286" s="115">
        <v>9</v>
      </c>
      <c r="J286" s="115" t="str">
        <v>(</v>
      </c>
      <c r="K286" s="115" t="str">
        <v>nine</v>
      </c>
    </row>
    <row r="287" spans="3:11" x14ac:dyDescent="0.3">
      <c r="D287" s="115" t="str">
        <v>X-010</v>
      </c>
      <c r="E287" s="115" t="str">
        <v>JJJ</v>
      </c>
      <c r="F287" s="115">
        <v>10</v>
      </c>
      <c r="G287" s="115" t="str">
        <v>)</v>
      </c>
      <c r="H287" s="115" t="str">
        <v>X-010</v>
      </c>
      <c r="I287" s="115">
        <v>10</v>
      </c>
      <c r="J287" s="115" t="str">
        <v>)</v>
      </c>
      <c r="K287" s="115" t="str">
        <v>ten</v>
      </c>
    </row>
    <row r="288" spans="3:11" x14ac:dyDescent="0.3">
      <c r="D288" s="115"/>
      <c r="E288" s="115"/>
      <c r="F288" s="115"/>
      <c r="G288" s="115"/>
      <c r="H288" s="115"/>
      <c r="I288" s="115"/>
      <c r="J288" s="115"/>
      <c r="K288" s="115"/>
    </row>
    <row r="289" spans="4:11" x14ac:dyDescent="0.3">
      <c r="D289" s="115"/>
      <c r="E289" s="115"/>
      <c r="F289" s="115"/>
      <c r="G289" s="115"/>
      <c r="H289" s="115"/>
      <c r="I289" s="115"/>
      <c r="J289" s="115"/>
      <c r="K289" s="115"/>
    </row>
    <row r="290" spans="4:11" x14ac:dyDescent="0.3">
      <c r="D290" s="52" t="str">
        <f ca="1" xml:space="preserve"> _xlfn.FORMULATEXT(D278)</f>
        <v>= RXL_Data.Join($D$230:$G$239, $I$230:$L$239, 1, 1, "left")</v>
      </c>
    </row>
    <row r="292" spans="4:11" x14ac:dyDescent="0.3">
      <c r="D292" t="s">
        <v>1485</v>
      </c>
    </row>
    <row r="293" spans="4:11" x14ac:dyDescent="0.3">
      <c r="D293" s="159" t="s">
        <v>1495</v>
      </c>
    </row>
    <row r="294" spans="4:11" ht="14.4" thickBot="1" x14ac:dyDescent="0.35">
      <c r="D294" s="51" t="s">
        <v>1220</v>
      </c>
      <c r="E294" s="51" t="s">
        <v>1047</v>
      </c>
      <c r="F294" s="51" t="s">
        <v>1048</v>
      </c>
      <c r="G294" s="51" t="s">
        <v>1049</v>
      </c>
      <c r="H294" s="51" t="s">
        <v>1220</v>
      </c>
      <c r="I294" s="51" t="s">
        <v>1221</v>
      </c>
      <c r="J294" s="51" t="s">
        <v>1222</v>
      </c>
      <c r="K294" s="51" t="s">
        <v>1223</v>
      </c>
    </row>
    <row r="295" spans="4:11" x14ac:dyDescent="0.3">
      <c r="D295" s="114" t="str" cm="1">
        <f t="array" ref="D295:K304" xml:space="preserve"> RXL_Data.Join($D$230:$G$239, $I$230:$L$239, 1, 1, "right")</f>
        <v>X-001</v>
      </c>
      <c r="E295" s="115" t="str">
        <v>AAA</v>
      </c>
      <c r="F295" s="115">
        <v>1</v>
      </c>
      <c r="G295" s="115" t="str">
        <v>!</v>
      </c>
      <c r="H295" s="115" t="str">
        <v>X-001</v>
      </c>
      <c r="I295" s="115">
        <v>1</v>
      </c>
      <c r="J295" s="115" t="str">
        <v>!</v>
      </c>
      <c r="K295" s="115" t="str">
        <v>one</v>
      </c>
    </row>
    <row r="296" spans="4:11" x14ac:dyDescent="0.3">
      <c r="D296" s="115" t="str">
        <v>X-002</v>
      </c>
      <c r="E296" s="115" t="str">
        <v>BBB</v>
      </c>
      <c r="F296" s="115">
        <v>2</v>
      </c>
      <c r="G296" s="115" t="str">
        <v>"</v>
      </c>
      <c r="H296" s="115" t="str">
        <v>X-002</v>
      </c>
      <c r="I296" s="115">
        <v>2</v>
      </c>
      <c r="J296" s="115" t="str">
        <v>"</v>
      </c>
      <c r="K296" s="115" t="str">
        <v>two</v>
      </c>
    </row>
    <row r="297" spans="4:11" x14ac:dyDescent="0.3">
      <c r="D297" s="115" t="str">
        <v>X-004</v>
      </c>
      <c r="E297" s="115" t="str">
        <v>DDD</v>
      </c>
      <c r="F297" s="115">
        <v>4</v>
      </c>
      <c r="G297" s="115" t="str">
        <v>$</v>
      </c>
      <c r="H297" s="115" t="str">
        <v>X-004</v>
      </c>
      <c r="I297" s="115">
        <v>4</v>
      </c>
      <c r="J297" s="115" t="str">
        <v>$</v>
      </c>
      <c r="K297" s="115" t="str">
        <v>four</v>
      </c>
    </row>
    <row r="298" spans="4:11" x14ac:dyDescent="0.3">
      <c r="D298" s="115" t="str">
        <v>X-006</v>
      </c>
      <c r="E298" s="115" t="str">
        <v>FFF</v>
      </c>
      <c r="F298" s="115">
        <v>6</v>
      </c>
      <c r="G298" s="115" t="str">
        <v>^</v>
      </c>
      <c r="H298" s="115" t="str">
        <v>X-006</v>
      </c>
      <c r="I298" s="115">
        <v>6</v>
      </c>
      <c r="J298" s="115" t="str">
        <v>^</v>
      </c>
      <c r="K298" s="115" t="str">
        <v>six</v>
      </c>
    </row>
    <row r="299" spans="4:11" x14ac:dyDescent="0.3">
      <c r="D299" s="115" t="str">
        <v>X-007</v>
      </c>
      <c r="E299" s="115" t="str">
        <v>GGG</v>
      </c>
      <c r="F299" s="115">
        <v>7</v>
      </c>
      <c r="G299" s="115" t="str">
        <v>&amp;</v>
      </c>
      <c r="H299" s="115" t="str">
        <v>X-007</v>
      </c>
      <c r="I299" s="115">
        <v>7</v>
      </c>
      <c r="J299" s="115" t="str">
        <v>&amp;</v>
      </c>
      <c r="K299" s="115" t="str">
        <v>seven</v>
      </c>
    </row>
    <row r="300" spans="4:11" x14ac:dyDescent="0.3">
      <c r="D300" s="115" t="str">
        <v>X-008</v>
      </c>
      <c r="E300" s="115" t="str">
        <v>HHH</v>
      </c>
      <c r="F300" s="115">
        <v>8</v>
      </c>
      <c r="G300" s="115" t="str">
        <v>*</v>
      </c>
      <c r="H300" s="115" t="str">
        <v>X-008</v>
      </c>
      <c r="I300" s="115">
        <v>8</v>
      </c>
      <c r="J300" s="115" t="str">
        <v>*</v>
      </c>
      <c r="K300" s="115" t="str">
        <v>eight</v>
      </c>
    </row>
    <row r="301" spans="4:11" x14ac:dyDescent="0.3">
      <c r="D301" s="115" t="str">
        <v>X-009</v>
      </c>
      <c r="E301" s="115" t="str">
        <v>III</v>
      </c>
      <c r="F301" s="115">
        <v>9</v>
      </c>
      <c r="G301" s="115" t="str">
        <v>(</v>
      </c>
      <c r="H301" s="115" t="str">
        <v>X-009</v>
      </c>
      <c r="I301" s="115">
        <v>9</v>
      </c>
      <c r="J301" s="115" t="str">
        <v>(</v>
      </c>
      <c r="K301" s="115" t="str">
        <v>nine</v>
      </c>
    </row>
    <row r="302" spans="4:11" x14ac:dyDescent="0.3">
      <c r="D302" s="115" t="str">
        <v>X-010</v>
      </c>
      <c r="E302" s="115" t="str">
        <v>JJJ</v>
      </c>
      <c r="F302" s="115">
        <v>10</v>
      </c>
      <c r="G302" s="115" t="str">
        <v>)</v>
      </c>
      <c r="H302" s="115" t="str">
        <v>X-010</v>
      </c>
      <c r="I302" s="115">
        <v>10</v>
      </c>
      <c r="J302" s="115" t="str">
        <v>)</v>
      </c>
      <c r="K302" s="115" t="str">
        <v>ten</v>
      </c>
    </row>
    <row r="303" spans="4:11" x14ac:dyDescent="0.3">
      <c r="D303" s="115" t="e">
        <v>#N/A</v>
      </c>
      <c r="E303" s="115" t="e">
        <v>#N/A</v>
      </c>
      <c r="F303" s="115" t="e">
        <v>#N/A</v>
      </c>
      <c r="G303" s="115" t="e">
        <v>#N/A</v>
      </c>
      <c r="H303" s="115" t="str">
        <v>X-012</v>
      </c>
      <c r="I303" s="115">
        <v>12</v>
      </c>
      <c r="J303" s="115" t="str">
        <v>@</v>
      </c>
      <c r="K303" s="115" t="str">
        <v>twelve</v>
      </c>
    </row>
    <row r="304" spans="4:11" x14ac:dyDescent="0.3">
      <c r="D304" s="115" t="e">
        <v>#N/A</v>
      </c>
      <c r="E304" s="115" t="e">
        <v>#N/A</v>
      </c>
      <c r="F304" s="115" t="e">
        <v>#N/A</v>
      </c>
      <c r="G304" s="115" t="e">
        <v>#N/A</v>
      </c>
      <c r="H304" s="115" t="str">
        <v>X-011</v>
      </c>
      <c r="I304" s="115">
        <v>11</v>
      </c>
      <c r="J304" s="115" t="str">
        <v>~</v>
      </c>
      <c r="K304" s="115" t="str">
        <v>eleven</v>
      </c>
    </row>
    <row r="305" spans="4:11" x14ac:dyDescent="0.3">
      <c r="D305" s="115"/>
      <c r="E305" s="115"/>
      <c r="F305" s="115"/>
      <c r="G305" s="115"/>
      <c r="H305" s="115"/>
      <c r="I305" s="115"/>
      <c r="J305" s="115"/>
      <c r="K305" s="115"/>
    </row>
    <row r="306" spans="4:11" x14ac:dyDescent="0.3">
      <c r="D306" s="115"/>
      <c r="E306" s="115"/>
      <c r="F306" s="115"/>
      <c r="G306" s="115"/>
      <c r="H306" s="115"/>
      <c r="I306" s="115"/>
      <c r="J306" s="115"/>
      <c r="K306" s="115"/>
    </row>
    <row r="307" spans="4:11" x14ac:dyDescent="0.3">
      <c r="D307" s="52" t="str">
        <f ca="1" xml:space="preserve"> _xlfn.FORMULATEXT(D295)</f>
        <v>= RXL_Data.Join($D$230:$G$239, $I$230:$L$239, 1, 1, "right")</v>
      </c>
    </row>
    <row r="309" spans="4:11" x14ac:dyDescent="0.3">
      <c r="D309" t="s">
        <v>1486</v>
      </c>
    </row>
    <row r="310" spans="4:11" x14ac:dyDescent="0.3">
      <c r="D310" s="159" t="s">
        <v>1496</v>
      </c>
    </row>
    <row r="311" spans="4:11" ht="14.4" thickBot="1" x14ac:dyDescent="0.35">
      <c r="D311" s="51" t="s">
        <v>1220</v>
      </c>
      <c r="E311" s="51" t="s">
        <v>1047</v>
      </c>
      <c r="F311" s="51" t="s">
        <v>1048</v>
      </c>
      <c r="G311" s="51" t="s">
        <v>1049</v>
      </c>
      <c r="H311" s="51" t="s">
        <v>1220</v>
      </c>
      <c r="I311" s="51" t="s">
        <v>1221</v>
      </c>
      <c r="J311" s="51" t="s">
        <v>1222</v>
      </c>
      <c r="K311" s="51" t="s">
        <v>1223</v>
      </c>
    </row>
    <row r="312" spans="4:11" x14ac:dyDescent="0.3">
      <c r="D312" s="114" t="str" cm="1">
        <f t="array" ref="D312:K319" xml:space="preserve"> RXL_Data.Join($D$230:$G$239, $I$230:$L$239, 1, 1, "inner")</f>
        <v>X-001</v>
      </c>
      <c r="E312" s="115" t="str">
        <v>AAA</v>
      </c>
      <c r="F312" s="115">
        <v>1</v>
      </c>
      <c r="G312" s="115" t="str">
        <v>!</v>
      </c>
      <c r="H312" s="115" t="str">
        <v>X-001</v>
      </c>
      <c r="I312" s="115">
        <v>1</v>
      </c>
      <c r="J312" s="115" t="str">
        <v>!</v>
      </c>
      <c r="K312" s="115" t="str">
        <v>one</v>
      </c>
    </row>
    <row r="313" spans="4:11" x14ac:dyDescent="0.3">
      <c r="D313" s="115" t="str">
        <v>X-002</v>
      </c>
      <c r="E313" s="115" t="str">
        <v>BBB</v>
      </c>
      <c r="F313" s="115">
        <v>2</v>
      </c>
      <c r="G313" s="115" t="str">
        <v>"</v>
      </c>
      <c r="H313" s="115" t="str">
        <v>X-002</v>
      </c>
      <c r="I313" s="115">
        <v>2</v>
      </c>
      <c r="J313" s="115" t="str">
        <v>"</v>
      </c>
      <c r="K313" s="115" t="str">
        <v>two</v>
      </c>
    </row>
    <row r="314" spans="4:11" x14ac:dyDescent="0.3">
      <c r="D314" s="115" t="str">
        <v>X-004</v>
      </c>
      <c r="E314" s="115" t="str">
        <v>DDD</v>
      </c>
      <c r="F314" s="115">
        <v>4</v>
      </c>
      <c r="G314" s="115" t="str">
        <v>$</v>
      </c>
      <c r="H314" s="115" t="str">
        <v>X-004</v>
      </c>
      <c r="I314" s="115">
        <v>4</v>
      </c>
      <c r="J314" s="115" t="str">
        <v>$</v>
      </c>
      <c r="K314" s="115" t="str">
        <v>four</v>
      </c>
    </row>
    <row r="315" spans="4:11" x14ac:dyDescent="0.3">
      <c r="D315" s="115" t="str">
        <v>X-006</v>
      </c>
      <c r="E315" s="115" t="str">
        <v>FFF</v>
      </c>
      <c r="F315" s="115">
        <v>6</v>
      </c>
      <c r="G315" s="115" t="str">
        <v>^</v>
      </c>
      <c r="H315" s="115" t="str">
        <v>X-006</v>
      </c>
      <c r="I315" s="115">
        <v>6</v>
      </c>
      <c r="J315" s="115" t="str">
        <v>^</v>
      </c>
      <c r="K315" s="115" t="str">
        <v>six</v>
      </c>
    </row>
    <row r="316" spans="4:11" x14ac:dyDescent="0.3">
      <c r="D316" s="115" t="str">
        <v>X-007</v>
      </c>
      <c r="E316" s="115" t="str">
        <v>GGG</v>
      </c>
      <c r="F316" s="115">
        <v>7</v>
      </c>
      <c r="G316" s="115" t="str">
        <v>&amp;</v>
      </c>
      <c r="H316" s="115" t="str">
        <v>X-007</v>
      </c>
      <c r="I316" s="115">
        <v>7</v>
      </c>
      <c r="J316" s="115" t="str">
        <v>&amp;</v>
      </c>
      <c r="K316" s="115" t="str">
        <v>seven</v>
      </c>
    </row>
    <row r="317" spans="4:11" x14ac:dyDescent="0.3">
      <c r="D317" s="115" t="str">
        <v>X-008</v>
      </c>
      <c r="E317" s="115" t="str">
        <v>HHH</v>
      </c>
      <c r="F317" s="115">
        <v>8</v>
      </c>
      <c r="G317" s="115" t="str">
        <v>*</v>
      </c>
      <c r="H317" s="115" t="str">
        <v>X-008</v>
      </c>
      <c r="I317" s="115">
        <v>8</v>
      </c>
      <c r="J317" s="115" t="str">
        <v>*</v>
      </c>
      <c r="K317" s="115" t="str">
        <v>eight</v>
      </c>
    </row>
    <row r="318" spans="4:11" x14ac:dyDescent="0.3">
      <c r="D318" s="115" t="str">
        <v>X-009</v>
      </c>
      <c r="E318" s="115" t="str">
        <v>III</v>
      </c>
      <c r="F318" s="115">
        <v>9</v>
      </c>
      <c r="G318" s="115" t="str">
        <v>(</v>
      </c>
      <c r="H318" s="115" t="str">
        <v>X-009</v>
      </c>
      <c r="I318" s="115">
        <v>9</v>
      </c>
      <c r="J318" s="115" t="str">
        <v>(</v>
      </c>
      <c r="K318" s="115" t="str">
        <v>nine</v>
      </c>
    </row>
    <row r="319" spans="4:11" x14ac:dyDescent="0.3">
      <c r="D319" s="115" t="str">
        <v>X-010</v>
      </c>
      <c r="E319" s="115" t="str">
        <v>JJJ</v>
      </c>
      <c r="F319" s="115">
        <v>10</v>
      </c>
      <c r="G319" s="115" t="str">
        <v>)</v>
      </c>
      <c r="H319" s="115" t="str">
        <v>X-010</v>
      </c>
      <c r="I319" s="115">
        <v>10</v>
      </c>
      <c r="J319" s="115" t="str">
        <v>)</v>
      </c>
      <c r="K319" s="115" t="str">
        <v>ten</v>
      </c>
    </row>
    <row r="320" spans="4:11" x14ac:dyDescent="0.3">
      <c r="D320" s="115"/>
      <c r="E320" s="115"/>
      <c r="F320" s="115"/>
      <c r="G320" s="115"/>
      <c r="H320" s="115"/>
      <c r="I320" s="115"/>
      <c r="J320" s="115"/>
      <c r="K320" s="115"/>
    </row>
    <row r="321" spans="4:11" x14ac:dyDescent="0.3">
      <c r="D321" s="115"/>
      <c r="E321" s="115"/>
      <c r="F321" s="115"/>
      <c r="G321" s="115"/>
      <c r="H321" s="115"/>
      <c r="I321" s="115"/>
      <c r="J321" s="115"/>
      <c r="K321" s="115"/>
    </row>
    <row r="322" spans="4:11" x14ac:dyDescent="0.3">
      <c r="D322" s="115"/>
      <c r="E322" s="115"/>
      <c r="F322" s="115"/>
      <c r="G322" s="115"/>
      <c r="H322" s="115"/>
      <c r="I322" s="115"/>
      <c r="J322" s="115"/>
      <c r="K322" s="115"/>
    </row>
    <row r="323" spans="4:11" x14ac:dyDescent="0.3">
      <c r="D323" s="115"/>
      <c r="E323" s="115"/>
      <c r="F323" s="115"/>
      <c r="G323" s="115"/>
      <c r="H323" s="115"/>
      <c r="I323" s="115"/>
      <c r="J323" s="115"/>
      <c r="K323" s="115"/>
    </row>
    <row r="324" spans="4:11" x14ac:dyDescent="0.3">
      <c r="D324" s="52" t="str">
        <f ca="1" xml:space="preserve"> _xlfn.FORMULATEXT(D312)</f>
        <v>= RXL_Data.Join($D$230:$G$239, $I$230:$L$239, 1, 1, "inner")</v>
      </c>
    </row>
    <row r="326" spans="4:11" x14ac:dyDescent="0.3">
      <c r="D326" t="s">
        <v>1487</v>
      </c>
    </row>
    <row r="327" spans="4:11" x14ac:dyDescent="0.3">
      <c r="D327" s="159" t="s">
        <v>1497</v>
      </c>
    </row>
    <row r="328" spans="4:11" ht="14.4" thickBot="1" x14ac:dyDescent="0.35">
      <c r="D328" s="51" t="s">
        <v>1220</v>
      </c>
      <c r="E328" s="51" t="s">
        <v>1047</v>
      </c>
      <c r="F328" s="51" t="s">
        <v>1048</v>
      </c>
      <c r="G328" s="51" t="s">
        <v>1049</v>
      </c>
      <c r="H328" s="51" t="s">
        <v>1220</v>
      </c>
      <c r="I328" s="51" t="s">
        <v>1221</v>
      </c>
      <c r="J328" s="51" t="s">
        <v>1222</v>
      </c>
      <c r="K328" s="51" t="s">
        <v>1223</v>
      </c>
    </row>
    <row r="329" spans="4:11" x14ac:dyDescent="0.3">
      <c r="D329" s="114" t="str" cm="1">
        <f t="array" ref="D329:K340" xml:space="preserve"> RXL_Data.Join($D$230:$G$239, $I$230:$L$239, 1, 1, "full")</f>
        <v>X-001</v>
      </c>
      <c r="E329" s="115" t="str">
        <v>AAA</v>
      </c>
      <c r="F329" s="115">
        <v>1</v>
      </c>
      <c r="G329" s="115" t="str">
        <v>!</v>
      </c>
      <c r="H329" s="115" t="str">
        <v>X-001</v>
      </c>
      <c r="I329" s="115">
        <v>1</v>
      </c>
      <c r="J329" s="115" t="str">
        <v>!</v>
      </c>
      <c r="K329" s="115" t="str">
        <v>one</v>
      </c>
    </row>
    <row r="330" spans="4:11" x14ac:dyDescent="0.3">
      <c r="D330" s="115" t="str">
        <v>X-002</v>
      </c>
      <c r="E330" s="115" t="str">
        <v>BBB</v>
      </c>
      <c r="F330" s="115">
        <v>2</v>
      </c>
      <c r="G330" s="115" t="str">
        <v>"</v>
      </c>
      <c r="H330" s="115" t="str">
        <v>X-002</v>
      </c>
      <c r="I330" s="115">
        <v>2</v>
      </c>
      <c r="J330" s="115" t="str">
        <v>"</v>
      </c>
      <c r="K330" s="115" t="str">
        <v>two</v>
      </c>
    </row>
    <row r="331" spans="4:11" x14ac:dyDescent="0.3">
      <c r="D331" s="115" t="str">
        <v>X-003</v>
      </c>
      <c r="E331" s="115" t="str">
        <v>CCC</v>
      </c>
      <c r="F331" s="115">
        <v>3</v>
      </c>
      <c r="G331" s="115" t="str">
        <v>£</v>
      </c>
      <c r="H331" s="115" t="e">
        <v>#N/A</v>
      </c>
      <c r="I331" s="115" t="e">
        <v>#N/A</v>
      </c>
      <c r="J331" s="115" t="e">
        <v>#N/A</v>
      </c>
      <c r="K331" s="115" t="e">
        <v>#N/A</v>
      </c>
    </row>
    <row r="332" spans="4:11" x14ac:dyDescent="0.3">
      <c r="D332" s="115" t="str">
        <v>X-004</v>
      </c>
      <c r="E332" s="115" t="str">
        <v>DDD</v>
      </c>
      <c r="F332" s="115">
        <v>4</v>
      </c>
      <c r="G332" s="115" t="str">
        <v>$</v>
      </c>
      <c r="H332" s="115" t="str">
        <v>X-004</v>
      </c>
      <c r="I332" s="115">
        <v>4</v>
      </c>
      <c r="J332" s="115" t="str">
        <v>$</v>
      </c>
      <c r="K332" s="115" t="str">
        <v>four</v>
      </c>
    </row>
    <row r="333" spans="4:11" x14ac:dyDescent="0.3">
      <c r="D333" s="115" t="str">
        <v>X-005</v>
      </c>
      <c r="E333" s="115" t="str">
        <v>EEE</v>
      </c>
      <c r="F333" s="115">
        <v>5</v>
      </c>
      <c r="G333" s="115" t="str">
        <v>%</v>
      </c>
      <c r="H333" s="115" t="e">
        <v>#N/A</v>
      </c>
      <c r="I333" s="115" t="e">
        <v>#N/A</v>
      </c>
      <c r="J333" s="115" t="e">
        <v>#N/A</v>
      </c>
      <c r="K333" s="115" t="e">
        <v>#N/A</v>
      </c>
    </row>
    <row r="334" spans="4:11" x14ac:dyDescent="0.3">
      <c r="D334" s="115" t="str">
        <v>X-006</v>
      </c>
      <c r="E334" s="115" t="str">
        <v>FFF</v>
      </c>
      <c r="F334" s="115">
        <v>6</v>
      </c>
      <c r="G334" s="115" t="str">
        <v>^</v>
      </c>
      <c r="H334" s="115" t="str">
        <v>X-006</v>
      </c>
      <c r="I334" s="115">
        <v>6</v>
      </c>
      <c r="J334" s="115" t="str">
        <v>^</v>
      </c>
      <c r="K334" s="115" t="str">
        <v>six</v>
      </c>
    </row>
    <row r="335" spans="4:11" x14ac:dyDescent="0.3">
      <c r="D335" s="115" t="str">
        <v>X-007</v>
      </c>
      <c r="E335" s="115" t="str">
        <v>GGG</v>
      </c>
      <c r="F335" s="115">
        <v>7</v>
      </c>
      <c r="G335" s="115" t="str">
        <v>&amp;</v>
      </c>
      <c r="H335" s="115" t="str">
        <v>X-007</v>
      </c>
      <c r="I335" s="115">
        <v>7</v>
      </c>
      <c r="J335" s="115" t="str">
        <v>&amp;</v>
      </c>
      <c r="K335" s="115" t="str">
        <v>seven</v>
      </c>
    </row>
    <row r="336" spans="4:11" x14ac:dyDescent="0.3">
      <c r="D336" s="115" t="str">
        <v>X-008</v>
      </c>
      <c r="E336" s="115" t="str">
        <v>HHH</v>
      </c>
      <c r="F336" s="115">
        <v>8</v>
      </c>
      <c r="G336" s="115" t="str">
        <v>*</v>
      </c>
      <c r="H336" s="115" t="str">
        <v>X-008</v>
      </c>
      <c r="I336" s="115">
        <v>8</v>
      </c>
      <c r="J336" s="115" t="str">
        <v>*</v>
      </c>
      <c r="K336" s="115" t="str">
        <v>eight</v>
      </c>
    </row>
    <row r="337" spans="3:11" x14ac:dyDescent="0.3">
      <c r="D337" s="115" t="str">
        <v>X-009</v>
      </c>
      <c r="E337" s="115" t="str">
        <v>III</v>
      </c>
      <c r="F337" s="115">
        <v>9</v>
      </c>
      <c r="G337" s="115" t="str">
        <v>(</v>
      </c>
      <c r="H337" s="115" t="str">
        <v>X-009</v>
      </c>
      <c r="I337" s="115">
        <v>9</v>
      </c>
      <c r="J337" s="115" t="str">
        <v>(</v>
      </c>
      <c r="K337" s="115" t="str">
        <v>nine</v>
      </c>
    </row>
    <row r="338" spans="3:11" x14ac:dyDescent="0.3">
      <c r="D338" s="115" t="str">
        <v>X-010</v>
      </c>
      <c r="E338" s="115" t="str">
        <v>JJJ</v>
      </c>
      <c r="F338" s="115">
        <v>10</v>
      </c>
      <c r="G338" s="115" t="str">
        <v>)</v>
      </c>
      <c r="H338" s="115" t="str">
        <v>X-010</v>
      </c>
      <c r="I338" s="115">
        <v>10</v>
      </c>
      <c r="J338" s="115" t="str">
        <v>)</v>
      </c>
      <c r="K338" s="115" t="str">
        <v>ten</v>
      </c>
    </row>
    <row r="339" spans="3:11" x14ac:dyDescent="0.3">
      <c r="D339" s="115" t="e">
        <v>#N/A</v>
      </c>
      <c r="E339" s="115" t="e">
        <v>#N/A</v>
      </c>
      <c r="F339" s="115" t="e">
        <v>#N/A</v>
      </c>
      <c r="G339" s="115" t="e">
        <v>#N/A</v>
      </c>
      <c r="H339" s="115" t="str">
        <v>X-012</v>
      </c>
      <c r="I339" s="115">
        <v>12</v>
      </c>
      <c r="J339" s="115" t="str">
        <v>@</v>
      </c>
      <c r="K339" s="115" t="str">
        <v>twelve</v>
      </c>
    </row>
    <row r="340" spans="3:11" x14ac:dyDescent="0.3">
      <c r="D340" s="115" t="e">
        <v>#N/A</v>
      </c>
      <c r="E340" s="115" t="e">
        <v>#N/A</v>
      </c>
      <c r="F340" s="115" t="e">
        <v>#N/A</v>
      </c>
      <c r="G340" s="115" t="e">
        <v>#N/A</v>
      </c>
      <c r="H340" s="115" t="str">
        <v>X-011</v>
      </c>
      <c r="I340" s="115">
        <v>11</v>
      </c>
      <c r="J340" s="115" t="str">
        <v>~</v>
      </c>
      <c r="K340" s="115" t="str">
        <v>eleven</v>
      </c>
    </row>
    <row r="341" spans="3:11" x14ac:dyDescent="0.3">
      <c r="D341" s="52" t="str">
        <f ca="1" xml:space="preserve"> _xlfn.FORMULATEXT(D329)</f>
        <v>= RXL_Data.Join($D$230:$G$239, $I$230:$L$239, 1, 1, "full")</v>
      </c>
    </row>
    <row r="344" spans="3:11" x14ac:dyDescent="0.3">
      <c r="C344" s="14" t="s">
        <v>1488</v>
      </c>
    </row>
    <row r="345" spans="3:11" x14ac:dyDescent="0.3">
      <c r="D345" t="s">
        <v>1484</v>
      </c>
    </row>
    <row r="346" spans="3:11" x14ac:dyDescent="0.3">
      <c r="D346" t="s">
        <v>1489</v>
      </c>
    </row>
    <row r="347" spans="3:11" ht="14.4" thickBot="1" x14ac:dyDescent="0.35">
      <c r="D347" s="51" t="s">
        <v>1220</v>
      </c>
      <c r="E347" s="51" t="s">
        <v>1047</v>
      </c>
      <c r="F347" s="51" t="s">
        <v>1048</v>
      </c>
      <c r="G347" s="51" t="s">
        <v>1049</v>
      </c>
      <c r="H347" s="51" t="s">
        <v>1220</v>
      </c>
      <c r="I347" s="51" t="s">
        <v>1221</v>
      </c>
      <c r="J347" s="51" t="s">
        <v>1222</v>
      </c>
      <c r="K347" s="51" t="s">
        <v>1223</v>
      </c>
    </row>
    <row r="348" spans="3:11" x14ac:dyDescent="0.3">
      <c r="D348" s="114" t="str" cm="1">
        <f t="array" ref="D348:K357" xml:space="preserve"> RXL_Data.Join($D$230:$G$239, $I$230:$L$239, 1, 1, 0)</f>
        <v>X-001</v>
      </c>
      <c r="E348" s="115" t="str">
        <v>AAA</v>
      </c>
      <c r="F348" s="115">
        <v>1</v>
      </c>
      <c r="G348" s="115" t="str">
        <v>!</v>
      </c>
      <c r="H348" s="115" t="str">
        <v>X-001</v>
      </c>
      <c r="I348" s="115">
        <v>1</v>
      </c>
      <c r="J348" s="115" t="str">
        <v>!</v>
      </c>
      <c r="K348" s="115" t="str">
        <v>one</v>
      </c>
    </row>
    <row r="349" spans="3:11" x14ac:dyDescent="0.3">
      <c r="D349" s="115" t="str">
        <v>X-002</v>
      </c>
      <c r="E349" s="115" t="str">
        <v>BBB</v>
      </c>
      <c r="F349" s="115">
        <v>2</v>
      </c>
      <c r="G349" s="115" t="str">
        <v>"</v>
      </c>
      <c r="H349" s="115" t="str">
        <v>X-002</v>
      </c>
      <c r="I349" s="115">
        <v>2</v>
      </c>
      <c r="J349" s="115" t="str">
        <v>"</v>
      </c>
      <c r="K349" s="115" t="str">
        <v>two</v>
      </c>
    </row>
    <row r="350" spans="3:11" x14ac:dyDescent="0.3">
      <c r="D350" s="115" t="str">
        <v>X-003</v>
      </c>
      <c r="E350" s="115" t="str">
        <v>CCC</v>
      </c>
      <c r="F350" s="115">
        <v>3</v>
      </c>
      <c r="G350" s="115" t="str">
        <v>£</v>
      </c>
      <c r="H350" s="115" t="e">
        <v>#N/A</v>
      </c>
      <c r="I350" s="115" t="e">
        <v>#N/A</v>
      </c>
      <c r="J350" s="115" t="e">
        <v>#N/A</v>
      </c>
      <c r="K350" s="115" t="e">
        <v>#N/A</v>
      </c>
    </row>
    <row r="351" spans="3:11" x14ac:dyDescent="0.3">
      <c r="D351" s="115" t="str">
        <v>X-004</v>
      </c>
      <c r="E351" s="115" t="str">
        <v>DDD</v>
      </c>
      <c r="F351" s="115">
        <v>4</v>
      </c>
      <c r="G351" s="115" t="str">
        <v>$</v>
      </c>
      <c r="H351" s="115" t="str">
        <v>X-004</v>
      </c>
      <c r="I351" s="115">
        <v>4</v>
      </c>
      <c r="J351" s="115" t="str">
        <v>$</v>
      </c>
      <c r="K351" s="115" t="str">
        <v>four</v>
      </c>
    </row>
    <row r="352" spans="3:11" x14ac:dyDescent="0.3">
      <c r="D352" s="115" t="str">
        <v>X-005</v>
      </c>
      <c r="E352" s="115" t="str">
        <v>EEE</v>
      </c>
      <c r="F352" s="115">
        <v>5</v>
      </c>
      <c r="G352" s="115" t="str">
        <v>%</v>
      </c>
      <c r="H352" s="115" t="e">
        <v>#N/A</v>
      </c>
      <c r="I352" s="115" t="e">
        <v>#N/A</v>
      </c>
      <c r="J352" s="115" t="e">
        <v>#N/A</v>
      </c>
      <c r="K352" s="115" t="e">
        <v>#N/A</v>
      </c>
    </row>
    <row r="353" spans="4:11" x14ac:dyDescent="0.3">
      <c r="D353" s="115" t="str">
        <v>X-006</v>
      </c>
      <c r="E353" s="115" t="str">
        <v>FFF</v>
      </c>
      <c r="F353" s="115">
        <v>6</v>
      </c>
      <c r="G353" s="115" t="str">
        <v>^</v>
      </c>
      <c r="H353" s="115" t="str">
        <v>X-006</v>
      </c>
      <c r="I353" s="115">
        <v>6</v>
      </c>
      <c r="J353" s="115" t="str">
        <v>^</v>
      </c>
      <c r="K353" s="115" t="str">
        <v>six</v>
      </c>
    </row>
    <row r="354" spans="4:11" x14ac:dyDescent="0.3">
      <c r="D354" s="115" t="str">
        <v>X-007</v>
      </c>
      <c r="E354" s="115" t="str">
        <v>GGG</v>
      </c>
      <c r="F354" s="115">
        <v>7</v>
      </c>
      <c r="G354" s="115" t="str">
        <v>&amp;</v>
      </c>
      <c r="H354" s="115" t="str">
        <v>X-007</v>
      </c>
      <c r="I354" s="115">
        <v>7</v>
      </c>
      <c r="J354" s="115" t="str">
        <v>&amp;</v>
      </c>
      <c r="K354" s="115" t="str">
        <v>seven</v>
      </c>
    </row>
    <row r="355" spans="4:11" x14ac:dyDescent="0.3">
      <c r="D355" s="115" t="str">
        <v>X-008</v>
      </c>
      <c r="E355" s="115" t="str">
        <v>HHH</v>
      </c>
      <c r="F355" s="115">
        <v>8</v>
      </c>
      <c r="G355" s="115" t="str">
        <v>*</v>
      </c>
      <c r="H355" s="115" t="str">
        <v>X-008</v>
      </c>
      <c r="I355" s="115">
        <v>8</v>
      </c>
      <c r="J355" s="115" t="str">
        <v>*</v>
      </c>
      <c r="K355" s="115" t="str">
        <v>eight</v>
      </c>
    </row>
    <row r="356" spans="4:11" x14ac:dyDescent="0.3">
      <c r="D356" s="115" t="str">
        <v>X-009</v>
      </c>
      <c r="E356" s="115" t="str">
        <v>III</v>
      </c>
      <c r="F356" s="115">
        <v>9</v>
      </c>
      <c r="G356" s="115" t="str">
        <v>(</v>
      </c>
      <c r="H356" s="115" t="str">
        <v>X-009</v>
      </c>
      <c r="I356" s="115">
        <v>9</v>
      </c>
      <c r="J356" s="115" t="str">
        <v>(</v>
      </c>
      <c r="K356" s="115" t="str">
        <v>nine</v>
      </c>
    </row>
    <row r="357" spans="4:11" x14ac:dyDescent="0.3">
      <c r="D357" s="115" t="str">
        <v>X-010</v>
      </c>
      <c r="E357" s="115" t="str">
        <v>JJJ</v>
      </c>
      <c r="F357" s="115">
        <v>10</v>
      </c>
      <c r="G357" s="115" t="str">
        <v>)</v>
      </c>
      <c r="H357" s="115" t="str">
        <v>X-010</v>
      </c>
      <c r="I357" s="115">
        <v>10</v>
      </c>
      <c r="J357" s="115" t="str">
        <v>)</v>
      </c>
      <c r="K357" s="115" t="str">
        <v>ten</v>
      </c>
    </row>
    <row r="358" spans="4:11" x14ac:dyDescent="0.3">
      <c r="D358" s="115"/>
      <c r="E358" s="115"/>
      <c r="F358" s="115"/>
      <c r="G358" s="115"/>
      <c r="H358" s="115"/>
      <c r="I358" s="115"/>
      <c r="J358" s="115"/>
      <c r="K358" s="115"/>
    </row>
    <row r="359" spans="4:11" x14ac:dyDescent="0.3">
      <c r="D359" s="115"/>
      <c r="E359" s="115"/>
      <c r="F359" s="115"/>
      <c r="G359" s="115"/>
      <c r="H359" s="115"/>
      <c r="I359" s="115"/>
      <c r="J359" s="115"/>
      <c r="K359" s="115"/>
    </row>
    <row r="360" spans="4:11" x14ac:dyDescent="0.3">
      <c r="D360" s="52" t="str">
        <f ca="1" xml:space="preserve"> _xlfn.FORMULATEXT(D348)</f>
        <v>= RXL_Data.Join($D$230:$G$239, $I$230:$L$239, 1, 1, 0)</v>
      </c>
    </row>
    <row r="362" spans="4:11" x14ac:dyDescent="0.3">
      <c r="D362" t="s">
        <v>1484</v>
      </c>
    </row>
    <row r="363" spans="4:11" x14ac:dyDescent="0.3">
      <c r="D363" t="s">
        <v>1490</v>
      </c>
    </row>
    <row r="364" spans="4:11" ht="14.4" thickBot="1" x14ac:dyDescent="0.35">
      <c r="D364" s="51" t="s">
        <v>1220</v>
      </c>
      <c r="E364" s="51" t="s">
        <v>1047</v>
      </c>
      <c r="F364" s="51" t="s">
        <v>1221</v>
      </c>
      <c r="G364" s="51" t="s">
        <v>1222</v>
      </c>
      <c r="H364" s="51" t="s">
        <v>1223</v>
      </c>
      <c r="I364" s="51"/>
      <c r="J364" s="51"/>
      <c r="K364" s="51"/>
    </row>
    <row r="365" spans="4:11" x14ac:dyDescent="0.3">
      <c r="D365" s="114" t="str" cm="1">
        <f t="array" ref="D365:H374" xml:space="preserve"> RXL_Data.Join($D$230:$G$239, $I$230:$L$239, 1, 1, 0, {1,2}, {2,3,4})</f>
        <v>X-001</v>
      </c>
      <c r="E365" s="115" t="str">
        <v>AAA</v>
      </c>
      <c r="F365" s="115">
        <v>1</v>
      </c>
      <c r="G365" s="115" t="str">
        <v>!</v>
      </c>
      <c r="H365" s="115" t="str">
        <v>one</v>
      </c>
      <c r="I365" s="115"/>
      <c r="J365" s="115"/>
      <c r="K365" s="115"/>
    </row>
    <row r="366" spans="4:11" x14ac:dyDescent="0.3">
      <c r="D366" s="115" t="str">
        <v>X-002</v>
      </c>
      <c r="E366" s="115" t="str">
        <v>BBB</v>
      </c>
      <c r="F366" s="115">
        <v>2</v>
      </c>
      <c r="G366" s="115" t="str">
        <v>"</v>
      </c>
      <c r="H366" s="115" t="str">
        <v>two</v>
      </c>
      <c r="I366" s="115"/>
      <c r="J366" s="115"/>
      <c r="K366" s="115"/>
    </row>
    <row r="367" spans="4:11" x14ac:dyDescent="0.3">
      <c r="D367" s="115" t="str">
        <v>X-003</v>
      </c>
      <c r="E367" s="115" t="str">
        <v>CCC</v>
      </c>
      <c r="F367" s="115" t="e">
        <v>#N/A</v>
      </c>
      <c r="G367" s="115" t="e">
        <v>#N/A</v>
      </c>
      <c r="H367" s="115" t="e">
        <v>#N/A</v>
      </c>
      <c r="I367" s="115"/>
      <c r="J367" s="115"/>
      <c r="K367" s="115"/>
    </row>
    <row r="368" spans="4:11" x14ac:dyDescent="0.3">
      <c r="D368" s="115" t="str">
        <v>X-004</v>
      </c>
      <c r="E368" s="115" t="str">
        <v>DDD</v>
      </c>
      <c r="F368" s="115">
        <v>4</v>
      </c>
      <c r="G368" s="115" t="str">
        <v>$</v>
      </c>
      <c r="H368" s="115" t="str">
        <v>four</v>
      </c>
      <c r="I368" s="115"/>
      <c r="J368" s="115"/>
      <c r="K368" s="115"/>
    </row>
    <row r="369" spans="4:11" x14ac:dyDescent="0.3">
      <c r="D369" s="115" t="str">
        <v>X-005</v>
      </c>
      <c r="E369" s="115" t="str">
        <v>EEE</v>
      </c>
      <c r="F369" s="115" t="e">
        <v>#N/A</v>
      </c>
      <c r="G369" s="115" t="e">
        <v>#N/A</v>
      </c>
      <c r="H369" s="115" t="e">
        <v>#N/A</v>
      </c>
      <c r="I369" s="115"/>
      <c r="J369" s="115"/>
      <c r="K369" s="115"/>
    </row>
    <row r="370" spans="4:11" x14ac:dyDescent="0.3">
      <c r="D370" s="115" t="str">
        <v>X-006</v>
      </c>
      <c r="E370" s="115" t="str">
        <v>FFF</v>
      </c>
      <c r="F370" s="115">
        <v>6</v>
      </c>
      <c r="G370" s="115" t="str">
        <v>^</v>
      </c>
      <c r="H370" s="115" t="str">
        <v>six</v>
      </c>
      <c r="I370" s="115"/>
      <c r="J370" s="115"/>
      <c r="K370" s="115"/>
    </row>
    <row r="371" spans="4:11" x14ac:dyDescent="0.3">
      <c r="D371" s="115" t="str">
        <v>X-007</v>
      </c>
      <c r="E371" s="115" t="str">
        <v>GGG</v>
      </c>
      <c r="F371" s="115">
        <v>7</v>
      </c>
      <c r="G371" s="115" t="str">
        <v>&amp;</v>
      </c>
      <c r="H371" s="115" t="str">
        <v>seven</v>
      </c>
      <c r="I371" s="115"/>
      <c r="J371" s="115"/>
      <c r="K371" s="115"/>
    </row>
    <row r="372" spans="4:11" x14ac:dyDescent="0.3">
      <c r="D372" s="115" t="str">
        <v>X-008</v>
      </c>
      <c r="E372" s="115" t="str">
        <v>HHH</v>
      </c>
      <c r="F372" s="115">
        <v>8</v>
      </c>
      <c r="G372" s="115" t="str">
        <v>*</v>
      </c>
      <c r="H372" s="115" t="str">
        <v>eight</v>
      </c>
      <c r="I372" s="115"/>
      <c r="J372" s="115"/>
      <c r="K372" s="115"/>
    </row>
    <row r="373" spans="4:11" x14ac:dyDescent="0.3">
      <c r="D373" s="115" t="str">
        <v>X-009</v>
      </c>
      <c r="E373" s="115" t="str">
        <v>III</v>
      </c>
      <c r="F373" s="115">
        <v>9</v>
      </c>
      <c r="G373" s="115" t="str">
        <v>(</v>
      </c>
      <c r="H373" s="115" t="str">
        <v>nine</v>
      </c>
      <c r="I373" s="115"/>
      <c r="J373" s="115"/>
      <c r="K373" s="115"/>
    </row>
    <row r="374" spans="4:11" x14ac:dyDescent="0.3">
      <c r="D374" s="115" t="str">
        <v>X-010</v>
      </c>
      <c r="E374" s="115" t="str">
        <v>JJJ</v>
      </c>
      <c r="F374" s="115">
        <v>10</v>
      </c>
      <c r="G374" s="115" t="str">
        <v>)</v>
      </c>
      <c r="H374" s="115" t="str">
        <v>ten</v>
      </c>
      <c r="I374" s="115"/>
      <c r="J374" s="115"/>
      <c r="K374" s="115"/>
    </row>
    <row r="375" spans="4:11" x14ac:dyDescent="0.3">
      <c r="D375" s="115"/>
      <c r="E375" s="115"/>
      <c r="F375" s="115"/>
      <c r="G375" s="115"/>
      <c r="H375" s="115"/>
      <c r="I375" s="115"/>
      <c r="J375" s="115"/>
      <c r="K375" s="115"/>
    </row>
    <row r="376" spans="4:11" x14ac:dyDescent="0.3">
      <c r="D376" s="115"/>
      <c r="E376" s="115"/>
      <c r="F376" s="115"/>
      <c r="G376" s="115"/>
      <c r="H376" s="115"/>
      <c r="I376" s="115"/>
      <c r="J376" s="115"/>
      <c r="K376" s="115"/>
    </row>
    <row r="377" spans="4:11" x14ac:dyDescent="0.3">
      <c r="D377" s="52" t="str">
        <f ca="1" xml:space="preserve"> _xlfn.FORMULATEXT(D365)</f>
        <v>= RXL_Data.Join($D$230:$G$239, $I$230:$L$239, 1, 1, 0, {1,2}, {2,3,4})</v>
      </c>
    </row>
    <row r="379" spans="4:11" x14ac:dyDescent="0.3">
      <c r="D379" t="s">
        <v>1484</v>
      </c>
    </row>
    <row r="380" spans="4:11" x14ac:dyDescent="0.3">
      <c r="D380" t="s">
        <v>1490</v>
      </c>
    </row>
    <row r="381" spans="4:11" x14ac:dyDescent="0.3">
      <c r="D381" t="s">
        <v>1491</v>
      </c>
    </row>
    <row r="382" spans="4:11" ht="14.4" thickBot="1" x14ac:dyDescent="0.35">
      <c r="D382" s="51" t="s">
        <v>1220</v>
      </c>
      <c r="E382" s="51" t="s">
        <v>1047</v>
      </c>
      <c r="F382" s="51" t="s">
        <v>1223</v>
      </c>
      <c r="G382" s="51" t="s">
        <v>1222</v>
      </c>
      <c r="H382" s="51" t="s">
        <v>1221</v>
      </c>
      <c r="I382" s="51"/>
      <c r="J382" s="51"/>
      <c r="K382" s="51"/>
    </row>
    <row r="383" spans="4:11" x14ac:dyDescent="0.3">
      <c r="D383" s="114" t="str" cm="1">
        <f t="array" ref="D383:H392" xml:space="preserve"> RXL_Data.Join($D$230:$G$239, $I$230:$L$239, 1, 1, 0, {1,2}, {4,3,2})</f>
        <v>X-001</v>
      </c>
      <c r="E383" s="115" t="str">
        <v>AAA</v>
      </c>
      <c r="F383" s="115" t="str">
        <v>one</v>
      </c>
      <c r="G383" s="115" t="str">
        <v>!</v>
      </c>
      <c r="H383" s="115">
        <v>1</v>
      </c>
      <c r="I383" s="115"/>
      <c r="J383" s="115"/>
      <c r="K383" s="115"/>
    </row>
    <row r="384" spans="4:11" x14ac:dyDescent="0.3">
      <c r="D384" s="115" t="str">
        <v>X-002</v>
      </c>
      <c r="E384" s="115" t="str">
        <v>BBB</v>
      </c>
      <c r="F384" s="115" t="str">
        <v>two</v>
      </c>
      <c r="G384" s="115" t="str">
        <v>"</v>
      </c>
      <c r="H384" s="115">
        <v>2</v>
      </c>
      <c r="I384" s="115"/>
      <c r="J384" s="115"/>
      <c r="K384" s="115"/>
    </row>
    <row r="385" spans="3:11" x14ac:dyDescent="0.3">
      <c r="D385" s="115" t="str">
        <v>X-003</v>
      </c>
      <c r="E385" s="115" t="str">
        <v>CCC</v>
      </c>
      <c r="F385" s="115" t="e">
        <v>#N/A</v>
      </c>
      <c r="G385" s="115" t="e">
        <v>#N/A</v>
      </c>
      <c r="H385" s="115" t="e">
        <v>#N/A</v>
      </c>
      <c r="I385" s="115"/>
      <c r="J385" s="115"/>
      <c r="K385" s="115"/>
    </row>
    <row r="386" spans="3:11" x14ac:dyDescent="0.3">
      <c r="D386" s="115" t="str">
        <v>X-004</v>
      </c>
      <c r="E386" s="115" t="str">
        <v>DDD</v>
      </c>
      <c r="F386" s="115" t="str">
        <v>four</v>
      </c>
      <c r="G386" s="115" t="str">
        <v>$</v>
      </c>
      <c r="H386" s="115">
        <v>4</v>
      </c>
      <c r="I386" s="115"/>
      <c r="J386" s="115"/>
      <c r="K386" s="115"/>
    </row>
    <row r="387" spans="3:11" x14ac:dyDescent="0.3">
      <c r="D387" s="115" t="str">
        <v>X-005</v>
      </c>
      <c r="E387" s="115" t="str">
        <v>EEE</v>
      </c>
      <c r="F387" s="115" t="e">
        <v>#N/A</v>
      </c>
      <c r="G387" s="115" t="e">
        <v>#N/A</v>
      </c>
      <c r="H387" s="115" t="e">
        <v>#N/A</v>
      </c>
      <c r="I387" s="115"/>
      <c r="J387" s="115"/>
      <c r="K387" s="115"/>
    </row>
    <row r="388" spans="3:11" x14ac:dyDescent="0.3">
      <c r="D388" s="115" t="str">
        <v>X-006</v>
      </c>
      <c r="E388" s="115" t="str">
        <v>FFF</v>
      </c>
      <c r="F388" s="115" t="str">
        <v>six</v>
      </c>
      <c r="G388" s="115" t="str">
        <v>^</v>
      </c>
      <c r="H388" s="115">
        <v>6</v>
      </c>
      <c r="I388" s="115"/>
      <c r="J388" s="115"/>
      <c r="K388" s="115"/>
    </row>
    <row r="389" spans="3:11" x14ac:dyDescent="0.3">
      <c r="D389" s="115" t="str">
        <v>X-007</v>
      </c>
      <c r="E389" s="115" t="str">
        <v>GGG</v>
      </c>
      <c r="F389" s="115" t="str">
        <v>seven</v>
      </c>
      <c r="G389" s="115" t="str">
        <v>&amp;</v>
      </c>
      <c r="H389" s="115">
        <v>7</v>
      </c>
      <c r="I389" s="115"/>
      <c r="J389" s="115"/>
      <c r="K389" s="115"/>
    </row>
    <row r="390" spans="3:11" x14ac:dyDescent="0.3">
      <c r="D390" s="115" t="str">
        <v>X-008</v>
      </c>
      <c r="E390" s="115" t="str">
        <v>HHH</v>
      </c>
      <c r="F390" s="115" t="str">
        <v>eight</v>
      </c>
      <c r="G390" s="115" t="str">
        <v>*</v>
      </c>
      <c r="H390" s="115">
        <v>8</v>
      </c>
      <c r="I390" s="115"/>
      <c r="J390" s="115"/>
      <c r="K390" s="115"/>
    </row>
    <row r="391" spans="3:11" x14ac:dyDescent="0.3">
      <c r="D391" s="115" t="str">
        <v>X-009</v>
      </c>
      <c r="E391" s="115" t="str">
        <v>III</v>
      </c>
      <c r="F391" s="115" t="str">
        <v>nine</v>
      </c>
      <c r="G391" s="115" t="str">
        <v>(</v>
      </c>
      <c r="H391" s="115">
        <v>9</v>
      </c>
      <c r="I391" s="115"/>
      <c r="J391" s="115"/>
      <c r="K391" s="115"/>
    </row>
    <row r="392" spans="3:11" x14ac:dyDescent="0.3">
      <c r="D392" s="115" t="str">
        <v>X-010</v>
      </c>
      <c r="E392" s="115" t="str">
        <v>JJJ</v>
      </c>
      <c r="F392" s="115" t="str">
        <v>ten</v>
      </c>
      <c r="G392" s="115" t="str">
        <v>)</v>
      </c>
      <c r="H392" s="115">
        <v>10</v>
      </c>
      <c r="I392" s="115"/>
      <c r="J392" s="115"/>
      <c r="K392" s="115"/>
    </row>
    <row r="393" spans="3:11" x14ac:dyDescent="0.3">
      <c r="D393" s="115"/>
      <c r="E393" s="115"/>
      <c r="F393" s="115"/>
      <c r="G393" s="115"/>
      <c r="H393" s="115"/>
      <c r="I393" s="115"/>
      <c r="J393" s="115"/>
      <c r="K393" s="115"/>
    </row>
    <row r="394" spans="3:11" x14ac:dyDescent="0.3">
      <c r="D394" s="115"/>
      <c r="E394" s="115"/>
      <c r="F394" s="115"/>
      <c r="G394" s="115"/>
      <c r="H394" s="115"/>
      <c r="I394" s="115"/>
      <c r="J394" s="115"/>
      <c r="K394" s="115"/>
    </row>
    <row r="395" spans="3:11" x14ac:dyDescent="0.3">
      <c r="D395" s="52" t="str">
        <f ca="1" xml:space="preserve"> _xlfn.FORMULATEXT(D383)</f>
        <v>= RXL_Data.Join($D$230:$G$239, $I$230:$L$239, 1, 1, 0, {1,2}, {4,3,2})</v>
      </c>
    </row>
    <row r="398" spans="3:11" x14ac:dyDescent="0.3">
      <c r="C398" s="14" t="s">
        <v>1492</v>
      </c>
    </row>
    <row r="399" spans="3:11" x14ac:dyDescent="0.3">
      <c r="D399" t="s">
        <v>1487</v>
      </c>
    </row>
    <row r="400" spans="3:11" x14ac:dyDescent="0.3">
      <c r="D400" t="s">
        <v>1493</v>
      </c>
    </row>
    <row r="401" spans="4:11" x14ac:dyDescent="0.3">
      <c r="D401" t="s">
        <v>1494</v>
      </c>
    </row>
    <row r="402" spans="4:11" x14ac:dyDescent="0.3">
      <c r="D402" s="159" t="s">
        <v>1499</v>
      </c>
    </row>
    <row r="403" spans="4:11" ht="14.4" thickBot="1" x14ac:dyDescent="0.35">
      <c r="D403" s="51" t="s">
        <v>1220</v>
      </c>
      <c r="E403" s="51" t="s">
        <v>1221</v>
      </c>
      <c r="F403" s="51" t="s">
        <v>1222</v>
      </c>
      <c r="G403" s="51" t="s">
        <v>1223</v>
      </c>
      <c r="H403" s="51" t="s">
        <v>1220</v>
      </c>
      <c r="I403" s="51" t="s">
        <v>1047</v>
      </c>
      <c r="J403" s="51" t="s">
        <v>1048</v>
      </c>
      <c r="K403" s="51" t="s">
        <v>1049</v>
      </c>
    </row>
    <row r="404" spans="4:11" x14ac:dyDescent="0.3">
      <c r="D404" s="114" t="str" cm="1">
        <f t="array" ref="D404:K415" xml:space="preserve"> RXL_Data.Join($I$230:$L$239, $D$230:$G$239, 1, 1, 3, , , FALSE)</f>
        <v>X-009</v>
      </c>
      <c r="E404" s="115">
        <v>9</v>
      </c>
      <c r="F404" s="115" t="str">
        <v>(</v>
      </c>
      <c r="G404" s="115" t="str">
        <v>nine</v>
      </c>
      <c r="H404" s="115" t="str">
        <v>X-009</v>
      </c>
      <c r="I404" s="115" t="str">
        <v>III</v>
      </c>
      <c r="J404" s="115">
        <v>9</v>
      </c>
      <c r="K404" s="115" t="str">
        <v>(</v>
      </c>
    </row>
    <row r="405" spans="4:11" x14ac:dyDescent="0.3">
      <c r="D405" s="115" t="str">
        <v>X-007</v>
      </c>
      <c r="E405" s="115">
        <v>7</v>
      </c>
      <c r="F405" s="115" t="str">
        <v>&amp;</v>
      </c>
      <c r="G405" s="115" t="str">
        <v>seven</v>
      </c>
      <c r="H405" s="115" t="str">
        <v>X-007</v>
      </c>
      <c r="I405" s="115" t="str">
        <v>GGG</v>
      </c>
      <c r="J405" s="115">
        <v>7</v>
      </c>
      <c r="K405" s="115" t="str">
        <v>&amp;</v>
      </c>
    </row>
    <row r="406" spans="4:11" x14ac:dyDescent="0.3">
      <c r="D406" s="115" t="str">
        <v>X-010</v>
      </c>
      <c r="E406" s="115">
        <v>10</v>
      </c>
      <c r="F406" s="115" t="str">
        <v>)</v>
      </c>
      <c r="G406" s="115" t="str">
        <v>ten</v>
      </c>
      <c r="H406" s="115" t="str">
        <v>X-010</v>
      </c>
      <c r="I406" s="115" t="str">
        <v>JJJ</v>
      </c>
      <c r="J406" s="115">
        <v>10</v>
      </c>
      <c r="K406" s="115" t="str">
        <v>)</v>
      </c>
    </row>
    <row r="407" spans="4:11" x14ac:dyDescent="0.3">
      <c r="D407" s="115" t="str">
        <v>X-002</v>
      </c>
      <c r="E407" s="115">
        <v>2</v>
      </c>
      <c r="F407" s="115" t="str">
        <v>"</v>
      </c>
      <c r="G407" s="115" t="str">
        <v>two</v>
      </c>
      <c r="H407" s="115" t="str">
        <v>X-002</v>
      </c>
      <c r="I407" s="115" t="str">
        <v>BBB</v>
      </c>
      <c r="J407" s="115">
        <v>2</v>
      </c>
      <c r="K407" s="115" t="str">
        <v>"</v>
      </c>
    </row>
    <row r="408" spans="4:11" x14ac:dyDescent="0.3">
      <c r="D408" s="115" t="str">
        <v>X-004</v>
      </c>
      <c r="E408" s="115">
        <v>4</v>
      </c>
      <c r="F408" s="115" t="str">
        <v>$</v>
      </c>
      <c r="G408" s="115" t="str">
        <v>four</v>
      </c>
      <c r="H408" s="115" t="str">
        <v>X-004</v>
      </c>
      <c r="I408" s="115" t="str">
        <v>DDD</v>
      </c>
      <c r="J408" s="115">
        <v>4</v>
      </c>
      <c r="K408" s="115" t="str">
        <v>$</v>
      </c>
    </row>
    <row r="409" spans="4:11" x14ac:dyDescent="0.3">
      <c r="D409" s="115" t="str">
        <v>X-008</v>
      </c>
      <c r="E409" s="115">
        <v>8</v>
      </c>
      <c r="F409" s="115" t="str">
        <v>*</v>
      </c>
      <c r="G409" s="115" t="str">
        <v>eight</v>
      </c>
      <c r="H409" s="115" t="str">
        <v>X-008</v>
      </c>
      <c r="I409" s="115" t="str">
        <v>HHH</v>
      </c>
      <c r="J409" s="115">
        <v>8</v>
      </c>
      <c r="K409" s="115" t="str">
        <v>*</v>
      </c>
    </row>
    <row r="410" spans="4:11" x14ac:dyDescent="0.3">
      <c r="D410" s="115" t="str">
        <v>X-012</v>
      </c>
      <c r="E410" s="115">
        <v>12</v>
      </c>
      <c r="F410" s="115" t="str">
        <v>@</v>
      </c>
      <c r="G410" s="115" t="str">
        <v>twelve</v>
      </c>
      <c r="H410" s="115" t="e">
        <v>#N/A</v>
      </c>
      <c r="I410" s="115" t="e">
        <v>#N/A</v>
      </c>
      <c r="J410" s="115" t="e">
        <v>#N/A</v>
      </c>
      <c r="K410" s="115" t="e">
        <v>#N/A</v>
      </c>
    </row>
    <row r="411" spans="4:11" x14ac:dyDescent="0.3">
      <c r="D411" s="115" t="str">
        <v>X-001</v>
      </c>
      <c r="E411" s="115">
        <v>1</v>
      </c>
      <c r="F411" s="115" t="str">
        <v>!</v>
      </c>
      <c r="G411" s="115" t="str">
        <v>one</v>
      </c>
      <c r="H411" s="115" t="str">
        <v>X-001</v>
      </c>
      <c r="I411" s="115" t="str">
        <v>AAA</v>
      </c>
      <c r="J411" s="115">
        <v>1</v>
      </c>
      <c r="K411" s="115" t="str">
        <v>!</v>
      </c>
    </row>
    <row r="412" spans="4:11" x14ac:dyDescent="0.3">
      <c r="D412" s="115" t="str">
        <v>X-006</v>
      </c>
      <c r="E412" s="115">
        <v>6</v>
      </c>
      <c r="F412" s="115" t="str">
        <v>^</v>
      </c>
      <c r="G412" s="115" t="str">
        <v>six</v>
      </c>
      <c r="H412" s="115" t="str">
        <v>X-006</v>
      </c>
      <c r="I412" s="115" t="str">
        <v>FFF</v>
      </c>
      <c r="J412" s="115">
        <v>6</v>
      </c>
      <c r="K412" s="115" t="str">
        <v>^</v>
      </c>
    </row>
    <row r="413" spans="4:11" x14ac:dyDescent="0.3">
      <c r="D413" s="115" t="str">
        <v>X-011</v>
      </c>
      <c r="E413" s="115">
        <v>11</v>
      </c>
      <c r="F413" s="115" t="str">
        <v>~</v>
      </c>
      <c r="G413" s="115" t="str">
        <v>eleven</v>
      </c>
      <c r="H413" s="115" t="e">
        <v>#N/A</v>
      </c>
      <c r="I413" s="115" t="e">
        <v>#N/A</v>
      </c>
      <c r="J413" s="115" t="e">
        <v>#N/A</v>
      </c>
      <c r="K413" s="115" t="e">
        <v>#N/A</v>
      </c>
    </row>
    <row r="414" spans="4:11" x14ac:dyDescent="0.3">
      <c r="D414" s="115" t="e">
        <v>#N/A</v>
      </c>
      <c r="E414" s="115" t="e">
        <v>#N/A</v>
      </c>
      <c r="F414" s="115" t="e">
        <v>#N/A</v>
      </c>
      <c r="G414" s="115" t="e">
        <v>#N/A</v>
      </c>
      <c r="H414" s="115" t="str">
        <v>X-003</v>
      </c>
      <c r="I414" s="115" t="str">
        <v>CCC</v>
      </c>
      <c r="J414" s="115">
        <v>3</v>
      </c>
      <c r="K414" s="115" t="str">
        <v>£</v>
      </c>
    </row>
    <row r="415" spans="4:11" x14ac:dyDescent="0.3">
      <c r="D415" s="115" t="e">
        <v>#N/A</v>
      </c>
      <c r="E415" s="115" t="e">
        <v>#N/A</v>
      </c>
      <c r="F415" s="115" t="e">
        <v>#N/A</v>
      </c>
      <c r="G415" s="115" t="e">
        <v>#N/A</v>
      </c>
      <c r="H415" s="115" t="str">
        <v>X-005</v>
      </c>
      <c r="I415" s="115" t="str">
        <v>EEE</v>
      </c>
      <c r="J415" s="115">
        <v>5</v>
      </c>
      <c r="K415" s="115" t="str">
        <v>%</v>
      </c>
    </row>
    <row r="416" spans="4:11" x14ac:dyDescent="0.3">
      <c r="D416" s="52" t="str">
        <f ca="1" xml:space="preserve"> _xlfn.FORMULATEXT(D404)</f>
        <v>= RXL_Data.Join($I$230:$L$239, $D$230:$G$239, 1, 1, 3, , , FALSE)</v>
      </c>
    </row>
    <row r="418" spans="4:11" x14ac:dyDescent="0.3">
      <c r="D418" t="s">
        <v>1487</v>
      </c>
    </row>
    <row r="419" spans="4:11" x14ac:dyDescent="0.3">
      <c r="D419" t="s">
        <v>1493</v>
      </c>
    </row>
    <row r="420" spans="4:11" x14ac:dyDescent="0.3">
      <c r="D420" t="s">
        <v>1500</v>
      </c>
    </row>
    <row r="421" spans="4:11" x14ac:dyDescent="0.3">
      <c r="D421" s="159" t="s">
        <v>1501</v>
      </c>
    </row>
    <row r="422" spans="4:11" ht="14.4" thickBot="1" x14ac:dyDescent="0.35">
      <c r="D422" s="51" t="s">
        <v>1220</v>
      </c>
      <c r="E422" s="51" t="s">
        <v>1221</v>
      </c>
      <c r="F422" s="51" t="s">
        <v>1222</v>
      </c>
      <c r="G422" s="51" t="s">
        <v>1223</v>
      </c>
      <c r="H422" s="51" t="s">
        <v>1220</v>
      </c>
      <c r="I422" s="51" t="s">
        <v>1047</v>
      </c>
      <c r="J422" s="51" t="s">
        <v>1048</v>
      </c>
      <c r="K422" s="51" t="s">
        <v>1049</v>
      </c>
    </row>
    <row r="423" spans="4:11" x14ac:dyDescent="0.3">
      <c r="D423" s="114" t="str" cm="1">
        <f t="array" ref="D423:K434" xml:space="preserve"> RXL_Data.Join($I$230:$L$239, $D$230:$G$239, 1, 1, 3, , , TRUE)</f>
        <v>X-001</v>
      </c>
      <c r="E423" s="115">
        <v>1</v>
      </c>
      <c r="F423" s="115" t="str">
        <v>!</v>
      </c>
      <c r="G423" s="115" t="str">
        <v>one</v>
      </c>
      <c r="H423" s="115" t="str">
        <v>X-001</v>
      </c>
      <c r="I423" s="115" t="str">
        <v>AAA</v>
      </c>
      <c r="J423" s="115">
        <v>1</v>
      </c>
      <c r="K423" s="115" t="str">
        <v>!</v>
      </c>
    </row>
    <row r="424" spans="4:11" x14ac:dyDescent="0.3">
      <c r="D424" s="115" t="str">
        <v>X-002</v>
      </c>
      <c r="E424" s="115">
        <v>2</v>
      </c>
      <c r="F424" s="115" t="str">
        <v>"</v>
      </c>
      <c r="G424" s="115" t="str">
        <v>two</v>
      </c>
      <c r="H424" s="115" t="str">
        <v>X-002</v>
      </c>
      <c r="I424" s="115" t="str">
        <v>BBB</v>
      </c>
      <c r="J424" s="115">
        <v>2</v>
      </c>
      <c r="K424" s="115" t="str">
        <v>"</v>
      </c>
    </row>
    <row r="425" spans="4:11" x14ac:dyDescent="0.3">
      <c r="D425" s="115" t="e">
        <v>#N/A</v>
      </c>
      <c r="E425" s="115" t="e">
        <v>#N/A</v>
      </c>
      <c r="F425" s="115" t="e">
        <v>#N/A</v>
      </c>
      <c r="G425" s="115" t="e">
        <v>#N/A</v>
      </c>
      <c r="H425" s="115" t="str">
        <v>X-003</v>
      </c>
      <c r="I425" s="115" t="str">
        <v>CCC</v>
      </c>
      <c r="J425" s="115">
        <v>3</v>
      </c>
      <c r="K425" s="115" t="str">
        <v>£</v>
      </c>
    </row>
    <row r="426" spans="4:11" x14ac:dyDescent="0.3">
      <c r="D426" s="115" t="str">
        <v>X-004</v>
      </c>
      <c r="E426" s="115">
        <v>4</v>
      </c>
      <c r="F426" s="115" t="str">
        <v>$</v>
      </c>
      <c r="G426" s="115" t="str">
        <v>four</v>
      </c>
      <c r="H426" s="115" t="str">
        <v>X-004</v>
      </c>
      <c r="I426" s="115" t="str">
        <v>DDD</v>
      </c>
      <c r="J426" s="115">
        <v>4</v>
      </c>
      <c r="K426" s="115" t="str">
        <v>$</v>
      </c>
    </row>
    <row r="427" spans="4:11" x14ac:dyDescent="0.3">
      <c r="D427" s="115" t="e">
        <v>#N/A</v>
      </c>
      <c r="E427" s="115" t="e">
        <v>#N/A</v>
      </c>
      <c r="F427" s="115" t="e">
        <v>#N/A</v>
      </c>
      <c r="G427" s="115" t="e">
        <v>#N/A</v>
      </c>
      <c r="H427" s="115" t="str">
        <v>X-005</v>
      </c>
      <c r="I427" s="115" t="str">
        <v>EEE</v>
      </c>
      <c r="J427" s="115">
        <v>5</v>
      </c>
      <c r="K427" s="115" t="str">
        <v>%</v>
      </c>
    </row>
    <row r="428" spans="4:11" x14ac:dyDescent="0.3">
      <c r="D428" s="115" t="str">
        <v>X-006</v>
      </c>
      <c r="E428" s="115">
        <v>6</v>
      </c>
      <c r="F428" s="115" t="str">
        <v>^</v>
      </c>
      <c r="G428" s="115" t="str">
        <v>six</v>
      </c>
      <c r="H428" s="115" t="str">
        <v>X-006</v>
      </c>
      <c r="I428" s="115" t="str">
        <v>FFF</v>
      </c>
      <c r="J428" s="115">
        <v>6</v>
      </c>
      <c r="K428" s="115" t="str">
        <v>^</v>
      </c>
    </row>
    <row r="429" spans="4:11" x14ac:dyDescent="0.3">
      <c r="D429" s="115" t="str">
        <v>X-007</v>
      </c>
      <c r="E429" s="115">
        <v>7</v>
      </c>
      <c r="F429" s="115" t="str">
        <v>&amp;</v>
      </c>
      <c r="G429" s="115" t="str">
        <v>seven</v>
      </c>
      <c r="H429" s="115" t="str">
        <v>X-007</v>
      </c>
      <c r="I429" s="115" t="str">
        <v>GGG</v>
      </c>
      <c r="J429" s="115">
        <v>7</v>
      </c>
      <c r="K429" s="115" t="str">
        <v>&amp;</v>
      </c>
    </row>
    <row r="430" spans="4:11" x14ac:dyDescent="0.3">
      <c r="D430" s="115" t="str">
        <v>X-008</v>
      </c>
      <c r="E430" s="115">
        <v>8</v>
      </c>
      <c r="F430" s="115" t="str">
        <v>*</v>
      </c>
      <c r="G430" s="115" t="str">
        <v>eight</v>
      </c>
      <c r="H430" s="115" t="str">
        <v>X-008</v>
      </c>
      <c r="I430" s="115" t="str">
        <v>HHH</v>
      </c>
      <c r="J430" s="115">
        <v>8</v>
      </c>
      <c r="K430" s="115" t="str">
        <v>*</v>
      </c>
    </row>
    <row r="431" spans="4:11" x14ac:dyDescent="0.3">
      <c r="D431" s="115" t="str">
        <v>X-009</v>
      </c>
      <c r="E431" s="115">
        <v>9</v>
      </c>
      <c r="F431" s="115" t="str">
        <v>(</v>
      </c>
      <c r="G431" s="115" t="str">
        <v>nine</v>
      </c>
      <c r="H431" s="115" t="str">
        <v>X-009</v>
      </c>
      <c r="I431" s="115" t="str">
        <v>III</v>
      </c>
      <c r="J431" s="115">
        <v>9</v>
      </c>
      <c r="K431" s="115" t="str">
        <v>(</v>
      </c>
    </row>
    <row r="432" spans="4:11" x14ac:dyDescent="0.3">
      <c r="D432" s="115" t="str">
        <v>X-010</v>
      </c>
      <c r="E432" s="115">
        <v>10</v>
      </c>
      <c r="F432" s="115" t="str">
        <v>)</v>
      </c>
      <c r="G432" s="115" t="str">
        <v>ten</v>
      </c>
      <c r="H432" s="115" t="str">
        <v>X-010</v>
      </c>
      <c r="I432" s="115" t="str">
        <v>JJJ</v>
      </c>
      <c r="J432" s="115">
        <v>10</v>
      </c>
      <c r="K432" s="115" t="str">
        <v>)</v>
      </c>
    </row>
    <row r="433" spans="4:11" x14ac:dyDescent="0.3">
      <c r="D433" s="115" t="str">
        <v>X-011</v>
      </c>
      <c r="E433" s="115">
        <v>11</v>
      </c>
      <c r="F433" s="115" t="str">
        <v>~</v>
      </c>
      <c r="G433" s="115" t="str">
        <v>eleven</v>
      </c>
      <c r="H433" s="115" t="e">
        <v>#N/A</v>
      </c>
      <c r="I433" s="115" t="e">
        <v>#N/A</v>
      </c>
      <c r="J433" s="115" t="e">
        <v>#N/A</v>
      </c>
      <c r="K433" s="115" t="e">
        <v>#N/A</v>
      </c>
    </row>
    <row r="434" spans="4:11" x14ac:dyDescent="0.3">
      <c r="D434" s="115" t="str">
        <v>X-012</v>
      </c>
      <c r="E434" s="115">
        <v>12</v>
      </c>
      <c r="F434" s="115" t="str">
        <v>@</v>
      </c>
      <c r="G434" s="115" t="str">
        <v>twelve</v>
      </c>
      <c r="H434" s="115" t="e">
        <v>#N/A</v>
      </c>
      <c r="I434" s="115" t="e">
        <v>#N/A</v>
      </c>
      <c r="J434" s="115" t="e">
        <v>#N/A</v>
      </c>
      <c r="K434" s="115" t="e">
        <v>#N/A</v>
      </c>
    </row>
    <row r="435" spans="4:11" x14ac:dyDescent="0.3">
      <c r="D435" s="52" t="str">
        <f ca="1" xml:space="preserve"> _xlfn.FORMULATEXT(D423)</f>
        <v>= RXL_Data.Join($I$230:$L$239, $D$230:$G$239, 1, 1, 3, , , TRUE)</v>
      </c>
    </row>
    <row r="437" spans="4:11" x14ac:dyDescent="0.3">
      <c r="D437" t="s">
        <v>1487</v>
      </c>
    </row>
    <row r="438" spans="4:11" x14ac:dyDescent="0.3">
      <c r="D438" t="s">
        <v>1493</v>
      </c>
    </row>
    <row r="439" spans="4:11" x14ac:dyDescent="0.3">
      <c r="D439" t="s">
        <v>1502</v>
      </c>
    </row>
    <row r="440" spans="4:11" x14ac:dyDescent="0.3">
      <c r="D440" s="159" t="s">
        <v>1503</v>
      </c>
    </row>
    <row r="441" spans="4:11" ht="14.4" thickBot="1" x14ac:dyDescent="0.35">
      <c r="D441" s="51" t="s">
        <v>1220</v>
      </c>
      <c r="E441" s="51" t="s">
        <v>1221</v>
      </c>
      <c r="F441" s="51" t="s">
        <v>1222</v>
      </c>
      <c r="G441" s="51" t="s">
        <v>1223</v>
      </c>
      <c r="H441" s="51" t="s">
        <v>1220</v>
      </c>
      <c r="I441" s="51" t="s">
        <v>1047</v>
      </c>
      <c r="J441" s="51" t="s">
        <v>1048</v>
      </c>
      <c r="K441" s="51" t="s">
        <v>1049</v>
      </c>
    </row>
    <row r="442" spans="4:11" x14ac:dyDescent="0.3">
      <c r="D442" s="114" t="str" cm="1">
        <f t="array" ref="D442:K453" xml:space="preserve"> RXL_Data.Join($I$230:$L$239, $D$230:$G$239, 1, 1, 3, , , -1)</f>
        <v>X-012</v>
      </c>
      <c r="E442" s="115">
        <v>12</v>
      </c>
      <c r="F442" s="115" t="str">
        <v>@</v>
      </c>
      <c r="G442" s="115" t="str">
        <v>twelve</v>
      </c>
      <c r="H442" s="115" t="e">
        <v>#N/A</v>
      </c>
      <c r="I442" s="115" t="e">
        <v>#N/A</v>
      </c>
      <c r="J442" s="115" t="e">
        <v>#N/A</v>
      </c>
      <c r="K442" s="115" t="e">
        <v>#N/A</v>
      </c>
    </row>
    <row r="443" spans="4:11" x14ac:dyDescent="0.3">
      <c r="D443" s="115" t="str">
        <v>X-011</v>
      </c>
      <c r="E443" s="115">
        <v>11</v>
      </c>
      <c r="F443" s="115" t="str">
        <v>~</v>
      </c>
      <c r="G443" s="115" t="str">
        <v>eleven</v>
      </c>
      <c r="H443" s="115" t="e">
        <v>#N/A</v>
      </c>
      <c r="I443" s="115" t="e">
        <v>#N/A</v>
      </c>
      <c r="J443" s="115" t="e">
        <v>#N/A</v>
      </c>
      <c r="K443" s="115" t="e">
        <v>#N/A</v>
      </c>
    </row>
    <row r="444" spans="4:11" x14ac:dyDescent="0.3">
      <c r="D444" s="115" t="str">
        <v>X-010</v>
      </c>
      <c r="E444" s="115">
        <v>10</v>
      </c>
      <c r="F444" s="115" t="str">
        <v>)</v>
      </c>
      <c r="G444" s="115" t="str">
        <v>ten</v>
      </c>
      <c r="H444" s="115" t="str">
        <v>X-010</v>
      </c>
      <c r="I444" s="115" t="str">
        <v>JJJ</v>
      </c>
      <c r="J444" s="115">
        <v>10</v>
      </c>
      <c r="K444" s="115" t="str">
        <v>)</v>
      </c>
    </row>
    <row r="445" spans="4:11" x14ac:dyDescent="0.3">
      <c r="D445" s="115" t="str">
        <v>X-009</v>
      </c>
      <c r="E445" s="115">
        <v>9</v>
      </c>
      <c r="F445" s="115" t="str">
        <v>(</v>
      </c>
      <c r="G445" s="115" t="str">
        <v>nine</v>
      </c>
      <c r="H445" s="115" t="str">
        <v>X-009</v>
      </c>
      <c r="I445" s="115" t="str">
        <v>III</v>
      </c>
      <c r="J445" s="115">
        <v>9</v>
      </c>
      <c r="K445" s="115" t="str">
        <v>(</v>
      </c>
    </row>
    <row r="446" spans="4:11" x14ac:dyDescent="0.3">
      <c r="D446" s="115" t="str">
        <v>X-008</v>
      </c>
      <c r="E446" s="115">
        <v>8</v>
      </c>
      <c r="F446" s="115" t="str">
        <v>*</v>
      </c>
      <c r="G446" s="115" t="str">
        <v>eight</v>
      </c>
      <c r="H446" s="115" t="str">
        <v>X-008</v>
      </c>
      <c r="I446" s="115" t="str">
        <v>HHH</v>
      </c>
      <c r="J446" s="115">
        <v>8</v>
      </c>
      <c r="K446" s="115" t="str">
        <v>*</v>
      </c>
    </row>
    <row r="447" spans="4:11" x14ac:dyDescent="0.3">
      <c r="D447" s="115" t="str">
        <v>X-007</v>
      </c>
      <c r="E447" s="115">
        <v>7</v>
      </c>
      <c r="F447" s="115" t="str">
        <v>&amp;</v>
      </c>
      <c r="G447" s="115" t="str">
        <v>seven</v>
      </c>
      <c r="H447" s="115" t="str">
        <v>X-007</v>
      </c>
      <c r="I447" s="115" t="str">
        <v>GGG</v>
      </c>
      <c r="J447" s="115">
        <v>7</v>
      </c>
      <c r="K447" s="115" t="str">
        <v>&amp;</v>
      </c>
    </row>
    <row r="448" spans="4:11" x14ac:dyDescent="0.3">
      <c r="D448" s="115" t="str">
        <v>X-006</v>
      </c>
      <c r="E448" s="115">
        <v>6</v>
      </c>
      <c r="F448" s="115" t="str">
        <v>^</v>
      </c>
      <c r="G448" s="115" t="str">
        <v>six</v>
      </c>
      <c r="H448" s="115" t="str">
        <v>X-006</v>
      </c>
      <c r="I448" s="115" t="str">
        <v>FFF</v>
      </c>
      <c r="J448" s="115">
        <v>6</v>
      </c>
      <c r="K448" s="115" t="str">
        <v>^</v>
      </c>
    </row>
    <row r="449" spans="3:11" x14ac:dyDescent="0.3">
      <c r="D449" s="115" t="e">
        <v>#N/A</v>
      </c>
      <c r="E449" s="115" t="e">
        <v>#N/A</v>
      </c>
      <c r="F449" s="115" t="e">
        <v>#N/A</v>
      </c>
      <c r="G449" s="115" t="e">
        <v>#N/A</v>
      </c>
      <c r="H449" s="115" t="str">
        <v>X-005</v>
      </c>
      <c r="I449" s="115" t="str">
        <v>EEE</v>
      </c>
      <c r="J449" s="115">
        <v>5</v>
      </c>
      <c r="K449" s="115" t="str">
        <v>%</v>
      </c>
    </row>
    <row r="450" spans="3:11" x14ac:dyDescent="0.3">
      <c r="D450" s="115" t="str">
        <v>X-004</v>
      </c>
      <c r="E450" s="115">
        <v>4</v>
      </c>
      <c r="F450" s="115" t="str">
        <v>$</v>
      </c>
      <c r="G450" s="115" t="str">
        <v>four</v>
      </c>
      <c r="H450" s="115" t="str">
        <v>X-004</v>
      </c>
      <c r="I450" s="115" t="str">
        <v>DDD</v>
      </c>
      <c r="J450" s="115">
        <v>4</v>
      </c>
      <c r="K450" s="115" t="str">
        <v>$</v>
      </c>
    </row>
    <row r="451" spans="3:11" x14ac:dyDescent="0.3">
      <c r="D451" s="115" t="e">
        <v>#N/A</v>
      </c>
      <c r="E451" s="115" t="e">
        <v>#N/A</v>
      </c>
      <c r="F451" s="115" t="e">
        <v>#N/A</v>
      </c>
      <c r="G451" s="115" t="e">
        <v>#N/A</v>
      </c>
      <c r="H451" s="115" t="str">
        <v>X-003</v>
      </c>
      <c r="I451" s="115" t="str">
        <v>CCC</v>
      </c>
      <c r="J451" s="115">
        <v>3</v>
      </c>
      <c r="K451" s="115" t="str">
        <v>£</v>
      </c>
    </row>
    <row r="452" spans="3:11" x14ac:dyDescent="0.3">
      <c r="D452" s="115" t="str">
        <v>X-002</v>
      </c>
      <c r="E452" s="115">
        <v>2</v>
      </c>
      <c r="F452" s="115" t="str">
        <v>"</v>
      </c>
      <c r="G452" s="115" t="str">
        <v>two</v>
      </c>
      <c r="H452" s="115" t="str">
        <v>X-002</v>
      </c>
      <c r="I452" s="115" t="str">
        <v>BBB</v>
      </c>
      <c r="J452" s="115">
        <v>2</v>
      </c>
      <c r="K452" s="115" t="str">
        <v>"</v>
      </c>
    </row>
    <row r="453" spans="3:11" x14ac:dyDescent="0.3">
      <c r="D453" s="115" t="str">
        <v>X-001</v>
      </c>
      <c r="E453" s="115">
        <v>1</v>
      </c>
      <c r="F453" s="115" t="str">
        <v>!</v>
      </c>
      <c r="G453" s="115" t="str">
        <v>one</v>
      </c>
      <c r="H453" s="115" t="str">
        <v>X-001</v>
      </c>
      <c r="I453" s="115" t="str">
        <v>AAA</v>
      </c>
      <c r="J453" s="115">
        <v>1</v>
      </c>
      <c r="K453" s="115" t="str">
        <v>!</v>
      </c>
    </row>
    <row r="454" spans="3:11" x14ac:dyDescent="0.3">
      <c r="D454" s="52" t="str">
        <f ca="1" xml:space="preserve"> _xlfn.FORMULATEXT(D442)</f>
        <v>= RXL_Data.Join($I$230:$L$239, $D$230:$G$239, 1, 1, 3, , , -1)</v>
      </c>
    </row>
    <row r="457" spans="3:11" x14ac:dyDescent="0.3">
      <c r="C457" s="14" t="s">
        <v>1204</v>
      </c>
    </row>
    <row r="458" spans="3:11" x14ac:dyDescent="0.3">
      <c r="D458" t="s">
        <v>1487</v>
      </c>
    </row>
    <row r="459" spans="3:11" x14ac:dyDescent="0.3">
      <c r="D459" t="s">
        <v>1500</v>
      </c>
    </row>
    <row r="460" spans="3:11" x14ac:dyDescent="0.3">
      <c r="D460" t="s">
        <v>1504</v>
      </c>
    </row>
    <row r="461" spans="3:11" ht="14.4" thickBot="1" x14ac:dyDescent="0.35">
      <c r="D461" s="51" t="s">
        <v>1220</v>
      </c>
      <c r="E461" s="51" t="s">
        <v>1047</v>
      </c>
      <c r="F461" s="51" t="s">
        <v>1048</v>
      </c>
      <c r="G461" s="51" t="s">
        <v>1222</v>
      </c>
      <c r="H461" s="51" t="s">
        <v>1223</v>
      </c>
      <c r="I461" s="51"/>
      <c r="J461" s="51"/>
      <c r="K461" s="51"/>
    </row>
    <row r="462" spans="3:11" x14ac:dyDescent="0.3">
      <c r="D462" s="114" t="str" cm="1">
        <f t="array" ref="D462:H473" xml:space="preserve"> RXL_Data.Join($D$230:$G$239, $I$230:$L$239, 1, 1, "full", {1,2,3}, {3,4}, TRUE, FALSE)</f>
        <v>X-001</v>
      </c>
      <c r="E462" s="115" t="str">
        <v>AAA</v>
      </c>
      <c r="F462" s="115">
        <v>1</v>
      </c>
      <c r="G462" s="115" t="str">
        <v>!</v>
      </c>
      <c r="H462" s="115" t="str">
        <v>one</v>
      </c>
      <c r="I462" s="115"/>
      <c r="J462" s="115"/>
      <c r="K462" s="115"/>
    </row>
    <row r="463" spans="3:11" x14ac:dyDescent="0.3">
      <c r="D463" s="115" t="str">
        <v>X-002</v>
      </c>
      <c r="E463" s="115" t="str">
        <v>BBB</v>
      </c>
      <c r="F463" s="115">
        <v>2</v>
      </c>
      <c r="G463" s="115" t="str">
        <v>"</v>
      </c>
      <c r="H463" s="115" t="str">
        <v>two</v>
      </c>
      <c r="I463" s="115"/>
      <c r="J463" s="115"/>
      <c r="K463" s="115"/>
    </row>
    <row r="464" spans="3:11" x14ac:dyDescent="0.3">
      <c r="D464" s="115" t="str">
        <v>X-003</v>
      </c>
      <c r="E464" s="115" t="str">
        <v>CCC</v>
      </c>
      <c r="F464" s="115">
        <v>3</v>
      </c>
      <c r="G464" s="115" t="e">
        <v>#N/A</v>
      </c>
      <c r="H464" s="115" t="e">
        <v>#N/A</v>
      </c>
      <c r="I464" s="115"/>
      <c r="J464" s="115"/>
      <c r="K464" s="115"/>
    </row>
    <row r="465" spans="4:11" x14ac:dyDescent="0.3">
      <c r="D465" s="115" t="str">
        <v>X-004</v>
      </c>
      <c r="E465" s="115" t="str">
        <v>DDD</v>
      </c>
      <c r="F465" s="115">
        <v>4</v>
      </c>
      <c r="G465" s="115" t="str">
        <v>$</v>
      </c>
      <c r="H465" s="115" t="str">
        <v>four</v>
      </c>
      <c r="I465" s="115"/>
      <c r="J465" s="115"/>
      <c r="K465" s="115"/>
    </row>
    <row r="466" spans="4:11" x14ac:dyDescent="0.3">
      <c r="D466" s="115" t="str">
        <v>X-005</v>
      </c>
      <c r="E466" s="115" t="str">
        <v>EEE</v>
      </c>
      <c r="F466" s="115">
        <v>5</v>
      </c>
      <c r="G466" s="115" t="e">
        <v>#N/A</v>
      </c>
      <c r="H466" s="115" t="e">
        <v>#N/A</v>
      </c>
      <c r="I466" s="115"/>
      <c r="J466" s="115"/>
      <c r="K466" s="115"/>
    </row>
    <row r="467" spans="4:11" x14ac:dyDescent="0.3">
      <c r="D467" s="115" t="str">
        <v>X-006</v>
      </c>
      <c r="E467" s="115" t="str">
        <v>FFF</v>
      </c>
      <c r="F467" s="115">
        <v>6</v>
      </c>
      <c r="G467" s="115" t="str">
        <v>^</v>
      </c>
      <c r="H467" s="115" t="str">
        <v>six</v>
      </c>
      <c r="I467" s="115"/>
      <c r="J467" s="115"/>
      <c r="K467" s="115"/>
    </row>
    <row r="468" spans="4:11" x14ac:dyDescent="0.3">
      <c r="D468" s="115" t="str">
        <v>X-007</v>
      </c>
      <c r="E468" s="115" t="str">
        <v>GGG</v>
      </c>
      <c r="F468" s="115">
        <v>7</v>
      </c>
      <c r="G468" s="115" t="str">
        <v>&amp;</v>
      </c>
      <c r="H468" s="115" t="str">
        <v>seven</v>
      </c>
      <c r="I468" s="115"/>
      <c r="J468" s="115"/>
      <c r="K468" s="115"/>
    </row>
    <row r="469" spans="4:11" x14ac:dyDescent="0.3">
      <c r="D469" s="115" t="str">
        <v>X-008</v>
      </c>
      <c r="E469" s="115" t="str">
        <v>HHH</v>
      </c>
      <c r="F469" s="115">
        <v>8</v>
      </c>
      <c r="G469" s="115" t="str">
        <v>*</v>
      </c>
      <c r="H469" s="115" t="str">
        <v>eight</v>
      </c>
      <c r="I469" s="115"/>
      <c r="J469" s="115"/>
      <c r="K469" s="115"/>
    </row>
    <row r="470" spans="4:11" x14ac:dyDescent="0.3">
      <c r="D470" s="115" t="str">
        <v>X-009</v>
      </c>
      <c r="E470" s="115" t="str">
        <v>III</v>
      </c>
      <c r="F470" s="115">
        <v>9</v>
      </c>
      <c r="G470" s="115" t="str">
        <v>(</v>
      </c>
      <c r="H470" s="115" t="str">
        <v>nine</v>
      </c>
      <c r="I470" s="115"/>
      <c r="J470" s="115"/>
      <c r="K470" s="115"/>
    </row>
    <row r="471" spans="4:11" x14ac:dyDescent="0.3">
      <c r="D471" s="115" t="str">
        <v>X-010</v>
      </c>
      <c r="E471" s="115" t="str">
        <v>JJJ</v>
      </c>
      <c r="F471" s="115">
        <v>10</v>
      </c>
      <c r="G471" s="115" t="str">
        <v>)</v>
      </c>
      <c r="H471" s="115" t="str">
        <v>ten</v>
      </c>
      <c r="I471" s="115"/>
      <c r="J471" s="115"/>
      <c r="K471" s="115"/>
    </row>
    <row r="472" spans="4:11" x14ac:dyDescent="0.3">
      <c r="D472" s="115" t="e">
        <v>#N/A</v>
      </c>
      <c r="E472" s="115" t="e">
        <v>#N/A</v>
      </c>
      <c r="F472" s="115" t="e">
        <v>#N/A</v>
      </c>
      <c r="G472" s="115" t="str">
        <v>~</v>
      </c>
      <c r="H472" s="115" t="str">
        <v>eleven</v>
      </c>
      <c r="I472" s="115"/>
      <c r="J472" s="115"/>
      <c r="K472" s="115"/>
    </row>
    <row r="473" spans="4:11" x14ac:dyDescent="0.3">
      <c r="D473" s="115" t="e">
        <v>#N/A</v>
      </c>
      <c r="E473" s="115" t="e">
        <v>#N/A</v>
      </c>
      <c r="F473" s="115" t="e">
        <v>#N/A</v>
      </c>
      <c r="G473" s="115" t="str">
        <v>@</v>
      </c>
      <c r="H473" s="115" t="str">
        <v>twelve</v>
      </c>
      <c r="I473" s="115"/>
      <c r="J473" s="115"/>
      <c r="K473" s="115"/>
    </row>
    <row r="474" spans="4:11" x14ac:dyDescent="0.3">
      <c r="D474" s="52" t="str">
        <f ca="1" xml:space="preserve"> _xlfn.FORMULATEXT(D462)</f>
        <v>= RXL_Data.Join($D$230:$G$239, $I$230:$L$239, 1, 1, "full", {1,2,3}, {3,4}, TRUE, FALSE)</v>
      </c>
    </row>
    <row r="476" spans="4:11" x14ac:dyDescent="0.3">
      <c r="D476" t="s">
        <v>1487</v>
      </c>
    </row>
    <row r="477" spans="4:11" x14ac:dyDescent="0.3">
      <c r="D477" t="s">
        <v>1500</v>
      </c>
    </row>
    <row r="478" spans="4:11" x14ac:dyDescent="0.3">
      <c r="D478" t="s">
        <v>1505</v>
      </c>
    </row>
    <row r="479" spans="4:11" ht="14.4" thickBot="1" x14ac:dyDescent="0.35">
      <c r="D479" s="51" t="s">
        <v>1220</v>
      </c>
      <c r="E479" s="51" t="s">
        <v>1047</v>
      </c>
      <c r="F479" s="51" t="s">
        <v>1048</v>
      </c>
      <c r="G479" s="51" t="s">
        <v>1222</v>
      </c>
      <c r="H479" s="51" t="s">
        <v>1223</v>
      </c>
      <c r="I479" s="51"/>
      <c r="J479" s="51"/>
      <c r="K479" s="51"/>
    </row>
    <row r="480" spans="4:11" x14ac:dyDescent="0.3">
      <c r="D480" s="114" t="str" cm="1">
        <f t="array" ref="D480:H491" xml:space="preserve"> RXL_Data.Join($D$230:$G$239, $I$230:$L$239, 1, 1, "full", {1,2,3}, {3,4}, TRUE, TRUE)</f>
        <v>X-001</v>
      </c>
      <c r="E480" s="115" t="str">
        <v>AAA</v>
      </c>
      <c r="F480" s="115">
        <v>1</v>
      </c>
      <c r="G480" s="115" t="str">
        <v>!</v>
      </c>
      <c r="H480" s="115" t="str">
        <v>one</v>
      </c>
      <c r="I480" s="115"/>
      <c r="J480" s="115"/>
      <c r="K480" s="115"/>
    </row>
    <row r="481" spans="4:11" x14ac:dyDescent="0.3">
      <c r="D481" s="115" t="str">
        <v>X-002</v>
      </c>
      <c r="E481" s="115" t="str">
        <v>BBB</v>
      </c>
      <c r="F481" s="115">
        <v>2</v>
      </c>
      <c r="G481" s="115" t="str">
        <v>"</v>
      </c>
      <c r="H481" s="115" t="str">
        <v>two</v>
      </c>
      <c r="I481" s="115"/>
      <c r="J481" s="115"/>
      <c r="K481" s="115"/>
    </row>
    <row r="482" spans="4:11" x14ac:dyDescent="0.3">
      <c r="D482" s="115" t="str">
        <v>X-003</v>
      </c>
      <c r="E482" s="115" t="str">
        <v>CCC</v>
      </c>
      <c r="F482" s="115">
        <v>3</v>
      </c>
      <c r="G482" s="115" t="str">
        <v/>
      </c>
      <c r="H482" s="115" t="str">
        <v/>
      </c>
      <c r="I482" s="115"/>
      <c r="J482" s="115"/>
      <c r="K482" s="115"/>
    </row>
    <row r="483" spans="4:11" x14ac:dyDescent="0.3">
      <c r="D483" s="115" t="str">
        <v>X-004</v>
      </c>
      <c r="E483" s="115" t="str">
        <v>DDD</v>
      </c>
      <c r="F483" s="115">
        <v>4</v>
      </c>
      <c r="G483" s="115" t="str">
        <v>$</v>
      </c>
      <c r="H483" s="115" t="str">
        <v>four</v>
      </c>
      <c r="I483" s="115"/>
      <c r="J483" s="115"/>
      <c r="K483" s="115"/>
    </row>
    <row r="484" spans="4:11" x14ac:dyDescent="0.3">
      <c r="D484" s="115" t="str">
        <v>X-005</v>
      </c>
      <c r="E484" s="115" t="str">
        <v>EEE</v>
      </c>
      <c r="F484" s="115">
        <v>5</v>
      </c>
      <c r="G484" s="115" t="str">
        <v/>
      </c>
      <c r="H484" s="115" t="str">
        <v/>
      </c>
      <c r="I484" s="115"/>
      <c r="J484" s="115"/>
      <c r="K484" s="115"/>
    </row>
    <row r="485" spans="4:11" x14ac:dyDescent="0.3">
      <c r="D485" s="115" t="str">
        <v>X-006</v>
      </c>
      <c r="E485" s="115" t="str">
        <v>FFF</v>
      </c>
      <c r="F485" s="115">
        <v>6</v>
      </c>
      <c r="G485" s="115" t="str">
        <v>^</v>
      </c>
      <c r="H485" s="115" t="str">
        <v>six</v>
      </c>
      <c r="I485" s="115"/>
      <c r="J485" s="115"/>
      <c r="K485" s="115"/>
    </row>
    <row r="486" spans="4:11" x14ac:dyDescent="0.3">
      <c r="D486" s="115" t="str">
        <v>X-007</v>
      </c>
      <c r="E486" s="115" t="str">
        <v>GGG</v>
      </c>
      <c r="F486" s="115">
        <v>7</v>
      </c>
      <c r="G486" s="115" t="str">
        <v>&amp;</v>
      </c>
      <c r="H486" s="115" t="str">
        <v>seven</v>
      </c>
      <c r="I486" s="115"/>
      <c r="J486" s="115"/>
      <c r="K486" s="115"/>
    </row>
    <row r="487" spans="4:11" x14ac:dyDescent="0.3">
      <c r="D487" s="115" t="str">
        <v>X-008</v>
      </c>
      <c r="E487" s="115" t="str">
        <v>HHH</v>
      </c>
      <c r="F487" s="115">
        <v>8</v>
      </c>
      <c r="G487" s="115" t="str">
        <v>*</v>
      </c>
      <c r="H487" s="115" t="str">
        <v>eight</v>
      </c>
      <c r="I487" s="115"/>
      <c r="J487" s="115"/>
      <c r="K487" s="115"/>
    </row>
    <row r="488" spans="4:11" x14ac:dyDescent="0.3">
      <c r="D488" s="115" t="str">
        <v>X-009</v>
      </c>
      <c r="E488" s="115" t="str">
        <v>III</v>
      </c>
      <c r="F488" s="115">
        <v>9</v>
      </c>
      <c r="G488" s="115" t="str">
        <v>(</v>
      </c>
      <c r="H488" s="115" t="str">
        <v>nine</v>
      </c>
      <c r="I488" s="115"/>
      <c r="J488" s="115"/>
      <c r="K488" s="115"/>
    </row>
    <row r="489" spans="4:11" x14ac:dyDescent="0.3">
      <c r="D489" s="115" t="str">
        <v>X-010</v>
      </c>
      <c r="E489" s="115" t="str">
        <v>JJJ</v>
      </c>
      <c r="F489" s="115">
        <v>10</v>
      </c>
      <c r="G489" s="115" t="str">
        <v>)</v>
      </c>
      <c r="H489" s="115" t="str">
        <v>ten</v>
      </c>
      <c r="I489" s="115"/>
      <c r="J489" s="115"/>
      <c r="K489" s="115"/>
    </row>
    <row r="490" spans="4:11" x14ac:dyDescent="0.3">
      <c r="D490" s="115" t="str">
        <v/>
      </c>
      <c r="E490" s="115" t="str">
        <v/>
      </c>
      <c r="F490" s="115" t="str">
        <v/>
      </c>
      <c r="G490" s="115" t="str">
        <v>~</v>
      </c>
      <c r="H490" s="115" t="str">
        <v>eleven</v>
      </c>
      <c r="I490" s="115"/>
      <c r="J490" s="115"/>
      <c r="K490" s="115"/>
    </row>
    <row r="491" spans="4:11" x14ac:dyDescent="0.3">
      <c r="D491" s="115" t="str">
        <v/>
      </c>
      <c r="E491" s="115" t="str">
        <v/>
      </c>
      <c r="F491" s="115" t="str">
        <v/>
      </c>
      <c r="G491" s="115" t="str">
        <v>@</v>
      </c>
      <c r="H491" s="115" t="str">
        <v>twelve</v>
      </c>
      <c r="I491" s="115"/>
      <c r="J491" s="115"/>
      <c r="K491" s="115"/>
    </row>
    <row r="492" spans="4:11" x14ac:dyDescent="0.3">
      <c r="D492" s="52" t="str">
        <f ca="1" xml:space="preserve"> _xlfn.FORMULATEXT(D480)</f>
        <v>= RXL_Data.Join($D$230:$G$239, $I$230:$L$239, 1, 1, "full", {1,2,3}, {3,4}, TRUE, TRUE)</v>
      </c>
    </row>
    <row r="494" spans="4:11" x14ac:dyDescent="0.3">
      <c r="D494" t="s">
        <v>1487</v>
      </c>
    </row>
    <row r="495" spans="4:11" x14ac:dyDescent="0.3">
      <c r="D495" t="s">
        <v>1500</v>
      </c>
    </row>
    <row r="496" spans="4:11" x14ac:dyDescent="0.3">
      <c r="D496" t="s">
        <v>1506</v>
      </c>
    </row>
    <row r="497" spans="4:11" ht="14.4" thickBot="1" x14ac:dyDescent="0.35">
      <c r="D497" s="51" t="s">
        <v>1220</v>
      </c>
      <c r="E497" s="51" t="s">
        <v>1047</v>
      </c>
      <c r="F497" s="51" t="s">
        <v>1048</v>
      </c>
      <c r="G497" s="51" t="s">
        <v>1222</v>
      </c>
      <c r="H497" s="51" t="s">
        <v>1223</v>
      </c>
      <c r="I497" s="51"/>
      <c r="J497" s="51"/>
      <c r="K497" s="51"/>
    </row>
    <row r="498" spans="4:11" x14ac:dyDescent="0.3">
      <c r="D498" s="114" t="str" cm="1">
        <f t="array" ref="D498:H509" xml:space="preserve"> RXL_Data.Join($D$230:$G$239, $I$230:$L$239, 1, 1, "full", {1,2,3}, {3,4}, TRUE, "(null)")</f>
        <v>X-001</v>
      </c>
      <c r="E498" s="115" t="str">
        <v>AAA</v>
      </c>
      <c r="F498" s="115">
        <v>1</v>
      </c>
      <c r="G498" s="115" t="str">
        <v>!</v>
      </c>
      <c r="H498" s="115" t="str">
        <v>one</v>
      </c>
      <c r="I498" s="115"/>
      <c r="J498" s="115"/>
      <c r="K498" s="115"/>
    </row>
    <row r="499" spans="4:11" x14ac:dyDescent="0.3">
      <c r="D499" s="115" t="str">
        <v>X-002</v>
      </c>
      <c r="E499" s="115" t="str">
        <v>BBB</v>
      </c>
      <c r="F499" s="115">
        <v>2</v>
      </c>
      <c r="G499" s="115" t="str">
        <v>"</v>
      </c>
      <c r="H499" s="115" t="str">
        <v>two</v>
      </c>
      <c r="I499" s="115"/>
      <c r="J499" s="115"/>
      <c r="K499" s="115"/>
    </row>
    <row r="500" spans="4:11" x14ac:dyDescent="0.3">
      <c r="D500" s="115" t="str">
        <v>X-003</v>
      </c>
      <c r="E500" s="115" t="str">
        <v>CCC</v>
      </c>
      <c r="F500" s="115">
        <v>3</v>
      </c>
      <c r="G500" s="115" t="str">
        <v>(null)</v>
      </c>
      <c r="H500" s="115" t="str">
        <v>(null)</v>
      </c>
      <c r="I500" s="115"/>
      <c r="J500" s="115"/>
      <c r="K500" s="115"/>
    </row>
    <row r="501" spans="4:11" x14ac:dyDescent="0.3">
      <c r="D501" s="115" t="str">
        <v>X-004</v>
      </c>
      <c r="E501" s="115" t="str">
        <v>DDD</v>
      </c>
      <c r="F501" s="115">
        <v>4</v>
      </c>
      <c r="G501" s="115" t="str">
        <v>$</v>
      </c>
      <c r="H501" s="115" t="str">
        <v>four</v>
      </c>
      <c r="I501" s="115"/>
      <c r="J501" s="115"/>
      <c r="K501" s="115"/>
    </row>
    <row r="502" spans="4:11" x14ac:dyDescent="0.3">
      <c r="D502" s="115" t="str">
        <v>X-005</v>
      </c>
      <c r="E502" s="115" t="str">
        <v>EEE</v>
      </c>
      <c r="F502" s="115">
        <v>5</v>
      </c>
      <c r="G502" s="115" t="str">
        <v>(null)</v>
      </c>
      <c r="H502" s="115" t="str">
        <v>(null)</v>
      </c>
      <c r="I502" s="115"/>
      <c r="J502" s="115"/>
      <c r="K502" s="115"/>
    </row>
    <row r="503" spans="4:11" x14ac:dyDescent="0.3">
      <c r="D503" s="115" t="str">
        <v>X-006</v>
      </c>
      <c r="E503" s="115" t="str">
        <v>FFF</v>
      </c>
      <c r="F503" s="115">
        <v>6</v>
      </c>
      <c r="G503" s="115" t="str">
        <v>^</v>
      </c>
      <c r="H503" s="115" t="str">
        <v>six</v>
      </c>
      <c r="I503" s="115"/>
      <c r="J503" s="115"/>
      <c r="K503" s="115"/>
    </row>
    <row r="504" spans="4:11" x14ac:dyDescent="0.3">
      <c r="D504" s="115" t="str">
        <v>X-007</v>
      </c>
      <c r="E504" s="115" t="str">
        <v>GGG</v>
      </c>
      <c r="F504" s="115">
        <v>7</v>
      </c>
      <c r="G504" s="115" t="str">
        <v>&amp;</v>
      </c>
      <c r="H504" s="115" t="str">
        <v>seven</v>
      </c>
      <c r="I504" s="115"/>
      <c r="J504" s="115"/>
      <c r="K504" s="115"/>
    </row>
    <row r="505" spans="4:11" x14ac:dyDescent="0.3">
      <c r="D505" s="115" t="str">
        <v>X-008</v>
      </c>
      <c r="E505" s="115" t="str">
        <v>HHH</v>
      </c>
      <c r="F505" s="115">
        <v>8</v>
      </c>
      <c r="G505" s="115" t="str">
        <v>*</v>
      </c>
      <c r="H505" s="115" t="str">
        <v>eight</v>
      </c>
      <c r="I505" s="115"/>
      <c r="J505" s="115"/>
      <c r="K505" s="115"/>
    </row>
    <row r="506" spans="4:11" x14ac:dyDescent="0.3">
      <c r="D506" s="115" t="str">
        <v>X-009</v>
      </c>
      <c r="E506" s="115" t="str">
        <v>III</v>
      </c>
      <c r="F506" s="115">
        <v>9</v>
      </c>
      <c r="G506" s="115" t="str">
        <v>(</v>
      </c>
      <c r="H506" s="115" t="str">
        <v>nine</v>
      </c>
      <c r="I506" s="115"/>
      <c r="J506" s="115"/>
      <c r="K506" s="115"/>
    </row>
    <row r="507" spans="4:11" x14ac:dyDescent="0.3">
      <c r="D507" s="115" t="str">
        <v>X-010</v>
      </c>
      <c r="E507" s="115" t="str">
        <v>JJJ</v>
      </c>
      <c r="F507" s="115">
        <v>10</v>
      </c>
      <c r="G507" s="115" t="str">
        <v>)</v>
      </c>
      <c r="H507" s="115" t="str">
        <v>ten</v>
      </c>
      <c r="I507" s="115"/>
      <c r="J507" s="115"/>
      <c r="K507" s="115"/>
    </row>
    <row r="508" spans="4:11" x14ac:dyDescent="0.3">
      <c r="D508" s="115" t="str">
        <v>(null)</v>
      </c>
      <c r="E508" s="115" t="str">
        <v>(null)</v>
      </c>
      <c r="F508" s="115" t="str">
        <v>(null)</v>
      </c>
      <c r="G508" s="115" t="str">
        <v>~</v>
      </c>
      <c r="H508" s="115" t="str">
        <v>eleven</v>
      </c>
      <c r="I508" s="115"/>
      <c r="J508" s="115"/>
      <c r="K508" s="115"/>
    </row>
    <row r="509" spans="4:11" x14ac:dyDescent="0.3">
      <c r="D509" s="115" t="str">
        <v>(null)</v>
      </c>
      <c r="E509" s="115" t="str">
        <v>(null)</v>
      </c>
      <c r="F509" s="115" t="str">
        <v>(null)</v>
      </c>
      <c r="G509" s="115" t="str">
        <v>@</v>
      </c>
      <c r="H509" s="115" t="str">
        <v>twelve</v>
      </c>
      <c r="I509" s="115"/>
      <c r="J509" s="115"/>
      <c r="K509" s="115"/>
    </row>
    <row r="510" spans="4:11" x14ac:dyDescent="0.3">
      <c r="D510" s="52" t="str">
        <f ca="1" xml:space="preserve"> _xlfn.FORMULATEXT(D498)</f>
        <v>= RXL_Data.Join($D$230:$G$239, $I$230:$L$239, 1, 1, "full", {1,2,3}, {3,4}, TRUE, "(null)")</v>
      </c>
    </row>
    <row r="512" spans="4:11" x14ac:dyDescent="0.3">
      <c r="D512" t="s">
        <v>1487</v>
      </c>
    </row>
    <row r="513" spans="4:11" x14ac:dyDescent="0.3">
      <c r="D513" s="30" t="s">
        <v>1500</v>
      </c>
    </row>
    <row r="514" spans="4:11" x14ac:dyDescent="0.3">
      <c r="D514" s="30" t="s">
        <v>1507</v>
      </c>
    </row>
    <row r="515" spans="4:11" ht="14.4" thickBot="1" x14ac:dyDescent="0.35">
      <c r="D515" s="51" t="s">
        <v>1220</v>
      </c>
      <c r="E515" s="51" t="s">
        <v>1047</v>
      </c>
      <c r="F515" s="51" t="s">
        <v>1048</v>
      </c>
      <c r="G515" s="51" t="s">
        <v>1222</v>
      </c>
      <c r="H515" s="51" t="s">
        <v>1223</v>
      </c>
      <c r="I515" s="51"/>
      <c r="J515" s="51"/>
      <c r="K515" s="51"/>
    </row>
    <row r="516" spans="4:11" x14ac:dyDescent="0.3">
      <c r="D516" s="114" t="str" cm="1">
        <f t="array" ref="D516:H527" xml:space="preserve"> RXL_Data.Join($D$230:$G$239, $I$230:$L$239, 1, 1, "full", {1,2,3}, {3,4}, TRUE, 0)</f>
        <v>X-001</v>
      </c>
      <c r="E516" s="115" t="str">
        <v>AAA</v>
      </c>
      <c r="F516" s="115">
        <v>1</v>
      </c>
      <c r="G516" s="115" t="str">
        <v>!</v>
      </c>
      <c r="H516" s="115" t="str">
        <v>one</v>
      </c>
      <c r="I516" s="115"/>
      <c r="J516" s="115"/>
      <c r="K516" s="115"/>
    </row>
    <row r="517" spans="4:11" x14ac:dyDescent="0.3">
      <c r="D517" s="115" t="str">
        <v>X-002</v>
      </c>
      <c r="E517" s="115" t="str">
        <v>BBB</v>
      </c>
      <c r="F517" s="115">
        <v>2</v>
      </c>
      <c r="G517" s="115" t="str">
        <v>"</v>
      </c>
      <c r="H517" s="115" t="str">
        <v>two</v>
      </c>
      <c r="I517" s="115"/>
      <c r="J517" s="115"/>
      <c r="K517" s="115"/>
    </row>
    <row r="518" spans="4:11" x14ac:dyDescent="0.3">
      <c r="D518" s="115" t="str">
        <v>X-003</v>
      </c>
      <c r="E518" s="115" t="str">
        <v>CCC</v>
      </c>
      <c r="F518" s="115">
        <v>3</v>
      </c>
      <c r="G518" s="115">
        <v>0</v>
      </c>
      <c r="H518" s="115">
        <v>0</v>
      </c>
      <c r="I518" s="115"/>
      <c r="J518" s="115"/>
      <c r="K518" s="115"/>
    </row>
    <row r="519" spans="4:11" x14ac:dyDescent="0.3">
      <c r="D519" s="115" t="str">
        <v>X-004</v>
      </c>
      <c r="E519" s="115" t="str">
        <v>DDD</v>
      </c>
      <c r="F519" s="115">
        <v>4</v>
      </c>
      <c r="G519" s="115" t="str">
        <v>$</v>
      </c>
      <c r="H519" s="115" t="str">
        <v>four</v>
      </c>
      <c r="I519" s="115"/>
      <c r="J519" s="115"/>
      <c r="K519" s="115"/>
    </row>
    <row r="520" spans="4:11" x14ac:dyDescent="0.3">
      <c r="D520" s="115" t="str">
        <v>X-005</v>
      </c>
      <c r="E520" s="115" t="str">
        <v>EEE</v>
      </c>
      <c r="F520" s="115">
        <v>5</v>
      </c>
      <c r="G520" s="115">
        <v>0</v>
      </c>
      <c r="H520" s="115">
        <v>0</v>
      </c>
      <c r="I520" s="115"/>
      <c r="J520" s="115"/>
      <c r="K520" s="115"/>
    </row>
    <row r="521" spans="4:11" x14ac:dyDescent="0.3">
      <c r="D521" s="115" t="str">
        <v>X-006</v>
      </c>
      <c r="E521" s="115" t="str">
        <v>FFF</v>
      </c>
      <c r="F521" s="115">
        <v>6</v>
      </c>
      <c r="G521" s="115" t="str">
        <v>^</v>
      </c>
      <c r="H521" s="115" t="str">
        <v>six</v>
      </c>
      <c r="I521" s="115"/>
      <c r="J521" s="115"/>
      <c r="K521" s="115"/>
    </row>
    <row r="522" spans="4:11" x14ac:dyDescent="0.3">
      <c r="D522" s="115" t="str">
        <v>X-007</v>
      </c>
      <c r="E522" s="115" t="str">
        <v>GGG</v>
      </c>
      <c r="F522" s="115">
        <v>7</v>
      </c>
      <c r="G522" s="115" t="str">
        <v>&amp;</v>
      </c>
      <c r="H522" s="115" t="str">
        <v>seven</v>
      </c>
      <c r="I522" s="115"/>
      <c r="J522" s="115"/>
      <c r="K522" s="115"/>
    </row>
    <row r="523" spans="4:11" x14ac:dyDescent="0.3">
      <c r="D523" s="115" t="str">
        <v>X-008</v>
      </c>
      <c r="E523" s="115" t="str">
        <v>HHH</v>
      </c>
      <c r="F523" s="115">
        <v>8</v>
      </c>
      <c r="G523" s="115" t="str">
        <v>*</v>
      </c>
      <c r="H523" s="115" t="str">
        <v>eight</v>
      </c>
      <c r="I523" s="115"/>
      <c r="J523" s="115"/>
      <c r="K523" s="115"/>
    </row>
    <row r="524" spans="4:11" x14ac:dyDescent="0.3">
      <c r="D524" s="115" t="str">
        <v>X-009</v>
      </c>
      <c r="E524" s="115" t="str">
        <v>III</v>
      </c>
      <c r="F524" s="115">
        <v>9</v>
      </c>
      <c r="G524" s="115" t="str">
        <v>(</v>
      </c>
      <c r="H524" s="115" t="str">
        <v>nine</v>
      </c>
      <c r="I524" s="115"/>
      <c r="J524" s="115"/>
      <c r="K524" s="115"/>
    </row>
    <row r="525" spans="4:11" x14ac:dyDescent="0.3">
      <c r="D525" s="115" t="str">
        <v>X-010</v>
      </c>
      <c r="E525" s="115" t="str">
        <v>JJJ</v>
      </c>
      <c r="F525" s="115">
        <v>10</v>
      </c>
      <c r="G525" s="115" t="str">
        <v>)</v>
      </c>
      <c r="H525" s="115" t="str">
        <v>ten</v>
      </c>
      <c r="I525" s="115"/>
      <c r="J525" s="115"/>
      <c r="K525" s="115"/>
    </row>
    <row r="526" spans="4:11" x14ac:dyDescent="0.3">
      <c r="D526" s="115">
        <v>0</v>
      </c>
      <c r="E526" s="115">
        <v>0</v>
      </c>
      <c r="F526" s="115">
        <v>0</v>
      </c>
      <c r="G526" s="115" t="str">
        <v>~</v>
      </c>
      <c r="H526" s="115" t="str">
        <v>eleven</v>
      </c>
      <c r="I526" s="115"/>
      <c r="J526" s="115"/>
      <c r="K526" s="115"/>
    </row>
    <row r="527" spans="4:11" x14ac:dyDescent="0.3">
      <c r="D527" s="115">
        <v>0</v>
      </c>
      <c r="E527" s="115">
        <v>0</v>
      </c>
      <c r="F527" s="115">
        <v>0</v>
      </c>
      <c r="G527" s="115" t="str">
        <v>@</v>
      </c>
      <c r="H527" s="115" t="str">
        <v>twelve</v>
      </c>
      <c r="I527" s="115"/>
      <c r="J527" s="115"/>
      <c r="K527" s="115"/>
    </row>
    <row r="528" spans="4:11" x14ac:dyDescent="0.3">
      <c r="D528" s="52" t="str">
        <f ca="1" xml:space="preserve"> _xlfn.FORMULATEXT(D516)</f>
        <v>= RXL_Data.Join($D$230:$G$239, $I$230:$L$239, 1, 1, "full", {1,2,3}, {3,4}, TRUE, 0)</v>
      </c>
    </row>
    <row r="531" spans="2:20" x14ac:dyDescent="0.3">
      <c r="B531" s="28" t="s">
        <v>901</v>
      </c>
      <c r="C531" s="27"/>
      <c r="D531" s="27"/>
      <c r="E531" s="27"/>
      <c r="F531" s="27"/>
      <c r="G531" s="27"/>
      <c r="H531" s="27"/>
      <c r="I531" s="27"/>
      <c r="J531" s="27"/>
      <c r="K531" s="27"/>
      <c r="L531" s="27"/>
      <c r="M531" s="27"/>
      <c r="N531" s="27"/>
      <c r="O531" s="27"/>
      <c r="P531" s="27"/>
      <c r="Q531" s="27"/>
      <c r="R531" s="27"/>
      <c r="S531" s="27"/>
      <c r="T531" s="27"/>
    </row>
    <row r="533" spans="2:20" x14ac:dyDescent="0.3">
      <c r="D533" s="44" t="s">
        <v>168</v>
      </c>
      <c r="E533" t="s">
        <v>902</v>
      </c>
    </row>
    <row r="534" spans="2:20" x14ac:dyDescent="0.3">
      <c r="D534" s="44" t="s">
        <v>169</v>
      </c>
      <c r="E534" t="s">
        <v>903</v>
      </c>
    </row>
    <row r="535" spans="2:20" x14ac:dyDescent="0.3">
      <c r="E535" t="s">
        <v>904</v>
      </c>
    </row>
    <row r="536" spans="2:20" x14ac:dyDescent="0.3">
      <c r="D536" s="44" t="s">
        <v>327</v>
      </c>
      <c r="E536" s="103" t="s">
        <v>905</v>
      </c>
    </row>
    <row r="538" spans="2:20" x14ac:dyDescent="0.3">
      <c r="C538" s="14" t="s">
        <v>174</v>
      </c>
    </row>
    <row r="539" spans="2:20" ht="14.4" thickBot="1" x14ac:dyDescent="0.35">
      <c r="D539" s="21"/>
      <c r="E539" s="51" t="s">
        <v>906</v>
      </c>
      <c r="F539" s="51" t="s">
        <v>907</v>
      </c>
      <c r="G539" s="51" t="s">
        <v>908</v>
      </c>
      <c r="H539" s="51" t="s">
        <v>909</v>
      </c>
      <c r="I539" s="51" t="s">
        <v>910</v>
      </c>
      <c r="J539" s="51" t="s">
        <v>911</v>
      </c>
      <c r="K539" s="51" t="s">
        <v>912</v>
      </c>
      <c r="L539" s="51" t="s">
        <v>913</v>
      </c>
      <c r="M539" s="51" t="s">
        <v>914</v>
      </c>
      <c r="N539" s="51" t="s">
        <v>915</v>
      </c>
      <c r="O539" s="51" t="s">
        <v>916</v>
      </c>
      <c r="P539" s="51" t="s">
        <v>917</v>
      </c>
    </row>
    <row r="540" spans="2:20" x14ac:dyDescent="0.3">
      <c r="D540" s="109" t="s">
        <v>918</v>
      </c>
      <c r="E540" s="47">
        <v>6</v>
      </c>
      <c r="F540" s="47">
        <v>19</v>
      </c>
      <c r="G540" s="47">
        <v>29</v>
      </c>
      <c r="H540" s="47">
        <v>6</v>
      </c>
      <c r="I540" s="47">
        <v>10</v>
      </c>
      <c r="J540" s="47">
        <v>18</v>
      </c>
      <c r="K540" s="47">
        <v>28</v>
      </c>
      <c r="L540" s="47">
        <v>29</v>
      </c>
      <c r="M540" s="47">
        <v>12</v>
      </c>
      <c r="N540" s="47">
        <v>2</v>
      </c>
      <c r="O540" s="47">
        <v>28</v>
      </c>
      <c r="P540" s="47">
        <v>23</v>
      </c>
    </row>
    <row r="541" spans="2:20" x14ac:dyDescent="0.3">
      <c r="D541" s="109" t="s">
        <v>919</v>
      </c>
      <c r="E541" s="46">
        <v>8</v>
      </c>
      <c r="F541" s="46">
        <v>15</v>
      </c>
      <c r="G541" s="46">
        <v>20</v>
      </c>
      <c r="H541" s="46">
        <v>30</v>
      </c>
      <c r="I541" s="46">
        <v>25</v>
      </c>
      <c r="J541" s="46">
        <v>13</v>
      </c>
      <c r="K541" s="46">
        <v>30</v>
      </c>
      <c r="L541" s="46">
        <v>22</v>
      </c>
      <c r="M541" s="46">
        <v>15</v>
      </c>
      <c r="N541" s="46">
        <v>23</v>
      </c>
      <c r="O541" s="46">
        <v>12</v>
      </c>
      <c r="P541" s="46">
        <v>20</v>
      </c>
    </row>
    <row r="542" spans="2:20" x14ac:dyDescent="0.3">
      <c r="D542" s="109" t="s">
        <v>920</v>
      </c>
      <c r="E542" s="46">
        <v>23</v>
      </c>
      <c r="F542" s="46">
        <v>6</v>
      </c>
      <c r="G542" s="46">
        <v>16</v>
      </c>
      <c r="H542" s="46">
        <v>15</v>
      </c>
      <c r="I542" s="46">
        <v>26</v>
      </c>
      <c r="J542" s="46">
        <v>14</v>
      </c>
      <c r="K542" s="46">
        <v>27</v>
      </c>
      <c r="L542" s="46">
        <v>16</v>
      </c>
      <c r="M542" s="46">
        <v>21</v>
      </c>
      <c r="N542" s="46">
        <v>27</v>
      </c>
      <c r="O542" s="46">
        <v>30</v>
      </c>
      <c r="P542" s="46">
        <v>24</v>
      </c>
    </row>
    <row r="543" spans="2:20" x14ac:dyDescent="0.3">
      <c r="D543" s="109" t="s">
        <v>921</v>
      </c>
      <c r="E543" s="46">
        <v>5</v>
      </c>
      <c r="F543" s="46">
        <v>12</v>
      </c>
      <c r="G543" s="46">
        <v>28</v>
      </c>
      <c r="H543" s="46">
        <v>2</v>
      </c>
      <c r="I543" s="46">
        <v>10</v>
      </c>
      <c r="J543" s="46">
        <v>10</v>
      </c>
      <c r="K543" s="46">
        <v>27</v>
      </c>
      <c r="L543" s="46">
        <v>17</v>
      </c>
      <c r="M543" s="46">
        <v>24</v>
      </c>
      <c r="N543" s="46">
        <v>9</v>
      </c>
      <c r="O543" s="46">
        <v>1</v>
      </c>
      <c r="P543" s="46">
        <v>1</v>
      </c>
    </row>
    <row r="544" spans="2:20" x14ac:dyDescent="0.3">
      <c r="D544" s="109" t="s">
        <v>922</v>
      </c>
      <c r="E544" s="46">
        <v>12</v>
      </c>
      <c r="F544" s="46">
        <v>16</v>
      </c>
      <c r="G544" s="46">
        <v>20</v>
      </c>
      <c r="H544" s="46">
        <v>26</v>
      </c>
      <c r="I544" s="46">
        <v>23</v>
      </c>
      <c r="J544" s="46">
        <v>21</v>
      </c>
      <c r="K544" s="46">
        <v>8</v>
      </c>
      <c r="L544" s="46">
        <v>29</v>
      </c>
      <c r="M544" s="46">
        <v>8</v>
      </c>
      <c r="N544" s="46">
        <v>4</v>
      </c>
      <c r="O544" s="46">
        <v>30</v>
      </c>
      <c r="P544" s="46">
        <v>20</v>
      </c>
    </row>
    <row r="547" spans="3:11" x14ac:dyDescent="0.3">
      <c r="C547" s="14" t="s">
        <v>923</v>
      </c>
    </row>
    <row r="548" spans="3:11" ht="14.4" thickBot="1" x14ac:dyDescent="0.35">
      <c r="D548" s="105" t="s">
        <v>924</v>
      </c>
      <c r="E548" s="51" t="s">
        <v>225</v>
      </c>
    </row>
    <row r="549" spans="3:11" x14ac:dyDescent="0.3">
      <c r="D549" s="46">
        <v>30</v>
      </c>
      <c r="E549" s="68" cm="1">
        <f t="array" aca="1" ref="E549:E552" ca="1" xml:space="preserve"> RXL_Data.FindItem($E$540:$P$544, D549)</f>
        <v>30</v>
      </c>
      <c r="F549" s="52" t="str">
        <f ca="1" xml:space="preserve"> _xlfn.FORMULATEXT(E549)</f>
        <v>= RXL_Data.FindItem($E$540:$P$544, D549)</v>
      </c>
    </row>
    <row r="550" spans="3:11" x14ac:dyDescent="0.3">
      <c r="E550" s="20">
        <f ca="1"/>
        <v>30</v>
      </c>
    </row>
    <row r="551" spans="3:11" x14ac:dyDescent="0.3">
      <c r="E551" s="20">
        <f ca="1"/>
        <v>30</v>
      </c>
    </row>
    <row r="552" spans="3:11" x14ac:dyDescent="0.3">
      <c r="E552" s="20">
        <f ca="1"/>
        <v>30</v>
      </c>
    </row>
    <row r="555" spans="3:11" x14ac:dyDescent="0.3">
      <c r="C555" s="14" t="s">
        <v>925</v>
      </c>
    </row>
    <row r="556" spans="3:11" x14ac:dyDescent="0.3">
      <c r="D556" t="s">
        <v>926</v>
      </c>
      <c r="J556" t="s">
        <v>927</v>
      </c>
    </row>
    <row r="557" spans="3:11" ht="14.4" thickBot="1" x14ac:dyDescent="0.35">
      <c r="D557" s="105" t="s">
        <v>924</v>
      </c>
      <c r="E557" s="51" t="s">
        <v>225</v>
      </c>
      <c r="J557" s="105" t="s">
        <v>924</v>
      </c>
      <c r="K557" s="51" t="s">
        <v>225</v>
      </c>
    </row>
    <row r="558" spans="3:11" x14ac:dyDescent="0.3">
      <c r="D558" s="46">
        <v>28</v>
      </c>
      <c r="E558" s="68" cm="1">
        <f t="array" aca="1" ref="E558:E567" ca="1" xml:space="preserve"> RXL_Data.FindItem($E$540:$P$544, D558, "&gt;=")</f>
        <v>29</v>
      </c>
      <c r="J558" s="46">
        <v>28</v>
      </c>
      <c r="K558" s="68" cm="1">
        <f t="array" aca="1" ref="K558:K567" ca="1" xml:space="preserve"> RXL_Data.FindItem($E$540:$P$544, J558, 4)</f>
        <v>29</v>
      </c>
    </row>
    <row r="559" spans="3:11" x14ac:dyDescent="0.3">
      <c r="E559" s="20">
        <f ca="1"/>
        <v>28</v>
      </c>
      <c r="K559" s="20">
        <f ca="1"/>
        <v>28</v>
      </c>
    </row>
    <row r="560" spans="3:11" x14ac:dyDescent="0.3">
      <c r="E560" s="20">
        <f ca="1"/>
        <v>29</v>
      </c>
      <c r="K560" s="20">
        <f ca="1"/>
        <v>29</v>
      </c>
    </row>
    <row r="561" spans="3:11" x14ac:dyDescent="0.3">
      <c r="E561" s="20">
        <f ca="1"/>
        <v>28</v>
      </c>
      <c r="K561" s="20">
        <f ca="1"/>
        <v>28</v>
      </c>
    </row>
    <row r="562" spans="3:11" x14ac:dyDescent="0.3">
      <c r="E562" s="20">
        <f ca="1"/>
        <v>30</v>
      </c>
      <c r="K562" s="20">
        <f ca="1"/>
        <v>30</v>
      </c>
    </row>
    <row r="563" spans="3:11" x14ac:dyDescent="0.3">
      <c r="E563" s="20">
        <f ca="1"/>
        <v>30</v>
      </c>
      <c r="K563" s="20">
        <f ca="1"/>
        <v>30</v>
      </c>
    </row>
    <row r="564" spans="3:11" x14ac:dyDescent="0.3">
      <c r="E564" s="20">
        <f ca="1"/>
        <v>30</v>
      </c>
      <c r="K564" s="20">
        <f ca="1"/>
        <v>30</v>
      </c>
    </row>
    <row r="565" spans="3:11" x14ac:dyDescent="0.3">
      <c r="E565" s="20">
        <f ca="1"/>
        <v>28</v>
      </c>
      <c r="K565" s="20">
        <f ca="1"/>
        <v>28</v>
      </c>
    </row>
    <row r="566" spans="3:11" x14ac:dyDescent="0.3">
      <c r="E566" s="20">
        <f ca="1"/>
        <v>29</v>
      </c>
      <c r="K566" s="20">
        <f ca="1"/>
        <v>29</v>
      </c>
    </row>
    <row r="567" spans="3:11" x14ac:dyDescent="0.3">
      <c r="E567" s="20">
        <f ca="1"/>
        <v>30</v>
      </c>
      <c r="K567" s="20">
        <f ca="1"/>
        <v>30</v>
      </c>
    </row>
    <row r="568" spans="3:11" x14ac:dyDescent="0.3">
      <c r="E568" s="52" t="str">
        <f ca="1" xml:space="preserve"> _xlfn.FORMULATEXT(E558)</f>
        <v>= RXL_Data.FindItem($E$540:$P$544, D558, "&gt;=")</v>
      </c>
      <c r="K568" s="52" t="str">
        <f ca="1" xml:space="preserve"> _xlfn.FORMULATEXT(K558)</f>
        <v>= RXL_Data.FindItem($E$540:$P$544, J558, 4)</v>
      </c>
    </row>
    <row r="570" spans="3:11" x14ac:dyDescent="0.3">
      <c r="C570" s="14" t="s">
        <v>928</v>
      </c>
    </row>
    <row r="571" spans="3:11" x14ac:dyDescent="0.3">
      <c r="D571" t="s">
        <v>929</v>
      </c>
    </row>
    <row r="572" spans="3:11" ht="14.4" thickBot="1" x14ac:dyDescent="0.35">
      <c r="D572" s="105" t="s">
        <v>924</v>
      </c>
      <c r="E572" s="51" t="s">
        <v>225</v>
      </c>
    </row>
    <row r="573" spans="3:11" x14ac:dyDescent="0.3">
      <c r="D573" s="46">
        <v>30</v>
      </c>
      <c r="E573" s="68" cm="1">
        <f t="array" aca="1" ref="E573:E576" ca="1" xml:space="preserve"> RXL_Data.FindItem($E$540:$P$544, D573, 0, 0)</f>
        <v>30</v>
      </c>
      <c r="F573" s="52" t="str">
        <f ca="1" xml:space="preserve"> _xlfn.FORMULATEXT(E573)</f>
        <v>= RXL_Data.FindItem($E$540:$P$544, D573, 0, 0)</v>
      </c>
    </row>
    <row r="574" spans="3:11" x14ac:dyDescent="0.3">
      <c r="E574" s="20">
        <f ca="1"/>
        <v>30</v>
      </c>
    </row>
    <row r="575" spans="3:11" x14ac:dyDescent="0.3">
      <c r="E575" s="20">
        <f ca="1"/>
        <v>30</v>
      </c>
    </row>
    <row r="576" spans="3:11" x14ac:dyDescent="0.3">
      <c r="E576" s="20">
        <f ca="1"/>
        <v>30</v>
      </c>
    </row>
    <row r="578" spans="4:6" x14ac:dyDescent="0.3">
      <c r="D578" t="s">
        <v>930</v>
      </c>
    </row>
    <row r="579" spans="4:6" ht="14.4" thickBot="1" x14ac:dyDescent="0.35">
      <c r="D579" s="105" t="s">
        <v>924</v>
      </c>
      <c r="E579" s="51" t="s">
        <v>225</v>
      </c>
    </row>
    <row r="580" spans="4:6" x14ac:dyDescent="0.3">
      <c r="D580" s="46">
        <v>30</v>
      </c>
      <c r="E580" s="68" t="str" cm="1">
        <f t="array" aca="1" ref="E580:E583" ca="1" xml:space="preserve"> RXL_Data.FindItem($E$540:$P$544, D580, 0, 1)</f>
        <v>2,4</v>
      </c>
      <c r="F580" s="52" t="str">
        <f ca="1" xml:space="preserve"> _xlfn.FORMULATEXT(E580)</f>
        <v>= RXL_Data.FindItem($E$540:$P$544, D580, 0, 1)</v>
      </c>
    </row>
    <row r="581" spans="4:6" x14ac:dyDescent="0.3">
      <c r="E581" s="20" t="str">
        <f ca="1"/>
        <v>2,7</v>
      </c>
    </row>
    <row r="582" spans="4:6" x14ac:dyDescent="0.3">
      <c r="E582" s="20" t="str">
        <f ca="1"/>
        <v>3,11</v>
      </c>
    </row>
    <row r="583" spans="4:6" x14ac:dyDescent="0.3">
      <c r="E583" s="20" t="str">
        <f ca="1"/>
        <v>5,11</v>
      </c>
    </row>
    <row r="585" spans="4:6" x14ac:dyDescent="0.3">
      <c r="D585" t="s">
        <v>931</v>
      </c>
    </row>
    <row r="586" spans="4:6" ht="14.4" thickBot="1" x14ac:dyDescent="0.35">
      <c r="D586" s="105" t="s">
        <v>924</v>
      </c>
      <c r="E586" s="51" t="s">
        <v>225</v>
      </c>
    </row>
    <row r="587" spans="4:6" x14ac:dyDescent="0.3">
      <c r="D587" s="46">
        <v>30</v>
      </c>
      <c r="E587" s="68" t="str" cm="1">
        <f t="array" aca="1" ref="E587:E590" ca="1" xml:space="preserve"> RXL_Data.FindItem($E$540:$P$544, D587, 0, 3)</f>
        <v>H541</v>
      </c>
      <c r="F587" s="52" t="str">
        <f ca="1" xml:space="preserve"> _xlfn.FORMULATEXT(E587)</f>
        <v>= RXL_Data.FindItem($E$540:$P$544, D587, 0, 3)</v>
      </c>
    </row>
    <row r="588" spans="4:6" x14ac:dyDescent="0.3">
      <c r="E588" s="20" t="str">
        <f ca="1"/>
        <v>K541</v>
      </c>
    </row>
    <row r="589" spans="4:6" x14ac:dyDescent="0.3">
      <c r="E589" s="20" t="str">
        <f ca="1"/>
        <v>O542</v>
      </c>
    </row>
    <row r="590" spans="4:6" x14ac:dyDescent="0.3">
      <c r="E590" s="20" t="str">
        <f ca="1"/>
        <v>O544</v>
      </c>
    </row>
    <row r="592" spans="4:6" x14ac:dyDescent="0.3">
      <c r="D592" t="s">
        <v>932</v>
      </c>
    </row>
    <row r="593" spans="3:6" ht="14.4" thickBot="1" x14ac:dyDescent="0.35">
      <c r="D593" s="105" t="s">
        <v>924</v>
      </c>
      <c r="E593" s="51" t="s">
        <v>225</v>
      </c>
    </row>
    <row r="594" spans="3:6" x14ac:dyDescent="0.3">
      <c r="D594" s="46">
        <v>30</v>
      </c>
      <c r="E594" s="68" cm="1">
        <f t="array" aca="1" ref="E594" ca="1" xml:space="preserve"> RXL_Data.FindItem($E$540:$P$544, D594, 0, 5)</f>
        <v>4</v>
      </c>
      <c r="F594" s="52" t="str">
        <f ca="1" xml:space="preserve"> _xlfn.FORMULATEXT(E594)</f>
        <v>= RXL_Data.FindItem($E$540:$P$544, D594, 0, 5)</v>
      </c>
    </row>
    <row r="597" spans="3:6" x14ac:dyDescent="0.3">
      <c r="C597" s="14" t="s">
        <v>933</v>
      </c>
    </row>
    <row r="598" spans="3:6" x14ac:dyDescent="0.3">
      <c r="D598" t="s">
        <v>934</v>
      </c>
    </row>
    <row r="599" spans="3:6" ht="14.4" thickBot="1" x14ac:dyDescent="0.35">
      <c r="D599" s="105" t="s">
        <v>924</v>
      </c>
      <c r="E599" s="51" t="s">
        <v>225</v>
      </c>
    </row>
    <row r="600" spans="3:6" x14ac:dyDescent="0.3">
      <c r="D600" s="46">
        <v>0</v>
      </c>
      <c r="E600" s="68" t="e" cm="1">
        <f t="array" aca="1" ref="E600" ca="1" xml:space="preserve"> RXL_Data.FindItem($E$540:$P$544, D600, 0, 0)</f>
        <v>#N/A</v>
      </c>
      <c r="F600" s="52" t="str">
        <f ca="1" xml:space="preserve"> _xlfn.FORMULATEXT(E600)</f>
        <v>= RXL_Data.FindItem($E$540:$P$544, D600, 0, 0)</v>
      </c>
    </row>
    <row r="602" spans="3:6" x14ac:dyDescent="0.3">
      <c r="D602" t="s">
        <v>935</v>
      </c>
    </row>
    <row r="603" spans="3:6" ht="14.4" thickBot="1" x14ac:dyDescent="0.35">
      <c r="D603" s="105" t="s">
        <v>924</v>
      </c>
      <c r="E603" s="51" t="s">
        <v>225</v>
      </c>
    </row>
    <row r="604" spans="3:6" x14ac:dyDescent="0.3">
      <c r="D604" s="46">
        <v>0</v>
      </c>
      <c r="E604" s="68" t="str" cm="1">
        <f t="array" aca="1" ref="E604" ca="1" xml:space="preserve"> RXL_Data.FindItem($E$540:$P$544, D604, 0, 0, "(none)")</f>
        <v>(none)</v>
      </c>
      <c r="F604" s="52" t="str">
        <f ca="1" xml:space="preserve"> _xlfn.FORMULATEXT(E604)</f>
        <v>= RXL_Data.FindItem($E$540:$P$544, D604, 0, 0, "(none)")</v>
      </c>
    </row>
    <row r="606" spans="3:6" x14ac:dyDescent="0.3">
      <c r="D606" t="s">
        <v>936</v>
      </c>
    </row>
    <row r="607" spans="3:6" ht="14.4" thickBot="1" x14ac:dyDescent="0.35">
      <c r="D607" s="105" t="s">
        <v>924</v>
      </c>
      <c r="E607" s="51" t="s">
        <v>225</v>
      </c>
    </row>
    <row r="608" spans="3:6" x14ac:dyDescent="0.3">
      <c r="D608" s="46">
        <v>0</v>
      </c>
      <c r="E608" s="68" cm="1">
        <f t="array" aca="1" ref="E608" ca="1" xml:space="preserve"> RXL_Data.FindItem($E$540:$P$544, D608, 0, 0, -1)</f>
        <v>-1</v>
      </c>
      <c r="F608" s="52" t="str">
        <f ca="1" xml:space="preserve"> _xlfn.FORMULATEXT(E608)</f>
        <v>= RXL_Data.FindItem($E$540:$P$544, D608, 0, 0, -1)</v>
      </c>
    </row>
    <row r="610" spans="3:6" x14ac:dyDescent="0.3">
      <c r="D610" t="s">
        <v>937</v>
      </c>
    </row>
    <row r="611" spans="3:6" ht="14.4" thickBot="1" x14ac:dyDescent="0.35">
      <c r="D611" s="105" t="s">
        <v>924</v>
      </c>
      <c r="E611" s="51" t="s">
        <v>225</v>
      </c>
    </row>
    <row r="612" spans="3:6" x14ac:dyDescent="0.3">
      <c r="D612" s="46">
        <v>0</v>
      </c>
      <c r="E612" s="68" t="e" cm="1">
        <f t="array" aca="1" ref="E612" ca="1" xml:space="preserve"> RXL_Data.FindItem($E$540:$P$544, D612, 0, 0, #NULL!)</f>
        <v>#NULL!</v>
      </c>
      <c r="F612" s="52" t="str">
        <f ca="1" xml:space="preserve"> _xlfn.FORMULATEXT(E612)</f>
        <v>= RXL_Data.FindItem($E$540:$P$544, D612, 0, 0, #NULL!)</v>
      </c>
    </row>
    <row r="614" spans="3:6" x14ac:dyDescent="0.3">
      <c r="D614" t="s">
        <v>938</v>
      </c>
    </row>
    <row r="615" spans="3:6" ht="14.4" thickBot="1" x14ac:dyDescent="0.35">
      <c r="D615" s="105" t="s">
        <v>924</v>
      </c>
      <c r="E615" s="51" t="s">
        <v>225</v>
      </c>
    </row>
    <row r="616" spans="3:6" x14ac:dyDescent="0.3">
      <c r="D616" s="46">
        <v>0</v>
      </c>
      <c r="E616" s="68" cm="1">
        <f t="array" aca="1" ref="E616" ca="1" xml:space="preserve"> RXL_Data.FindItem($E$540:$P$544, D616, 0, 5)</f>
        <v>0</v>
      </c>
      <c r="F616" s="52" t="str">
        <f ca="1" xml:space="preserve"> _xlfn.FORMULATEXT(E616)</f>
        <v>= RXL_Data.FindItem($E$540:$P$544, D616, 0, 5)</v>
      </c>
    </row>
    <row r="619" spans="3:6" x14ac:dyDescent="0.3">
      <c r="C619" s="14" t="s">
        <v>939</v>
      </c>
    </row>
    <row r="620" spans="3:6" x14ac:dyDescent="0.3">
      <c r="D620" t="s">
        <v>940</v>
      </c>
    </row>
    <row r="621" spans="3:6" ht="14.4" thickBot="1" x14ac:dyDescent="0.35">
      <c r="D621" s="105" t="s">
        <v>924</v>
      </c>
      <c r="E621" s="51" t="s">
        <v>225</v>
      </c>
    </row>
    <row r="622" spans="3:6" x14ac:dyDescent="0.3">
      <c r="D622" s="46">
        <v>30</v>
      </c>
      <c r="E622" s="68" t="str" cm="1">
        <f t="array" aca="1" ref="E622:E626" ca="1" xml:space="preserve"> RXL_Data.FindItem($E$540:$P$544, D622, 0, 0, , TRUE, FALSE)</f>
        <v>Matches</v>
      </c>
      <c r="F622" s="52" t="str">
        <f ca="1" xml:space="preserve"> _xlfn.FORMULATEXT(E622)</f>
        <v>= RXL_Data.FindItem($E$540:$P$544, D622, 0, 0, , TRUE, FALSE)</v>
      </c>
    </row>
    <row r="623" spans="3:6" x14ac:dyDescent="0.3">
      <c r="E623" s="20">
        <f ca="1"/>
        <v>30</v>
      </c>
    </row>
    <row r="624" spans="3:6" x14ac:dyDescent="0.3">
      <c r="E624" s="20">
        <f ca="1"/>
        <v>30</v>
      </c>
    </row>
    <row r="625" spans="4:7" x14ac:dyDescent="0.3">
      <c r="E625" s="20">
        <f ca="1"/>
        <v>30</v>
      </c>
    </row>
    <row r="626" spans="4:7" x14ac:dyDescent="0.3">
      <c r="E626" s="20">
        <f ca="1"/>
        <v>30</v>
      </c>
    </row>
    <row r="628" spans="4:7" x14ac:dyDescent="0.3">
      <c r="D628" t="s">
        <v>941</v>
      </c>
    </row>
    <row r="629" spans="4:7" ht="14.4" thickBot="1" x14ac:dyDescent="0.35">
      <c r="D629" s="105" t="s">
        <v>924</v>
      </c>
      <c r="E629" s="51" t="s">
        <v>225</v>
      </c>
      <c r="F629" s="51"/>
    </row>
    <row r="630" spans="4:7" x14ac:dyDescent="0.3">
      <c r="D630" s="46">
        <v>30</v>
      </c>
      <c r="E630" s="68" t="str" cm="1">
        <f t="array" aca="1" ref="E630:E634" ca="1" xml:space="preserve"> RXL_Data.FindItem($E$540:$P$544, D630, 0, 1, , TRUE, FALSE)</f>
        <v>Row,Column</v>
      </c>
      <c r="F630" s="20"/>
      <c r="G630" s="52" t="str">
        <f ca="1" xml:space="preserve"> _xlfn.FORMULATEXT(E630)</f>
        <v>= RXL_Data.FindItem($E$540:$P$544, D630, 0, 1, , TRUE, FALSE)</v>
      </c>
    </row>
    <row r="631" spans="4:7" x14ac:dyDescent="0.3">
      <c r="E631" s="20" t="str">
        <f ca="1"/>
        <v>2,4</v>
      </c>
      <c r="F631" s="20"/>
    </row>
    <row r="632" spans="4:7" x14ac:dyDescent="0.3">
      <c r="E632" s="20" t="str">
        <f ca="1"/>
        <v>2,7</v>
      </c>
      <c r="F632" s="20"/>
    </row>
    <row r="633" spans="4:7" x14ac:dyDescent="0.3">
      <c r="E633" s="20" t="str">
        <f ca="1"/>
        <v>3,11</v>
      </c>
      <c r="F633" s="20"/>
    </row>
    <row r="634" spans="4:7" x14ac:dyDescent="0.3">
      <c r="E634" s="20" t="str">
        <f ca="1"/>
        <v>5,11</v>
      </c>
      <c r="F634" s="20"/>
    </row>
    <row r="636" spans="4:7" x14ac:dyDescent="0.3">
      <c r="D636" t="s">
        <v>942</v>
      </c>
    </row>
    <row r="637" spans="4:7" ht="14.4" thickBot="1" x14ac:dyDescent="0.35">
      <c r="D637" s="105" t="s">
        <v>924</v>
      </c>
      <c r="E637" s="51" t="s">
        <v>225</v>
      </c>
      <c r="F637" s="51"/>
    </row>
    <row r="638" spans="4:7" x14ac:dyDescent="0.3">
      <c r="D638" s="46">
        <v>30</v>
      </c>
      <c r="E638" s="68" t="str" cm="1">
        <f t="array" aca="1" ref="E638:F642" ca="1" xml:space="preserve"> RXL_Data.FindItem($E$540:$P$544, D638, 0, 1, , TRUE, TRUE)</f>
        <v>Row</v>
      </c>
      <c r="F638" s="20" t="str">
        <f ca="1"/>
        <v>Column</v>
      </c>
      <c r="G638" s="52" t="str">
        <f ca="1" xml:space="preserve"> _xlfn.FORMULATEXT(E638)</f>
        <v>= RXL_Data.FindItem($E$540:$P$544, D638, 0, 1, , TRUE, TRUE)</v>
      </c>
    </row>
    <row r="639" spans="4:7" x14ac:dyDescent="0.3">
      <c r="E639" s="20" t="str">
        <f ca="1"/>
        <v>2</v>
      </c>
      <c r="F639" s="20" t="str">
        <f ca="1"/>
        <v>4</v>
      </c>
    </row>
    <row r="640" spans="4:7" x14ac:dyDescent="0.3">
      <c r="E640" s="20" t="str">
        <f ca="1"/>
        <v>2</v>
      </c>
      <c r="F640" s="20" t="str">
        <f ca="1"/>
        <v>7</v>
      </c>
    </row>
    <row r="641" spans="4:7" x14ac:dyDescent="0.3">
      <c r="E641" s="20" t="str">
        <f ca="1"/>
        <v>3</v>
      </c>
      <c r="F641" s="20" t="str">
        <f ca="1"/>
        <v>11</v>
      </c>
    </row>
    <row r="642" spans="4:7" x14ac:dyDescent="0.3">
      <c r="E642" s="20" t="str">
        <f ca="1"/>
        <v>5</v>
      </c>
      <c r="F642" s="20" t="str">
        <f ca="1"/>
        <v>11</v>
      </c>
    </row>
    <row r="644" spans="4:7" x14ac:dyDescent="0.3">
      <c r="D644" t="s">
        <v>943</v>
      </c>
    </row>
    <row r="645" spans="4:7" ht="14.4" thickBot="1" x14ac:dyDescent="0.35">
      <c r="D645" s="105" t="s">
        <v>924</v>
      </c>
      <c r="E645" s="51" t="s">
        <v>225</v>
      </c>
      <c r="F645" s="51"/>
    </row>
    <row r="646" spans="4:7" x14ac:dyDescent="0.3">
      <c r="D646" s="46">
        <v>30</v>
      </c>
      <c r="E646" s="68" t="str" cm="1">
        <f t="array" aca="1" ref="E646:E650" ca="1" xml:space="preserve"> RXL_Data.FindItem($E$540:$P$544, D646, 0, 4, , TRUE, TRUE)</f>
        <v>Cell Address</v>
      </c>
      <c r="F646" s="20"/>
      <c r="G646" s="52" t="str">
        <f ca="1" xml:space="preserve"> _xlfn.FORMULATEXT(E646)</f>
        <v>= RXL_Data.FindItem($E$540:$P$544, D646, 0, 4, , TRUE, TRUE)</v>
      </c>
    </row>
    <row r="647" spans="4:7" x14ac:dyDescent="0.3">
      <c r="E647" s="20" t="str">
        <f ca="1"/>
        <v>$H$541</v>
      </c>
      <c r="F647" s="20"/>
    </row>
    <row r="648" spans="4:7" x14ac:dyDescent="0.3">
      <c r="E648" s="20" t="str">
        <f ca="1"/>
        <v>$K$541</v>
      </c>
      <c r="F648" s="20"/>
    </row>
    <row r="649" spans="4:7" x14ac:dyDescent="0.3">
      <c r="E649" s="20" t="str">
        <f ca="1"/>
        <v>$O$542</v>
      </c>
      <c r="F649" s="20"/>
    </row>
    <row r="650" spans="4:7" x14ac:dyDescent="0.3">
      <c r="E650" s="20" t="str">
        <f ca="1"/>
        <v>$O$544</v>
      </c>
      <c r="F650" s="20"/>
    </row>
    <row r="652" spans="4:7" x14ac:dyDescent="0.3">
      <c r="D652" t="s">
        <v>944</v>
      </c>
    </row>
    <row r="653" spans="4:7" ht="14.4" thickBot="1" x14ac:dyDescent="0.35">
      <c r="D653" s="105" t="s">
        <v>924</v>
      </c>
      <c r="E653" s="51" t="s">
        <v>225</v>
      </c>
      <c r="F653" s="51"/>
    </row>
    <row r="654" spans="4:7" x14ac:dyDescent="0.3">
      <c r="D654" s="46">
        <v>30</v>
      </c>
      <c r="E654" s="68" t="str" cm="1">
        <f t="array" aca="1" ref="E654:E655" ca="1" xml:space="preserve"> RXL_Data.FindItem($E$540:$P$544, D654, 0, 5, , TRUE, TRUE)</f>
        <v>Count of Matches</v>
      </c>
      <c r="F654" s="20"/>
      <c r="G654" s="52" t="str">
        <f ca="1" xml:space="preserve"> _xlfn.FORMULATEXT(E654)</f>
        <v>= RXL_Data.FindItem($E$540:$P$544, D654, 0, 5, , TRUE, TRUE)</v>
      </c>
    </row>
    <row r="655" spans="4:7" x14ac:dyDescent="0.3">
      <c r="E655" s="20">
        <f ca="1"/>
        <v>4</v>
      </c>
      <c r="F655" s="20"/>
    </row>
    <row r="658" spans="3:11" x14ac:dyDescent="0.3">
      <c r="C658" s="14" t="s">
        <v>945</v>
      </c>
    </row>
    <row r="659" spans="3:11" x14ac:dyDescent="0.3">
      <c r="D659" s="24" t="s">
        <v>946</v>
      </c>
      <c r="E659" s="46">
        <v>30</v>
      </c>
    </row>
    <row r="660" spans="3:11" ht="14.4" thickBot="1" x14ac:dyDescent="0.35">
      <c r="D660" s="24" t="s">
        <v>947</v>
      </c>
      <c r="F660" s="105" t="str" cm="1">
        <f t="array" aca="1" ref="F660:F664" ca="1" xml:space="preserve"> RXL_Data.FindItem($E$540:$P$544, E659, 0, 0, "(none)", TRUE)</f>
        <v>Matches</v>
      </c>
      <c r="G660" s="105" t="str" cm="1">
        <f t="array" aca="1" ref="G660:H664" ca="1" xml:space="preserve"> RXL_Data.FindItem($E$540:$P$544, E659, 0, 1, "(none)", TRUE, TRUE)</f>
        <v>Row</v>
      </c>
      <c r="H660" s="105" t="str">
        <f ca="1"/>
        <v>Column</v>
      </c>
      <c r="I660" s="105" t="str" cm="1">
        <f t="array" aca="1" ref="I660:J664" ca="1" xml:space="preserve"> _xlfn.LET(
  _xlpm._rNum, _xlfn.DROP( _xlfn.CHOOSECOLS(_xlfn.ANCHORARRAY(G660), 1), 1),
  _xlpm._cNum, _xlfn.DROP( _xlfn.CHOOSECOLS(_xlfn.ANCHORARRAY(G660), 2), 1),
  _xlpm._rows, _xlfn.VSTACK("Category", IFERROR( INDEX(D540:D544, _xlpm._rNum), "--")),
  _xlpm._cols, _xlfn.VSTACK("Period", IFERROR( INDEX(E539:P539, _xlpm._cNum), "--")),
  _xlfn.HSTACK(_xlpm._rows, _xlpm._cols)
)</f>
        <v>Category</v>
      </c>
      <c r="J660" s="105" t="str">
        <f ca="1"/>
        <v>Period</v>
      </c>
      <c r="K660" s="52" t="str">
        <f ca="1" xml:space="preserve"> _xlfn.FORMULATEXT(F660)</f>
        <v>= RXL_Data.FindItem($E$540:$P$544, E659, 0, 0, "(none)", TRUE)</v>
      </c>
    </row>
    <row r="661" spans="3:11" x14ac:dyDescent="0.3">
      <c r="F661" s="68">
        <f ca="1"/>
        <v>30</v>
      </c>
      <c r="G661" s="68" t="str">
        <f ca="1"/>
        <v>2</v>
      </c>
      <c r="H661" s="20" t="str">
        <f ca="1"/>
        <v>4</v>
      </c>
      <c r="I661" s="68" t="str">
        <f ca="1"/>
        <v>Category 2</v>
      </c>
      <c r="J661" s="20" t="str">
        <f ca="1"/>
        <v>P-4</v>
      </c>
      <c r="K661" s="52" t="str">
        <f ca="1" xml:space="preserve"> _xlfn.FORMULATEXT(G660)</f>
        <v>= RXL_Data.FindItem($E$540:$P$544, E659, 0, 1, "(none)", TRUE, TRUE)</v>
      </c>
    </row>
    <row r="662" spans="3:11" x14ac:dyDescent="0.3">
      <c r="F662" s="20">
        <f ca="1"/>
        <v>30</v>
      </c>
      <c r="G662" s="20" t="str">
        <f ca="1"/>
        <v>2</v>
      </c>
      <c r="H662" s="20" t="str">
        <f ca="1"/>
        <v>7</v>
      </c>
      <c r="I662" s="20" t="str">
        <f ca="1"/>
        <v>Category 2</v>
      </c>
      <c r="J662" s="20" t="str">
        <f ca="1"/>
        <v>P-7</v>
      </c>
      <c r="K662" s="52" t="str" cm="1">
        <f t="array" aca="1" ref="K662:K668" ca="1" xml:space="preserve"> _xlfn.TEXTSPLIT( _xlfn.FORMULATEXT(I660), , CHAR(10))</f>
        <v>= LET(</v>
      </c>
    </row>
    <row r="663" spans="3:11" x14ac:dyDescent="0.3">
      <c r="F663" s="20">
        <f ca="1"/>
        <v>30</v>
      </c>
      <c r="G663" s="20" t="str">
        <f ca="1"/>
        <v>3</v>
      </c>
      <c r="H663" s="20" t="str">
        <f ca="1"/>
        <v>11</v>
      </c>
      <c r="I663" s="20" t="str">
        <f ca="1"/>
        <v>Category 3</v>
      </c>
      <c r="J663" s="20" t="str">
        <f ca="1"/>
        <v>P-11</v>
      </c>
      <c r="K663" s="52" t="str">
        <f ca="1"/>
        <v xml:space="preserve">  _rNum, DROP( CHOOSECOLS(G660#, 1), 1),</v>
      </c>
    </row>
    <row r="664" spans="3:11" x14ac:dyDescent="0.3">
      <c r="F664" s="20">
        <f ca="1"/>
        <v>30</v>
      </c>
      <c r="G664" s="20" t="str">
        <f ca="1"/>
        <v>5</v>
      </c>
      <c r="H664" s="20" t="str">
        <f ca="1"/>
        <v>11</v>
      </c>
      <c r="I664" s="20" t="str">
        <f ca="1"/>
        <v>Category 5</v>
      </c>
      <c r="J664" s="20" t="str">
        <f ca="1"/>
        <v>P-11</v>
      </c>
      <c r="K664" s="52" t="str">
        <f ca="1"/>
        <v xml:space="preserve">  _cNum, DROP( CHOOSECOLS(G660#, 2), 1),</v>
      </c>
    </row>
    <row r="665" spans="3:11" x14ac:dyDescent="0.3">
      <c r="K665" s="52" t="str">
        <f ca="1"/>
        <v xml:space="preserve">  _rows, VSTACK("Category", IFERROR( INDEX(D540:D544, _rNum), "--")),</v>
      </c>
    </row>
    <row r="666" spans="3:11" x14ac:dyDescent="0.3">
      <c r="K666" s="52" t="str">
        <f ca="1"/>
        <v xml:space="preserve">  _cols, VSTACK("Period", IFERROR( INDEX(E539:P539, _cNum), "--")),</v>
      </c>
    </row>
    <row r="667" spans="3:11" x14ac:dyDescent="0.3">
      <c r="K667" s="52" t="str">
        <f ca="1"/>
        <v xml:space="preserve">  HSTACK(_rows, _cols)</v>
      </c>
    </row>
    <row r="668" spans="3:11" x14ac:dyDescent="0.3">
      <c r="K668" s="52" t="str">
        <f ca="1"/>
        <v>)</v>
      </c>
    </row>
    <row r="670" spans="3:11" x14ac:dyDescent="0.3">
      <c r="C670" s="14" t="s">
        <v>948</v>
      </c>
    </row>
    <row r="671" spans="3:11" ht="14.4" thickBot="1" x14ac:dyDescent="0.35">
      <c r="D671" s="105" t="s">
        <v>949</v>
      </c>
      <c r="E671" s="105"/>
    </row>
    <row r="672" spans="3:11" x14ac:dyDescent="0.3">
      <c r="D672" s="106" t="s">
        <v>950</v>
      </c>
      <c r="E672" s="107"/>
      <c r="G672" t="s">
        <v>960</v>
      </c>
    </row>
    <row r="673" spans="4:10" x14ac:dyDescent="0.3">
      <c r="D673" s="90" t="s">
        <v>951</v>
      </c>
      <c r="E673" s="91"/>
      <c r="G673" s="24" t="s">
        <v>961</v>
      </c>
      <c r="H673" s="90" t="s">
        <v>962</v>
      </c>
      <c r="I673" s="91"/>
    </row>
    <row r="674" spans="4:10" x14ac:dyDescent="0.3">
      <c r="D674" s="90" t="s">
        <v>952</v>
      </c>
      <c r="E674" s="91"/>
      <c r="G674" s="24" t="s">
        <v>947</v>
      </c>
      <c r="H674" s="102" t="str" cm="1">
        <f t="array" aca="1" ref="H674:H676" ca="1" xml:space="preserve"> RXL_Data.FindItem($D$672:$D$681, H673, 6)</f>
        <v>ABC Ltd</v>
      </c>
      <c r="I674" s="22"/>
      <c r="J674" s="52" t="str">
        <f ca="1" xml:space="preserve"> _xlfn.FORMULATEXT(H674)</f>
        <v>= RXL_Data.FindItem($D$672:$D$681, H673, 6)</v>
      </c>
    </row>
    <row r="675" spans="4:10" x14ac:dyDescent="0.3">
      <c r="D675" s="90" t="s">
        <v>953</v>
      </c>
      <c r="E675" s="91"/>
      <c r="H675" s="89" t="str">
        <f ca="1"/>
        <v>urban greenery ltd</v>
      </c>
      <c r="I675" s="22"/>
    </row>
    <row r="676" spans="4:10" x14ac:dyDescent="0.3">
      <c r="D676" s="90" t="s">
        <v>954</v>
      </c>
      <c r="E676" s="91"/>
      <c r="H676" s="89" t="str">
        <f ca="1"/>
        <v>Vintage Wines Ltd</v>
      </c>
      <c r="I676" s="22"/>
    </row>
    <row r="677" spans="4:10" x14ac:dyDescent="0.3">
      <c r="D677" s="90" t="s">
        <v>955</v>
      </c>
      <c r="E677" s="91"/>
    </row>
    <row r="678" spans="4:10" x14ac:dyDescent="0.3">
      <c r="D678" s="90" t="s">
        <v>956</v>
      </c>
      <c r="E678" s="91"/>
      <c r="G678" t="s">
        <v>963</v>
      </c>
    </row>
    <row r="679" spans="4:10" x14ac:dyDescent="0.3">
      <c r="D679" s="90" t="s">
        <v>957</v>
      </c>
      <c r="E679" s="91"/>
      <c r="G679" s="24" t="s">
        <v>961</v>
      </c>
      <c r="H679" s="90" t="s">
        <v>964</v>
      </c>
      <c r="I679" s="91"/>
    </row>
    <row r="680" spans="4:10" x14ac:dyDescent="0.3">
      <c r="D680" s="90" t="s">
        <v>958</v>
      </c>
      <c r="E680" s="91"/>
      <c r="G680" s="24" t="s">
        <v>947</v>
      </c>
      <c r="H680" s="102" t="str" cm="1">
        <f t="array" aca="1" ref="H680:H682" ca="1" xml:space="preserve"> RXL_Data.FindItem($D$672:$D$681, H679, "find")</f>
        <v>CraftCove plc</v>
      </c>
      <c r="I680" s="22"/>
      <c r="J680" s="52" t="str">
        <f ca="1" xml:space="preserve"> _xlfn.FORMULATEXT(H680)</f>
        <v>= RXL_Data.FindItem($D$672:$D$681, H679, "find")</v>
      </c>
    </row>
    <row r="681" spans="4:10" x14ac:dyDescent="0.3">
      <c r="D681" s="90" t="s">
        <v>959</v>
      </c>
      <c r="E681" s="91"/>
      <c r="H681" s="89" t="str">
        <f ca="1"/>
        <v>PixelPlus Studios plc</v>
      </c>
      <c r="I681" s="22"/>
    </row>
    <row r="682" spans="4:10" x14ac:dyDescent="0.3">
      <c r="H682" s="89" t="str">
        <f ca="1"/>
        <v>Oasis Health PLC</v>
      </c>
      <c r="I682" s="22"/>
    </row>
    <row r="684" spans="4:10" x14ac:dyDescent="0.3">
      <c r="G684" t="s">
        <v>965</v>
      </c>
    </row>
    <row r="685" spans="4:10" x14ac:dyDescent="0.3">
      <c r="G685" s="24" t="s">
        <v>961</v>
      </c>
      <c r="H685" s="90" t="s">
        <v>964</v>
      </c>
      <c r="I685" s="91"/>
    </row>
    <row r="686" spans="4:10" x14ac:dyDescent="0.3">
      <c r="G686" s="24" t="s">
        <v>947</v>
      </c>
      <c r="H686" s="102" t="str" cm="1">
        <f t="array" aca="1" ref="H686:H687" ca="1" xml:space="preserve"> RXL_Data.FindItem($D$672:$D$681, H685, 7)</f>
        <v>CraftCove plc</v>
      </c>
      <c r="I686" s="22"/>
      <c r="J686" s="52" t="str">
        <f ca="1" xml:space="preserve"> _xlfn.FORMULATEXT(H686)</f>
        <v>= RXL_Data.FindItem($D$672:$D$681, H685, 7)</v>
      </c>
    </row>
    <row r="687" spans="4:10" x14ac:dyDescent="0.3">
      <c r="H687" s="89" t="str">
        <f ca="1"/>
        <v>PixelPlus Studios plc</v>
      </c>
      <c r="I687" s="22"/>
    </row>
    <row r="688" spans="4:10" x14ac:dyDescent="0.3">
      <c r="H688" s="89"/>
      <c r="I688" s="22"/>
    </row>
    <row r="690" spans="2:20" x14ac:dyDescent="0.3">
      <c r="G690" t="s">
        <v>966</v>
      </c>
    </row>
    <row r="691" spans="2:20" x14ac:dyDescent="0.3">
      <c r="G691" s="24" t="s">
        <v>961</v>
      </c>
      <c r="H691" s="90" t="s">
        <v>967</v>
      </c>
      <c r="I691" s="91"/>
    </row>
    <row r="692" spans="2:20" x14ac:dyDescent="0.3">
      <c r="G692" s="24" t="s">
        <v>947</v>
      </c>
      <c r="H692" s="102" t="str" cm="1">
        <f t="array" aca="1" ref="H692:H695" ca="1" xml:space="preserve"> RXL_Data.FindItem($D$672:$D$681, H691, "regex")</f>
        <v>ABC Ltd</v>
      </c>
      <c r="I692" s="22"/>
      <c r="J692" s="52" t="str">
        <f ca="1" xml:space="preserve"> _xlfn.FORMULATEXT(H692)</f>
        <v>= RXL_Data.FindItem($D$672:$D$681, H691, "regex")</v>
      </c>
    </row>
    <row r="693" spans="2:20" x14ac:dyDescent="0.3">
      <c r="H693" s="89" t="str">
        <f ca="1"/>
        <v>Lux Soap Co.</v>
      </c>
      <c r="I693" s="22"/>
    </row>
    <row r="694" spans="2:20" x14ac:dyDescent="0.3">
      <c r="H694" s="89" t="str">
        <f ca="1"/>
        <v>Ink Splash Printing Co.</v>
      </c>
      <c r="I694" s="22"/>
    </row>
    <row r="695" spans="2:20" x14ac:dyDescent="0.3">
      <c r="H695" s="89" t="str">
        <f ca="1"/>
        <v>GT Partners LLP</v>
      </c>
      <c r="I695" s="22"/>
    </row>
    <row r="698" spans="2:20" x14ac:dyDescent="0.3">
      <c r="B698" s="28" t="s">
        <v>1174</v>
      </c>
      <c r="C698" s="27"/>
      <c r="D698" s="27"/>
      <c r="E698" s="27"/>
      <c r="F698" s="27"/>
      <c r="G698" s="27"/>
      <c r="H698" s="27"/>
      <c r="I698" s="27"/>
      <c r="J698" s="27"/>
      <c r="K698" s="27"/>
      <c r="L698" s="27"/>
      <c r="M698" s="27"/>
      <c r="N698" s="27"/>
      <c r="O698" s="27"/>
      <c r="P698" s="27"/>
      <c r="Q698" s="27"/>
      <c r="R698" s="27"/>
      <c r="S698" s="27"/>
      <c r="T698" s="27"/>
    </row>
    <row r="700" spans="2:20" x14ac:dyDescent="0.3">
      <c r="D700" s="44" t="s">
        <v>168</v>
      </c>
      <c r="E700" t="s">
        <v>1176</v>
      </c>
    </row>
    <row r="701" spans="2:20" x14ac:dyDescent="0.3">
      <c r="D701" s="44" t="s">
        <v>169</v>
      </c>
      <c r="E701" t="s">
        <v>1177</v>
      </c>
    </row>
    <row r="702" spans="2:20" x14ac:dyDescent="0.3">
      <c r="E702" t="s">
        <v>1178</v>
      </c>
    </row>
    <row r="703" spans="2:20" x14ac:dyDescent="0.3">
      <c r="E703" t="s">
        <v>1179</v>
      </c>
    </row>
    <row r="704" spans="2:20" x14ac:dyDescent="0.3">
      <c r="D704" s="44" t="s">
        <v>327</v>
      </c>
      <c r="E704" s="103" t="s">
        <v>1175</v>
      </c>
    </row>
    <row r="706" spans="3:14" x14ac:dyDescent="0.3">
      <c r="C706" s="14" t="s">
        <v>174</v>
      </c>
    </row>
    <row r="707" spans="3:14" x14ac:dyDescent="0.3">
      <c r="H707" s="76" t="s">
        <v>1180</v>
      </c>
      <c r="I707" s="76" t="s">
        <v>978</v>
      </c>
      <c r="J707" s="76" t="s">
        <v>996</v>
      </c>
    </row>
    <row r="708" spans="3:14" x14ac:dyDescent="0.3">
      <c r="D708" s="76" t="s">
        <v>1181</v>
      </c>
      <c r="E708" s="76" t="s">
        <v>1182</v>
      </c>
      <c r="F708" s="76" t="s">
        <v>1183</v>
      </c>
      <c r="H708" s="76" t="s">
        <v>1181</v>
      </c>
      <c r="I708" s="76" t="s">
        <v>1182</v>
      </c>
      <c r="J708" s="76" t="s">
        <v>1183</v>
      </c>
      <c r="L708" s="76" t="s">
        <v>1181</v>
      </c>
      <c r="M708" s="76" t="s">
        <v>1183</v>
      </c>
      <c r="N708" s="76" t="s">
        <v>1182</v>
      </c>
    </row>
    <row r="709" spans="3:14" x14ac:dyDescent="0.3">
      <c r="D709" s="25" t="s">
        <v>1184</v>
      </c>
      <c r="E709" s="46">
        <v>170000</v>
      </c>
      <c r="F709" s="46">
        <v>204000</v>
      </c>
      <c r="H709" s="25" t="s">
        <v>1185</v>
      </c>
      <c r="I709" s="46">
        <v>160000</v>
      </c>
      <c r="J709" s="46">
        <v>192000</v>
      </c>
      <c r="L709" s="25" t="s">
        <v>1185</v>
      </c>
      <c r="M709" s="46">
        <v>192000</v>
      </c>
      <c r="N709" s="46">
        <v>160000</v>
      </c>
    </row>
    <row r="710" spans="3:14" x14ac:dyDescent="0.3">
      <c r="D710" s="25" t="s">
        <v>1186</v>
      </c>
      <c r="E710" s="46">
        <v>165000</v>
      </c>
      <c r="F710" s="46">
        <v>198000</v>
      </c>
      <c r="H710" s="25" t="s">
        <v>1187</v>
      </c>
      <c r="I710" s="46">
        <v>240000</v>
      </c>
      <c r="J710" s="46">
        <v>288000</v>
      </c>
      <c r="L710" s="25" t="s">
        <v>1187</v>
      </c>
      <c r="M710" s="46">
        <v>288000</v>
      </c>
      <c r="N710" s="46">
        <v>240000</v>
      </c>
    </row>
    <row r="711" spans="3:14" x14ac:dyDescent="0.3">
      <c r="D711" s="25" t="s">
        <v>1188</v>
      </c>
      <c r="E711" s="46">
        <v>130000</v>
      </c>
      <c r="F711" s="46">
        <v>156000</v>
      </c>
      <c r="H711" s="25" t="s">
        <v>1189</v>
      </c>
      <c r="I711" s="46">
        <v>175000</v>
      </c>
      <c r="J711" s="46">
        <v>210000</v>
      </c>
      <c r="L711" s="25" t="s">
        <v>1189</v>
      </c>
      <c r="M711" s="46">
        <v>210000</v>
      </c>
      <c r="N711" s="46">
        <v>175000</v>
      </c>
    </row>
    <row r="712" spans="3:14" x14ac:dyDescent="0.3">
      <c r="D712" s="25" t="s">
        <v>1190</v>
      </c>
      <c r="E712" s="46">
        <v>110000</v>
      </c>
      <c r="F712" s="46">
        <v>132000</v>
      </c>
      <c r="H712" s="25" t="s">
        <v>1191</v>
      </c>
      <c r="I712" s="46">
        <v>110000</v>
      </c>
      <c r="J712" s="46">
        <v>132000</v>
      </c>
      <c r="L712" s="25" t="s">
        <v>1191</v>
      </c>
      <c r="M712" s="46">
        <v>132000</v>
      </c>
      <c r="N712" s="46">
        <v>110000</v>
      </c>
    </row>
    <row r="713" spans="3:14" x14ac:dyDescent="0.3">
      <c r="D713" s="25" t="s">
        <v>1192</v>
      </c>
      <c r="E713" s="46">
        <v>240000</v>
      </c>
      <c r="F713" s="46">
        <v>288000</v>
      </c>
      <c r="H713" s="25" t="s">
        <v>1193</v>
      </c>
      <c r="I713" s="46">
        <v>215000</v>
      </c>
      <c r="J713" s="46">
        <v>258000</v>
      </c>
      <c r="L713" s="25" t="s">
        <v>1193</v>
      </c>
      <c r="M713" s="46">
        <v>258000</v>
      </c>
      <c r="N713" s="46">
        <v>215000</v>
      </c>
    </row>
    <row r="716" spans="3:14" x14ac:dyDescent="0.3">
      <c r="C716" s="14" t="s">
        <v>1194</v>
      </c>
    </row>
    <row r="717" spans="3:14" x14ac:dyDescent="0.3">
      <c r="D717" t="s">
        <v>1195</v>
      </c>
    </row>
    <row r="718" spans="3:14" x14ac:dyDescent="0.3">
      <c r="D718" t="s">
        <v>1196</v>
      </c>
    </row>
    <row r="719" spans="3:14" x14ac:dyDescent="0.3">
      <c r="D719" s="68" t="str" cm="1">
        <f t="array" ref="D719:G728" xml:space="preserve"> RXL_Data.Union($D$709:$E$713, $H$709:$I$713)</f>
        <v>ABC-001</v>
      </c>
      <c r="E719" s="20">
        <v>170000</v>
      </c>
      <c r="F719" s="20" t="e">
        <v>#N/A</v>
      </c>
      <c r="G719" s="20" t="e">
        <v>#N/A</v>
      </c>
    </row>
    <row r="720" spans="3:14" x14ac:dyDescent="0.3">
      <c r="D720" s="20" t="str">
        <v>ABC-002</v>
      </c>
      <c r="E720" s="20">
        <v>165000</v>
      </c>
      <c r="F720" s="20" t="e">
        <v>#N/A</v>
      </c>
      <c r="G720" s="20" t="e">
        <v>#N/A</v>
      </c>
    </row>
    <row r="721" spans="4:11" x14ac:dyDescent="0.3">
      <c r="D721" s="20" t="str">
        <v>ABC-003</v>
      </c>
      <c r="E721" s="20">
        <v>130000</v>
      </c>
      <c r="F721" s="20" t="e">
        <v>#N/A</v>
      </c>
      <c r="G721" s="20" t="e">
        <v>#N/A</v>
      </c>
    </row>
    <row r="722" spans="4:11" x14ac:dyDescent="0.3">
      <c r="D722" s="20" t="str">
        <v>ABC-004</v>
      </c>
      <c r="E722" s="20">
        <v>110000</v>
      </c>
      <c r="F722" s="20" t="e">
        <v>#N/A</v>
      </c>
      <c r="G722" s="20" t="e">
        <v>#N/A</v>
      </c>
    </row>
    <row r="723" spans="4:11" x14ac:dyDescent="0.3">
      <c r="D723" s="20" t="str">
        <v>ABC-005</v>
      </c>
      <c r="E723" s="20">
        <v>240000</v>
      </c>
      <c r="F723" s="20" t="e">
        <v>#N/A</v>
      </c>
      <c r="G723" s="20" t="e">
        <v>#N/A</v>
      </c>
    </row>
    <row r="724" spans="4:11" x14ac:dyDescent="0.3">
      <c r="D724" s="20" t="e">
        <v>#N/A</v>
      </c>
      <c r="E724" s="20" t="e">
        <v>#N/A</v>
      </c>
      <c r="F724" s="20" t="str">
        <v>ABC-006</v>
      </c>
      <c r="G724" s="20">
        <v>160000</v>
      </c>
    </row>
    <row r="725" spans="4:11" x14ac:dyDescent="0.3">
      <c r="D725" s="20" t="e">
        <v>#N/A</v>
      </c>
      <c r="E725" s="20" t="e">
        <v>#N/A</v>
      </c>
      <c r="F725" s="20" t="str">
        <v>ABC-007</v>
      </c>
      <c r="G725" s="20">
        <v>240000</v>
      </c>
    </row>
    <row r="726" spans="4:11" x14ac:dyDescent="0.3">
      <c r="D726" s="20" t="e">
        <v>#N/A</v>
      </c>
      <c r="E726" s="20" t="e">
        <v>#N/A</v>
      </c>
      <c r="F726" s="20" t="str">
        <v>ABC-008</v>
      </c>
      <c r="G726" s="20">
        <v>175000</v>
      </c>
    </row>
    <row r="727" spans="4:11" x14ac:dyDescent="0.3">
      <c r="D727" s="20" t="e">
        <v>#N/A</v>
      </c>
      <c r="E727" s="20" t="e">
        <v>#N/A</v>
      </c>
      <c r="F727" s="20" t="str">
        <v>ABC-009</v>
      </c>
      <c r="G727" s="20">
        <v>110000</v>
      </c>
    </row>
    <row r="728" spans="4:11" x14ac:dyDescent="0.3">
      <c r="D728" s="20" t="e">
        <v>#N/A</v>
      </c>
      <c r="E728" s="20" t="e">
        <v>#N/A</v>
      </c>
      <c r="F728" s="20" t="str">
        <v>ABC-010</v>
      </c>
      <c r="G728" s="20">
        <v>215000</v>
      </c>
    </row>
    <row r="729" spans="4:11" x14ac:dyDescent="0.3">
      <c r="D729" s="52" t="str">
        <f ca="1" xml:space="preserve"> _xlfn.FORMULATEXT(D719)</f>
        <v>= RXL_Data.Union($D$709:$E$713, $H$709:$I$713)</v>
      </c>
    </row>
    <row r="732" spans="4:11" x14ac:dyDescent="0.3">
      <c r="D732" t="s">
        <v>1197</v>
      </c>
      <c r="I732" t="s">
        <v>1197</v>
      </c>
    </row>
    <row r="733" spans="4:11" x14ac:dyDescent="0.3">
      <c r="D733" s="30" t="s">
        <v>1198</v>
      </c>
      <c r="I733" s="30" t="s">
        <v>1199</v>
      </c>
    </row>
    <row r="734" spans="4:11" x14ac:dyDescent="0.3">
      <c r="D734" s="68" t="str" cm="1">
        <f t="array" ref="D734:G743" xml:space="preserve"> RXL_Data.Union($D$709:$E$713, $H$709:$I$713, $D$708:$E$708, $H$707:$I$707)</f>
        <v>ABC-001</v>
      </c>
      <c r="E734" s="20">
        <v>170000</v>
      </c>
      <c r="F734" s="20" t="e">
        <v>#N/A</v>
      </c>
      <c r="G734" s="20" t="e">
        <v>#N/A</v>
      </c>
      <c r="I734" s="68" t="str" cm="1">
        <f t="array" ref="I734:J743" xml:space="preserve"> RXL_Data.Union($D$709:$E$713, $H$709:$I$713, $D$708:$E$708, $H$708:$I$708)</f>
        <v>ABC-001</v>
      </c>
      <c r="J734" s="20">
        <v>170000</v>
      </c>
      <c r="K734" s="52" t="str">
        <f ca="1" xml:space="preserve"> _xlfn.FORMULATEXT(I734)</f>
        <v>= RXL_Data.Union($D$709:$E$713, $H$709:$I$713, $D$708:$E$708, $H$708:$I$708)</v>
      </c>
    </row>
    <row r="735" spans="4:11" x14ac:dyDescent="0.3">
      <c r="D735" s="20" t="str">
        <v>ABC-002</v>
      </c>
      <c r="E735" s="20">
        <v>165000</v>
      </c>
      <c r="F735" s="20" t="e">
        <v>#N/A</v>
      </c>
      <c r="G735" s="20" t="e">
        <v>#N/A</v>
      </c>
      <c r="I735" s="20" t="str">
        <v>ABC-002</v>
      </c>
      <c r="J735" s="20">
        <v>165000</v>
      </c>
    </row>
    <row r="736" spans="4:11" x14ac:dyDescent="0.3">
      <c r="D736" s="20" t="str">
        <v>ABC-003</v>
      </c>
      <c r="E736" s="20">
        <v>130000</v>
      </c>
      <c r="F736" s="20" t="e">
        <v>#N/A</v>
      </c>
      <c r="G736" s="20" t="e">
        <v>#N/A</v>
      </c>
      <c r="I736" s="20" t="str">
        <v>ABC-003</v>
      </c>
      <c r="J736" s="20">
        <v>130000</v>
      </c>
    </row>
    <row r="737" spans="4:13" x14ac:dyDescent="0.3">
      <c r="D737" s="20" t="str">
        <v>ABC-004</v>
      </c>
      <c r="E737" s="20">
        <v>110000</v>
      </c>
      <c r="F737" s="20" t="e">
        <v>#N/A</v>
      </c>
      <c r="G737" s="20" t="e">
        <v>#N/A</v>
      </c>
      <c r="I737" s="20" t="str">
        <v>ABC-004</v>
      </c>
      <c r="J737" s="20">
        <v>110000</v>
      </c>
    </row>
    <row r="738" spans="4:13" x14ac:dyDescent="0.3">
      <c r="D738" s="20" t="str">
        <v>ABC-005</v>
      </c>
      <c r="E738" s="20">
        <v>240000</v>
      </c>
      <c r="F738" s="20" t="e">
        <v>#N/A</v>
      </c>
      <c r="G738" s="20" t="e">
        <v>#N/A</v>
      </c>
      <c r="I738" s="20" t="str">
        <v>ABC-005</v>
      </c>
      <c r="J738" s="20">
        <v>240000</v>
      </c>
    </row>
    <row r="739" spans="4:13" x14ac:dyDescent="0.3">
      <c r="D739" s="20" t="e">
        <v>#N/A</v>
      </c>
      <c r="E739" s="20" t="e">
        <v>#N/A</v>
      </c>
      <c r="F739" s="20" t="str">
        <v>ABC-006</v>
      </c>
      <c r="G739" s="20">
        <v>160000</v>
      </c>
      <c r="I739" s="20" t="str">
        <v>ABC-006</v>
      </c>
      <c r="J739" s="20">
        <v>160000</v>
      </c>
    </row>
    <row r="740" spans="4:13" x14ac:dyDescent="0.3">
      <c r="D740" s="20" t="e">
        <v>#N/A</v>
      </c>
      <c r="E740" s="20" t="e">
        <v>#N/A</v>
      </c>
      <c r="F740" s="20" t="str">
        <v>ABC-007</v>
      </c>
      <c r="G740" s="20">
        <v>240000</v>
      </c>
      <c r="I740" s="20" t="str">
        <v>ABC-007</v>
      </c>
      <c r="J740" s="20">
        <v>240000</v>
      </c>
    </row>
    <row r="741" spans="4:13" x14ac:dyDescent="0.3">
      <c r="D741" s="20" t="e">
        <v>#N/A</v>
      </c>
      <c r="E741" s="20" t="e">
        <v>#N/A</v>
      </c>
      <c r="F741" s="20" t="str">
        <v>ABC-008</v>
      </c>
      <c r="G741" s="20">
        <v>175000</v>
      </c>
      <c r="I741" s="20" t="str">
        <v>ABC-008</v>
      </c>
      <c r="J741" s="20">
        <v>175000</v>
      </c>
    </row>
    <row r="742" spans="4:13" x14ac:dyDescent="0.3">
      <c r="D742" s="20" t="e">
        <v>#N/A</v>
      </c>
      <c r="E742" s="20" t="e">
        <v>#N/A</v>
      </c>
      <c r="F742" s="20" t="str">
        <v>ABC-009</v>
      </c>
      <c r="G742" s="20">
        <v>110000</v>
      </c>
      <c r="I742" s="20" t="str">
        <v>ABC-009</v>
      </c>
      <c r="J742" s="20">
        <v>110000</v>
      </c>
    </row>
    <row r="743" spans="4:13" x14ac:dyDescent="0.3">
      <c r="D743" s="20" t="e">
        <v>#N/A</v>
      </c>
      <c r="E743" s="20" t="e">
        <v>#N/A</v>
      </c>
      <c r="F743" s="20" t="str">
        <v>ABC-010</v>
      </c>
      <c r="G743" s="20">
        <v>215000</v>
      </c>
      <c r="I743" s="20" t="str">
        <v>ABC-010</v>
      </c>
      <c r="J743" s="20">
        <v>215000</v>
      </c>
    </row>
    <row r="744" spans="4:13" x14ac:dyDescent="0.3">
      <c r="D744" s="52" t="str">
        <f ca="1" xml:space="preserve"> _xlfn.FORMULATEXT(D734)</f>
        <v>= RXL_Data.Union($D$709:$E$713, $H$709:$I$713, $D$708:$E$708, $H$707:$I$707)</v>
      </c>
    </row>
    <row r="747" spans="4:13" x14ac:dyDescent="0.3">
      <c r="D747" t="s">
        <v>1200</v>
      </c>
      <c r="J747" t="s">
        <v>1200</v>
      </c>
    </row>
    <row r="748" spans="4:13" x14ac:dyDescent="0.3">
      <c r="D748" t="s">
        <v>1198</v>
      </c>
      <c r="J748" t="s">
        <v>1199</v>
      </c>
    </row>
    <row r="749" spans="4:13" x14ac:dyDescent="0.3">
      <c r="D749" s="68" t="str" cm="1">
        <f t="array" ref="D749:H758" xml:space="preserve"> RXL_Data.Union($D$709:$E$713, $H$709:$J$713, $D$708:$E$708, $H$707:$J$707)</f>
        <v>ABC-001</v>
      </c>
      <c r="E749" s="20">
        <v>170000</v>
      </c>
      <c r="F749" s="20" t="e">
        <v>#N/A</v>
      </c>
      <c r="G749" s="20" t="e">
        <v>#N/A</v>
      </c>
      <c r="H749" s="20" t="e">
        <v>#N/A</v>
      </c>
      <c r="J749" s="68" t="str" cm="1">
        <f t="array" ref="J749:L758" xml:space="preserve"> RXL_Data.Union($D$709:$E$713, $H$709:$J$713, $D$708:$E$708, $H$708:$J$708)</f>
        <v>ABC-001</v>
      </c>
      <c r="K749" s="20">
        <v>170000</v>
      </c>
      <c r="L749" s="20" t="e">
        <v>#N/A</v>
      </c>
      <c r="M749" s="52" t="str">
        <f ca="1" xml:space="preserve"> _xlfn.FORMULATEXT(J749)</f>
        <v>= RXL_Data.Union($D$709:$E$713, $H$709:$J$713, $D$708:$E$708, $H$708:$J$708)</v>
      </c>
    </row>
    <row r="750" spans="4:13" x14ac:dyDescent="0.3">
      <c r="D750" s="20" t="str">
        <v>ABC-002</v>
      </c>
      <c r="E750" s="20">
        <v>165000</v>
      </c>
      <c r="F750" s="20" t="e">
        <v>#N/A</v>
      </c>
      <c r="G750" s="20" t="e">
        <v>#N/A</v>
      </c>
      <c r="H750" s="20" t="e">
        <v>#N/A</v>
      </c>
      <c r="J750" s="20" t="str">
        <v>ABC-002</v>
      </c>
      <c r="K750" s="20">
        <v>165000</v>
      </c>
      <c r="L750" s="20" t="e">
        <v>#N/A</v>
      </c>
    </row>
    <row r="751" spans="4:13" x14ac:dyDescent="0.3">
      <c r="D751" s="20" t="str">
        <v>ABC-003</v>
      </c>
      <c r="E751" s="20">
        <v>130000</v>
      </c>
      <c r="F751" s="20" t="e">
        <v>#N/A</v>
      </c>
      <c r="G751" s="20" t="e">
        <v>#N/A</v>
      </c>
      <c r="H751" s="20" t="e">
        <v>#N/A</v>
      </c>
      <c r="J751" s="20" t="str">
        <v>ABC-003</v>
      </c>
      <c r="K751" s="20">
        <v>130000</v>
      </c>
      <c r="L751" s="20" t="e">
        <v>#N/A</v>
      </c>
    </row>
    <row r="752" spans="4:13" x14ac:dyDescent="0.3">
      <c r="D752" s="20" t="str">
        <v>ABC-004</v>
      </c>
      <c r="E752" s="20">
        <v>110000</v>
      </c>
      <c r="F752" s="20" t="e">
        <v>#N/A</v>
      </c>
      <c r="G752" s="20" t="e">
        <v>#N/A</v>
      </c>
      <c r="H752" s="20" t="e">
        <v>#N/A</v>
      </c>
      <c r="J752" s="20" t="str">
        <v>ABC-004</v>
      </c>
      <c r="K752" s="20">
        <v>110000</v>
      </c>
      <c r="L752" s="20" t="e">
        <v>#N/A</v>
      </c>
    </row>
    <row r="753" spans="4:13" x14ac:dyDescent="0.3">
      <c r="D753" s="20" t="str">
        <v>ABC-005</v>
      </c>
      <c r="E753" s="20">
        <v>240000</v>
      </c>
      <c r="F753" s="20" t="e">
        <v>#N/A</v>
      </c>
      <c r="G753" s="20" t="e">
        <v>#N/A</v>
      </c>
      <c r="H753" s="20" t="e">
        <v>#N/A</v>
      </c>
      <c r="J753" s="20" t="str">
        <v>ABC-005</v>
      </c>
      <c r="K753" s="20">
        <v>240000</v>
      </c>
      <c r="L753" s="20" t="e">
        <v>#N/A</v>
      </c>
    </row>
    <row r="754" spans="4:13" x14ac:dyDescent="0.3">
      <c r="D754" s="20" t="e">
        <v>#N/A</v>
      </c>
      <c r="E754" s="20" t="e">
        <v>#N/A</v>
      </c>
      <c r="F754" s="20" t="str">
        <v>ABC-006</v>
      </c>
      <c r="G754" s="20">
        <v>160000</v>
      </c>
      <c r="H754" s="20">
        <v>192000</v>
      </c>
      <c r="J754" s="20" t="str">
        <v>ABC-006</v>
      </c>
      <c r="K754" s="20">
        <v>160000</v>
      </c>
      <c r="L754" s="20">
        <v>192000</v>
      </c>
    </row>
    <row r="755" spans="4:13" x14ac:dyDescent="0.3">
      <c r="D755" s="20" t="e">
        <v>#N/A</v>
      </c>
      <c r="E755" s="20" t="e">
        <v>#N/A</v>
      </c>
      <c r="F755" s="20" t="str">
        <v>ABC-007</v>
      </c>
      <c r="G755" s="20">
        <v>240000</v>
      </c>
      <c r="H755" s="20">
        <v>288000</v>
      </c>
      <c r="J755" s="20" t="str">
        <v>ABC-007</v>
      </c>
      <c r="K755" s="20">
        <v>240000</v>
      </c>
      <c r="L755" s="20">
        <v>288000</v>
      </c>
    </row>
    <row r="756" spans="4:13" x14ac:dyDescent="0.3">
      <c r="D756" s="20" t="e">
        <v>#N/A</v>
      </c>
      <c r="E756" s="20" t="e">
        <v>#N/A</v>
      </c>
      <c r="F756" s="20" t="str">
        <v>ABC-008</v>
      </c>
      <c r="G756" s="20">
        <v>175000</v>
      </c>
      <c r="H756" s="20">
        <v>210000</v>
      </c>
      <c r="J756" s="20" t="str">
        <v>ABC-008</v>
      </c>
      <c r="K756" s="20">
        <v>175000</v>
      </c>
      <c r="L756" s="20">
        <v>210000</v>
      </c>
    </row>
    <row r="757" spans="4:13" x14ac:dyDescent="0.3">
      <c r="D757" s="20" t="e">
        <v>#N/A</v>
      </c>
      <c r="E757" s="20" t="e">
        <v>#N/A</v>
      </c>
      <c r="F757" s="20" t="str">
        <v>ABC-009</v>
      </c>
      <c r="G757" s="20">
        <v>110000</v>
      </c>
      <c r="H757" s="20">
        <v>132000</v>
      </c>
      <c r="J757" s="20" t="str">
        <v>ABC-009</v>
      </c>
      <c r="K757" s="20">
        <v>110000</v>
      </c>
      <c r="L757" s="20">
        <v>132000</v>
      </c>
    </row>
    <row r="758" spans="4:13" x14ac:dyDescent="0.3">
      <c r="D758" s="20" t="e">
        <v>#N/A</v>
      </c>
      <c r="E758" s="20" t="e">
        <v>#N/A</v>
      </c>
      <c r="F758" s="20" t="str">
        <v>ABC-010</v>
      </c>
      <c r="G758" s="20">
        <v>215000</v>
      </c>
      <c r="H758" s="20">
        <v>258000</v>
      </c>
      <c r="J758" s="20" t="str">
        <v>ABC-010</v>
      </c>
      <c r="K758" s="20">
        <v>215000</v>
      </c>
      <c r="L758" s="20">
        <v>258000</v>
      </c>
    </row>
    <row r="759" spans="4:13" x14ac:dyDescent="0.3">
      <c r="D759" s="52" t="str">
        <f ca="1" xml:space="preserve"> _xlfn.FORMULATEXT(D749)</f>
        <v>= RXL_Data.Union($D$709:$E$713, $H$709:$J$713, $D$708:$E$708, $H$707:$J$707)</v>
      </c>
    </row>
    <row r="762" spans="4:13" x14ac:dyDescent="0.3">
      <c r="D762" t="s">
        <v>1201</v>
      </c>
      <c r="J762" t="s">
        <v>1201</v>
      </c>
    </row>
    <row r="763" spans="4:13" x14ac:dyDescent="0.3">
      <c r="D763" t="s">
        <v>1202</v>
      </c>
      <c r="J763" t="s">
        <v>1203</v>
      </c>
    </row>
    <row r="764" spans="4:13" x14ac:dyDescent="0.3">
      <c r="D764" s="68" t="str" cm="1">
        <f t="array" ref="D764:F773" xml:space="preserve"> RXL_Data.Union($D$709:$F$713, $L$709:$N$713, $D$708:$F$708, $L$708:$N$708)</f>
        <v>ABC-001</v>
      </c>
      <c r="E764" s="20">
        <v>170000</v>
      </c>
      <c r="F764" s="20">
        <v>204000</v>
      </c>
      <c r="J764" s="68" t="str" cm="1">
        <f t="array" ref="J764:L773" xml:space="preserve"> RXL_Data.Union($D$709:$F$713, $L$709:$N$713, , {1,3,2})</f>
        <v>ABC-001</v>
      </c>
      <c r="K764" s="20">
        <v>170000</v>
      </c>
      <c r="L764" s="20">
        <v>204000</v>
      </c>
      <c r="M764" s="52" t="str">
        <f ca="1" xml:space="preserve"> _xlfn.FORMULATEXT(J764)</f>
        <v>= RXL_Data.Union($D$709:$F$713, $L$709:$N$713, , {1,3,2})</v>
      </c>
    </row>
    <row r="765" spans="4:13" x14ac:dyDescent="0.3">
      <c r="D765" s="20" t="str">
        <v>ABC-002</v>
      </c>
      <c r="E765" s="20">
        <v>165000</v>
      </c>
      <c r="F765" s="20">
        <v>198000</v>
      </c>
      <c r="J765" s="20" t="str">
        <v>ABC-002</v>
      </c>
      <c r="K765" s="20">
        <v>165000</v>
      </c>
      <c r="L765" s="20">
        <v>198000</v>
      </c>
    </row>
    <row r="766" spans="4:13" x14ac:dyDescent="0.3">
      <c r="D766" s="20" t="str">
        <v>ABC-003</v>
      </c>
      <c r="E766" s="20">
        <v>130000</v>
      </c>
      <c r="F766" s="20">
        <v>156000</v>
      </c>
      <c r="J766" s="20" t="str">
        <v>ABC-003</v>
      </c>
      <c r="K766" s="20">
        <v>130000</v>
      </c>
      <c r="L766" s="20">
        <v>156000</v>
      </c>
    </row>
    <row r="767" spans="4:13" x14ac:dyDescent="0.3">
      <c r="D767" s="20" t="str">
        <v>ABC-004</v>
      </c>
      <c r="E767" s="20">
        <v>110000</v>
      </c>
      <c r="F767" s="20">
        <v>132000</v>
      </c>
      <c r="J767" s="20" t="str">
        <v>ABC-004</v>
      </c>
      <c r="K767" s="20">
        <v>110000</v>
      </c>
      <c r="L767" s="20">
        <v>132000</v>
      </c>
    </row>
    <row r="768" spans="4:13" x14ac:dyDescent="0.3">
      <c r="D768" s="20" t="str">
        <v>ABC-005</v>
      </c>
      <c r="E768" s="20">
        <v>240000</v>
      </c>
      <c r="F768" s="20">
        <v>288000</v>
      </c>
      <c r="J768" s="20" t="str">
        <v>ABC-005</v>
      </c>
      <c r="K768" s="20">
        <v>240000</v>
      </c>
      <c r="L768" s="20">
        <v>288000</v>
      </c>
    </row>
    <row r="769" spans="3:12" x14ac:dyDescent="0.3">
      <c r="D769" s="20" t="str">
        <v>ABC-006</v>
      </c>
      <c r="E769" s="20">
        <v>160000</v>
      </c>
      <c r="F769" s="20">
        <v>192000</v>
      </c>
      <c r="J769" s="20" t="str">
        <v>ABC-006</v>
      </c>
      <c r="K769" s="20">
        <v>160000</v>
      </c>
      <c r="L769" s="20">
        <v>192000</v>
      </c>
    </row>
    <row r="770" spans="3:12" x14ac:dyDescent="0.3">
      <c r="D770" s="20" t="str">
        <v>ABC-007</v>
      </c>
      <c r="E770" s="20">
        <v>240000</v>
      </c>
      <c r="F770" s="20">
        <v>288000</v>
      </c>
      <c r="J770" s="20" t="str">
        <v>ABC-007</v>
      </c>
      <c r="K770" s="20">
        <v>240000</v>
      </c>
      <c r="L770" s="20">
        <v>288000</v>
      </c>
    </row>
    <row r="771" spans="3:12" x14ac:dyDescent="0.3">
      <c r="D771" s="20" t="str">
        <v>ABC-008</v>
      </c>
      <c r="E771" s="20">
        <v>175000</v>
      </c>
      <c r="F771" s="20">
        <v>210000</v>
      </c>
      <c r="J771" s="20" t="str">
        <v>ABC-008</v>
      </c>
      <c r="K771" s="20">
        <v>175000</v>
      </c>
      <c r="L771" s="20">
        <v>210000</v>
      </c>
    </row>
    <row r="772" spans="3:12" x14ac:dyDescent="0.3">
      <c r="D772" s="20" t="str">
        <v>ABC-009</v>
      </c>
      <c r="E772" s="20">
        <v>110000</v>
      </c>
      <c r="F772" s="20">
        <v>132000</v>
      </c>
      <c r="J772" s="20" t="str">
        <v>ABC-009</v>
      </c>
      <c r="K772" s="20">
        <v>110000</v>
      </c>
      <c r="L772" s="20">
        <v>132000</v>
      </c>
    </row>
    <row r="773" spans="3:12" x14ac:dyDescent="0.3">
      <c r="D773" s="20" t="str">
        <v>ABC-010</v>
      </c>
      <c r="E773" s="20">
        <v>215000</v>
      </c>
      <c r="F773" s="20">
        <v>258000</v>
      </c>
      <c r="J773" s="20" t="str">
        <v>ABC-010</v>
      </c>
      <c r="K773" s="20">
        <v>215000</v>
      </c>
      <c r="L773" s="20">
        <v>258000</v>
      </c>
    </row>
    <row r="774" spans="3:12" x14ac:dyDescent="0.3">
      <c r="D774" s="52" t="str">
        <f ca="1" xml:space="preserve"> _xlfn.FORMULATEXT(D764)</f>
        <v>= RXL_Data.Union($D$709:$F$713, $L$709:$N$713, $D$708:$F$708, $L$708:$N$708)</v>
      </c>
    </row>
    <row r="777" spans="3:12" x14ac:dyDescent="0.3">
      <c r="C777" s="14" t="s">
        <v>1204</v>
      </c>
    </row>
    <row r="778" spans="3:12" x14ac:dyDescent="0.3">
      <c r="D778" t="s">
        <v>1200</v>
      </c>
    </row>
    <row r="779" spans="3:12" x14ac:dyDescent="0.3">
      <c r="D779" t="s">
        <v>1198</v>
      </c>
    </row>
    <row r="780" spans="3:12" x14ac:dyDescent="0.3">
      <c r="D780" t="s">
        <v>1205</v>
      </c>
    </row>
    <row r="781" spans="3:12" x14ac:dyDescent="0.3">
      <c r="D781" s="68" t="str" cm="1">
        <f t="array" ref="D781:H790" xml:space="preserve"> RXL_Data.Union($D$709:$E$713, $H$709:$J$713, $D$708:$E$708, $H$707:$J$707, , , FALSE)</f>
        <v>ABC-001</v>
      </c>
      <c r="E781" s="20">
        <v>170000</v>
      </c>
      <c r="F781" s="20" t="e">
        <v>#N/A</v>
      </c>
      <c r="G781" s="20" t="e">
        <v>#N/A</v>
      </c>
      <c r="H781" s="20" t="e">
        <v>#N/A</v>
      </c>
    </row>
    <row r="782" spans="3:12" x14ac:dyDescent="0.3">
      <c r="D782" s="20" t="str">
        <v>ABC-002</v>
      </c>
      <c r="E782" s="20">
        <v>165000</v>
      </c>
      <c r="F782" s="20" t="e">
        <v>#N/A</v>
      </c>
      <c r="G782" s="20" t="e">
        <v>#N/A</v>
      </c>
      <c r="H782" s="20" t="e">
        <v>#N/A</v>
      </c>
    </row>
    <row r="783" spans="3:12" x14ac:dyDescent="0.3">
      <c r="D783" s="20" t="str">
        <v>ABC-003</v>
      </c>
      <c r="E783" s="20">
        <v>130000</v>
      </c>
      <c r="F783" s="20" t="e">
        <v>#N/A</v>
      </c>
      <c r="G783" s="20" t="e">
        <v>#N/A</v>
      </c>
      <c r="H783" s="20" t="e">
        <v>#N/A</v>
      </c>
    </row>
    <row r="784" spans="3:12" x14ac:dyDescent="0.3">
      <c r="D784" s="20" t="str">
        <v>ABC-004</v>
      </c>
      <c r="E784" s="20">
        <v>110000</v>
      </c>
      <c r="F784" s="20" t="e">
        <v>#N/A</v>
      </c>
      <c r="G784" s="20" t="e">
        <v>#N/A</v>
      </c>
      <c r="H784" s="20" t="e">
        <v>#N/A</v>
      </c>
    </row>
    <row r="785" spans="4:13" x14ac:dyDescent="0.3">
      <c r="D785" s="20" t="str">
        <v>ABC-005</v>
      </c>
      <c r="E785" s="20">
        <v>240000</v>
      </c>
      <c r="F785" s="20" t="e">
        <v>#N/A</v>
      </c>
      <c r="G785" s="20" t="e">
        <v>#N/A</v>
      </c>
      <c r="H785" s="20" t="e">
        <v>#N/A</v>
      </c>
    </row>
    <row r="786" spans="4:13" x14ac:dyDescent="0.3">
      <c r="D786" s="20" t="e">
        <v>#N/A</v>
      </c>
      <c r="E786" s="20" t="e">
        <v>#N/A</v>
      </c>
      <c r="F786" s="20" t="str">
        <v>ABC-006</v>
      </c>
      <c r="G786" s="20">
        <v>160000</v>
      </c>
      <c r="H786" s="20">
        <v>192000</v>
      </c>
    </row>
    <row r="787" spans="4:13" x14ac:dyDescent="0.3">
      <c r="D787" s="20" t="e">
        <v>#N/A</v>
      </c>
      <c r="E787" s="20" t="e">
        <v>#N/A</v>
      </c>
      <c r="F787" s="20" t="str">
        <v>ABC-007</v>
      </c>
      <c r="G787" s="20">
        <v>240000</v>
      </c>
      <c r="H787" s="20">
        <v>288000</v>
      </c>
    </row>
    <row r="788" spans="4:13" x14ac:dyDescent="0.3">
      <c r="D788" s="20" t="e">
        <v>#N/A</v>
      </c>
      <c r="E788" s="20" t="e">
        <v>#N/A</v>
      </c>
      <c r="F788" s="20" t="str">
        <v>ABC-008</v>
      </c>
      <c r="G788" s="20">
        <v>175000</v>
      </c>
      <c r="H788" s="20">
        <v>210000</v>
      </c>
    </row>
    <row r="789" spans="4:13" x14ac:dyDescent="0.3">
      <c r="D789" s="20" t="e">
        <v>#N/A</v>
      </c>
      <c r="E789" s="20" t="e">
        <v>#N/A</v>
      </c>
      <c r="F789" s="20" t="str">
        <v>ABC-009</v>
      </c>
      <c r="G789" s="20">
        <v>110000</v>
      </c>
      <c r="H789" s="20">
        <v>132000</v>
      </c>
    </row>
    <row r="790" spans="4:13" x14ac:dyDescent="0.3">
      <c r="D790" s="20" t="e">
        <v>#N/A</v>
      </c>
      <c r="E790" s="20" t="e">
        <v>#N/A</v>
      </c>
      <c r="F790" s="20" t="str">
        <v>ABC-010</v>
      </c>
      <c r="G790" s="20">
        <v>215000</v>
      </c>
      <c r="H790" s="20">
        <v>258000</v>
      </c>
    </row>
    <row r="791" spans="4:13" x14ac:dyDescent="0.3">
      <c r="D791" s="52" t="str">
        <f ca="1" xml:space="preserve"> _xlfn.FORMULATEXT(D781)</f>
        <v>= RXL_Data.Union($D$709:$E$713, $H$709:$J$713, $D$708:$E$708, $H$707:$J$707, , , FALSE)</v>
      </c>
    </row>
    <row r="794" spans="4:13" x14ac:dyDescent="0.3">
      <c r="D794" t="s">
        <v>1200</v>
      </c>
      <c r="J794" t="s">
        <v>1200</v>
      </c>
    </row>
    <row r="795" spans="4:13" x14ac:dyDescent="0.3">
      <c r="D795" t="s">
        <v>1198</v>
      </c>
      <c r="J795" t="s">
        <v>1199</v>
      </c>
    </row>
    <row r="796" spans="4:13" x14ac:dyDescent="0.3">
      <c r="D796" t="s">
        <v>1206</v>
      </c>
      <c r="J796" t="s">
        <v>1206</v>
      </c>
    </row>
    <row r="797" spans="4:13" x14ac:dyDescent="0.3">
      <c r="D797" s="68" t="str" cm="1">
        <f t="array" ref="D797:H806" xml:space="preserve"> RXL_Data.Union($D$709:$E$713, $H$709:$J$713, $D$708:$E$708, $H$707:$J$707, , , TRUE)</f>
        <v>ABC-001</v>
      </c>
      <c r="E797" s="20">
        <v>170000</v>
      </c>
      <c r="F797" s="20" t="str">
        <v/>
      </c>
      <c r="G797" s="20" t="str">
        <v/>
      </c>
      <c r="H797" s="20" t="str">
        <v/>
      </c>
      <c r="J797" s="68" t="str" cm="1">
        <f t="array" ref="J797:L806" xml:space="preserve"> RXL_Data.Union($D$709:$E$713, $H$709:$J$713, $D$708:$E$708, $H$708:$J$708, , , TRUE)</f>
        <v>ABC-001</v>
      </c>
      <c r="K797" s="20">
        <v>170000</v>
      </c>
      <c r="L797" s="20" t="str">
        <v/>
      </c>
      <c r="M797" s="52" t="str">
        <f ca="1" xml:space="preserve"> _xlfn.FORMULATEXT(J797)</f>
        <v>= RXL_Data.Union($D$709:$E$713, $H$709:$J$713, $D$708:$E$708, $H$708:$J$708, , , TRUE)</v>
      </c>
    </row>
    <row r="798" spans="4:13" x14ac:dyDescent="0.3">
      <c r="D798" s="20" t="str">
        <v>ABC-002</v>
      </c>
      <c r="E798" s="20">
        <v>165000</v>
      </c>
      <c r="F798" s="20" t="str">
        <v/>
      </c>
      <c r="G798" s="20" t="str">
        <v/>
      </c>
      <c r="H798" s="20" t="str">
        <v/>
      </c>
      <c r="J798" s="20" t="str">
        <v>ABC-002</v>
      </c>
      <c r="K798" s="20">
        <v>165000</v>
      </c>
      <c r="L798" s="20" t="str">
        <v/>
      </c>
    </row>
    <row r="799" spans="4:13" x14ac:dyDescent="0.3">
      <c r="D799" s="20" t="str">
        <v>ABC-003</v>
      </c>
      <c r="E799" s="20">
        <v>130000</v>
      </c>
      <c r="F799" s="20" t="str">
        <v/>
      </c>
      <c r="G799" s="20" t="str">
        <v/>
      </c>
      <c r="H799" s="20" t="str">
        <v/>
      </c>
      <c r="J799" s="20" t="str">
        <v>ABC-003</v>
      </c>
      <c r="K799" s="20">
        <v>130000</v>
      </c>
      <c r="L799" s="20" t="str">
        <v/>
      </c>
    </row>
    <row r="800" spans="4:13" x14ac:dyDescent="0.3">
      <c r="D800" s="20" t="str">
        <v>ABC-004</v>
      </c>
      <c r="E800" s="20">
        <v>110000</v>
      </c>
      <c r="F800" s="20" t="str">
        <v/>
      </c>
      <c r="G800" s="20" t="str">
        <v/>
      </c>
      <c r="H800" s="20" t="str">
        <v/>
      </c>
      <c r="J800" s="20" t="str">
        <v>ABC-004</v>
      </c>
      <c r="K800" s="20">
        <v>110000</v>
      </c>
      <c r="L800" s="20" t="str">
        <v/>
      </c>
    </row>
    <row r="801" spans="4:13" x14ac:dyDescent="0.3">
      <c r="D801" s="20" t="str">
        <v>ABC-005</v>
      </c>
      <c r="E801" s="20">
        <v>240000</v>
      </c>
      <c r="F801" s="20" t="str">
        <v/>
      </c>
      <c r="G801" s="20" t="str">
        <v/>
      </c>
      <c r="H801" s="20" t="str">
        <v/>
      </c>
      <c r="J801" s="20" t="str">
        <v>ABC-005</v>
      </c>
      <c r="K801" s="20">
        <v>240000</v>
      </c>
      <c r="L801" s="20" t="str">
        <v/>
      </c>
    </row>
    <row r="802" spans="4:13" x14ac:dyDescent="0.3">
      <c r="D802" s="20" t="str">
        <v/>
      </c>
      <c r="E802" s="20" t="str">
        <v/>
      </c>
      <c r="F802" s="20" t="str">
        <v>ABC-006</v>
      </c>
      <c r="G802" s="20">
        <v>160000</v>
      </c>
      <c r="H802" s="20">
        <v>192000</v>
      </c>
      <c r="J802" s="20" t="str">
        <v>ABC-006</v>
      </c>
      <c r="K802" s="20">
        <v>160000</v>
      </c>
      <c r="L802" s="20">
        <v>192000</v>
      </c>
    </row>
    <row r="803" spans="4:13" x14ac:dyDescent="0.3">
      <c r="D803" s="20" t="str">
        <v/>
      </c>
      <c r="E803" s="20" t="str">
        <v/>
      </c>
      <c r="F803" s="20" t="str">
        <v>ABC-007</v>
      </c>
      <c r="G803" s="20">
        <v>240000</v>
      </c>
      <c r="H803" s="20">
        <v>288000</v>
      </c>
      <c r="J803" s="20" t="str">
        <v>ABC-007</v>
      </c>
      <c r="K803" s="20">
        <v>240000</v>
      </c>
      <c r="L803" s="20">
        <v>288000</v>
      </c>
    </row>
    <row r="804" spans="4:13" x14ac:dyDescent="0.3">
      <c r="D804" s="20" t="str">
        <v/>
      </c>
      <c r="E804" s="20" t="str">
        <v/>
      </c>
      <c r="F804" s="20" t="str">
        <v>ABC-008</v>
      </c>
      <c r="G804" s="20">
        <v>175000</v>
      </c>
      <c r="H804" s="20">
        <v>210000</v>
      </c>
      <c r="J804" s="20" t="str">
        <v>ABC-008</v>
      </c>
      <c r="K804" s="20">
        <v>175000</v>
      </c>
      <c r="L804" s="20">
        <v>210000</v>
      </c>
    </row>
    <row r="805" spans="4:13" x14ac:dyDescent="0.3">
      <c r="D805" s="20" t="str">
        <v/>
      </c>
      <c r="E805" s="20" t="str">
        <v/>
      </c>
      <c r="F805" s="20" t="str">
        <v>ABC-009</v>
      </c>
      <c r="G805" s="20">
        <v>110000</v>
      </c>
      <c r="H805" s="20">
        <v>132000</v>
      </c>
      <c r="J805" s="20" t="str">
        <v>ABC-009</v>
      </c>
      <c r="K805" s="20">
        <v>110000</v>
      </c>
      <c r="L805" s="20">
        <v>132000</v>
      </c>
    </row>
    <row r="806" spans="4:13" x14ac:dyDescent="0.3">
      <c r="D806" s="20" t="str">
        <v/>
      </c>
      <c r="E806" s="20" t="str">
        <v/>
      </c>
      <c r="F806" s="20" t="str">
        <v>ABC-010</v>
      </c>
      <c r="G806" s="20">
        <v>215000</v>
      </c>
      <c r="H806" s="20">
        <v>258000</v>
      </c>
      <c r="J806" s="20" t="str">
        <v>ABC-010</v>
      </c>
      <c r="K806" s="20">
        <v>215000</v>
      </c>
      <c r="L806" s="20">
        <v>258000</v>
      </c>
    </row>
    <row r="807" spans="4:13" x14ac:dyDescent="0.3">
      <c r="D807" s="52" t="str">
        <f ca="1" xml:space="preserve"> _xlfn.FORMULATEXT(D797)</f>
        <v>= RXL_Data.Union($D$709:$E$713, $H$709:$J$713, $D$708:$E$708, $H$707:$J$707, , , TRUE)</v>
      </c>
    </row>
    <row r="810" spans="4:13" x14ac:dyDescent="0.3">
      <c r="D810" t="s">
        <v>1200</v>
      </c>
      <c r="J810" t="s">
        <v>1200</v>
      </c>
    </row>
    <row r="811" spans="4:13" x14ac:dyDescent="0.3">
      <c r="D811" t="s">
        <v>1198</v>
      </c>
      <c r="J811" t="s">
        <v>1199</v>
      </c>
    </row>
    <row r="812" spans="4:13" x14ac:dyDescent="0.3">
      <c r="D812" t="s">
        <v>1207</v>
      </c>
      <c r="J812" t="s">
        <v>1208</v>
      </c>
    </row>
    <row r="813" spans="4:13" x14ac:dyDescent="0.3">
      <c r="D813" s="68" t="str" cm="1">
        <f t="array" ref="D813:H822" xml:space="preserve"> RXL_Data.Union($D$709:$E$713, $H$709:$J$713, $D$708:$E$708, $H$707:$J$707, , , 0)</f>
        <v>ABC-001</v>
      </c>
      <c r="E813" s="20">
        <v>170000</v>
      </c>
      <c r="F813" s="20">
        <v>0</v>
      </c>
      <c r="G813" s="20">
        <v>0</v>
      </c>
      <c r="H813" s="20">
        <v>0</v>
      </c>
      <c r="J813" s="68" t="str" cm="1">
        <f t="array" ref="J813:L822" xml:space="preserve"> RXL_Data.Union($D$709:$E$713, $H$709:$J$713, $D$708:$E$708, $H$708:$J$708, , , "(null)")</f>
        <v>ABC-001</v>
      </c>
      <c r="K813" s="20">
        <v>170000</v>
      </c>
      <c r="L813" s="20" t="str">
        <v>(null)</v>
      </c>
      <c r="M813" s="52" t="str">
        <f ca="1" xml:space="preserve"> _xlfn.FORMULATEXT(J813)</f>
        <v>= RXL_Data.Union($D$709:$E$713, $H$709:$J$713, $D$708:$E$708, $H$708:$J$708, , , "(null)")</v>
      </c>
    </row>
    <row r="814" spans="4:13" x14ac:dyDescent="0.3">
      <c r="D814" s="20" t="str">
        <v>ABC-002</v>
      </c>
      <c r="E814" s="20">
        <v>165000</v>
      </c>
      <c r="F814" s="20">
        <v>0</v>
      </c>
      <c r="G814" s="20">
        <v>0</v>
      </c>
      <c r="H814" s="20">
        <v>0</v>
      </c>
      <c r="J814" s="20" t="str">
        <v>ABC-002</v>
      </c>
      <c r="K814" s="20">
        <v>165000</v>
      </c>
      <c r="L814" s="20" t="str">
        <v>(null)</v>
      </c>
    </row>
    <row r="815" spans="4:13" x14ac:dyDescent="0.3">
      <c r="D815" s="20" t="str">
        <v>ABC-003</v>
      </c>
      <c r="E815" s="20">
        <v>130000</v>
      </c>
      <c r="F815" s="20">
        <v>0</v>
      </c>
      <c r="G815" s="20">
        <v>0</v>
      </c>
      <c r="H815" s="20">
        <v>0</v>
      </c>
      <c r="J815" s="20" t="str">
        <v>ABC-003</v>
      </c>
      <c r="K815" s="20">
        <v>130000</v>
      </c>
      <c r="L815" s="20" t="str">
        <v>(null)</v>
      </c>
    </row>
    <row r="816" spans="4:13" x14ac:dyDescent="0.3">
      <c r="D816" s="20" t="str">
        <v>ABC-004</v>
      </c>
      <c r="E816" s="20">
        <v>110000</v>
      </c>
      <c r="F816" s="20">
        <v>0</v>
      </c>
      <c r="G816" s="20">
        <v>0</v>
      </c>
      <c r="H816" s="20">
        <v>0</v>
      </c>
      <c r="J816" s="20" t="str">
        <v>ABC-004</v>
      </c>
      <c r="K816" s="20">
        <v>110000</v>
      </c>
      <c r="L816" s="20" t="str">
        <v>(null)</v>
      </c>
    </row>
    <row r="817" spans="3:13" x14ac:dyDescent="0.3">
      <c r="D817" s="20" t="str">
        <v>ABC-005</v>
      </c>
      <c r="E817" s="20">
        <v>240000</v>
      </c>
      <c r="F817" s="20">
        <v>0</v>
      </c>
      <c r="G817" s="20">
        <v>0</v>
      </c>
      <c r="H817" s="20">
        <v>0</v>
      </c>
      <c r="J817" s="20" t="str">
        <v>ABC-005</v>
      </c>
      <c r="K817" s="20">
        <v>240000</v>
      </c>
      <c r="L817" s="20" t="str">
        <v>(null)</v>
      </c>
    </row>
    <row r="818" spans="3:13" x14ac:dyDescent="0.3">
      <c r="D818" s="20">
        <v>0</v>
      </c>
      <c r="E818" s="20">
        <v>0</v>
      </c>
      <c r="F818" s="20" t="str">
        <v>ABC-006</v>
      </c>
      <c r="G818" s="20">
        <v>160000</v>
      </c>
      <c r="H818" s="20">
        <v>192000</v>
      </c>
      <c r="J818" s="20" t="str">
        <v>ABC-006</v>
      </c>
      <c r="K818" s="20">
        <v>160000</v>
      </c>
      <c r="L818" s="20">
        <v>192000</v>
      </c>
    </row>
    <row r="819" spans="3:13" x14ac:dyDescent="0.3">
      <c r="D819" s="20">
        <v>0</v>
      </c>
      <c r="E819" s="20">
        <v>0</v>
      </c>
      <c r="F819" s="20" t="str">
        <v>ABC-007</v>
      </c>
      <c r="G819" s="20">
        <v>240000</v>
      </c>
      <c r="H819" s="20">
        <v>288000</v>
      </c>
      <c r="J819" s="20" t="str">
        <v>ABC-007</v>
      </c>
      <c r="K819" s="20">
        <v>240000</v>
      </c>
      <c r="L819" s="20">
        <v>288000</v>
      </c>
    </row>
    <row r="820" spans="3:13" x14ac:dyDescent="0.3">
      <c r="D820" s="20">
        <v>0</v>
      </c>
      <c r="E820" s="20">
        <v>0</v>
      </c>
      <c r="F820" s="20" t="str">
        <v>ABC-008</v>
      </c>
      <c r="G820" s="20">
        <v>175000</v>
      </c>
      <c r="H820" s="20">
        <v>210000</v>
      </c>
      <c r="J820" s="20" t="str">
        <v>ABC-008</v>
      </c>
      <c r="K820" s="20">
        <v>175000</v>
      </c>
      <c r="L820" s="20">
        <v>210000</v>
      </c>
    </row>
    <row r="821" spans="3:13" x14ac:dyDescent="0.3">
      <c r="D821" s="20">
        <v>0</v>
      </c>
      <c r="E821" s="20">
        <v>0</v>
      </c>
      <c r="F821" s="20" t="str">
        <v>ABC-009</v>
      </c>
      <c r="G821" s="20">
        <v>110000</v>
      </c>
      <c r="H821" s="20">
        <v>132000</v>
      </c>
      <c r="J821" s="20" t="str">
        <v>ABC-009</v>
      </c>
      <c r="K821" s="20">
        <v>110000</v>
      </c>
      <c r="L821" s="20">
        <v>132000</v>
      </c>
    </row>
    <row r="822" spans="3:13" x14ac:dyDescent="0.3">
      <c r="D822" s="20">
        <v>0</v>
      </c>
      <c r="E822" s="20">
        <v>0</v>
      </c>
      <c r="F822" s="20" t="str">
        <v>ABC-010</v>
      </c>
      <c r="G822" s="20">
        <v>215000</v>
      </c>
      <c r="H822" s="20">
        <v>258000</v>
      </c>
      <c r="J822" s="20" t="str">
        <v>ABC-010</v>
      </c>
      <c r="K822" s="20">
        <v>215000</v>
      </c>
      <c r="L822" s="20">
        <v>258000</v>
      </c>
    </row>
    <row r="823" spans="3:13" x14ac:dyDescent="0.3">
      <c r="D823" s="52" t="str">
        <f ca="1" xml:space="preserve"> _xlfn.FORMULATEXT(D813)</f>
        <v>= RXL_Data.Union($D$709:$E$713, $H$709:$J$713, $D$708:$E$708, $H$707:$J$707, , , 0)</v>
      </c>
    </row>
    <row r="826" spans="3:13" x14ac:dyDescent="0.3">
      <c r="C826" s="14" t="s">
        <v>1209</v>
      </c>
    </row>
    <row r="827" spans="3:13" x14ac:dyDescent="0.3">
      <c r="D827" t="s">
        <v>1200</v>
      </c>
      <c r="J827" t="s">
        <v>1200</v>
      </c>
    </row>
    <row r="828" spans="3:13" x14ac:dyDescent="0.3">
      <c r="D828" t="s">
        <v>1198</v>
      </c>
      <c r="J828" t="s">
        <v>1199</v>
      </c>
    </row>
    <row r="829" spans="3:13" x14ac:dyDescent="0.3">
      <c r="D829" t="s">
        <v>1210</v>
      </c>
      <c r="J829" t="s">
        <v>1210</v>
      </c>
    </row>
    <row r="830" spans="3:13" x14ac:dyDescent="0.3">
      <c r="D830" t="s">
        <v>1211</v>
      </c>
      <c r="F830" s="26">
        <v>1</v>
      </c>
      <c r="J830" t="s">
        <v>1211</v>
      </c>
      <c r="L830" s="26">
        <v>1</v>
      </c>
    </row>
    <row r="831" spans="3:13" x14ac:dyDescent="0.3">
      <c r="D831" s="68" t="str" cm="1">
        <f t="array" ref="D831:H841" xml:space="preserve"> RXL_Data.Union($D$709:$E$713, $H$709:$J$713, $D$708:$E$708, $H$707:$J$707, F830, , 0)</f>
        <v>Account</v>
      </c>
      <c r="E831" t="str">
        <v>Income</v>
      </c>
      <c r="F831" t="str">
        <v>Customer</v>
      </c>
      <c r="G831" t="str">
        <v>Sales</v>
      </c>
      <c r="H831" t="str">
        <v>Other</v>
      </c>
      <c r="J831" s="68" t="str" cm="1">
        <f t="array" ref="J831:L841" xml:space="preserve"> RXL_Data.Union($D$709:$E$713, $H$709:$J$713, $D$708:$E$708, $H$708:$J$708, L830, , 0)</f>
        <v>Account</v>
      </c>
      <c r="K831" t="str">
        <v>Income</v>
      </c>
      <c r="L831" t="str">
        <v>inc. Tax</v>
      </c>
      <c r="M831" s="52" t="str">
        <f ca="1" xml:space="preserve"> _xlfn.FORMULATEXT(J831)</f>
        <v>= RXL_Data.Union($D$709:$E$713, $H$709:$J$713, $D$708:$E$708, $H$708:$J$708, L830, , 0)</v>
      </c>
    </row>
    <row r="832" spans="3:13" x14ac:dyDescent="0.3">
      <c r="D832" s="160" t="str">
        <v>ABC-001</v>
      </c>
      <c r="E832">
        <v>170000</v>
      </c>
      <c r="F832">
        <v>0</v>
      </c>
      <c r="G832">
        <v>0</v>
      </c>
      <c r="H832">
        <v>0</v>
      </c>
      <c r="J832" s="160" t="str">
        <v>ABC-001</v>
      </c>
      <c r="K832">
        <v>170000</v>
      </c>
      <c r="L832">
        <v>0</v>
      </c>
    </row>
    <row r="833" spans="4:12" x14ac:dyDescent="0.3">
      <c r="D833" t="str">
        <v>ABC-002</v>
      </c>
      <c r="E833">
        <v>165000</v>
      </c>
      <c r="F833">
        <v>0</v>
      </c>
      <c r="G833">
        <v>0</v>
      </c>
      <c r="H833">
        <v>0</v>
      </c>
      <c r="J833" t="str">
        <v>ABC-002</v>
      </c>
      <c r="K833">
        <v>165000</v>
      </c>
      <c r="L833">
        <v>0</v>
      </c>
    </row>
    <row r="834" spans="4:12" x14ac:dyDescent="0.3">
      <c r="D834" t="str">
        <v>ABC-003</v>
      </c>
      <c r="E834">
        <v>130000</v>
      </c>
      <c r="F834">
        <v>0</v>
      </c>
      <c r="G834">
        <v>0</v>
      </c>
      <c r="H834">
        <v>0</v>
      </c>
      <c r="J834" t="str">
        <v>ABC-003</v>
      </c>
      <c r="K834">
        <v>130000</v>
      </c>
      <c r="L834">
        <v>0</v>
      </c>
    </row>
    <row r="835" spans="4:12" x14ac:dyDescent="0.3">
      <c r="D835" t="str">
        <v>ABC-004</v>
      </c>
      <c r="E835">
        <v>110000</v>
      </c>
      <c r="F835">
        <v>0</v>
      </c>
      <c r="G835">
        <v>0</v>
      </c>
      <c r="H835">
        <v>0</v>
      </c>
      <c r="J835" t="str">
        <v>ABC-004</v>
      </c>
      <c r="K835">
        <v>110000</v>
      </c>
      <c r="L835">
        <v>0</v>
      </c>
    </row>
    <row r="836" spans="4:12" x14ac:dyDescent="0.3">
      <c r="D836" t="str">
        <v>ABC-005</v>
      </c>
      <c r="E836">
        <v>240000</v>
      </c>
      <c r="F836">
        <v>0</v>
      </c>
      <c r="G836">
        <v>0</v>
      </c>
      <c r="H836">
        <v>0</v>
      </c>
      <c r="J836" t="str">
        <v>ABC-005</v>
      </c>
      <c r="K836">
        <v>240000</v>
      </c>
      <c r="L836">
        <v>0</v>
      </c>
    </row>
    <row r="837" spans="4:12" x14ac:dyDescent="0.3">
      <c r="D837">
        <v>0</v>
      </c>
      <c r="E837">
        <v>0</v>
      </c>
      <c r="F837" t="str">
        <v>ABC-006</v>
      </c>
      <c r="G837">
        <v>160000</v>
      </c>
      <c r="H837">
        <v>192000</v>
      </c>
      <c r="J837" t="str">
        <v>ABC-006</v>
      </c>
      <c r="K837">
        <v>160000</v>
      </c>
      <c r="L837">
        <v>192000</v>
      </c>
    </row>
    <row r="838" spans="4:12" x14ac:dyDescent="0.3">
      <c r="D838">
        <v>0</v>
      </c>
      <c r="E838">
        <v>0</v>
      </c>
      <c r="F838" t="str">
        <v>ABC-007</v>
      </c>
      <c r="G838">
        <v>240000</v>
      </c>
      <c r="H838">
        <v>288000</v>
      </c>
      <c r="J838" t="str">
        <v>ABC-007</v>
      </c>
      <c r="K838">
        <v>240000</v>
      </c>
      <c r="L838">
        <v>288000</v>
      </c>
    </row>
    <row r="839" spans="4:12" x14ac:dyDescent="0.3">
      <c r="D839">
        <v>0</v>
      </c>
      <c r="E839">
        <v>0</v>
      </c>
      <c r="F839" t="str">
        <v>ABC-008</v>
      </c>
      <c r="G839">
        <v>175000</v>
      </c>
      <c r="H839">
        <v>210000</v>
      </c>
      <c r="J839" t="str">
        <v>ABC-008</v>
      </c>
      <c r="K839">
        <v>175000</v>
      </c>
      <c r="L839">
        <v>210000</v>
      </c>
    </row>
    <row r="840" spans="4:12" x14ac:dyDescent="0.3">
      <c r="D840">
        <v>0</v>
      </c>
      <c r="E840">
        <v>0</v>
      </c>
      <c r="F840" t="str">
        <v>ABC-009</v>
      </c>
      <c r="G840">
        <v>110000</v>
      </c>
      <c r="H840">
        <v>132000</v>
      </c>
      <c r="J840" t="str">
        <v>ABC-009</v>
      </c>
      <c r="K840">
        <v>110000</v>
      </c>
      <c r="L840">
        <v>132000</v>
      </c>
    </row>
    <row r="841" spans="4:12" x14ac:dyDescent="0.3">
      <c r="D841">
        <v>0</v>
      </c>
      <c r="E841">
        <v>0</v>
      </c>
      <c r="F841" t="str">
        <v>ABC-010</v>
      </c>
      <c r="G841">
        <v>215000</v>
      </c>
      <c r="H841">
        <v>258000</v>
      </c>
      <c r="J841" t="str">
        <v>ABC-010</v>
      </c>
      <c r="K841">
        <v>215000</v>
      </c>
      <c r="L841">
        <v>258000</v>
      </c>
    </row>
    <row r="842" spans="4:12" x14ac:dyDescent="0.3">
      <c r="D842" s="52" t="str">
        <f ca="1" xml:space="preserve"> _xlfn.FORMULATEXT(D831)</f>
        <v>= RXL_Data.Union($D$709:$E$713, $H$709:$J$713, $D$708:$E$708, $H$707:$J$707, F830, , 0)</v>
      </c>
    </row>
    <row r="845" spans="4:12" x14ac:dyDescent="0.3">
      <c r="D845" t="s">
        <v>1201</v>
      </c>
      <c r="J845" t="s">
        <v>1201</v>
      </c>
    </row>
    <row r="846" spans="4:12" x14ac:dyDescent="0.3">
      <c r="D846" t="s">
        <v>1203</v>
      </c>
      <c r="J846" t="s">
        <v>1203</v>
      </c>
    </row>
    <row r="847" spans="4:12" x14ac:dyDescent="0.3">
      <c r="D847" t="s">
        <v>1210</v>
      </c>
      <c r="J847" t="s">
        <v>1210</v>
      </c>
    </row>
    <row r="848" spans="4:12" x14ac:dyDescent="0.3">
      <c r="D848" t="s">
        <v>1212</v>
      </c>
      <c r="J848" t="s">
        <v>1213</v>
      </c>
    </row>
    <row r="849" spans="2:20" x14ac:dyDescent="0.3">
      <c r="D849" s="68" t="str" cm="1">
        <f t="array" ref="D849:F859" xml:space="preserve"> RXL_Data.Union($D$709:$F$713, $L$709:$N$713, , {1,3,2}, $D$708:$F$708, , 0)</f>
        <v>Account</v>
      </c>
      <c r="E849" t="str">
        <v>Income</v>
      </c>
      <c r="F849" t="str">
        <v>inc. Tax</v>
      </c>
      <c r="J849" s="68" t="str" cm="1">
        <f t="array" ref="J849:L859" xml:space="preserve"> RXL_Data.Union($D$709:$F$713, $L$709:$N$713, , {1,3,2}, {"Col_Acc","Col_Rev","Col_VAT"}, , 0)</f>
        <v>Col_Acc</v>
      </c>
      <c r="K849" t="str">
        <v>Col_Rev</v>
      </c>
      <c r="L849" t="str">
        <v>Col_VAT</v>
      </c>
      <c r="M849" s="52" t="str">
        <f ca="1" xml:space="preserve"> _xlfn.FORMULATEXT(J849)</f>
        <v>= RXL_Data.Union($D$709:$F$713, $L$709:$N$713, , {1,3,2}, {"Col_Acc","Col_Rev","Col_VAT"}, , 0)</v>
      </c>
    </row>
    <row r="850" spans="2:20" x14ac:dyDescent="0.3">
      <c r="D850" s="160" t="str">
        <v>ABC-001</v>
      </c>
      <c r="E850">
        <v>170000</v>
      </c>
      <c r="F850">
        <v>204000</v>
      </c>
      <c r="J850" s="160" t="str">
        <v>ABC-001</v>
      </c>
      <c r="K850">
        <v>170000</v>
      </c>
      <c r="L850">
        <v>204000</v>
      </c>
    </row>
    <row r="851" spans="2:20" x14ac:dyDescent="0.3">
      <c r="D851" t="str">
        <v>ABC-002</v>
      </c>
      <c r="E851">
        <v>165000</v>
      </c>
      <c r="F851">
        <v>198000</v>
      </c>
      <c r="J851" t="str">
        <v>ABC-002</v>
      </c>
      <c r="K851">
        <v>165000</v>
      </c>
      <c r="L851">
        <v>198000</v>
      </c>
    </row>
    <row r="852" spans="2:20" x14ac:dyDescent="0.3">
      <c r="D852" t="str">
        <v>ABC-003</v>
      </c>
      <c r="E852">
        <v>130000</v>
      </c>
      <c r="F852">
        <v>156000</v>
      </c>
      <c r="J852" t="str">
        <v>ABC-003</v>
      </c>
      <c r="K852">
        <v>130000</v>
      </c>
      <c r="L852">
        <v>156000</v>
      </c>
    </row>
    <row r="853" spans="2:20" x14ac:dyDescent="0.3">
      <c r="D853" t="str">
        <v>ABC-004</v>
      </c>
      <c r="E853">
        <v>110000</v>
      </c>
      <c r="F853">
        <v>132000</v>
      </c>
      <c r="J853" t="str">
        <v>ABC-004</v>
      </c>
      <c r="K853">
        <v>110000</v>
      </c>
      <c r="L853">
        <v>132000</v>
      </c>
    </row>
    <row r="854" spans="2:20" x14ac:dyDescent="0.3">
      <c r="D854" t="str">
        <v>ABC-005</v>
      </c>
      <c r="E854">
        <v>240000</v>
      </c>
      <c r="F854">
        <v>288000</v>
      </c>
      <c r="J854" t="str">
        <v>ABC-005</v>
      </c>
      <c r="K854">
        <v>240000</v>
      </c>
      <c r="L854">
        <v>288000</v>
      </c>
    </row>
    <row r="855" spans="2:20" x14ac:dyDescent="0.3">
      <c r="D855" t="str">
        <v>ABC-006</v>
      </c>
      <c r="E855">
        <v>160000</v>
      </c>
      <c r="F855">
        <v>192000</v>
      </c>
      <c r="J855" t="str">
        <v>ABC-006</v>
      </c>
      <c r="K855">
        <v>160000</v>
      </c>
      <c r="L855">
        <v>192000</v>
      </c>
    </row>
    <row r="856" spans="2:20" x14ac:dyDescent="0.3">
      <c r="D856" t="str">
        <v>ABC-007</v>
      </c>
      <c r="E856">
        <v>240000</v>
      </c>
      <c r="F856">
        <v>288000</v>
      </c>
      <c r="J856" t="str">
        <v>ABC-007</v>
      </c>
      <c r="K856">
        <v>240000</v>
      </c>
      <c r="L856">
        <v>288000</v>
      </c>
    </row>
    <row r="857" spans="2:20" x14ac:dyDescent="0.3">
      <c r="D857" t="str">
        <v>ABC-008</v>
      </c>
      <c r="E857">
        <v>175000</v>
      </c>
      <c r="F857">
        <v>210000</v>
      </c>
      <c r="J857" t="str">
        <v>ABC-008</v>
      </c>
      <c r="K857">
        <v>175000</v>
      </c>
      <c r="L857">
        <v>210000</v>
      </c>
    </row>
    <row r="858" spans="2:20" x14ac:dyDescent="0.3">
      <c r="D858" t="str">
        <v>ABC-009</v>
      </c>
      <c r="E858">
        <v>110000</v>
      </c>
      <c r="F858">
        <v>132000</v>
      </c>
      <c r="J858" t="str">
        <v>ABC-009</v>
      </c>
      <c r="K858">
        <v>110000</v>
      </c>
      <c r="L858">
        <v>132000</v>
      </c>
    </row>
    <row r="859" spans="2:20" x14ac:dyDescent="0.3">
      <c r="D859" t="str">
        <v>ABC-010</v>
      </c>
      <c r="E859">
        <v>215000</v>
      </c>
      <c r="F859">
        <v>258000</v>
      </c>
      <c r="J859" t="str">
        <v>ABC-010</v>
      </c>
      <c r="K859">
        <v>215000</v>
      </c>
      <c r="L859">
        <v>258000</v>
      </c>
    </row>
    <row r="860" spans="2:20" x14ac:dyDescent="0.3">
      <c r="D860" s="52" t="str">
        <f ca="1" xml:space="preserve"> _xlfn.FORMULATEXT(D849)</f>
        <v>= RXL_Data.Union($D$709:$F$713, $L$709:$N$713, , {1,3,2}, $D$708:$F$708, , 0)</v>
      </c>
    </row>
    <row r="863" spans="2:20" x14ac:dyDescent="0.3">
      <c r="B863" s="28" t="s">
        <v>71</v>
      </c>
      <c r="C863" s="27"/>
      <c r="D863" s="27"/>
      <c r="E863" s="27"/>
      <c r="F863" s="27"/>
      <c r="G863" s="27"/>
      <c r="H863" s="27"/>
      <c r="I863" s="27"/>
      <c r="J863" s="27"/>
      <c r="K863" s="27"/>
      <c r="L863" s="27"/>
      <c r="M863" s="27"/>
      <c r="N863" s="27"/>
      <c r="O863" s="27"/>
      <c r="P863" s="27"/>
      <c r="Q863" s="27"/>
      <c r="R863" s="27"/>
      <c r="S863" s="27"/>
      <c r="T863" s="27"/>
    </row>
    <row r="865" spans="3:17" x14ac:dyDescent="0.3">
      <c r="D865" s="44" t="s">
        <v>168</v>
      </c>
      <c r="E865" t="s">
        <v>170</v>
      </c>
    </row>
    <row r="866" spans="3:17" x14ac:dyDescent="0.3">
      <c r="D866" s="44" t="s">
        <v>169</v>
      </c>
      <c r="E866" t="s">
        <v>171</v>
      </c>
    </row>
    <row r="867" spans="3:17" x14ac:dyDescent="0.3">
      <c r="E867" t="s">
        <v>172</v>
      </c>
    </row>
    <row r="868" spans="3:17" x14ac:dyDescent="0.3">
      <c r="E868" t="s">
        <v>173</v>
      </c>
    </row>
    <row r="869" spans="3:17" x14ac:dyDescent="0.3">
      <c r="D869" s="44" t="s">
        <v>327</v>
      </c>
      <c r="E869" s="103" t="s">
        <v>969</v>
      </c>
    </row>
    <row r="871" spans="3:17" x14ac:dyDescent="0.3">
      <c r="C871" s="14" t="s">
        <v>174</v>
      </c>
    </row>
    <row r="872" spans="3:17" x14ac:dyDescent="0.3">
      <c r="D872" s="48"/>
      <c r="E872" s="48"/>
      <c r="F872" s="50" t="s">
        <v>13</v>
      </c>
      <c r="G872" s="50" t="s">
        <v>14</v>
      </c>
      <c r="H872" s="50" t="s">
        <v>15</v>
      </c>
      <c r="I872" s="50" t="s">
        <v>16</v>
      </c>
      <c r="J872" s="50" t="s">
        <v>17</v>
      </c>
      <c r="K872" s="50" t="s">
        <v>18</v>
      </c>
      <c r="L872" s="50" t="s">
        <v>19</v>
      </c>
      <c r="M872" s="50" t="s">
        <v>20</v>
      </c>
      <c r="N872" s="50" t="s">
        <v>21</v>
      </c>
      <c r="O872" s="50" t="s">
        <v>22</v>
      </c>
      <c r="P872" s="50" t="s">
        <v>23</v>
      </c>
      <c r="Q872" s="50" t="s">
        <v>24</v>
      </c>
    </row>
    <row r="873" spans="3:17" ht="14.4" thickBot="1" x14ac:dyDescent="0.35">
      <c r="D873" s="49"/>
      <c r="E873" s="49"/>
      <c r="F873" s="51" t="s">
        <v>175</v>
      </c>
      <c r="G873" s="51" t="s">
        <v>175</v>
      </c>
      <c r="H873" s="51" t="s">
        <v>175</v>
      </c>
      <c r="I873" s="51" t="s">
        <v>176</v>
      </c>
      <c r="J873" s="51" t="s">
        <v>176</v>
      </c>
      <c r="K873" s="51" t="s">
        <v>176</v>
      </c>
      <c r="L873" s="51" t="s">
        <v>177</v>
      </c>
      <c r="M873" s="51" t="s">
        <v>177</v>
      </c>
      <c r="N873" s="51" t="s">
        <v>177</v>
      </c>
      <c r="O873" s="51" t="s">
        <v>178</v>
      </c>
      <c r="P873" s="51" t="s">
        <v>178</v>
      </c>
      <c r="Q873" s="51" t="s">
        <v>178</v>
      </c>
    </row>
    <row r="874" spans="3:17" x14ac:dyDescent="0.3">
      <c r="D874" s="109" t="s">
        <v>179</v>
      </c>
      <c r="E874" s="109" t="s">
        <v>180</v>
      </c>
      <c r="F874" s="47">
        <v>1</v>
      </c>
      <c r="G874" s="47">
        <v>2</v>
      </c>
      <c r="H874" s="47">
        <v>3</v>
      </c>
      <c r="I874" s="47">
        <v>4</v>
      </c>
      <c r="J874" s="47">
        <v>5</v>
      </c>
      <c r="K874" s="47">
        <v>6</v>
      </c>
      <c r="L874" s="47">
        <v>7</v>
      </c>
      <c r="M874" s="47">
        <v>8</v>
      </c>
      <c r="N874" s="47">
        <v>9</v>
      </c>
      <c r="O874" s="47">
        <v>10</v>
      </c>
      <c r="P874" s="47">
        <v>11</v>
      </c>
      <c r="Q874" s="47">
        <v>12</v>
      </c>
    </row>
    <row r="875" spans="3:17" x14ac:dyDescent="0.3">
      <c r="D875" s="109" t="s">
        <v>181</v>
      </c>
      <c r="E875" s="109" t="s">
        <v>180</v>
      </c>
      <c r="F875" s="46">
        <v>13</v>
      </c>
      <c r="G875" s="46">
        <v>14</v>
      </c>
      <c r="H875" s="46">
        <v>15</v>
      </c>
      <c r="I875" s="46">
        <v>16</v>
      </c>
      <c r="J875" s="46">
        <v>17</v>
      </c>
      <c r="K875" s="46">
        <v>18</v>
      </c>
      <c r="L875" s="46">
        <v>19</v>
      </c>
      <c r="M875" s="46">
        <v>20</v>
      </c>
      <c r="N875" s="46">
        <v>21</v>
      </c>
      <c r="O875" s="46">
        <v>22</v>
      </c>
      <c r="P875" s="46">
        <v>23</v>
      </c>
      <c r="Q875" s="46">
        <v>24</v>
      </c>
    </row>
    <row r="876" spans="3:17" x14ac:dyDescent="0.3">
      <c r="D876" s="109" t="s">
        <v>182</v>
      </c>
      <c r="E876" s="109" t="s">
        <v>183</v>
      </c>
      <c r="F876" s="46">
        <v>25</v>
      </c>
      <c r="G876" s="46">
        <v>26</v>
      </c>
      <c r="H876" s="46">
        <v>27</v>
      </c>
      <c r="I876" s="46">
        <v>28</v>
      </c>
      <c r="J876" s="46">
        <v>29</v>
      </c>
      <c r="K876" s="46">
        <v>30</v>
      </c>
      <c r="L876" s="46">
        <v>31</v>
      </c>
      <c r="M876" s="46">
        <v>32</v>
      </c>
      <c r="N876" s="46">
        <v>33</v>
      </c>
      <c r="O876" s="46">
        <v>34</v>
      </c>
      <c r="P876" s="46">
        <v>35</v>
      </c>
      <c r="Q876" s="46">
        <v>36</v>
      </c>
    </row>
    <row r="877" spans="3:17" x14ac:dyDescent="0.3">
      <c r="D877" s="109" t="s">
        <v>184</v>
      </c>
      <c r="E877" s="109" t="s">
        <v>183</v>
      </c>
      <c r="F877" s="46">
        <v>37</v>
      </c>
      <c r="G877" s="46">
        <v>38</v>
      </c>
      <c r="H877" s="46">
        <v>39</v>
      </c>
      <c r="I877" s="46">
        <v>40</v>
      </c>
      <c r="J877" s="46">
        <v>41</v>
      </c>
      <c r="K877" s="46">
        <v>42</v>
      </c>
      <c r="L877" s="46">
        <v>43</v>
      </c>
      <c r="M877" s="46">
        <v>44</v>
      </c>
      <c r="N877" s="46">
        <v>45</v>
      </c>
      <c r="O877" s="46">
        <v>46</v>
      </c>
      <c r="P877" s="46">
        <v>47</v>
      </c>
      <c r="Q877" s="46">
        <v>48</v>
      </c>
    </row>
    <row r="880" spans="3:17" x14ac:dyDescent="0.3">
      <c r="C880" s="14" t="s">
        <v>185</v>
      </c>
    </row>
    <row r="881" spans="4:16" x14ac:dyDescent="0.3">
      <c r="D881" t="s">
        <v>188</v>
      </c>
      <c r="H881" t="s">
        <v>189</v>
      </c>
      <c r="L881" t="s">
        <v>190</v>
      </c>
    </row>
    <row r="882" spans="4:16" ht="14.4" thickBot="1" x14ac:dyDescent="0.35">
      <c r="D882" s="49" t="s">
        <v>191</v>
      </c>
      <c r="E882" s="49" t="s">
        <v>192</v>
      </c>
      <c r="F882" s="49" t="s">
        <v>193</v>
      </c>
      <c r="H882" s="49" t="s">
        <v>191</v>
      </c>
      <c r="I882" s="49" t="s">
        <v>192</v>
      </c>
      <c r="J882" s="49" t="s">
        <v>193</v>
      </c>
      <c r="L882" s="49" t="s">
        <v>191</v>
      </c>
      <c r="M882" s="49"/>
      <c r="N882" s="49" t="s">
        <v>192</v>
      </c>
      <c r="O882" s="49"/>
      <c r="P882" s="49" t="s">
        <v>193</v>
      </c>
    </row>
    <row r="883" spans="4:16" x14ac:dyDescent="0.3">
      <c r="D883" s="68" t="str" cm="1">
        <f t="array" ref="D883:F930" xml:space="preserve"> RXL_Data.UnPivot($F$874:$Q$877, $D$874:$D$877, $F$872:$Q$872)</f>
        <v>Product 1</v>
      </c>
      <c r="E883" s="20" t="str">
        <v>Jan</v>
      </c>
      <c r="F883" s="20">
        <v>1</v>
      </c>
      <c r="H883" s="68" t="str" cm="1">
        <f t="array" ref="H883:J930" xml:space="preserve"> RXL_Data.UnPivot($F$874:$Q$877, $D$874:$D$877, $F$872:$Q$872, TRUE)</f>
        <v>Jan</v>
      </c>
      <c r="I883" s="20" t="str">
        <v>Product 1</v>
      </c>
      <c r="J883" s="20">
        <v>1</v>
      </c>
      <c r="L883" s="68" t="str" cm="1">
        <f t="array" ref="L883:P930" xml:space="preserve"> RXL_Data.UnPivot($F$874:$Q$877, $D$874:$E$877, $F$872:$Q$873, FALSE)</f>
        <v>Product 1</v>
      </c>
      <c r="M883" s="20" t="str">
        <v>Cat.A</v>
      </c>
      <c r="N883" s="20" t="str">
        <v>Jan</v>
      </c>
      <c r="O883" s="20" t="str">
        <v>Q1</v>
      </c>
      <c r="P883" s="20">
        <v>1</v>
      </c>
    </row>
    <row r="884" spans="4:16" x14ac:dyDescent="0.3">
      <c r="D884" s="20" t="str">
        <v>Product 1</v>
      </c>
      <c r="E884" s="20" t="str">
        <v>Feb</v>
      </c>
      <c r="F884" s="20">
        <v>2</v>
      </c>
      <c r="H884" s="20" t="str">
        <v>Jan</v>
      </c>
      <c r="I884" s="20" t="str">
        <v>Product 2</v>
      </c>
      <c r="J884" s="20">
        <v>13</v>
      </c>
      <c r="L884" s="20" t="str">
        <v>Product 1</v>
      </c>
      <c r="M884" s="20" t="str">
        <v>Cat.A</v>
      </c>
      <c r="N884" s="20" t="str">
        <v>Feb</v>
      </c>
      <c r="O884" s="20" t="str">
        <v>Q1</v>
      </c>
      <c r="P884" s="20">
        <v>2</v>
      </c>
    </row>
    <row r="885" spans="4:16" x14ac:dyDescent="0.3">
      <c r="D885" s="20" t="str">
        <v>Product 1</v>
      </c>
      <c r="E885" s="20" t="str">
        <v>Mar</v>
      </c>
      <c r="F885" s="20">
        <v>3</v>
      </c>
      <c r="H885" s="20" t="str">
        <v>Jan</v>
      </c>
      <c r="I885" s="20" t="str">
        <v>Product 3</v>
      </c>
      <c r="J885" s="20">
        <v>25</v>
      </c>
      <c r="L885" s="20" t="str">
        <v>Product 1</v>
      </c>
      <c r="M885" s="20" t="str">
        <v>Cat.A</v>
      </c>
      <c r="N885" s="20" t="str">
        <v>Mar</v>
      </c>
      <c r="O885" s="20" t="str">
        <v>Q1</v>
      </c>
      <c r="P885" s="20">
        <v>3</v>
      </c>
    </row>
    <row r="886" spans="4:16" x14ac:dyDescent="0.3">
      <c r="D886" s="20" t="str">
        <v>Product 1</v>
      </c>
      <c r="E886" s="20" t="str">
        <v>Apr</v>
      </c>
      <c r="F886" s="20">
        <v>4</v>
      </c>
      <c r="H886" s="20" t="str">
        <v>Jan</v>
      </c>
      <c r="I886" s="20" t="str">
        <v>Product 4</v>
      </c>
      <c r="J886" s="20">
        <v>37</v>
      </c>
      <c r="L886" s="20" t="str">
        <v>Product 1</v>
      </c>
      <c r="M886" s="20" t="str">
        <v>Cat.A</v>
      </c>
      <c r="N886" s="20" t="str">
        <v>Apr</v>
      </c>
      <c r="O886" s="20" t="str">
        <v>Q2</v>
      </c>
      <c r="P886" s="20">
        <v>4</v>
      </c>
    </row>
    <row r="887" spans="4:16" x14ac:dyDescent="0.3">
      <c r="D887" s="20" t="str">
        <v>Product 1</v>
      </c>
      <c r="E887" s="20" t="str">
        <v>May</v>
      </c>
      <c r="F887" s="20">
        <v>5</v>
      </c>
      <c r="H887" s="20" t="str">
        <v>Feb</v>
      </c>
      <c r="I887" s="20" t="str">
        <v>Product 1</v>
      </c>
      <c r="J887" s="20">
        <v>2</v>
      </c>
      <c r="L887" s="20" t="str">
        <v>Product 1</v>
      </c>
      <c r="M887" s="20" t="str">
        <v>Cat.A</v>
      </c>
      <c r="N887" s="20" t="str">
        <v>May</v>
      </c>
      <c r="O887" s="20" t="str">
        <v>Q2</v>
      </c>
      <c r="P887" s="20">
        <v>5</v>
      </c>
    </row>
    <row r="888" spans="4:16" x14ac:dyDescent="0.3">
      <c r="D888" s="20" t="str">
        <v>Product 1</v>
      </c>
      <c r="E888" s="20" t="str">
        <v>Jun</v>
      </c>
      <c r="F888" s="20">
        <v>6</v>
      </c>
      <c r="H888" s="20" t="str">
        <v>Feb</v>
      </c>
      <c r="I888" s="20" t="str">
        <v>Product 2</v>
      </c>
      <c r="J888" s="20">
        <v>14</v>
      </c>
      <c r="L888" s="20" t="str">
        <v>Product 1</v>
      </c>
      <c r="M888" s="20" t="str">
        <v>Cat.A</v>
      </c>
      <c r="N888" s="20" t="str">
        <v>Jun</v>
      </c>
      <c r="O888" s="20" t="str">
        <v>Q2</v>
      </c>
      <c r="P888" s="20">
        <v>6</v>
      </c>
    </row>
    <row r="889" spans="4:16" x14ac:dyDescent="0.3">
      <c r="D889" s="20" t="str">
        <v>Product 1</v>
      </c>
      <c r="E889" s="20" t="str">
        <v>Jul</v>
      </c>
      <c r="F889" s="20">
        <v>7</v>
      </c>
      <c r="H889" s="20" t="str">
        <v>Feb</v>
      </c>
      <c r="I889" s="20" t="str">
        <v>Product 3</v>
      </c>
      <c r="J889" s="20">
        <v>26</v>
      </c>
      <c r="L889" s="20" t="str">
        <v>Product 1</v>
      </c>
      <c r="M889" s="20" t="str">
        <v>Cat.A</v>
      </c>
      <c r="N889" s="20" t="str">
        <v>Jul</v>
      </c>
      <c r="O889" s="20" t="str">
        <v>Q3</v>
      </c>
      <c r="P889" s="20">
        <v>7</v>
      </c>
    </row>
    <row r="890" spans="4:16" x14ac:dyDescent="0.3">
      <c r="D890" s="20" t="str">
        <v>Product 1</v>
      </c>
      <c r="E890" s="20" t="str">
        <v>Aug</v>
      </c>
      <c r="F890" s="20">
        <v>8</v>
      </c>
      <c r="H890" s="20" t="str">
        <v>Feb</v>
      </c>
      <c r="I890" s="20" t="str">
        <v>Product 4</v>
      </c>
      <c r="J890" s="20">
        <v>38</v>
      </c>
      <c r="L890" s="20" t="str">
        <v>Product 1</v>
      </c>
      <c r="M890" s="20" t="str">
        <v>Cat.A</v>
      </c>
      <c r="N890" s="20" t="str">
        <v>Aug</v>
      </c>
      <c r="O890" s="20" t="str">
        <v>Q3</v>
      </c>
      <c r="P890" s="20">
        <v>8</v>
      </c>
    </row>
    <row r="891" spans="4:16" x14ac:dyDescent="0.3">
      <c r="D891" s="20" t="str">
        <v>Product 1</v>
      </c>
      <c r="E891" s="20" t="str">
        <v>Sep</v>
      </c>
      <c r="F891" s="20">
        <v>9</v>
      </c>
      <c r="H891" s="20" t="str">
        <v>Mar</v>
      </c>
      <c r="I891" s="20" t="str">
        <v>Product 1</v>
      </c>
      <c r="J891" s="20">
        <v>3</v>
      </c>
      <c r="L891" s="20" t="str">
        <v>Product 1</v>
      </c>
      <c r="M891" s="20" t="str">
        <v>Cat.A</v>
      </c>
      <c r="N891" s="20" t="str">
        <v>Sep</v>
      </c>
      <c r="O891" s="20" t="str">
        <v>Q3</v>
      </c>
      <c r="P891" s="20">
        <v>9</v>
      </c>
    </row>
    <row r="892" spans="4:16" x14ac:dyDescent="0.3">
      <c r="D892" s="20" t="str">
        <v>Product 1</v>
      </c>
      <c r="E892" s="20" t="str">
        <v>Oct</v>
      </c>
      <c r="F892" s="20">
        <v>10</v>
      </c>
      <c r="H892" s="20" t="str">
        <v>Mar</v>
      </c>
      <c r="I892" s="20" t="str">
        <v>Product 2</v>
      </c>
      <c r="J892" s="20">
        <v>15</v>
      </c>
      <c r="L892" s="20" t="str">
        <v>Product 1</v>
      </c>
      <c r="M892" s="20" t="str">
        <v>Cat.A</v>
      </c>
      <c r="N892" s="20" t="str">
        <v>Oct</v>
      </c>
      <c r="O892" s="20" t="str">
        <v>Q4</v>
      </c>
      <c r="P892" s="20">
        <v>10</v>
      </c>
    </row>
    <row r="893" spans="4:16" x14ac:dyDescent="0.3">
      <c r="D893" s="20" t="str">
        <v>Product 1</v>
      </c>
      <c r="E893" s="20" t="str">
        <v>Nov</v>
      </c>
      <c r="F893" s="20">
        <v>11</v>
      </c>
      <c r="H893" s="20" t="str">
        <v>Mar</v>
      </c>
      <c r="I893" s="20" t="str">
        <v>Product 3</v>
      </c>
      <c r="J893" s="20">
        <v>27</v>
      </c>
      <c r="L893" s="20" t="str">
        <v>Product 1</v>
      </c>
      <c r="M893" s="20" t="str">
        <v>Cat.A</v>
      </c>
      <c r="N893" s="20" t="str">
        <v>Nov</v>
      </c>
      <c r="O893" s="20" t="str">
        <v>Q4</v>
      </c>
      <c r="P893" s="20">
        <v>11</v>
      </c>
    </row>
    <row r="894" spans="4:16" x14ac:dyDescent="0.3">
      <c r="D894" s="20" t="str">
        <v>Product 1</v>
      </c>
      <c r="E894" s="20" t="str">
        <v>Dec</v>
      </c>
      <c r="F894" s="20">
        <v>12</v>
      </c>
      <c r="H894" s="20" t="str">
        <v>Mar</v>
      </c>
      <c r="I894" s="20" t="str">
        <v>Product 4</v>
      </c>
      <c r="J894" s="20">
        <v>39</v>
      </c>
      <c r="L894" s="20" t="str">
        <v>Product 1</v>
      </c>
      <c r="M894" s="20" t="str">
        <v>Cat.A</v>
      </c>
      <c r="N894" s="20" t="str">
        <v>Dec</v>
      </c>
      <c r="O894" s="20" t="str">
        <v>Q4</v>
      </c>
      <c r="P894" s="20">
        <v>12</v>
      </c>
    </row>
    <row r="895" spans="4:16" x14ac:dyDescent="0.3">
      <c r="D895" s="20" t="str">
        <v>Product 2</v>
      </c>
      <c r="E895" s="20" t="str">
        <v>Jan</v>
      </c>
      <c r="F895" s="20">
        <v>13</v>
      </c>
      <c r="H895" s="20" t="str">
        <v>Apr</v>
      </c>
      <c r="I895" s="20" t="str">
        <v>Product 1</v>
      </c>
      <c r="J895" s="20">
        <v>4</v>
      </c>
      <c r="L895" s="20" t="str">
        <v>Product 2</v>
      </c>
      <c r="M895" s="20" t="str">
        <v>Cat.A</v>
      </c>
      <c r="N895" s="20" t="str">
        <v>Jan</v>
      </c>
      <c r="O895" s="20" t="str">
        <v>Q1</v>
      </c>
      <c r="P895" s="20">
        <v>13</v>
      </c>
    </row>
    <row r="896" spans="4:16" x14ac:dyDescent="0.3">
      <c r="D896" s="20" t="str">
        <v>Product 2</v>
      </c>
      <c r="E896" s="20" t="str">
        <v>Feb</v>
      </c>
      <c r="F896" s="20">
        <v>14</v>
      </c>
      <c r="H896" s="20" t="str">
        <v>Apr</v>
      </c>
      <c r="I896" s="20" t="str">
        <v>Product 2</v>
      </c>
      <c r="J896" s="20">
        <v>16</v>
      </c>
      <c r="L896" s="20" t="str">
        <v>Product 2</v>
      </c>
      <c r="M896" s="20" t="str">
        <v>Cat.A</v>
      </c>
      <c r="N896" s="20" t="str">
        <v>Feb</v>
      </c>
      <c r="O896" s="20" t="str">
        <v>Q1</v>
      </c>
      <c r="P896" s="20">
        <v>14</v>
      </c>
    </row>
    <row r="897" spans="4:16" x14ac:dyDescent="0.3">
      <c r="D897" s="20" t="str">
        <v>Product 2</v>
      </c>
      <c r="E897" s="20" t="str">
        <v>Mar</v>
      </c>
      <c r="F897" s="20">
        <v>15</v>
      </c>
      <c r="H897" s="20" t="str">
        <v>Apr</v>
      </c>
      <c r="I897" s="20" t="str">
        <v>Product 3</v>
      </c>
      <c r="J897" s="20">
        <v>28</v>
      </c>
      <c r="L897" s="20" t="str">
        <v>Product 2</v>
      </c>
      <c r="M897" s="20" t="str">
        <v>Cat.A</v>
      </c>
      <c r="N897" s="20" t="str">
        <v>Mar</v>
      </c>
      <c r="O897" s="20" t="str">
        <v>Q1</v>
      </c>
      <c r="P897" s="20">
        <v>15</v>
      </c>
    </row>
    <row r="898" spans="4:16" x14ac:dyDescent="0.3">
      <c r="D898" s="20" t="str">
        <v>Product 2</v>
      </c>
      <c r="E898" s="20" t="str">
        <v>Apr</v>
      </c>
      <c r="F898" s="20">
        <v>16</v>
      </c>
      <c r="H898" s="20" t="str">
        <v>Apr</v>
      </c>
      <c r="I898" s="20" t="str">
        <v>Product 4</v>
      </c>
      <c r="J898" s="20">
        <v>40</v>
      </c>
      <c r="L898" s="20" t="str">
        <v>Product 2</v>
      </c>
      <c r="M898" s="20" t="str">
        <v>Cat.A</v>
      </c>
      <c r="N898" s="20" t="str">
        <v>Apr</v>
      </c>
      <c r="O898" s="20" t="str">
        <v>Q2</v>
      </c>
      <c r="P898" s="20">
        <v>16</v>
      </c>
    </row>
    <row r="899" spans="4:16" x14ac:dyDescent="0.3">
      <c r="D899" s="20" t="str">
        <v>Product 2</v>
      </c>
      <c r="E899" s="20" t="str">
        <v>May</v>
      </c>
      <c r="F899" s="20">
        <v>17</v>
      </c>
      <c r="H899" s="20" t="str">
        <v>May</v>
      </c>
      <c r="I899" s="20" t="str">
        <v>Product 1</v>
      </c>
      <c r="J899" s="20">
        <v>5</v>
      </c>
      <c r="L899" s="20" t="str">
        <v>Product 2</v>
      </c>
      <c r="M899" s="20" t="str">
        <v>Cat.A</v>
      </c>
      <c r="N899" s="20" t="str">
        <v>May</v>
      </c>
      <c r="O899" s="20" t="str">
        <v>Q2</v>
      </c>
      <c r="P899" s="20">
        <v>17</v>
      </c>
    </row>
    <row r="900" spans="4:16" x14ac:dyDescent="0.3">
      <c r="D900" s="20" t="str">
        <v>Product 2</v>
      </c>
      <c r="E900" s="20" t="str">
        <v>Jun</v>
      </c>
      <c r="F900" s="20">
        <v>18</v>
      </c>
      <c r="H900" s="20" t="str">
        <v>May</v>
      </c>
      <c r="I900" s="20" t="str">
        <v>Product 2</v>
      </c>
      <c r="J900" s="20">
        <v>17</v>
      </c>
      <c r="L900" s="20" t="str">
        <v>Product 2</v>
      </c>
      <c r="M900" s="20" t="str">
        <v>Cat.A</v>
      </c>
      <c r="N900" s="20" t="str">
        <v>Jun</v>
      </c>
      <c r="O900" s="20" t="str">
        <v>Q2</v>
      </c>
      <c r="P900" s="20">
        <v>18</v>
      </c>
    </row>
    <row r="901" spans="4:16" x14ac:dyDescent="0.3">
      <c r="D901" s="20" t="str">
        <v>Product 2</v>
      </c>
      <c r="E901" s="20" t="str">
        <v>Jul</v>
      </c>
      <c r="F901" s="20">
        <v>19</v>
      </c>
      <c r="H901" s="20" t="str">
        <v>May</v>
      </c>
      <c r="I901" s="20" t="str">
        <v>Product 3</v>
      </c>
      <c r="J901" s="20">
        <v>29</v>
      </c>
      <c r="L901" s="20" t="str">
        <v>Product 2</v>
      </c>
      <c r="M901" s="20" t="str">
        <v>Cat.A</v>
      </c>
      <c r="N901" s="20" t="str">
        <v>Jul</v>
      </c>
      <c r="O901" s="20" t="str">
        <v>Q3</v>
      </c>
      <c r="P901" s="20">
        <v>19</v>
      </c>
    </row>
    <row r="902" spans="4:16" x14ac:dyDescent="0.3">
      <c r="D902" s="20" t="str">
        <v>Product 2</v>
      </c>
      <c r="E902" s="20" t="str">
        <v>Aug</v>
      </c>
      <c r="F902" s="20">
        <v>20</v>
      </c>
      <c r="H902" s="20" t="str">
        <v>May</v>
      </c>
      <c r="I902" s="20" t="str">
        <v>Product 4</v>
      </c>
      <c r="J902" s="20">
        <v>41</v>
      </c>
      <c r="L902" s="20" t="str">
        <v>Product 2</v>
      </c>
      <c r="M902" s="20" t="str">
        <v>Cat.A</v>
      </c>
      <c r="N902" s="20" t="str">
        <v>Aug</v>
      </c>
      <c r="O902" s="20" t="str">
        <v>Q3</v>
      </c>
      <c r="P902" s="20">
        <v>20</v>
      </c>
    </row>
    <row r="903" spans="4:16" x14ac:dyDescent="0.3">
      <c r="D903" s="20" t="str">
        <v>Product 2</v>
      </c>
      <c r="E903" s="20" t="str">
        <v>Sep</v>
      </c>
      <c r="F903" s="20">
        <v>21</v>
      </c>
      <c r="H903" s="20" t="str">
        <v>Jun</v>
      </c>
      <c r="I903" s="20" t="str">
        <v>Product 1</v>
      </c>
      <c r="J903" s="20">
        <v>6</v>
      </c>
      <c r="L903" s="20" t="str">
        <v>Product 2</v>
      </c>
      <c r="M903" s="20" t="str">
        <v>Cat.A</v>
      </c>
      <c r="N903" s="20" t="str">
        <v>Sep</v>
      </c>
      <c r="O903" s="20" t="str">
        <v>Q3</v>
      </c>
      <c r="P903" s="20">
        <v>21</v>
      </c>
    </row>
    <row r="904" spans="4:16" x14ac:dyDescent="0.3">
      <c r="D904" s="20" t="str">
        <v>Product 2</v>
      </c>
      <c r="E904" s="20" t="str">
        <v>Oct</v>
      </c>
      <c r="F904" s="20">
        <v>22</v>
      </c>
      <c r="H904" s="20" t="str">
        <v>Jun</v>
      </c>
      <c r="I904" s="20" t="str">
        <v>Product 2</v>
      </c>
      <c r="J904" s="20">
        <v>18</v>
      </c>
      <c r="L904" s="20" t="str">
        <v>Product 2</v>
      </c>
      <c r="M904" s="20" t="str">
        <v>Cat.A</v>
      </c>
      <c r="N904" s="20" t="str">
        <v>Oct</v>
      </c>
      <c r="O904" s="20" t="str">
        <v>Q4</v>
      </c>
      <c r="P904" s="20">
        <v>22</v>
      </c>
    </row>
    <row r="905" spans="4:16" x14ac:dyDescent="0.3">
      <c r="D905" s="20" t="str">
        <v>Product 2</v>
      </c>
      <c r="E905" s="20" t="str">
        <v>Nov</v>
      </c>
      <c r="F905" s="20">
        <v>23</v>
      </c>
      <c r="H905" s="20" t="str">
        <v>Jun</v>
      </c>
      <c r="I905" s="20" t="str">
        <v>Product 3</v>
      </c>
      <c r="J905" s="20">
        <v>30</v>
      </c>
      <c r="L905" s="20" t="str">
        <v>Product 2</v>
      </c>
      <c r="M905" s="20" t="str">
        <v>Cat.A</v>
      </c>
      <c r="N905" s="20" t="str">
        <v>Nov</v>
      </c>
      <c r="O905" s="20" t="str">
        <v>Q4</v>
      </c>
      <c r="P905" s="20">
        <v>23</v>
      </c>
    </row>
    <row r="906" spans="4:16" x14ac:dyDescent="0.3">
      <c r="D906" s="20" t="str">
        <v>Product 2</v>
      </c>
      <c r="E906" s="20" t="str">
        <v>Dec</v>
      </c>
      <c r="F906" s="20">
        <v>24</v>
      </c>
      <c r="H906" s="20" t="str">
        <v>Jun</v>
      </c>
      <c r="I906" s="20" t="str">
        <v>Product 4</v>
      </c>
      <c r="J906" s="20">
        <v>42</v>
      </c>
      <c r="L906" s="20" t="str">
        <v>Product 2</v>
      </c>
      <c r="M906" s="20" t="str">
        <v>Cat.A</v>
      </c>
      <c r="N906" s="20" t="str">
        <v>Dec</v>
      </c>
      <c r="O906" s="20" t="str">
        <v>Q4</v>
      </c>
      <c r="P906" s="20">
        <v>24</v>
      </c>
    </row>
    <row r="907" spans="4:16" x14ac:dyDescent="0.3">
      <c r="D907" s="20" t="str">
        <v>Product 3</v>
      </c>
      <c r="E907" s="20" t="str">
        <v>Jan</v>
      </c>
      <c r="F907" s="20">
        <v>25</v>
      </c>
      <c r="H907" s="20" t="str">
        <v>Jul</v>
      </c>
      <c r="I907" s="20" t="str">
        <v>Product 1</v>
      </c>
      <c r="J907" s="20">
        <v>7</v>
      </c>
      <c r="L907" s="20" t="str">
        <v>Product 3</v>
      </c>
      <c r="M907" s="20" t="str">
        <v>Cat.B</v>
      </c>
      <c r="N907" s="20" t="str">
        <v>Jan</v>
      </c>
      <c r="O907" s="20" t="str">
        <v>Q1</v>
      </c>
      <c r="P907" s="20">
        <v>25</v>
      </c>
    </row>
    <row r="908" spans="4:16" x14ac:dyDescent="0.3">
      <c r="D908" s="20" t="str">
        <v>Product 3</v>
      </c>
      <c r="E908" s="20" t="str">
        <v>Feb</v>
      </c>
      <c r="F908" s="20">
        <v>26</v>
      </c>
      <c r="H908" s="20" t="str">
        <v>Jul</v>
      </c>
      <c r="I908" s="20" t="str">
        <v>Product 2</v>
      </c>
      <c r="J908" s="20">
        <v>19</v>
      </c>
      <c r="L908" s="20" t="str">
        <v>Product 3</v>
      </c>
      <c r="M908" s="20" t="str">
        <v>Cat.B</v>
      </c>
      <c r="N908" s="20" t="str">
        <v>Feb</v>
      </c>
      <c r="O908" s="20" t="str">
        <v>Q1</v>
      </c>
      <c r="P908" s="20">
        <v>26</v>
      </c>
    </row>
    <row r="909" spans="4:16" x14ac:dyDescent="0.3">
      <c r="D909" s="20" t="str">
        <v>Product 3</v>
      </c>
      <c r="E909" s="20" t="str">
        <v>Mar</v>
      </c>
      <c r="F909" s="20">
        <v>27</v>
      </c>
      <c r="H909" s="20" t="str">
        <v>Jul</v>
      </c>
      <c r="I909" s="20" t="str">
        <v>Product 3</v>
      </c>
      <c r="J909" s="20">
        <v>31</v>
      </c>
      <c r="L909" s="20" t="str">
        <v>Product 3</v>
      </c>
      <c r="M909" s="20" t="str">
        <v>Cat.B</v>
      </c>
      <c r="N909" s="20" t="str">
        <v>Mar</v>
      </c>
      <c r="O909" s="20" t="str">
        <v>Q1</v>
      </c>
      <c r="P909" s="20">
        <v>27</v>
      </c>
    </row>
    <row r="910" spans="4:16" x14ac:dyDescent="0.3">
      <c r="D910" s="20" t="str">
        <v>Product 3</v>
      </c>
      <c r="E910" s="20" t="str">
        <v>Apr</v>
      </c>
      <c r="F910" s="20">
        <v>28</v>
      </c>
      <c r="H910" s="20" t="str">
        <v>Jul</v>
      </c>
      <c r="I910" s="20" t="str">
        <v>Product 4</v>
      </c>
      <c r="J910" s="20">
        <v>43</v>
      </c>
      <c r="L910" s="20" t="str">
        <v>Product 3</v>
      </c>
      <c r="M910" s="20" t="str">
        <v>Cat.B</v>
      </c>
      <c r="N910" s="20" t="str">
        <v>Apr</v>
      </c>
      <c r="O910" s="20" t="str">
        <v>Q2</v>
      </c>
      <c r="P910" s="20">
        <v>28</v>
      </c>
    </row>
    <row r="911" spans="4:16" x14ac:dyDescent="0.3">
      <c r="D911" s="20" t="str">
        <v>Product 3</v>
      </c>
      <c r="E911" s="20" t="str">
        <v>May</v>
      </c>
      <c r="F911" s="20">
        <v>29</v>
      </c>
      <c r="H911" s="20" t="str">
        <v>Aug</v>
      </c>
      <c r="I911" s="20" t="str">
        <v>Product 1</v>
      </c>
      <c r="J911" s="20">
        <v>8</v>
      </c>
      <c r="L911" s="20" t="str">
        <v>Product 3</v>
      </c>
      <c r="M911" s="20" t="str">
        <v>Cat.B</v>
      </c>
      <c r="N911" s="20" t="str">
        <v>May</v>
      </c>
      <c r="O911" s="20" t="str">
        <v>Q2</v>
      </c>
      <c r="P911" s="20">
        <v>29</v>
      </c>
    </row>
    <row r="912" spans="4:16" x14ac:dyDescent="0.3">
      <c r="D912" s="20" t="str">
        <v>Product 3</v>
      </c>
      <c r="E912" s="20" t="str">
        <v>Jun</v>
      </c>
      <c r="F912" s="20">
        <v>30</v>
      </c>
      <c r="H912" s="20" t="str">
        <v>Aug</v>
      </c>
      <c r="I912" s="20" t="str">
        <v>Product 2</v>
      </c>
      <c r="J912" s="20">
        <v>20</v>
      </c>
      <c r="L912" s="20" t="str">
        <v>Product 3</v>
      </c>
      <c r="M912" s="20" t="str">
        <v>Cat.B</v>
      </c>
      <c r="N912" s="20" t="str">
        <v>Jun</v>
      </c>
      <c r="O912" s="20" t="str">
        <v>Q2</v>
      </c>
      <c r="P912" s="20">
        <v>30</v>
      </c>
    </row>
    <row r="913" spans="4:16" x14ac:dyDescent="0.3">
      <c r="D913" s="20" t="str">
        <v>Product 3</v>
      </c>
      <c r="E913" s="20" t="str">
        <v>Jul</v>
      </c>
      <c r="F913" s="20">
        <v>31</v>
      </c>
      <c r="H913" s="20" t="str">
        <v>Aug</v>
      </c>
      <c r="I913" s="20" t="str">
        <v>Product 3</v>
      </c>
      <c r="J913" s="20">
        <v>32</v>
      </c>
      <c r="L913" s="20" t="str">
        <v>Product 3</v>
      </c>
      <c r="M913" s="20" t="str">
        <v>Cat.B</v>
      </c>
      <c r="N913" s="20" t="str">
        <v>Jul</v>
      </c>
      <c r="O913" s="20" t="str">
        <v>Q3</v>
      </c>
      <c r="P913" s="20">
        <v>31</v>
      </c>
    </row>
    <row r="914" spans="4:16" x14ac:dyDescent="0.3">
      <c r="D914" s="20" t="str">
        <v>Product 3</v>
      </c>
      <c r="E914" s="20" t="str">
        <v>Aug</v>
      </c>
      <c r="F914" s="20">
        <v>32</v>
      </c>
      <c r="H914" s="20" t="str">
        <v>Aug</v>
      </c>
      <c r="I914" s="20" t="str">
        <v>Product 4</v>
      </c>
      <c r="J914" s="20">
        <v>44</v>
      </c>
      <c r="L914" s="20" t="str">
        <v>Product 3</v>
      </c>
      <c r="M914" s="20" t="str">
        <v>Cat.B</v>
      </c>
      <c r="N914" s="20" t="str">
        <v>Aug</v>
      </c>
      <c r="O914" s="20" t="str">
        <v>Q3</v>
      </c>
      <c r="P914" s="20">
        <v>32</v>
      </c>
    </row>
    <row r="915" spans="4:16" x14ac:dyDescent="0.3">
      <c r="D915" s="20" t="str">
        <v>Product 3</v>
      </c>
      <c r="E915" s="20" t="str">
        <v>Sep</v>
      </c>
      <c r="F915" s="20">
        <v>33</v>
      </c>
      <c r="H915" s="20" t="str">
        <v>Sep</v>
      </c>
      <c r="I915" s="20" t="str">
        <v>Product 1</v>
      </c>
      <c r="J915" s="20">
        <v>9</v>
      </c>
      <c r="L915" s="20" t="str">
        <v>Product 3</v>
      </c>
      <c r="M915" s="20" t="str">
        <v>Cat.B</v>
      </c>
      <c r="N915" s="20" t="str">
        <v>Sep</v>
      </c>
      <c r="O915" s="20" t="str">
        <v>Q3</v>
      </c>
      <c r="P915" s="20">
        <v>33</v>
      </c>
    </row>
    <row r="916" spans="4:16" x14ac:dyDescent="0.3">
      <c r="D916" s="20" t="str">
        <v>Product 3</v>
      </c>
      <c r="E916" s="20" t="str">
        <v>Oct</v>
      </c>
      <c r="F916" s="20">
        <v>34</v>
      </c>
      <c r="H916" s="20" t="str">
        <v>Sep</v>
      </c>
      <c r="I916" s="20" t="str">
        <v>Product 2</v>
      </c>
      <c r="J916" s="20">
        <v>21</v>
      </c>
      <c r="L916" s="20" t="str">
        <v>Product 3</v>
      </c>
      <c r="M916" s="20" t="str">
        <v>Cat.B</v>
      </c>
      <c r="N916" s="20" t="str">
        <v>Oct</v>
      </c>
      <c r="O916" s="20" t="str">
        <v>Q4</v>
      </c>
      <c r="P916" s="20">
        <v>34</v>
      </c>
    </row>
    <row r="917" spans="4:16" x14ac:dyDescent="0.3">
      <c r="D917" s="20" t="str">
        <v>Product 3</v>
      </c>
      <c r="E917" s="20" t="str">
        <v>Nov</v>
      </c>
      <c r="F917" s="20">
        <v>35</v>
      </c>
      <c r="H917" s="20" t="str">
        <v>Sep</v>
      </c>
      <c r="I917" s="20" t="str">
        <v>Product 3</v>
      </c>
      <c r="J917" s="20">
        <v>33</v>
      </c>
      <c r="L917" s="20" t="str">
        <v>Product 3</v>
      </c>
      <c r="M917" s="20" t="str">
        <v>Cat.B</v>
      </c>
      <c r="N917" s="20" t="str">
        <v>Nov</v>
      </c>
      <c r="O917" s="20" t="str">
        <v>Q4</v>
      </c>
      <c r="P917" s="20">
        <v>35</v>
      </c>
    </row>
    <row r="918" spans="4:16" x14ac:dyDescent="0.3">
      <c r="D918" s="20" t="str">
        <v>Product 3</v>
      </c>
      <c r="E918" s="20" t="str">
        <v>Dec</v>
      </c>
      <c r="F918" s="20">
        <v>36</v>
      </c>
      <c r="H918" s="20" t="str">
        <v>Sep</v>
      </c>
      <c r="I918" s="20" t="str">
        <v>Product 4</v>
      </c>
      <c r="J918" s="20">
        <v>45</v>
      </c>
      <c r="L918" s="20" t="str">
        <v>Product 3</v>
      </c>
      <c r="M918" s="20" t="str">
        <v>Cat.B</v>
      </c>
      <c r="N918" s="20" t="str">
        <v>Dec</v>
      </c>
      <c r="O918" s="20" t="str">
        <v>Q4</v>
      </c>
      <c r="P918" s="20">
        <v>36</v>
      </c>
    </row>
    <row r="919" spans="4:16" x14ac:dyDescent="0.3">
      <c r="D919" s="20" t="str">
        <v>Product 4</v>
      </c>
      <c r="E919" s="20" t="str">
        <v>Jan</v>
      </c>
      <c r="F919" s="20">
        <v>37</v>
      </c>
      <c r="H919" s="20" t="str">
        <v>Oct</v>
      </c>
      <c r="I919" s="20" t="str">
        <v>Product 1</v>
      </c>
      <c r="J919" s="20">
        <v>10</v>
      </c>
      <c r="L919" s="20" t="str">
        <v>Product 4</v>
      </c>
      <c r="M919" s="20" t="str">
        <v>Cat.B</v>
      </c>
      <c r="N919" s="20" t="str">
        <v>Jan</v>
      </c>
      <c r="O919" s="20" t="str">
        <v>Q1</v>
      </c>
      <c r="P919" s="20">
        <v>37</v>
      </c>
    </row>
    <row r="920" spans="4:16" x14ac:dyDescent="0.3">
      <c r="D920" s="20" t="str">
        <v>Product 4</v>
      </c>
      <c r="E920" s="20" t="str">
        <v>Feb</v>
      </c>
      <c r="F920" s="20">
        <v>38</v>
      </c>
      <c r="H920" s="20" t="str">
        <v>Oct</v>
      </c>
      <c r="I920" s="20" t="str">
        <v>Product 2</v>
      </c>
      <c r="J920" s="20">
        <v>22</v>
      </c>
      <c r="L920" s="20" t="str">
        <v>Product 4</v>
      </c>
      <c r="M920" s="20" t="str">
        <v>Cat.B</v>
      </c>
      <c r="N920" s="20" t="str">
        <v>Feb</v>
      </c>
      <c r="O920" s="20" t="str">
        <v>Q1</v>
      </c>
      <c r="P920" s="20">
        <v>38</v>
      </c>
    </row>
    <row r="921" spans="4:16" x14ac:dyDescent="0.3">
      <c r="D921" s="20" t="str">
        <v>Product 4</v>
      </c>
      <c r="E921" s="20" t="str">
        <v>Mar</v>
      </c>
      <c r="F921" s="20">
        <v>39</v>
      </c>
      <c r="H921" s="20" t="str">
        <v>Oct</v>
      </c>
      <c r="I921" s="20" t="str">
        <v>Product 3</v>
      </c>
      <c r="J921" s="20">
        <v>34</v>
      </c>
      <c r="L921" s="20" t="str">
        <v>Product 4</v>
      </c>
      <c r="M921" s="20" t="str">
        <v>Cat.B</v>
      </c>
      <c r="N921" s="20" t="str">
        <v>Mar</v>
      </c>
      <c r="O921" s="20" t="str">
        <v>Q1</v>
      </c>
      <c r="P921" s="20">
        <v>39</v>
      </c>
    </row>
    <row r="922" spans="4:16" x14ac:dyDescent="0.3">
      <c r="D922" s="20" t="str">
        <v>Product 4</v>
      </c>
      <c r="E922" s="20" t="str">
        <v>Apr</v>
      </c>
      <c r="F922" s="20">
        <v>40</v>
      </c>
      <c r="H922" s="20" t="str">
        <v>Oct</v>
      </c>
      <c r="I922" s="20" t="str">
        <v>Product 4</v>
      </c>
      <c r="J922" s="20">
        <v>46</v>
      </c>
      <c r="L922" s="20" t="str">
        <v>Product 4</v>
      </c>
      <c r="M922" s="20" t="str">
        <v>Cat.B</v>
      </c>
      <c r="N922" s="20" t="str">
        <v>Apr</v>
      </c>
      <c r="O922" s="20" t="str">
        <v>Q2</v>
      </c>
      <c r="P922" s="20">
        <v>40</v>
      </c>
    </row>
    <row r="923" spans="4:16" x14ac:dyDescent="0.3">
      <c r="D923" s="20" t="str">
        <v>Product 4</v>
      </c>
      <c r="E923" s="20" t="str">
        <v>May</v>
      </c>
      <c r="F923" s="20">
        <v>41</v>
      </c>
      <c r="H923" s="20" t="str">
        <v>Nov</v>
      </c>
      <c r="I923" s="20" t="str">
        <v>Product 1</v>
      </c>
      <c r="J923" s="20">
        <v>11</v>
      </c>
      <c r="L923" s="20" t="str">
        <v>Product 4</v>
      </c>
      <c r="M923" s="20" t="str">
        <v>Cat.B</v>
      </c>
      <c r="N923" s="20" t="str">
        <v>May</v>
      </c>
      <c r="O923" s="20" t="str">
        <v>Q2</v>
      </c>
      <c r="P923" s="20">
        <v>41</v>
      </c>
    </row>
    <row r="924" spans="4:16" x14ac:dyDescent="0.3">
      <c r="D924" s="20" t="str">
        <v>Product 4</v>
      </c>
      <c r="E924" s="20" t="str">
        <v>Jun</v>
      </c>
      <c r="F924" s="20">
        <v>42</v>
      </c>
      <c r="H924" s="20" t="str">
        <v>Nov</v>
      </c>
      <c r="I924" s="20" t="str">
        <v>Product 2</v>
      </c>
      <c r="J924" s="20">
        <v>23</v>
      </c>
      <c r="L924" s="20" t="str">
        <v>Product 4</v>
      </c>
      <c r="M924" s="20" t="str">
        <v>Cat.B</v>
      </c>
      <c r="N924" s="20" t="str">
        <v>Jun</v>
      </c>
      <c r="O924" s="20" t="str">
        <v>Q2</v>
      </c>
      <c r="P924" s="20">
        <v>42</v>
      </c>
    </row>
    <row r="925" spans="4:16" x14ac:dyDescent="0.3">
      <c r="D925" s="20" t="str">
        <v>Product 4</v>
      </c>
      <c r="E925" s="20" t="str">
        <v>Jul</v>
      </c>
      <c r="F925" s="20">
        <v>43</v>
      </c>
      <c r="H925" s="20" t="str">
        <v>Nov</v>
      </c>
      <c r="I925" s="20" t="str">
        <v>Product 3</v>
      </c>
      <c r="J925" s="20">
        <v>35</v>
      </c>
      <c r="L925" s="20" t="str">
        <v>Product 4</v>
      </c>
      <c r="M925" s="20" t="str">
        <v>Cat.B</v>
      </c>
      <c r="N925" s="20" t="str">
        <v>Jul</v>
      </c>
      <c r="O925" s="20" t="str">
        <v>Q3</v>
      </c>
      <c r="P925" s="20">
        <v>43</v>
      </c>
    </row>
    <row r="926" spans="4:16" x14ac:dyDescent="0.3">
      <c r="D926" s="20" t="str">
        <v>Product 4</v>
      </c>
      <c r="E926" s="20" t="str">
        <v>Aug</v>
      </c>
      <c r="F926" s="20">
        <v>44</v>
      </c>
      <c r="H926" s="20" t="str">
        <v>Nov</v>
      </c>
      <c r="I926" s="20" t="str">
        <v>Product 4</v>
      </c>
      <c r="J926" s="20">
        <v>47</v>
      </c>
      <c r="L926" s="20" t="str">
        <v>Product 4</v>
      </c>
      <c r="M926" s="20" t="str">
        <v>Cat.B</v>
      </c>
      <c r="N926" s="20" t="str">
        <v>Aug</v>
      </c>
      <c r="O926" s="20" t="str">
        <v>Q3</v>
      </c>
      <c r="P926" s="20">
        <v>44</v>
      </c>
    </row>
    <row r="927" spans="4:16" x14ac:dyDescent="0.3">
      <c r="D927" s="20" t="str">
        <v>Product 4</v>
      </c>
      <c r="E927" s="20" t="str">
        <v>Sep</v>
      </c>
      <c r="F927" s="20">
        <v>45</v>
      </c>
      <c r="H927" s="20" t="str">
        <v>Dec</v>
      </c>
      <c r="I927" s="20" t="str">
        <v>Product 1</v>
      </c>
      <c r="J927" s="20">
        <v>12</v>
      </c>
      <c r="L927" s="20" t="str">
        <v>Product 4</v>
      </c>
      <c r="M927" s="20" t="str">
        <v>Cat.B</v>
      </c>
      <c r="N927" s="20" t="str">
        <v>Sep</v>
      </c>
      <c r="O927" s="20" t="str">
        <v>Q3</v>
      </c>
      <c r="P927" s="20">
        <v>45</v>
      </c>
    </row>
    <row r="928" spans="4:16" x14ac:dyDescent="0.3">
      <c r="D928" s="20" t="str">
        <v>Product 4</v>
      </c>
      <c r="E928" s="20" t="str">
        <v>Oct</v>
      </c>
      <c r="F928" s="20">
        <v>46</v>
      </c>
      <c r="H928" s="20" t="str">
        <v>Dec</v>
      </c>
      <c r="I928" s="20" t="str">
        <v>Product 2</v>
      </c>
      <c r="J928" s="20">
        <v>24</v>
      </c>
      <c r="L928" s="20" t="str">
        <v>Product 4</v>
      </c>
      <c r="M928" s="20" t="str">
        <v>Cat.B</v>
      </c>
      <c r="N928" s="20" t="str">
        <v>Oct</v>
      </c>
      <c r="O928" s="20" t="str">
        <v>Q4</v>
      </c>
      <c r="P928" s="20">
        <v>46</v>
      </c>
    </row>
    <row r="929" spans="3:16" x14ac:dyDescent="0.3">
      <c r="D929" s="20" t="str">
        <v>Product 4</v>
      </c>
      <c r="E929" s="20" t="str">
        <v>Nov</v>
      </c>
      <c r="F929" s="20">
        <v>47</v>
      </c>
      <c r="H929" s="20" t="str">
        <v>Dec</v>
      </c>
      <c r="I929" s="20" t="str">
        <v>Product 3</v>
      </c>
      <c r="J929" s="20">
        <v>36</v>
      </c>
      <c r="L929" s="20" t="str">
        <v>Product 4</v>
      </c>
      <c r="M929" s="20" t="str">
        <v>Cat.B</v>
      </c>
      <c r="N929" s="20" t="str">
        <v>Nov</v>
      </c>
      <c r="O929" s="20" t="str">
        <v>Q4</v>
      </c>
      <c r="P929" s="20">
        <v>47</v>
      </c>
    </row>
    <row r="930" spans="3:16" x14ac:dyDescent="0.3">
      <c r="D930" s="20" t="str">
        <v>Product 4</v>
      </c>
      <c r="E930" s="20" t="str">
        <v>Dec</v>
      </c>
      <c r="F930" s="20">
        <v>48</v>
      </c>
      <c r="H930" s="20" t="str">
        <v>Dec</v>
      </c>
      <c r="I930" s="20" t="str">
        <v>Product 4</v>
      </c>
      <c r="J930" s="20">
        <v>48</v>
      </c>
      <c r="L930" s="20" t="str">
        <v>Product 4</v>
      </c>
      <c r="M930" s="20" t="str">
        <v>Cat.B</v>
      </c>
      <c r="N930" s="20" t="str">
        <v>Dec</v>
      </c>
      <c r="O930" s="20" t="str">
        <v>Q4</v>
      </c>
      <c r="P930" s="20">
        <v>48</v>
      </c>
    </row>
    <row r="931" spans="3:16" x14ac:dyDescent="0.3">
      <c r="D931" s="52" t="str">
        <f ca="1" xml:space="preserve"> _xlfn.FORMULATEXT(D883)</f>
        <v>= RXL_Data.UnPivot($F$874:$Q$877, $D$874:$D$877, $F$872:$Q$872)</v>
      </c>
    </row>
    <row r="932" spans="3:16" x14ac:dyDescent="0.3">
      <c r="H932" s="52" t="str">
        <f ca="1" xml:space="preserve"> _xlfn.FORMULATEXT(H883)</f>
        <v>= RXL_Data.UnPivot($F$874:$Q$877, $D$874:$D$877, $F$872:$Q$872, TRUE)</v>
      </c>
    </row>
    <row r="933" spans="3:16" x14ac:dyDescent="0.3">
      <c r="L933" s="52" t="str">
        <f ca="1" xml:space="preserve"> _xlfn.FORMULATEXT(L883)</f>
        <v>= RXL_Data.UnPivot($F$874:$Q$877, $D$874:$E$877, $F$872:$Q$873, FALSE)</v>
      </c>
    </row>
    <row r="934" spans="3:16" x14ac:dyDescent="0.3">
      <c r="C934" s="14" t="s">
        <v>186</v>
      </c>
    </row>
    <row r="935" spans="3:16" x14ac:dyDescent="0.3">
      <c r="D935" t="s">
        <v>194</v>
      </c>
      <c r="I935" t="s">
        <v>203</v>
      </c>
    </row>
    <row r="936" spans="3:16" ht="14.4" thickBot="1" x14ac:dyDescent="0.35">
      <c r="D936" s="49"/>
      <c r="E936" s="51" t="s">
        <v>195</v>
      </c>
      <c r="F936" s="51" t="s">
        <v>196</v>
      </c>
      <c r="G936" s="51" t="s">
        <v>197</v>
      </c>
      <c r="I936" s="49" t="s">
        <v>191</v>
      </c>
      <c r="J936" s="49" t="s">
        <v>192</v>
      </c>
      <c r="K936" s="49" t="s">
        <v>193</v>
      </c>
    </row>
    <row r="937" spans="3:16" x14ac:dyDescent="0.3">
      <c r="D937" s="109" t="s">
        <v>198</v>
      </c>
      <c r="E937" s="46">
        <v>1</v>
      </c>
      <c r="F937" s="46">
        <v>2</v>
      </c>
      <c r="G937" s="46"/>
      <c r="I937" s="68" t="str" cm="1">
        <f t="array" ref="I937:K951" xml:space="preserve"> RXL_Data.UnPivot($E$937:$G$941, $D$937:$D$941, $E$936:$G$936)</f>
        <v>Alpha</v>
      </c>
      <c r="J937" s="20" t="str">
        <v>Cat.1</v>
      </c>
      <c r="K937" s="20">
        <v>1</v>
      </c>
    </row>
    <row r="938" spans="3:16" x14ac:dyDescent="0.3">
      <c r="D938" s="109" t="s">
        <v>199</v>
      </c>
      <c r="E938" s="46">
        <v>4</v>
      </c>
      <c r="F938" s="46">
        <v>5</v>
      </c>
      <c r="G938" s="46">
        <v>6</v>
      </c>
      <c r="I938" s="20" t="str">
        <v>Alpha</v>
      </c>
      <c r="J938" s="20" t="str">
        <v>Cat.2</v>
      </c>
      <c r="K938" s="20">
        <v>2</v>
      </c>
    </row>
    <row r="939" spans="3:16" x14ac:dyDescent="0.3">
      <c r="D939" s="109" t="s">
        <v>200</v>
      </c>
      <c r="E939" s="46">
        <v>7</v>
      </c>
      <c r="F939" s="46" t="e">
        <v>#DIV/0!</v>
      </c>
      <c r="G939" s="46">
        <v>9</v>
      </c>
      <c r="I939" s="20" t="str">
        <v>Alpha</v>
      </c>
      <c r="J939" s="20" t="str">
        <v>Cat.3</v>
      </c>
      <c r="K939" s="20" t="str">
        <v/>
      </c>
    </row>
    <row r="940" spans="3:16" x14ac:dyDescent="0.3">
      <c r="D940" s="109" t="s">
        <v>201</v>
      </c>
      <c r="E940" s="46">
        <v>10</v>
      </c>
      <c r="F940" s="46">
        <v>11</v>
      </c>
      <c r="G940" s="46">
        <v>12</v>
      </c>
      <c r="I940" s="20" t="str">
        <v>Bravo</v>
      </c>
      <c r="J940" s="20" t="str">
        <v>Cat.1</v>
      </c>
      <c r="K940" s="20">
        <v>4</v>
      </c>
    </row>
    <row r="941" spans="3:16" x14ac:dyDescent="0.3">
      <c r="D941" s="109" t="s">
        <v>202</v>
      </c>
      <c r="E941" s="46"/>
      <c r="F941" s="46">
        <v>14</v>
      </c>
      <c r="G941" s="46">
        <v>15</v>
      </c>
      <c r="I941" s="20" t="str">
        <v>Bravo</v>
      </c>
      <c r="J941" s="20" t="str">
        <v>Cat.2</v>
      </c>
      <c r="K941" s="20">
        <v>5</v>
      </c>
    </row>
    <row r="942" spans="3:16" x14ac:dyDescent="0.3">
      <c r="I942" s="20" t="str">
        <v>Bravo</v>
      </c>
      <c r="J942" s="20" t="str">
        <v>Cat.3</v>
      </c>
      <c r="K942" s="20">
        <v>6</v>
      </c>
    </row>
    <row r="943" spans="3:16" x14ac:dyDescent="0.3">
      <c r="I943" s="20" t="str">
        <v>Charlie</v>
      </c>
      <c r="J943" s="20" t="str">
        <v>Cat.1</v>
      </c>
      <c r="K943" s="20">
        <v>7</v>
      </c>
    </row>
    <row r="944" spans="3:16" x14ac:dyDescent="0.3">
      <c r="I944" s="20" t="str">
        <v>Charlie</v>
      </c>
      <c r="J944" s="20" t="str">
        <v>Cat.2</v>
      </c>
      <c r="K944" s="20" t="e">
        <v>#DIV/0!</v>
      </c>
    </row>
    <row r="945" spans="9:15" x14ac:dyDescent="0.3">
      <c r="I945" s="20" t="str">
        <v>Charlie</v>
      </c>
      <c r="J945" s="20" t="str">
        <v>Cat.3</v>
      </c>
      <c r="K945" s="20">
        <v>9</v>
      </c>
    </row>
    <row r="946" spans="9:15" x14ac:dyDescent="0.3">
      <c r="I946" s="20" t="str">
        <v>Delta</v>
      </c>
      <c r="J946" s="20" t="str">
        <v>Cat.1</v>
      </c>
      <c r="K946" s="20">
        <v>10</v>
      </c>
    </row>
    <row r="947" spans="9:15" x14ac:dyDescent="0.3">
      <c r="I947" s="20" t="str">
        <v>Delta</v>
      </c>
      <c r="J947" s="20" t="str">
        <v>Cat.2</v>
      </c>
      <c r="K947" s="20">
        <v>11</v>
      </c>
    </row>
    <row r="948" spans="9:15" x14ac:dyDescent="0.3">
      <c r="I948" s="20" t="str">
        <v>Delta</v>
      </c>
      <c r="J948" s="20" t="str">
        <v>Cat.3</v>
      </c>
      <c r="K948" s="20">
        <v>12</v>
      </c>
    </row>
    <row r="949" spans="9:15" x14ac:dyDescent="0.3">
      <c r="I949" s="20" t="str">
        <v>Echo</v>
      </c>
      <c r="J949" s="20" t="str">
        <v>Cat.1</v>
      </c>
      <c r="K949" s="20" t="str">
        <v/>
      </c>
    </row>
    <row r="950" spans="9:15" x14ac:dyDescent="0.3">
      <c r="I950" s="20" t="str">
        <v>Echo</v>
      </c>
      <c r="J950" s="20" t="str">
        <v>Cat.2</v>
      </c>
      <c r="K950" s="20">
        <v>14</v>
      </c>
    </row>
    <row r="951" spans="9:15" x14ac:dyDescent="0.3">
      <c r="I951" s="20" t="str">
        <v>Echo</v>
      </c>
      <c r="J951" s="20" t="str">
        <v>Cat.3</v>
      </c>
      <c r="K951" s="20">
        <v>15</v>
      </c>
    </row>
    <row r="952" spans="9:15" x14ac:dyDescent="0.3">
      <c r="I952" s="52" t="str">
        <f ca="1" xml:space="preserve"> _xlfn.FORMULATEXT(I937)</f>
        <v>= RXL_Data.UnPivot($E$937:$G$941, $D$937:$D$941, $E$936:$G$936)</v>
      </c>
    </row>
    <row r="954" spans="9:15" x14ac:dyDescent="0.3">
      <c r="I954" t="s">
        <v>204</v>
      </c>
      <c r="M954" t="s">
        <v>205</v>
      </c>
    </row>
    <row r="955" spans="9:15" ht="14.4" thickBot="1" x14ac:dyDescent="0.35">
      <c r="I955" s="49" t="s">
        <v>191</v>
      </c>
      <c r="J955" s="49" t="s">
        <v>192</v>
      </c>
      <c r="K955" s="49" t="s">
        <v>193</v>
      </c>
      <c r="M955" s="49" t="s">
        <v>191</v>
      </c>
      <c r="N955" s="49" t="s">
        <v>192</v>
      </c>
      <c r="O955" s="49" t="s">
        <v>193</v>
      </c>
    </row>
    <row r="956" spans="9:15" x14ac:dyDescent="0.3">
      <c r="I956" s="68" t="str" cm="1">
        <f t="array" ref="I956:K970" xml:space="preserve"> RXL_Data.UnPivot($E$937:$G$941, $D$937:$D$941, $E$936:$G$936, , 0)</f>
        <v>Alpha</v>
      </c>
      <c r="J956" s="20" t="str">
        <v>Cat.1</v>
      </c>
      <c r="K956" s="20">
        <v>1</v>
      </c>
      <c r="M956" s="68" t="str" cm="1">
        <f t="array" ref="M956:O970" xml:space="preserve"> RXL_Data.UnPivot($E$937:$G$941, $D$937:$D$941, $E$936:$G$936, , "[null]")</f>
        <v>Alpha</v>
      </c>
      <c r="N956" s="20" t="str">
        <v>Cat.1</v>
      </c>
      <c r="O956" s="20">
        <v>1</v>
      </c>
    </row>
    <row r="957" spans="9:15" x14ac:dyDescent="0.3">
      <c r="I957" s="20" t="str">
        <v>Alpha</v>
      </c>
      <c r="J957" s="20" t="str">
        <v>Cat.2</v>
      </c>
      <c r="K957" s="20">
        <v>2</v>
      </c>
      <c r="M957" s="20" t="str">
        <v>Alpha</v>
      </c>
      <c r="N957" s="20" t="str">
        <v>Cat.2</v>
      </c>
      <c r="O957" s="20">
        <v>2</v>
      </c>
    </row>
    <row r="958" spans="9:15" x14ac:dyDescent="0.3">
      <c r="I958" s="20" t="str">
        <v>Alpha</v>
      </c>
      <c r="J958" s="20" t="str">
        <v>Cat.3</v>
      </c>
      <c r="K958" s="20">
        <v>0</v>
      </c>
      <c r="M958" s="20" t="str">
        <v>Alpha</v>
      </c>
      <c r="N958" s="20" t="str">
        <v>Cat.3</v>
      </c>
      <c r="O958" s="20" t="str">
        <v>[null]</v>
      </c>
    </row>
    <row r="959" spans="9:15" x14ac:dyDescent="0.3">
      <c r="I959" s="20" t="str">
        <v>Bravo</v>
      </c>
      <c r="J959" s="20" t="str">
        <v>Cat.1</v>
      </c>
      <c r="K959" s="20">
        <v>4</v>
      </c>
      <c r="M959" s="20" t="str">
        <v>Bravo</v>
      </c>
      <c r="N959" s="20" t="str">
        <v>Cat.1</v>
      </c>
      <c r="O959" s="20">
        <v>4</v>
      </c>
    </row>
    <row r="960" spans="9:15" x14ac:dyDescent="0.3">
      <c r="I960" s="20" t="str">
        <v>Bravo</v>
      </c>
      <c r="J960" s="20" t="str">
        <v>Cat.2</v>
      </c>
      <c r="K960" s="20">
        <v>5</v>
      </c>
      <c r="M960" s="20" t="str">
        <v>Bravo</v>
      </c>
      <c r="N960" s="20" t="str">
        <v>Cat.2</v>
      </c>
      <c r="O960" s="20">
        <v>5</v>
      </c>
    </row>
    <row r="961" spans="9:15" x14ac:dyDescent="0.3">
      <c r="I961" s="20" t="str">
        <v>Bravo</v>
      </c>
      <c r="J961" s="20" t="str">
        <v>Cat.3</v>
      </c>
      <c r="K961" s="20">
        <v>6</v>
      </c>
      <c r="M961" s="20" t="str">
        <v>Bravo</v>
      </c>
      <c r="N961" s="20" t="str">
        <v>Cat.3</v>
      </c>
      <c r="O961" s="20">
        <v>6</v>
      </c>
    </row>
    <row r="962" spans="9:15" x14ac:dyDescent="0.3">
      <c r="I962" s="20" t="str">
        <v>Charlie</v>
      </c>
      <c r="J962" s="20" t="str">
        <v>Cat.1</v>
      </c>
      <c r="K962" s="20">
        <v>7</v>
      </c>
      <c r="M962" s="20" t="str">
        <v>Charlie</v>
      </c>
      <c r="N962" s="20" t="str">
        <v>Cat.1</v>
      </c>
      <c r="O962" s="20">
        <v>7</v>
      </c>
    </row>
    <row r="963" spans="9:15" x14ac:dyDescent="0.3">
      <c r="I963" s="20" t="str">
        <v>Charlie</v>
      </c>
      <c r="J963" s="20" t="str">
        <v>Cat.2</v>
      </c>
      <c r="K963" s="20" t="e">
        <v>#DIV/0!</v>
      </c>
      <c r="M963" s="20" t="str">
        <v>Charlie</v>
      </c>
      <c r="N963" s="20" t="str">
        <v>Cat.2</v>
      </c>
      <c r="O963" s="20" t="e">
        <v>#DIV/0!</v>
      </c>
    </row>
    <row r="964" spans="9:15" x14ac:dyDescent="0.3">
      <c r="I964" s="20" t="str">
        <v>Charlie</v>
      </c>
      <c r="J964" s="20" t="str">
        <v>Cat.3</v>
      </c>
      <c r="K964" s="20">
        <v>9</v>
      </c>
      <c r="M964" s="20" t="str">
        <v>Charlie</v>
      </c>
      <c r="N964" s="20" t="str">
        <v>Cat.3</v>
      </c>
      <c r="O964" s="20">
        <v>9</v>
      </c>
    </row>
    <row r="965" spans="9:15" x14ac:dyDescent="0.3">
      <c r="I965" s="20" t="str">
        <v>Delta</v>
      </c>
      <c r="J965" s="20" t="str">
        <v>Cat.1</v>
      </c>
      <c r="K965" s="20">
        <v>10</v>
      </c>
      <c r="M965" s="20" t="str">
        <v>Delta</v>
      </c>
      <c r="N965" s="20" t="str">
        <v>Cat.1</v>
      </c>
      <c r="O965" s="20">
        <v>10</v>
      </c>
    </row>
    <row r="966" spans="9:15" x14ac:dyDescent="0.3">
      <c r="I966" s="20" t="str">
        <v>Delta</v>
      </c>
      <c r="J966" s="20" t="str">
        <v>Cat.2</v>
      </c>
      <c r="K966" s="20">
        <v>11</v>
      </c>
      <c r="M966" s="20" t="str">
        <v>Delta</v>
      </c>
      <c r="N966" s="20" t="str">
        <v>Cat.2</v>
      </c>
      <c r="O966" s="20">
        <v>11</v>
      </c>
    </row>
    <row r="967" spans="9:15" x14ac:dyDescent="0.3">
      <c r="I967" s="20" t="str">
        <v>Delta</v>
      </c>
      <c r="J967" s="20" t="str">
        <v>Cat.3</v>
      </c>
      <c r="K967" s="20">
        <v>12</v>
      </c>
      <c r="M967" s="20" t="str">
        <v>Delta</v>
      </c>
      <c r="N967" s="20" t="str">
        <v>Cat.3</v>
      </c>
      <c r="O967" s="20">
        <v>12</v>
      </c>
    </row>
    <row r="968" spans="9:15" x14ac:dyDescent="0.3">
      <c r="I968" s="20" t="str">
        <v>Echo</v>
      </c>
      <c r="J968" s="20" t="str">
        <v>Cat.1</v>
      </c>
      <c r="K968" s="20">
        <v>0</v>
      </c>
      <c r="M968" s="20" t="str">
        <v>Echo</v>
      </c>
      <c r="N968" s="20" t="str">
        <v>Cat.1</v>
      </c>
      <c r="O968" s="20" t="str">
        <v>[null]</v>
      </c>
    </row>
    <row r="969" spans="9:15" x14ac:dyDescent="0.3">
      <c r="I969" s="20" t="str">
        <v>Echo</v>
      </c>
      <c r="J969" s="20" t="str">
        <v>Cat.2</v>
      </c>
      <c r="K969" s="20">
        <v>14</v>
      </c>
      <c r="M969" s="20" t="str">
        <v>Echo</v>
      </c>
      <c r="N969" s="20" t="str">
        <v>Cat.2</v>
      </c>
      <c r="O969" s="20">
        <v>14</v>
      </c>
    </row>
    <row r="970" spans="9:15" x14ac:dyDescent="0.3">
      <c r="I970" s="20" t="str">
        <v>Echo</v>
      </c>
      <c r="J970" s="20" t="str">
        <v>Cat.3</v>
      </c>
      <c r="K970" s="20">
        <v>15</v>
      </c>
      <c r="M970" s="20" t="str">
        <v>Echo</v>
      </c>
      <c r="N970" s="20" t="str">
        <v>Cat.3</v>
      </c>
      <c r="O970" s="20">
        <v>15</v>
      </c>
    </row>
    <row r="971" spans="9:15" x14ac:dyDescent="0.3">
      <c r="I971" s="52" t="str">
        <f ca="1" xml:space="preserve"> _xlfn.FORMULATEXT(I956)</f>
        <v>= RXL_Data.UnPivot($E$937:$G$941, $D$937:$D$941, $E$936:$G$936, , 0)</v>
      </c>
    </row>
    <row r="972" spans="9:15" x14ac:dyDescent="0.3">
      <c r="M972" s="52" t="str">
        <f ca="1" xml:space="preserve"> _xlfn.FORMULATEXT(M956)</f>
        <v>= RXL_Data.UnPivot($E$937:$G$941, $D$937:$D$941, $E$936:$G$936, , "[null]")</v>
      </c>
    </row>
    <row r="974" spans="9:15" x14ac:dyDescent="0.3">
      <c r="I974" t="s">
        <v>206</v>
      </c>
      <c r="M974" t="s">
        <v>207</v>
      </c>
    </row>
    <row r="975" spans="9:15" ht="14.4" thickBot="1" x14ac:dyDescent="0.35">
      <c r="I975" s="49" t="s">
        <v>191</v>
      </c>
      <c r="J975" s="49" t="s">
        <v>192</v>
      </c>
      <c r="K975" s="49" t="s">
        <v>193</v>
      </c>
      <c r="M975" s="49" t="s">
        <v>191</v>
      </c>
      <c r="N975" s="49" t="s">
        <v>192</v>
      </c>
      <c r="O975" s="49" t="s">
        <v>193</v>
      </c>
    </row>
    <row r="976" spans="9:15" x14ac:dyDescent="0.3">
      <c r="I976" s="68" t="str" cm="1">
        <f t="array" ref="I976:K988" xml:space="preserve"> RXL_Data.UnPivot($E$937:$G$941, $D$937:$D$941, $E$936:$G$936, , , TRUE)</f>
        <v>Alpha</v>
      </c>
      <c r="J976" s="20" t="str">
        <v>Cat.1</v>
      </c>
      <c r="K976" s="20">
        <v>1</v>
      </c>
      <c r="M976" s="68" t="str" cm="1">
        <f t="array" ref="M976:O989" xml:space="preserve"> RXL_Data.UnPivot($E$937:$G$941, $D$937:$D$941, $E$936:$G$936, , , , TRUE)</f>
        <v>Alpha</v>
      </c>
      <c r="N976" s="20" t="str">
        <v>Cat.1</v>
      </c>
      <c r="O976" s="20">
        <v>1</v>
      </c>
    </row>
    <row r="977" spans="9:15" x14ac:dyDescent="0.3">
      <c r="I977" s="20" t="str">
        <v>Alpha</v>
      </c>
      <c r="J977" s="20" t="str">
        <v>Cat.2</v>
      </c>
      <c r="K977" s="20">
        <v>2</v>
      </c>
      <c r="M977" s="20" t="str">
        <v>Alpha</v>
      </c>
      <c r="N977" s="20" t="str">
        <v>Cat.2</v>
      </c>
      <c r="O977" s="20">
        <v>2</v>
      </c>
    </row>
    <row r="978" spans="9:15" x14ac:dyDescent="0.3">
      <c r="I978" s="20" t="str">
        <v>Bravo</v>
      </c>
      <c r="J978" s="20" t="str">
        <v>Cat.1</v>
      </c>
      <c r="K978" s="20">
        <v>4</v>
      </c>
      <c r="M978" s="20" t="str">
        <v>Alpha</v>
      </c>
      <c r="N978" s="20" t="str">
        <v>Cat.3</v>
      </c>
      <c r="O978" s="20" t="str">
        <v/>
      </c>
    </row>
    <row r="979" spans="9:15" x14ac:dyDescent="0.3">
      <c r="I979" s="20" t="str">
        <v>Bravo</v>
      </c>
      <c r="J979" s="20" t="str">
        <v>Cat.2</v>
      </c>
      <c r="K979" s="20">
        <v>5</v>
      </c>
      <c r="M979" s="20" t="str">
        <v>Bravo</v>
      </c>
      <c r="N979" s="20" t="str">
        <v>Cat.1</v>
      </c>
      <c r="O979" s="20">
        <v>4</v>
      </c>
    </row>
    <row r="980" spans="9:15" x14ac:dyDescent="0.3">
      <c r="I980" s="20" t="str">
        <v>Bravo</v>
      </c>
      <c r="J980" s="20" t="str">
        <v>Cat.3</v>
      </c>
      <c r="K980" s="20">
        <v>6</v>
      </c>
      <c r="M980" s="20" t="str">
        <v>Bravo</v>
      </c>
      <c r="N980" s="20" t="str">
        <v>Cat.2</v>
      </c>
      <c r="O980" s="20">
        <v>5</v>
      </c>
    </row>
    <row r="981" spans="9:15" x14ac:dyDescent="0.3">
      <c r="I981" s="20" t="str">
        <v>Charlie</v>
      </c>
      <c r="J981" s="20" t="str">
        <v>Cat.1</v>
      </c>
      <c r="K981" s="20">
        <v>7</v>
      </c>
      <c r="M981" s="20" t="str">
        <v>Bravo</v>
      </c>
      <c r="N981" s="20" t="str">
        <v>Cat.3</v>
      </c>
      <c r="O981" s="20">
        <v>6</v>
      </c>
    </row>
    <row r="982" spans="9:15" x14ac:dyDescent="0.3">
      <c r="I982" s="20" t="str">
        <v>Charlie</v>
      </c>
      <c r="J982" s="20" t="str">
        <v>Cat.2</v>
      </c>
      <c r="K982" s="20" t="e">
        <v>#DIV/0!</v>
      </c>
      <c r="M982" s="20" t="str">
        <v>Charlie</v>
      </c>
      <c r="N982" s="20" t="str">
        <v>Cat.1</v>
      </c>
      <c r="O982" s="20">
        <v>7</v>
      </c>
    </row>
    <row r="983" spans="9:15" x14ac:dyDescent="0.3">
      <c r="I983" s="20" t="str">
        <v>Charlie</v>
      </c>
      <c r="J983" s="20" t="str">
        <v>Cat.3</v>
      </c>
      <c r="K983" s="20">
        <v>9</v>
      </c>
      <c r="M983" s="20" t="str">
        <v>Charlie</v>
      </c>
      <c r="N983" s="20" t="str">
        <v>Cat.3</v>
      </c>
      <c r="O983" s="20">
        <v>9</v>
      </c>
    </row>
    <row r="984" spans="9:15" x14ac:dyDescent="0.3">
      <c r="I984" s="20" t="str">
        <v>Delta</v>
      </c>
      <c r="J984" s="20" t="str">
        <v>Cat.1</v>
      </c>
      <c r="K984" s="20">
        <v>10</v>
      </c>
      <c r="M984" s="20" t="str">
        <v>Delta</v>
      </c>
      <c r="N984" s="20" t="str">
        <v>Cat.1</v>
      </c>
      <c r="O984" s="20">
        <v>10</v>
      </c>
    </row>
    <row r="985" spans="9:15" x14ac:dyDescent="0.3">
      <c r="I985" s="20" t="str">
        <v>Delta</v>
      </c>
      <c r="J985" s="20" t="str">
        <v>Cat.2</v>
      </c>
      <c r="K985" s="20">
        <v>11</v>
      </c>
      <c r="M985" s="20" t="str">
        <v>Delta</v>
      </c>
      <c r="N985" s="20" t="str">
        <v>Cat.2</v>
      </c>
      <c r="O985" s="20">
        <v>11</v>
      </c>
    </row>
    <row r="986" spans="9:15" x14ac:dyDescent="0.3">
      <c r="I986" s="20" t="str">
        <v>Delta</v>
      </c>
      <c r="J986" s="20" t="str">
        <v>Cat.3</v>
      </c>
      <c r="K986" s="20">
        <v>12</v>
      </c>
      <c r="M986" s="20" t="str">
        <v>Delta</v>
      </c>
      <c r="N986" s="20" t="str">
        <v>Cat.3</v>
      </c>
      <c r="O986" s="20">
        <v>12</v>
      </c>
    </row>
    <row r="987" spans="9:15" x14ac:dyDescent="0.3">
      <c r="I987" s="20" t="str">
        <v>Echo</v>
      </c>
      <c r="J987" s="20" t="str">
        <v>Cat.2</v>
      </c>
      <c r="K987" s="20">
        <v>14</v>
      </c>
      <c r="M987" s="20" t="str">
        <v>Echo</v>
      </c>
      <c r="N987" s="20" t="str">
        <v>Cat.1</v>
      </c>
      <c r="O987" s="20" t="str">
        <v/>
      </c>
    </row>
    <row r="988" spans="9:15" x14ac:dyDescent="0.3">
      <c r="I988" s="20" t="str">
        <v>Echo</v>
      </c>
      <c r="J988" s="20" t="str">
        <v>Cat.3</v>
      </c>
      <c r="K988" s="20">
        <v>15</v>
      </c>
      <c r="M988" s="20" t="str">
        <v>Echo</v>
      </c>
      <c r="N988" s="20" t="str">
        <v>Cat.2</v>
      </c>
      <c r="O988" s="20">
        <v>14</v>
      </c>
    </row>
    <row r="989" spans="9:15" x14ac:dyDescent="0.3">
      <c r="I989" s="20"/>
      <c r="J989" s="20"/>
      <c r="K989" s="20"/>
      <c r="M989" s="20" t="str">
        <v>Echo</v>
      </c>
      <c r="N989" s="20" t="str">
        <v>Cat.3</v>
      </c>
      <c r="O989" s="20">
        <v>15</v>
      </c>
    </row>
    <row r="990" spans="9:15" x14ac:dyDescent="0.3">
      <c r="I990" s="20"/>
      <c r="J990" s="20"/>
      <c r="K990" s="20"/>
      <c r="M990" s="20"/>
      <c r="N990" s="20"/>
      <c r="O990" s="20"/>
    </row>
    <row r="991" spans="9:15" x14ac:dyDescent="0.3">
      <c r="I991" s="52" t="str">
        <f ca="1" xml:space="preserve"> _xlfn.FORMULATEXT(I976)</f>
        <v>= RXL_Data.UnPivot($E$937:$G$941, $D$937:$D$941, $E$936:$G$936, , , TRUE)</v>
      </c>
    </row>
    <row r="992" spans="9:15" x14ac:dyDescent="0.3">
      <c r="M992" s="52" t="str">
        <f ca="1" xml:space="preserve"> _xlfn.FORMULATEXT(M976)</f>
        <v>= RXL_Data.UnPivot($E$937:$G$941, $D$937:$D$941, $E$936:$G$936, , , , TRUE)</v>
      </c>
    </row>
    <row r="994" spans="3:20" x14ac:dyDescent="0.3">
      <c r="C994" s="14" t="s">
        <v>187</v>
      </c>
    </row>
    <row r="995" spans="3:20" x14ac:dyDescent="0.3">
      <c r="D995" t="s">
        <v>208</v>
      </c>
      <c r="H995" t="s">
        <v>209</v>
      </c>
    </row>
    <row r="996" spans="3:20" ht="14.4" thickBot="1" x14ac:dyDescent="0.35">
      <c r="D996" s="49" t="s">
        <v>191</v>
      </c>
      <c r="E996" s="49" t="s">
        <v>192</v>
      </c>
      <c r="F996" s="49" t="s">
        <v>193</v>
      </c>
      <c r="H996" s="53" t="s">
        <v>191</v>
      </c>
      <c r="I996" s="68" t="str" cm="1">
        <f t="array" ref="I996:T998" xml:space="preserve"> RXL_Data.UnPivot($E$937:$G$941, $D$937:$D$941, $E$936:$G$936, , , TRUE, TRUE, , , FALSE)</f>
        <v>Alpha</v>
      </c>
      <c r="J996" s="20" t="str">
        <v>Alpha</v>
      </c>
      <c r="K996" s="20" t="str">
        <v>Bravo</v>
      </c>
      <c r="L996" s="20" t="str">
        <v>Bravo</v>
      </c>
      <c r="M996" s="20" t="str">
        <v>Bravo</v>
      </c>
      <c r="N996" s="20" t="str">
        <v>Charlie</v>
      </c>
      <c r="O996" s="20" t="str">
        <v>Charlie</v>
      </c>
      <c r="P996" s="20" t="str">
        <v>Delta</v>
      </c>
      <c r="Q996" s="20" t="str">
        <v>Delta</v>
      </c>
      <c r="R996" s="20" t="str">
        <v>Delta</v>
      </c>
      <c r="S996" s="20" t="str">
        <v>Echo</v>
      </c>
      <c r="T996" s="20" t="str">
        <v>Echo</v>
      </c>
    </row>
    <row r="997" spans="3:20" x14ac:dyDescent="0.3">
      <c r="D997" s="68" t="str" cm="1">
        <f t="array" ref="D997:F1008" xml:space="preserve"> RXL_Data.UnPivot($E$937:$G$941, $D$937:$D$941, $E$936:$G$936, , , TRUE, TRUE, TRUE)</f>
        <v>Alpha</v>
      </c>
      <c r="E997" s="20" t="str">
        <v>Cat.1</v>
      </c>
      <c r="F997" s="20">
        <v>1</v>
      </c>
      <c r="H997" s="53" t="s">
        <v>192</v>
      </c>
      <c r="I997" s="20" t="str">
        <v>Cat.1</v>
      </c>
      <c r="J997" s="20" t="str">
        <v>Cat.2</v>
      </c>
      <c r="K997" s="20" t="str">
        <v>Cat.1</v>
      </c>
      <c r="L997" s="20" t="str">
        <v>Cat.2</v>
      </c>
      <c r="M997" s="20" t="str">
        <v>Cat.3</v>
      </c>
      <c r="N997" s="20" t="str">
        <v>Cat.1</v>
      </c>
      <c r="O997" s="20" t="str">
        <v>Cat.3</v>
      </c>
      <c r="P997" s="20" t="str">
        <v>Cat.1</v>
      </c>
      <c r="Q997" s="20" t="str">
        <v>Cat.2</v>
      </c>
      <c r="R997" s="20" t="str">
        <v>Cat.3</v>
      </c>
      <c r="S997" s="20" t="str">
        <v>Cat.2</v>
      </c>
      <c r="T997" s="20" t="str">
        <v>Cat.3</v>
      </c>
    </row>
    <row r="998" spans="3:20" x14ac:dyDescent="0.3">
      <c r="D998" s="20" t="str">
        <v>Alpha</v>
      </c>
      <c r="E998" s="20" t="str">
        <v>Cat.2</v>
      </c>
      <c r="F998" s="20">
        <v>2</v>
      </c>
      <c r="H998" s="53" t="s">
        <v>193</v>
      </c>
      <c r="I998" s="20">
        <v>1</v>
      </c>
      <c r="J998" s="20">
        <v>2</v>
      </c>
      <c r="K998" s="20">
        <v>4</v>
      </c>
      <c r="L998" s="20">
        <v>5</v>
      </c>
      <c r="M998" s="20">
        <v>6</v>
      </c>
      <c r="N998" s="20">
        <v>7</v>
      </c>
      <c r="O998" s="20">
        <v>9</v>
      </c>
      <c r="P998" s="20">
        <v>10</v>
      </c>
      <c r="Q998" s="20">
        <v>11</v>
      </c>
      <c r="R998" s="20">
        <v>12</v>
      </c>
      <c r="S998" s="20">
        <v>14</v>
      </c>
      <c r="T998" s="20">
        <v>15</v>
      </c>
    </row>
    <row r="999" spans="3:20" x14ac:dyDescent="0.3">
      <c r="D999" s="20" t="str">
        <v>Bravo</v>
      </c>
      <c r="E999" s="20" t="str">
        <v>Cat.1</v>
      </c>
      <c r="F999" s="20">
        <v>4</v>
      </c>
      <c r="I999" s="52" t="str">
        <f ca="1" xml:space="preserve"> _xlfn.FORMULATEXT(I996)</f>
        <v>= RXL_Data.UnPivot($E$937:$G$941, $D$937:$D$941, $E$936:$G$936, , , TRUE, TRUE, , , FALSE)</v>
      </c>
    </row>
    <row r="1000" spans="3:20" x14ac:dyDescent="0.3">
      <c r="D1000" s="20" t="str">
        <v>Bravo</v>
      </c>
      <c r="E1000" s="20" t="str">
        <v>Cat.2</v>
      </c>
      <c r="F1000" s="20">
        <v>5</v>
      </c>
    </row>
    <row r="1001" spans="3:20" x14ac:dyDescent="0.3">
      <c r="D1001" s="20" t="str">
        <v>Bravo</v>
      </c>
      <c r="E1001" s="20" t="str">
        <v>Cat.3</v>
      </c>
      <c r="F1001" s="20">
        <v>6</v>
      </c>
    </row>
    <row r="1002" spans="3:20" x14ac:dyDescent="0.3">
      <c r="D1002" s="20" t="str">
        <v>Charlie</v>
      </c>
      <c r="E1002" s="20" t="str">
        <v>Cat.1</v>
      </c>
      <c r="F1002" s="20">
        <v>7</v>
      </c>
    </row>
    <row r="1003" spans="3:20" x14ac:dyDescent="0.3">
      <c r="D1003" s="20" t="str">
        <v>Charlie</v>
      </c>
      <c r="E1003" s="20" t="str">
        <v>Cat.3</v>
      </c>
      <c r="F1003" s="20">
        <v>9</v>
      </c>
    </row>
    <row r="1004" spans="3:20" x14ac:dyDescent="0.3">
      <c r="D1004" s="20" t="str">
        <v>Delta</v>
      </c>
      <c r="E1004" s="20" t="str">
        <v>Cat.1</v>
      </c>
      <c r="F1004" s="20">
        <v>10</v>
      </c>
    </row>
    <row r="1005" spans="3:20" x14ac:dyDescent="0.3">
      <c r="D1005" s="20" t="str">
        <v>Delta</v>
      </c>
      <c r="E1005" s="20" t="str">
        <v>Cat.2</v>
      </c>
      <c r="F1005" s="20">
        <v>11</v>
      </c>
    </row>
    <row r="1006" spans="3:20" x14ac:dyDescent="0.3">
      <c r="D1006" s="20" t="str">
        <v>Delta</v>
      </c>
      <c r="E1006" s="20" t="str">
        <v>Cat.3</v>
      </c>
      <c r="F1006" s="20">
        <v>12</v>
      </c>
    </row>
    <row r="1007" spans="3:20" x14ac:dyDescent="0.3">
      <c r="D1007" s="20" t="str">
        <v>Echo</v>
      </c>
      <c r="E1007" s="20" t="str">
        <v>Cat.2</v>
      </c>
      <c r="F1007" s="20">
        <v>14</v>
      </c>
    </row>
    <row r="1008" spans="3:20" x14ac:dyDescent="0.3">
      <c r="D1008" s="20" t="str">
        <v>Echo</v>
      </c>
      <c r="E1008" s="20" t="str">
        <v>Cat.3</v>
      </c>
      <c r="F1008" s="20">
        <v>15</v>
      </c>
    </row>
    <row r="1009" spans="3:14" x14ac:dyDescent="0.3">
      <c r="D1009" s="52" t="str">
        <f ca="1" xml:space="preserve"> _xlfn.FORMULATEXT(D997)</f>
        <v>= RXL_Data.UnPivot($E$937:$G$941, $D$937:$D$941, $E$936:$G$936, , , TRUE, TRUE, TRUE)</v>
      </c>
    </row>
    <row r="1011" spans="3:14" x14ac:dyDescent="0.3">
      <c r="C1011" s="14" t="s">
        <v>980</v>
      </c>
    </row>
    <row r="1012" spans="3:14" x14ac:dyDescent="0.3">
      <c r="D1012" t="s">
        <v>970</v>
      </c>
    </row>
    <row r="1013" spans="3:14" x14ac:dyDescent="0.3">
      <c r="D1013" s="45"/>
      <c r="E1013" s="45"/>
      <c r="F1013" s="104">
        <v>2023</v>
      </c>
      <c r="G1013" s="45"/>
      <c r="H1013" s="45"/>
      <c r="I1013" s="45"/>
      <c r="J1013" s="104">
        <v>2024</v>
      </c>
      <c r="K1013" s="45"/>
      <c r="L1013" s="45"/>
      <c r="M1013" s="45"/>
    </row>
    <row r="1014" spans="3:14" ht="14.4" thickBot="1" x14ac:dyDescent="0.35">
      <c r="D1014" s="49"/>
      <c r="E1014" s="49"/>
      <c r="F1014" s="108" t="s">
        <v>175</v>
      </c>
      <c r="G1014" s="108" t="s">
        <v>176</v>
      </c>
      <c r="H1014" s="108" t="s">
        <v>177</v>
      </c>
      <c r="I1014" s="108" t="s">
        <v>178</v>
      </c>
      <c r="J1014" s="108" t="s">
        <v>175</v>
      </c>
      <c r="K1014" s="108" t="s">
        <v>176</v>
      </c>
      <c r="L1014" s="108" t="s">
        <v>177</v>
      </c>
      <c r="M1014" s="108" t="s">
        <v>178</v>
      </c>
    </row>
    <row r="1015" spans="3:14" x14ac:dyDescent="0.3">
      <c r="D1015" s="110" t="s">
        <v>971</v>
      </c>
      <c r="E1015" s="110" t="s">
        <v>179</v>
      </c>
      <c r="F1015" s="46">
        <v>150</v>
      </c>
      <c r="G1015" s="46">
        <v>228</v>
      </c>
      <c r="H1015" s="46">
        <v>237</v>
      </c>
      <c r="I1015" s="46">
        <v>162</v>
      </c>
      <c r="J1015" s="46">
        <v>166</v>
      </c>
      <c r="K1015" s="46">
        <v>238</v>
      </c>
      <c r="L1015" s="46">
        <v>132</v>
      </c>
      <c r="M1015" s="46">
        <v>234</v>
      </c>
    </row>
    <row r="1016" spans="3:14" x14ac:dyDescent="0.3">
      <c r="D1016" s="109"/>
      <c r="E1016" s="110" t="s">
        <v>181</v>
      </c>
      <c r="F1016" s="46">
        <v>214</v>
      </c>
      <c r="G1016" s="46">
        <v>205</v>
      </c>
      <c r="H1016" s="46">
        <v>167</v>
      </c>
      <c r="I1016" s="46">
        <v>177</v>
      </c>
      <c r="J1016" s="46">
        <v>217</v>
      </c>
      <c r="K1016" s="46">
        <v>119</v>
      </c>
      <c r="L1016" s="46">
        <v>237</v>
      </c>
      <c r="M1016" s="46">
        <v>248</v>
      </c>
    </row>
    <row r="1017" spans="3:14" x14ac:dyDescent="0.3">
      <c r="D1017" s="110" t="s">
        <v>972</v>
      </c>
      <c r="E1017" s="110" t="s">
        <v>179</v>
      </c>
      <c r="F1017" s="46">
        <v>140</v>
      </c>
      <c r="G1017" s="46">
        <v>230</v>
      </c>
      <c r="H1017" s="46">
        <v>226</v>
      </c>
      <c r="I1017" s="46">
        <v>193</v>
      </c>
      <c r="J1017" s="46">
        <v>123</v>
      </c>
      <c r="K1017" s="46">
        <v>200</v>
      </c>
      <c r="L1017" s="46">
        <v>162</v>
      </c>
      <c r="M1017" s="46">
        <v>172</v>
      </c>
    </row>
    <row r="1018" spans="3:14" x14ac:dyDescent="0.3">
      <c r="D1018" s="109"/>
      <c r="E1018" s="110" t="s">
        <v>181</v>
      </c>
      <c r="F1018" s="46">
        <v>237</v>
      </c>
      <c r="G1018" s="46">
        <v>235</v>
      </c>
      <c r="H1018" s="46">
        <v>176</v>
      </c>
      <c r="I1018" s="46">
        <v>106</v>
      </c>
      <c r="J1018" s="46">
        <v>188</v>
      </c>
      <c r="K1018" s="46">
        <v>112</v>
      </c>
      <c r="L1018" s="46">
        <v>243</v>
      </c>
      <c r="M1018" s="46">
        <v>207</v>
      </c>
    </row>
    <row r="1020" spans="3:14" x14ac:dyDescent="0.3">
      <c r="D1020" t="s">
        <v>973</v>
      </c>
      <c r="J1020" t="s">
        <v>979</v>
      </c>
    </row>
    <row r="1021" spans="3:14" ht="14.4" thickBot="1" x14ac:dyDescent="0.35">
      <c r="D1021" s="49" t="s">
        <v>974</v>
      </c>
      <c r="E1021" s="49" t="s">
        <v>975</v>
      </c>
      <c r="F1021" s="49" t="s">
        <v>976</v>
      </c>
      <c r="G1021" s="49" t="s">
        <v>977</v>
      </c>
      <c r="H1021" s="49" t="s">
        <v>978</v>
      </c>
      <c r="J1021" s="49" t="s">
        <v>974</v>
      </c>
      <c r="K1021" s="49" t="s">
        <v>975</v>
      </c>
      <c r="L1021" s="49" t="s">
        <v>976</v>
      </c>
      <c r="M1021" s="49" t="s">
        <v>977</v>
      </c>
      <c r="N1021" s="49" t="s">
        <v>978</v>
      </c>
    </row>
    <row r="1022" spans="3:14" x14ac:dyDescent="0.3">
      <c r="D1022" s="68" t="str" cm="1">
        <f t="array" ref="D1022:H1053" xml:space="preserve"> RXL_Data.UnPivot($F$1015:$M$1018, $D$1015:$E$1018, $F$1013:$M$1014)</f>
        <v>North</v>
      </c>
      <c r="E1022" s="20" t="str">
        <v>Product 1</v>
      </c>
      <c r="F1022" s="111">
        <v>2023</v>
      </c>
      <c r="G1022" s="112" t="str">
        <v>Q1</v>
      </c>
      <c r="H1022" s="20">
        <v>150</v>
      </c>
      <c r="J1022" s="68" t="str" cm="1">
        <f t="array" ref="J1022:N1053" xml:space="preserve"> RXL_Data.UnPivot($F$1015:$M$1018, $D$1015:$E$1018, $F$1013:$M$1014, , , , , 1, 1)</f>
        <v>North</v>
      </c>
      <c r="K1022" s="20" t="str">
        <v>Product 1</v>
      </c>
      <c r="L1022" s="111">
        <v>2023</v>
      </c>
      <c r="M1022" s="112" t="str">
        <v>Q1</v>
      </c>
      <c r="N1022" s="20">
        <v>150</v>
      </c>
    </row>
    <row r="1023" spans="3:14" x14ac:dyDescent="0.3">
      <c r="D1023" s="20" t="str">
        <v>North</v>
      </c>
      <c r="E1023" s="20" t="str">
        <v>Product 1</v>
      </c>
      <c r="F1023" s="111" t="str">
        <v/>
      </c>
      <c r="G1023" s="112" t="str">
        <v>Q2</v>
      </c>
      <c r="H1023" s="20">
        <v>228</v>
      </c>
      <c r="J1023" s="20" t="str">
        <v>North</v>
      </c>
      <c r="K1023" s="20" t="str">
        <v>Product 1</v>
      </c>
      <c r="L1023" s="111">
        <v>2023</v>
      </c>
      <c r="M1023" s="112" t="str">
        <v>Q2</v>
      </c>
      <c r="N1023" s="20">
        <v>228</v>
      </c>
    </row>
    <row r="1024" spans="3:14" x14ac:dyDescent="0.3">
      <c r="D1024" s="20" t="str">
        <v>North</v>
      </c>
      <c r="E1024" s="20" t="str">
        <v>Product 1</v>
      </c>
      <c r="F1024" s="111" t="str">
        <v/>
      </c>
      <c r="G1024" s="112" t="str">
        <v>Q3</v>
      </c>
      <c r="H1024" s="20">
        <v>237</v>
      </c>
      <c r="J1024" s="20" t="str">
        <v>North</v>
      </c>
      <c r="K1024" s="20" t="str">
        <v>Product 1</v>
      </c>
      <c r="L1024" s="111">
        <v>2023</v>
      </c>
      <c r="M1024" s="112" t="str">
        <v>Q3</v>
      </c>
      <c r="N1024" s="20">
        <v>237</v>
      </c>
    </row>
    <row r="1025" spans="4:14" x14ac:dyDescent="0.3">
      <c r="D1025" s="20" t="str">
        <v>North</v>
      </c>
      <c r="E1025" s="20" t="str">
        <v>Product 1</v>
      </c>
      <c r="F1025" s="111" t="str">
        <v/>
      </c>
      <c r="G1025" s="112" t="str">
        <v>Q4</v>
      </c>
      <c r="H1025" s="20">
        <v>162</v>
      </c>
      <c r="J1025" s="20" t="str">
        <v>North</v>
      </c>
      <c r="K1025" s="20" t="str">
        <v>Product 1</v>
      </c>
      <c r="L1025" s="111">
        <v>2023</v>
      </c>
      <c r="M1025" s="112" t="str">
        <v>Q4</v>
      </c>
      <c r="N1025" s="20">
        <v>162</v>
      </c>
    </row>
    <row r="1026" spans="4:14" x14ac:dyDescent="0.3">
      <c r="D1026" s="20" t="str">
        <v>North</v>
      </c>
      <c r="E1026" s="20" t="str">
        <v>Product 1</v>
      </c>
      <c r="F1026" s="111">
        <v>2024</v>
      </c>
      <c r="G1026" s="112" t="str">
        <v>Q1</v>
      </c>
      <c r="H1026" s="20">
        <v>166</v>
      </c>
      <c r="J1026" s="20" t="str">
        <v>North</v>
      </c>
      <c r="K1026" s="20" t="str">
        <v>Product 1</v>
      </c>
      <c r="L1026" s="111">
        <v>2024</v>
      </c>
      <c r="M1026" s="112" t="str">
        <v>Q1</v>
      </c>
      <c r="N1026" s="20">
        <v>166</v>
      </c>
    </row>
    <row r="1027" spans="4:14" x14ac:dyDescent="0.3">
      <c r="D1027" s="20" t="str">
        <v>North</v>
      </c>
      <c r="E1027" s="20" t="str">
        <v>Product 1</v>
      </c>
      <c r="F1027" s="111" t="str">
        <v/>
      </c>
      <c r="G1027" s="112" t="str">
        <v>Q2</v>
      </c>
      <c r="H1027" s="20">
        <v>238</v>
      </c>
      <c r="J1027" s="20" t="str">
        <v>North</v>
      </c>
      <c r="K1027" s="20" t="str">
        <v>Product 1</v>
      </c>
      <c r="L1027" s="111">
        <v>2024</v>
      </c>
      <c r="M1027" s="112" t="str">
        <v>Q2</v>
      </c>
      <c r="N1027" s="20">
        <v>238</v>
      </c>
    </row>
    <row r="1028" spans="4:14" x14ac:dyDescent="0.3">
      <c r="D1028" s="20" t="str">
        <v>North</v>
      </c>
      <c r="E1028" s="20" t="str">
        <v>Product 1</v>
      </c>
      <c r="F1028" s="111" t="str">
        <v/>
      </c>
      <c r="G1028" s="112" t="str">
        <v>Q3</v>
      </c>
      <c r="H1028" s="20">
        <v>132</v>
      </c>
      <c r="J1028" s="20" t="str">
        <v>North</v>
      </c>
      <c r="K1028" s="20" t="str">
        <v>Product 1</v>
      </c>
      <c r="L1028" s="111">
        <v>2024</v>
      </c>
      <c r="M1028" s="112" t="str">
        <v>Q3</v>
      </c>
      <c r="N1028" s="20">
        <v>132</v>
      </c>
    </row>
    <row r="1029" spans="4:14" x14ac:dyDescent="0.3">
      <c r="D1029" s="20" t="str">
        <v>North</v>
      </c>
      <c r="E1029" s="20" t="str">
        <v>Product 1</v>
      </c>
      <c r="F1029" s="111" t="str">
        <v/>
      </c>
      <c r="G1029" s="112" t="str">
        <v>Q4</v>
      </c>
      <c r="H1029" s="20">
        <v>234</v>
      </c>
      <c r="J1029" s="20" t="str">
        <v>North</v>
      </c>
      <c r="K1029" s="20" t="str">
        <v>Product 1</v>
      </c>
      <c r="L1029" s="111">
        <v>2024</v>
      </c>
      <c r="M1029" s="112" t="str">
        <v>Q4</v>
      </c>
      <c r="N1029" s="20">
        <v>234</v>
      </c>
    </row>
    <row r="1030" spans="4:14" x14ac:dyDescent="0.3">
      <c r="D1030" s="20" t="str">
        <v/>
      </c>
      <c r="E1030" s="20" t="str">
        <v>Product 2</v>
      </c>
      <c r="F1030" s="111">
        <v>2023</v>
      </c>
      <c r="G1030" s="112" t="str">
        <v>Q1</v>
      </c>
      <c r="H1030" s="20">
        <v>214</v>
      </c>
      <c r="J1030" s="20" t="str">
        <v>North</v>
      </c>
      <c r="K1030" s="20" t="str">
        <v>Product 2</v>
      </c>
      <c r="L1030" s="111">
        <v>2023</v>
      </c>
      <c r="M1030" s="112" t="str">
        <v>Q1</v>
      </c>
      <c r="N1030" s="20">
        <v>214</v>
      </c>
    </row>
    <row r="1031" spans="4:14" x14ac:dyDescent="0.3">
      <c r="D1031" s="20" t="str">
        <v/>
      </c>
      <c r="E1031" s="20" t="str">
        <v>Product 2</v>
      </c>
      <c r="F1031" s="111" t="str">
        <v/>
      </c>
      <c r="G1031" s="112" t="str">
        <v>Q2</v>
      </c>
      <c r="H1031" s="20">
        <v>205</v>
      </c>
      <c r="J1031" s="20" t="str">
        <v>North</v>
      </c>
      <c r="K1031" s="20" t="str">
        <v>Product 2</v>
      </c>
      <c r="L1031" s="111">
        <v>2023</v>
      </c>
      <c r="M1031" s="112" t="str">
        <v>Q2</v>
      </c>
      <c r="N1031" s="20">
        <v>205</v>
      </c>
    </row>
    <row r="1032" spans="4:14" x14ac:dyDescent="0.3">
      <c r="D1032" s="20" t="str">
        <v/>
      </c>
      <c r="E1032" s="20" t="str">
        <v>Product 2</v>
      </c>
      <c r="F1032" s="111" t="str">
        <v/>
      </c>
      <c r="G1032" s="112" t="str">
        <v>Q3</v>
      </c>
      <c r="H1032" s="20">
        <v>167</v>
      </c>
      <c r="J1032" s="20" t="str">
        <v>North</v>
      </c>
      <c r="K1032" s="20" t="str">
        <v>Product 2</v>
      </c>
      <c r="L1032" s="111">
        <v>2023</v>
      </c>
      <c r="M1032" s="112" t="str">
        <v>Q3</v>
      </c>
      <c r="N1032" s="20">
        <v>167</v>
      </c>
    </row>
    <row r="1033" spans="4:14" x14ac:dyDescent="0.3">
      <c r="D1033" s="20" t="str">
        <v/>
      </c>
      <c r="E1033" s="20" t="str">
        <v>Product 2</v>
      </c>
      <c r="F1033" s="111" t="str">
        <v/>
      </c>
      <c r="G1033" s="112" t="str">
        <v>Q4</v>
      </c>
      <c r="H1033" s="20">
        <v>177</v>
      </c>
      <c r="J1033" s="20" t="str">
        <v>North</v>
      </c>
      <c r="K1033" s="20" t="str">
        <v>Product 2</v>
      </c>
      <c r="L1033" s="111">
        <v>2023</v>
      </c>
      <c r="M1033" s="112" t="str">
        <v>Q4</v>
      </c>
      <c r="N1033" s="20">
        <v>177</v>
      </c>
    </row>
    <row r="1034" spans="4:14" x14ac:dyDescent="0.3">
      <c r="D1034" s="20" t="str">
        <v/>
      </c>
      <c r="E1034" s="20" t="str">
        <v>Product 2</v>
      </c>
      <c r="F1034" s="111">
        <v>2024</v>
      </c>
      <c r="G1034" s="112" t="str">
        <v>Q1</v>
      </c>
      <c r="H1034" s="20">
        <v>217</v>
      </c>
      <c r="J1034" s="20" t="str">
        <v>North</v>
      </c>
      <c r="K1034" s="20" t="str">
        <v>Product 2</v>
      </c>
      <c r="L1034" s="111">
        <v>2024</v>
      </c>
      <c r="M1034" s="112" t="str">
        <v>Q1</v>
      </c>
      <c r="N1034" s="20">
        <v>217</v>
      </c>
    </row>
    <row r="1035" spans="4:14" x14ac:dyDescent="0.3">
      <c r="D1035" s="20" t="str">
        <v/>
      </c>
      <c r="E1035" s="20" t="str">
        <v>Product 2</v>
      </c>
      <c r="F1035" s="111" t="str">
        <v/>
      </c>
      <c r="G1035" s="112" t="str">
        <v>Q2</v>
      </c>
      <c r="H1035" s="20">
        <v>119</v>
      </c>
      <c r="J1035" s="20" t="str">
        <v>North</v>
      </c>
      <c r="K1035" s="20" t="str">
        <v>Product 2</v>
      </c>
      <c r="L1035" s="111">
        <v>2024</v>
      </c>
      <c r="M1035" s="112" t="str">
        <v>Q2</v>
      </c>
      <c r="N1035" s="20">
        <v>119</v>
      </c>
    </row>
    <row r="1036" spans="4:14" x14ac:dyDescent="0.3">
      <c r="D1036" s="20" t="str">
        <v/>
      </c>
      <c r="E1036" s="20" t="str">
        <v>Product 2</v>
      </c>
      <c r="F1036" s="111" t="str">
        <v/>
      </c>
      <c r="G1036" s="112" t="str">
        <v>Q3</v>
      </c>
      <c r="H1036" s="20">
        <v>237</v>
      </c>
      <c r="J1036" s="20" t="str">
        <v>North</v>
      </c>
      <c r="K1036" s="20" t="str">
        <v>Product 2</v>
      </c>
      <c r="L1036" s="111">
        <v>2024</v>
      </c>
      <c r="M1036" s="112" t="str">
        <v>Q3</v>
      </c>
      <c r="N1036" s="20">
        <v>237</v>
      </c>
    </row>
    <row r="1037" spans="4:14" x14ac:dyDescent="0.3">
      <c r="D1037" s="20" t="str">
        <v/>
      </c>
      <c r="E1037" s="20" t="str">
        <v>Product 2</v>
      </c>
      <c r="F1037" s="111" t="str">
        <v/>
      </c>
      <c r="G1037" s="112" t="str">
        <v>Q4</v>
      </c>
      <c r="H1037" s="20">
        <v>248</v>
      </c>
      <c r="J1037" s="20" t="str">
        <v>North</v>
      </c>
      <c r="K1037" s="20" t="str">
        <v>Product 2</v>
      </c>
      <c r="L1037" s="111">
        <v>2024</v>
      </c>
      <c r="M1037" s="112" t="str">
        <v>Q4</v>
      </c>
      <c r="N1037" s="20">
        <v>248</v>
      </c>
    </row>
    <row r="1038" spans="4:14" x14ac:dyDescent="0.3">
      <c r="D1038" s="20" t="str">
        <v>South</v>
      </c>
      <c r="E1038" s="20" t="str">
        <v>Product 1</v>
      </c>
      <c r="F1038" s="111">
        <v>2023</v>
      </c>
      <c r="G1038" s="112" t="str">
        <v>Q1</v>
      </c>
      <c r="H1038" s="20">
        <v>140</v>
      </c>
      <c r="J1038" s="20" t="str">
        <v>South</v>
      </c>
      <c r="K1038" s="20" t="str">
        <v>Product 1</v>
      </c>
      <c r="L1038" s="111">
        <v>2023</v>
      </c>
      <c r="M1038" s="112" t="str">
        <v>Q1</v>
      </c>
      <c r="N1038" s="20">
        <v>140</v>
      </c>
    </row>
    <row r="1039" spans="4:14" x14ac:dyDescent="0.3">
      <c r="D1039" s="20" t="str">
        <v>South</v>
      </c>
      <c r="E1039" s="20" t="str">
        <v>Product 1</v>
      </c>
      <c r="F1039" s="111" t="str">
        <v/>
      </c>
      <c r="G1039" s="112" t="str">
        <v>Q2</v>
      </c>
      <c r="H1039" s="20">
        <v>230</v>
      </c>
      <c r="J1039" s="20" t="str">
        <v>South</v>
      </c>
      <c r="K1039" s="20" t="str">
        <v>Product 1</v>
      </c>
      <c r="L1039" s="111">
        <v>2023</v>
      </c>
      <c r="M1039" s="112" t="str">
        <v>Q2</v>
      </c>
      <c r="N1039" s="20">
        <v>230</v>
      </c>
    </row>
    <row r="1040" spans="4:14" x14ac:dyDescent="0.3">
      <c r="D1040" s="20" t="str">
        <v>South</v>
      </c>
      <c r="E1040" s="20" t="str">
        <v>Product 1</v>
      </c>
      <c r="F1040" s="111" t="str">
        <v/>
      </c>
      <c r="G1040" s="112" t="str">
        <v>Q3</v>
      </c>
      <c r="H1040" s="20">
        <v>226</v>
      </c>
      <c r="J1040" s="20" t="str">
        <v>South</v>
      </c>
      <c r="K1040" s="20" t="str">
        <v>Product 1</v>
      </c>
      <c r="L1040" s="111">
        <v>2023</v>
      </c>
      <c r="M1040" s="112" t="str">
        <v>Q3</v>
      </c>
      <c r="N1040" s="20">
        <v>226</v>
      </c>
    </row>
    <row r="1041" spans="4:14" x14ac:dyDescent="0.3">
      <c r="D1041" s="20" t="str">
        <v>South</v>
      </c>
      <c r="E1041" s="20" t="str">
        <v>Product 1</v>
      </c>
      <c r="F1041" s="111" t="str">
        <v/>
      </c>
      <c r="G1041" s="112" t="str">
        <v>Q4</v>
      </c>
      <c r="H1041" s="20">
        <v>193</v>
      </c>
      <c r="J1041" s="20" t="str">
        <v>South</v>
      </c>
      <c r="K1041" s="20" t="str">
        <v>Product 1</v>
      </c>
      <c r="L1041" s="111">
        <v>2023</v>
      </c>
      <c r="M1041" s="112" t="str">
        <v>Q4</v>
      </c>
      <c r="N1041" s="20">
        <v>193</v>
      </c>
    </row>
    <row r="1042" spans="4:14" x14ac:dyDescent="0.3">
      <c r="D1042" s="20" t="str">
        <v>South</v>
      </c>
      <c r="E1042" s="20" t="str">
        <v>Product 1</v>
      </c>
      <c r="F1042" s="111">
        <v>2024</v>
      </c>
      <c r="G1042" s="112" t="str">
        <v>Q1</v>
      </c>
      <c r="H1042" s="20">
        <v>123</v>
      </c>
      <c r="J1042" s="20" t="str">
        <v>South</v>
      </c>
      <c r="K1042" s="20" t="str">
        <v>Product 1</v>
      </c>
      <c r="L1042" s="111">
        <v>2024</v>
      </c>
      <c r="M1042" s="112" t="str">
        <v>Q1</v>
      </c>
      <c r="N1042" s="20">
        <v>123</v>
      </c>
    </row>
    <row r="1043" spans="4:14" x14ac:dyDescent="0.3">
      <c r="D1043" s="20" t="str">
        <v>South</v>
      </c>
      <c r="E1043" s="20" t="str">
        <v>Product 1</v>
      </c>
      <c r="F1043" s="111" t="str">
        <v/>
      </c>
      <c r="G1043" s="112" t="str">
        <v>Q2</v>
      </c>
      <c r="H1043" s="20">
        <v>200</v>
      </c>
      <c r="J1043" s="20" t="str">
        <v>South</v>
      </c>
      <c r="K1043" s="20" t="str">
        <v>Product 1</v>
      </c>
      <c r="L1043" s="111">
        <v>2024</v>
      </c>
      <c r="M1043" s="112" t="str">
        <v>Q2</v>
      </c>
      <c r="N1043" s="20">
        <v>200</v>
      </c>
    </row>
    <row r="1044" spans="4:14" x14ac:dyDescent="0.3">
      <c r="D1044" s="20" t="str">
        <v>South</v>
      </c>
      <c r="E1044" s="20" t="str">
        <v>Product 1</v>
      </c>
      <c r="F1044" s="111" t="str">
        <v/>
      </c>
      <c r="G1044" s="112" t="str">
        <v>Q3</v>
      </c>
      <c r="H1044" s="20">
        <v>162</v>
      </c>
      <c r="J1044" s="20" t="str">
        <v>South</v>
      </c>
      <c r="K1044" s="20" t="str">
        <v>Product 1</v>
      </c>
      <c r="L1044" s="111">
        <v>2024</v>
      </c>
      <c r="M1044" s="112" t="str">
        <v>Q3</v>
      </c>
      <c r="N1044" s="20">
        <v>162</v>
      </c>
    </row>
    <row r="1045" spans="4:14" x14ac:dyDescent="0.3">
      <c r="D1045" s="20" t="str">
        <v>South</v>
      </c>
      <c r="E1045" s="20" t="str">
        <v>Product 1</v>
      </c>
      <c r="F1045" s="111" t="str">
        <v/>
      </c>
      <c r="G1045" s="112" t="str">
        <v>Q4</v>
      </c>
      <c r="H1045" s="20">
        <v>172</v>
      </c>
      <c r="J1045" s="20" t="str">
        <v>South</v>
      </c>
      <c r="K1045" s="20" t="str">
        <v>Product 1</v>
      </c>
      <c r="L1045" s="111">
        <v>2024</v>
      </c>
      <c r="M1045" s="112" t="str">
        <v>Q4</v>
      </c>
      <c r="N1045" s="20">
        <v>172</v>
      </c>
    </row>
    <row r="1046" spans="4:14" x14ac:dyDescent="0.3">
      <c r="D1046" s="20" t="str">
        <v/>
      </c>
      <c r="E1046" s="20" t="str">
        <v>Product 2</v>
      </c>
      <c r="F1046" s="111">
        <v>2023</v>
      </c>
      <c r="G1046" s="112" t="str">
        <v>Q1</v>
      </c>
      <c r="H1046" s="20">
        <v>237</v>
      </c>
      <c r="J1046" s="20" t="str">
        <v>South</v>
      </c>
      <c r="K1046" s="20" t="str">
        <v>Product 2</v>
      </c>
      <c r="L1046" s="111">
        <v>2023</v>
      </c>
      <c r="M1046" s="112" t="str">
        <v>Q1</v>
      </c>
      <c r="N1046" s="20">
        <v>237</v>
      </c>
    </row>
    <row r="1047" spans="4:14" x14ac:dyDescent="0.3">
      <c r="D1047" s="20" t="str">
        <v/>
      </c>
      <c r="E1047" s="20" t="str">
        <v>Product 2</v>
      </c>
      <c r="F1047" s="111" t="str">
        <v/>
      </c>
      <c r="G1047" s="112" t="str">
        <v>Q2</v>
      </c>
      <c r="H1047" s="20">
        <v>235</v>
      </c>
      <c r="J1047" s="20" t="str">
        <v>South</v>
      </c>
      <c r="K1047" s="20" t="str">
        <v>Product 2</v>
      </c>
      <c r="L1047" s="111">
        <v>2023</v>
      </c>
      <c r="M1047" s="112" t="str">
        <v>Q2</v>
      </c>
      <c r="N1047" s="20">
        <v>235</v>
      </c>
    </row>
    <row r="1048" spans="4:14" x14ac:dyDescent="0.3">
      <c r="D1048" s="20" t="str">
        <v/>
      </c>
      <c r="E1048" s="20" t="str">
        <v>Product 2</v>
      </c>
      <c r="F1048" s="111" t="str">
        <v/>
      </c>
      <c r="G1048" s="112" t="str">
        <v>Q3</v>
      </c>
      <c r="H1048" s="20">
        <v>176</v>
      </c>
      <c r="J1048" s="20" t="str">
        <v>South</v>
      </c>
      <c r="K1048" s="20" t="str">
        <v>Product 2</v>
      </c>
      <c r="L1048" s="111">
        <v>2023</v>
      </c>
      <c r="M1048" s="112" t="str">
        <v>Q3</v>
      </c>
      <c r="N1048" s="20">
        <v>176</v>
      </c>
    </row>
    <row r="1049" spans="4:14" x14ac:dyDescent="0.3">
      <c r="D1049" s="20" t="str">
        <v/>
      </c>
      <c r="E1049" s="20" t="str">
        <v>Product 2</v>
      </c>
      <c r="F1049" s="111" t="str">
        <v/>
      </c>
      <c r="G1049" s="112" t="str">
        <v>Q4</v>
      </c>
      <c r="H1049" s="20">
        <v>106</v>
      </c>
      <c r="J1049" s="20" t="str">
        <v>South</v>
      </c>
      <c r="K1049" s="20" t="str">
        <v>Product 2</v>
      </c>
      <c r="L1049" s="111">
        <v>2023</v>
      </c>
      <c r="M1049" s="112" t="str">
        <v>Q4</v>
      </c>
      <c r="N1049" s="20">
        <v>106</v>
      </c>
    </row>
    <row r="1050" spans="4:14" x14ac:dyDescent="0.3">
      <c r="D1050" s="20" t="str">
        <v/>
      </c>
      <c r="E1050" s="20" t="str">
        <v>Product 2</v>
      </c>
      <c r="F1050" s="111">
        <v>2024</v>
      </c>
      <c r="G1050" s="112" t="str">
        <v>Q1</v>
      </c>
      <c r="H1050" s="20">
        <v>188</v>
      </c>
      <c r="J1050" s="20" t="str">
        <v>South</v>
      </c>
      <c r="K1050" s="20" t="str">
        <v>Product 2</v>
      </c>
      <c r="L1050" s="111">
        <v>2024</v>
      </c>
      <c r="M1050" s="112" t="str">
        <v>Q1</v>
      </c>
      <c r="N1050" s="20">
        <v>188</v>
      </c>
    </row>
    <row r="1051" spans="4:14" x14ac:dyDescent="0.3">
      <c r="D1051" s="20" t="str">
        <v/>
      </c>
      <c r="E1051" s="20" t="str">
        <v>Product 2</v>
      </c>
      <c r="F1051" s="111" t="str">
        <v/>
      </c>
      <c r="G1051" s="112" t="str">
        <v>Q2</v>
      </c>
      <c r="H1051" s="20">
        <v>112</v>
      </c>
      <c r="J1051" s="20" t="str">
        <v>South</v>
      </c>
      <c r="K1051" s="20" t="str">
        <v>Product 2</v>
      </c>
      <c r="L1051" s="111">
        <v>2024</v>
      </c>
      <c r="M1051" s="112" t="str">
        <v>Q2</v>
      </c>
      <c r="N1051" s="20">
        <v>112</v>
      </c>
    </row>
    <row r="1052" spans="4:14" x14ac:dyDescent="0.3">
      <c r="D1052" s="20" t="str">
        <v/>
      </c>
      <c r="E1052" s="20" t="str">
        <v>Product 2</v>
      </c>
      <c r="F1052" s="111" t="str">
        <v/>
      </c>
      <c r="G1052" s="112" t="str">
        <v>Q3</v>
      </c>
      <c r="H1052" s="20">
        <v>243</v>
      </c>
      <c r="J1052" s="20" t="str">
        <v>South</v>
      </c>
      <c r="K1052" s="20" t="str">
        <v>Product 2</v>
      </c>
      <c r="L1052" s="111">
        <v>2024</v>
      </c>
      <c r="M1052" s="112" t="str">
        <v>Q3</v>
      </c>
      <c r="N1052" s="20">
        <v>243</v>
      </c>
    </row>
    <row r="1053" spans="4:14" x14ac:dyDescent="0.3">
      <c r="D1053" s="20" t="str">
        <v/>
      </c>
      <c r="E1053" s="20" t="str">
        <v>Product 2</v>
      </c>
      <c r="F1053" s="111" t="str">
        <v/>
      </c>
      <c r="G1053" s="112" t="str">
        <v>Q4</v>
      </c>
      <c r="H1053" s="20">
        <v>207</v>
      </c>
      <c r="J1053" s="20" t="str">
        <v>South</v>
      </c>
      <c r="K1053" s="20" t="str">
        <v>Product 2</v>
      </c>
      <c r="L1053" s="111">
        <v>2024</v>
      </c>
      <c r="M1053" s="112" t="str">
        <v>Q4</v>
      </c>
      <c r="N1053" s="20">
        <v>207</v>
      </c>
    </row>
    <row r="1054" spans="4:14" x14ac:dyDescent="0.3">
      <c r="D1054" s="52" t="str">
        <f ca="1" xml:space="preserve"> _xlfn.FORMULATEXT(D1022)</f>
        <v>= RXL_Data.UnPivot($F$1015:$M$1018, $D$1015:$E$1018, $F$1013:$M$1014)</v>
      </c>
    </row>
    <row r="1055" spans="4:14" x14ac:dyDescent="0.3">
      <c r="J1055" s="52" t="str">
        <f ca="1" xml:space="preserve"> _xlfn.FORMULATEXT(J1022)</f>
        <v>= RXL_Data.UnPivot($F$1015:$M$1018, $D$1015:$E$1018, $F$1013:$M$1014, , , , , 1, 1)</v>
      </c>
    </row>
    <row r="1057" spans="2:2" ht="14.4" thickBot="1" x14ac:dyDescent="0.35"/>
    <row r="1058" spans="2:2" s="5" customFormat="1" x14ac:dyDescent="0.3">
      <c r="B1058" s="5" t="s">
        <v>0</v>
      </c>
    </row>
  </sheetData>
  <conditionalFormatting sqref="D849:F859">
    <cfRule type="expression" dxfId="7" priority="3">
      <formula>AND(NOT(ISBLANK(D849)),(ROW(D849)-ROW($D$849))=0)</formula>
    </cfRule>
  </conditionalFormatting>
  <conditionalFormatting sqref="D719:G728 D734:G743 I734:J743 D749:H758 J749:L758 D764:F773 J764:L773 D781:H790 D797:H806 J797:L806 D813:H822 J813:L822">
    <cfRule type="expression" dxfId="6" priority="8">
      <formula>ISNA(D719)</formula>
    </cfRule>
  </conditionalFormatting>
  <conditionalFormatting sqref="D831:H841 J831:L841 D849:F859 J849:L859">
    <cfRule type="expression" dxfId="5" priority="6">
      <formula>ISNA(D831)</formula>
    </cfRule>
    <cfRule type="expression" dxfId="4" priority="7">
      <formula>NOT(ISBLANK(D831))</formula>
    </cfRule>
  </conditionalFormatting>
  <conditionalFormatting sqref="D831:H841">
    <cfRule type="expression" dxfId="3" priority="5">
      <formula>AND($F$830=1,NOT(ISBLANK(D831)),(ROW(D831)-ROW($D$831))=0)</formula>
    </cfRule>
  </conditionalFormatting>
  <conditionalFormatting sqref="J831:L841">
    <cfRule type="expression" dxfId="2" priority="4">
      <formula>AND($L$830=1,NOT(ISBLANK(J831)),(ROW(J831)-ROW($J$831))=0)</formula>
    </cfRule>
  </conditionalFormatting>
  <conditionalFormatting sqref="J849:L859">
    <cfRule type="expression" dxfId="1" priority="2">
      <formula>AND(NOT(ISBLANK(J849)),(ROW(J849)-ROW($J$849))=0)</formula>
    </cfRule>
  </conditionalFormatting>
  <conditionalFormatting sqref="D246:K255 D261:K270 D278:K289 D295:K306 D312:K323 D329:K340 D348:K359 D365:K376 D383:K394 D404:K415 D423:K434 D442:K453 D462:K473 D480:K491 D498:K509 D516:K527">
    <cfRule type="expression" dxfId="0" priority="1">
      <formula>ISNA(D246)</formula>
    </cfRule>
  </conditionalFormatting>
  <dataValidations disablePrompts="1" count="1">
    <dataValidation type="list" allowBlank="1" showInputMessage="1" showErrorMessage="1" sqref="F830 L830" xr:uid="{BF9B3D4E-8048-47B9-B46F-37CB48746854}">
      <formula1>_YesNo</formula1>
    </dataValidation>
  </dataValidations>
  <hyperlinks>
    <hyperlink ref="E536" r:id="rId1" xr:uid="{BC2A4D40-F1CB-45FC-8BCF-58EE0DB2E6CB}"/>
    <hyperlink ref="E10" r:id="rId2" xr:uid="{C73A26A1-E7B5-46D2-9394-F3AFD122F19E}"/>
    <hyperlink ref="E869" r:id="rId3" xr:uid="{429A5168-F003-4E08-8803-B40DE9EBE094}"/>
    <hyperlink ref="E704" r:id="rId4" xr:uid="{26A74CF0-B2D0-4D31-8300-DC8A4F5AF974}"/>
    <hyperlink ref="E226" r:id="rId5" xr:uid="{ED05A779-E461-48A7-939D-281F030A6179}"/>
  </hyperlink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38CA3-0F02-4DEA-8547-5DCD9124F78A}">
  <sheetPr codeName="Sheet7"/>
  <dimension ref="B1:C128"/>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3" s="4" customFormat="1" ht="30" customHeight="1" x14ac:dyDescent="0.3">
      <c r="C1" s="2" t="s">
        <v>680</v>
      </c>
    </row>
    <row r="2" spans="2:3" s="8" customFormat="1" ht="16.2" thickBot="1" x14ac:dyDescent="0.35">
      <c r="B2" s="9">
        <f xml:space="preserve"> MAX(B$1:B1) + 1</f>
        <v>1</v>
      </c>
      <c r="C2" s="8" t="s">
        <v>1508</v>
      </c>
    </row>
    <row r="4" spans="2:3" x14ac:dyDescent="0.3">
      <c r="C4" t="s">
        <v>1521</v>
      </c>
    </row>
    <row r="6" spans="2:3" x14ac:dyDescent="0.3">
      <c r="B6" s="24" t="s">
        <v>1510</v>
      </c>
      <c r="C6" t="s">
        <v>1511</v>
      </c>
    </row>
    <row r="7" spans="2:3" x14ac:dyDescent="0.3">
      <c r="B7" s="24" t="s">
        <v>1512</v>
      </c>
      <c r="C7" t="s">
        <v>1513</v>
      </c>
    </row>
    <row r="17" spans="2:3" x14ac:dyDescent="0.3">
      <c r="B17" s="24" t="s">
        <v>1514</v>
      </c>
      <c r="C17" t="s">
        <v>1522</v>
      </c>
    </row>
    <row r="38" spans="2:3" x14ac:dyDescent="0.3">
      <c r="B38" s="24" t="s">
        <v>1515</v>
      </c>
      <c r="C38" t="s">
        <v>1516</v>
      </c>
    </row>
    <row r="39" spans="2:3" x14ac:dyDescent="0.3">
      <c r="B39" s="24" t="s">
        <v>1517</v>
      </c>
      <c r="C39" t="s">
        <v>1518</v>
      </c>
    </row>
    <row r="63" spans="2:3" x14ac:dyDescent="0.3">
      <c r="B63" s="24" t="s">
        <v>1519</v>
      </c>
      <c r="C63" t="s">
        <v>1520</v>
      </c>
    </row>
    <row r="73" spans="2:3" s="8" customFormat="1" ht="16.2" thickBot="1" x14ac:dyDescent="0.35">
      <c r="B73" s="9">
        <f xml:space="preserve"> MAX(B$1:B72) + 1</f>
        <v>2</v>
      </c>
      <c r="C73" s="8" t="s">
        <v>1509</v>
      </c>
    </row>
    <row r="75" spans="2:3" x14ac:dyDescent="0.3">
      <c r="C75" s="161" t="s">
        <v>1523</v>
      </c>
    </row>
    <row r="76" spans="2:3" x14ac:dyDescent="0.3">
      <c r="C76" s="161"/>
    </row>
    <row r="77" spans="2:3" x14ac:dyDescent="0.3">
      <c r="C77" s="161" t="s">
        <v>1524</v>
      </c>
    </row>
    <row r="78" spans="2:3" x14ac:dyDescent="0.3">
      <c r="C78" s="161" t="s">
        <v>1525</v>
      </c>
    </row>
    <row r="79" spans="2:3" x14ac:dyDescent="0.3">
      <c r="C79" s="161" t="s">
        <v>1526</v>
      </c>
    </row>
    <row r="80" spans="2:3" x14ac:dyDescent="0.3">
      <c r="C80" s="162" t="s">
        <v>1527</v>
      </c>
    </row>
    <row r="81" spans="3:3" x14ac:dyDescent="0.3">
      <c r="C81" s="161" t="s">
        <v>1564</v>
      </c>
    </row>
    <row r="82" spans="3:3" x14ac:dyDescent="0.3">
      <c r="C82" s="161" t="s">
        <v>1565</v>
      </c>
    </row>
    <row r="83" spans="3:3" x14ac:dyDescent="0.3">
      <c r="C83" s="161"/>
    </row>
    <row r="84" spans="3:3" x14ac:dyDescent="0.3">
      <c r="C84" s="162" t="s">
        <v>1528</v>
      </c>
    </row>
    <row r="85" spans="3:3" x14ac:dyDescent="0.3">
      <c r="C85" s="161" t="s">
        <v>1529</v>
      </c>
    </row>
    <row r="86" spans="3:3" x14ac:dyDescent="0.3">
      <c r="C86" s="161" t="s">
        <v>1530</v>
      </c>
    </row>
    <row r="87" spans="3:3" x14ac:dyDescent="0.3">
      <c r="C87" s="161" t="s">
        <v>1531</v>
      </c>
    </row>
    <row r="88" spans="3:3" x14ac:dyDescent="0.3">
      <c r="C88" s="163" t="s">
        <v>1532</v>
      </c>
    </row>
    <row r="89" spans="3:3" x14ac:dyDescent="0.3">
      <c r="C89" s="162" t="s">
        <v>1533</v>
      </c>
    </row>
    <row r="90" spans="3:3" x14ac:dyDescent="0.3">
      <c r="C90" s="161" t="s">
        <v>1534</v>
      </c>
    </row>
    <row r="91" spans="3:3" x14ac:dyDescent="0.3">
      <c r="C91" s="161" t="s">
        <v>1535</v>
      </c>
    </row>
    <row r="92" spans="3:3" x14ac:dyDescent="0.3">
      <c r="C92" s="161" t="s">
        <v>1536</v>
      </c>
    </row>
    <row r="93" spans="3:3" x14ac:dyDescent="0.3">
      <c r="C93" s="161" t="s">
        <v>1537</v>
      </c>
    </row>
    <row r="94" spans="3:3" x14ac:dyDescent="0.3">
      <c r="C94" s="163" t="s">
        <v>1538</v>
      </c>
    </row>
    <row r="95" spans="3:3" x14ac:dyDescent="0.3">
      <c r="C95" s="163" t="s">
        <v>1539</v>
      </c>
    </row>
    <row r="96" spans="3:3" x14ac:dyDescent="0.3">
      <c r="C96" s="161" t="s">
        <v>1531</v>
      </c>
    </row>
    <row r="97" spans="3:3" x14ac:dyDescent="0.3">
      <c r="C97" s="161" t="s">
        <v>1540</v>
      </c>
    </row>
    <row r="98" spans="3:3" x14ac:dyDescent="0.3">
      <c r="C98" s="161" t="s">
        <v>1531</v>
      </c>
    </row>
    <row r="99" spans="3:3" x14ac:dyDescent="0.3">
      <c r="C99" s="161" t="s">
        <v>1541</v>
      </c>
    </row>
    <row r="100" spans="3:3" x14ac:dyDescent="0.3">
      <c r="C100" s="161" t="s">
        <v>1542</v>
      </c>
    </row>
    <row r="101" spans="3:3" x14ac:dyDescent="0.3">
      <c r="C101" s="163" t="s">
        <v>1543</v>
      </c>
    </row>
    <row r="102" spans="3:3" x14ac:dyDescent="0.3">
      <c r="C102" s="161" t="s">
        <v>1544</v>
      </c>
    </row>
    <row r="103" spans="3:3" x14ac:dyDescent="0.3">
      <c r="C103" s="161" t="s">
        <v>1545</v>
      </c>
    </row>
    <row r="104" spans="3:3" x14ac:dyDescent="0.3">
      <c r="C104" s="161" t="s">
        <v>1546</v>
      </c>
    </row>
    <row r="105" spans="3:3" x14ac:dyDescent="0.3">
      <c r="C105" s="161" t="s">
        <v>1547</v>
      </c>
    </row>
    <row r="106" spans="3:3" x14ac:dyDescent="0.3">
      <c r="C106" s="161" t="s">
        <v>1548</v>
      </c>
    </row>
    <row r="107" spans="3:3" x14ac:dyDescent="0.3">
      <c r="C107" s="161" t="s">
        <v>1549</v>
      </c>
    </row>
    <row r="108" spans="3:3" x14ac:dyDescent="0.3">
      <c r="C108" s="161" t="s">
        <v>1550</v>
      </c>
    </row>
    <row r="109" spans="3:3" x14ac:dyDescent="0.3">
      <c r="C109" s="161" t="s">
        <v>1551</v>
      </c>
    </row>
    <row r="110" spans="3:3" x14ac:dyDescent="0.3">
      <c r="C110" s="161" t="s">
        <v>1552</v>
      </c>
    </row>
    <row r="111" spans="3:3" x14ac:dyDescent="0.3">
      <c r="C111" s="163" t="s">
        <v>1553</v>
      </c>
    </row>
    <row r="112" spans="3:3" x14ac:dyDescent="0.3">
      <c r="C112" s="161" t="s">
        <v>1554</v>
      </c>
    </row>
    <row r="113" spans="2:3" x14ac:dyDescent="0.3">
      <c r="C113" s="163" t="s">
        <v>1555</v>
      </c>
    </row>
    <row r="114" spans="2:3" x14ac:dyDescent="0.3">
      <c r="C114" s="163" t="s">
        <v>1556</v>
      </c>
    </row>
    <row r="115" spans="2:3" x14ac:dyDescent="0.3">
      <c r="C115" s="161" t="s">
        <v>1557</v>
      </c>
    </row>
    <row r="116" spans="2:3" x14ac:dyDescent="0.3">
      <c r="C116" s="163" t="s">
        <v>1558</v>
      </c>
    </row>
    <row r="117" spans="2:3" x14ac:dyDescent="0.3">
      <c r="C117" s="161" t="s">
        <v>1531</v>
      </c>
    </row>
    <row r="118" spans="2:3" x14ac:dyDescent="0.3">
      <c r="C118" s="161" t="s">
        <v>1559</v>
      </c>
    </row>
    <row r="119" spans="2:3" x14ac:dyDescent="0.3">
      <c r="C119" s="161" t="s">
        <v>1531</v>
      </c>
    </row>
    <row r="120" spans="2:3" x14ac:dyDescent="0.3">
      <c r="C120" s="163" t="s">
        <v>1560</v>
      </c>
    </row>
    <row r="121" spans="2:3" x14ac:dyDescent="0.3">
      <c r="C121" s="161" t="s">
        <v>1531</v>
      </c>
    </row>
    <row r="122" spans="2:3" x14ac:dyDescent="0.3">
      <c r="C122" s="161" t="s">
        <v>1561</v>
      </c>
    </row>
    <row r="123" spans="2:3" x14ac:dyDescent="0.3">
      <c r="C123" s="161" t="s">
        <v>1562</v>
      </c>
    </row>
    <row r="124" spans="2:3" x14ac:dyDescent="0.3">
      <c r="C124" s="161" t="s">
        <v>1531</v>
      </c>
    </row>
    <row r="125" spans="2:3" x14ac:dyDescent="0.3">
      <c r="C125" s="163" t="s">
        <v>1563</v>
      </c>
    </row>
    <row r="127" spans="2:3" ht="14.4" thickBot="1" x14ac:dyDescent="0.35"/>
    <row r="128" spans="2:3" s="5" customFormat="1" x14ac:dyDescent="0.3">
      <c r="B128" s="5" t="s">
        <v>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9A15E-3384-4194-A934-E1FDEF2D75BB}">
  <sheetPr codeName="Sheet12"/>
  <dimension ref="B1:D19"/>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4" s="4" customFormat="1" ht="30" customHeight="1" x14ac:dyDescent="0.3">
      <c r="C1" s="2" t="s">
        <v>2</v>
      </c>
    </row>
    <row r="3" spans="2:4" x14ac:dyDescent="0.3">
      <c r="B3" s="3">
        <v>1</v>
      </c>
      <c r="C3" s="11">
        <v>1</v>
      </c>
    </row>
    <row r="4" spans="2:4" x14ac:dyDescent="0.3">
      <c r="B4" s="3">
        <v>0</v>
      </c>
      <c r="C4" s="11">
        <v>0</v>
      </c>
      <c r="D4" s="7" t="s">
        <v>3</v>
      </c>
    </row>
    <row r="6" spans="2:4" x14ac:dyDescent="0.3">
      <c r="B6" s="3">
        <v>1</v>
      </c>
      <c r="C6" s="10">
        <v>1</v>
      </c>
    </row>
    <row r="7" spans="2:4" x14ac:dyDescent="0.3">
      <c r="B7" s="3">
        <v>0</v>
      </c>
      <c r="C7" s="10">
        <v>0</v>
      </c>
      <c r="D7" s="7" t="s">
        <v>5</v>
      </c>
    </row>
    <row r="10" spans="2:4" x14ac:dyDescent="0.3">
      <c r="C10" s="127" t="s">
        <v>198</v>
      </c>
    </row>
    <row r="11" spans="2:4" x14ac:dyDescent="0.3">
      <c r="C11" s="127" t="s">
        <v>993</v>
      </c>
    </row>
    <row r="12" spans="2:4" x14ac:dyDescent="0.3">
      <c r="C12" s="127" t="s">
        <v>995</v>
      </c>
      <c r="D12" s="7" t="s">
        <v>1171</v>
      </c>
    </row>
    <row r="14" spans="2:4" x14ac:dyDescent="0.3">
      <c r="C14" s="127" t="s">
        <v>992</v>
      </c>
    </row>
    <row r="15" spans="2:4" x14ac:dyDescent="0.3">
      <c r="C15" s="127" t="s">
        <v>994</v>
      </c>
    </row>
    <row r="16" spans="2:4" x14ac:dyDescent="0.3">
      <c r="C16" s="127" t="s">
        <v>1172</v>
      </c>
      <c r="D16" s="7" t="s">
        <v>1173</v>
      </c>
    </row>
    <row r="18" spans="2:2" ht="14.4" thickBot="1" x14ac:dyDescent="0.35"/>
    <row r="19" spans="2:2" s="5" customFormat="1" x14ac:dyDescent="0.3">
      <c r="B19" s="5" t="s">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iAH0ALAB7ACIAcABhAHQAaAAiADoAIgAvAHAAcgBvAGoAZQBjAHQAcwAvAFIAWABMAF8ARABhAHQAYQAiACwAIgB0AGUAeAB0ACIAOgAiAC8AKgBcAG4AIAAgACAAIABNAE8ARABVAEwARQA6ACAAIAAgACAAIABSAFgATABfAEQAYQB0AGEAXABuACAAIAAgACAAQQBVAFQASABPAFIAOgAgACAAIAAgACAAUgAgAFMAaQBsAGsALAAgAFIAWABMACAARABlAHYAZQBsAG8AcABtAGUAbgB0AFwAbgAgACAAIAAgAFcARQBCAFMASQBUAEUAOgAgACAAIAAgAGgAdAB0AHAAcwA6AC8ALwBlAHgAYwBlAGwALQBiAGkAdABzAC4AbgBlAHQAXABuACAAIAAgACAARwBJAFMAVAAgAFUAUgBMADoAIAAgACAAaAB0AHQAcABzADoALwAvAGcAaQBzAHQALgBnAGkAdABoAHUAYgAuAGMAbwBtAC8AcgAtAHMAaQBsAGsALwAzADUAZgA0AGUAMAAzADYAMgAwADYANgA0ADYAMAAwADcAYgBjADYANAA5AGQAMABmAGYANAAxADkAOABmADQAXABuACAAIAAgACAAVgBFAFIAUwBJAE8ATgA6ACAAIAAgACAAMgAuADAANAAgACgASgB1AGwAeQAtADIAMAAyADUAKQBcAG4AKgAvAFwAbgAvACoAXABuACAAIAAgACAATgBhAG0AZQA6ACAAIAAgACAAIAAgACAAIABBAGIAbwB1AHQAKAApAFwAbgAgACAAIAAgAFYAZQByAHMAaQBvAG4AOgAgACAAIAAgACAAMQAuADEAMQAgACgAMAA0AC0ASgB1AGwALQAyADAAMgA1ACkAIAAtAC0AIABSACAAUwBpAGwAawAsACAAUgBYAEwAIABEAGUAdgBlAGwAbwBwAG0AZQBuAHQAXABuACAAIAAgACAARABlAHMAYwByAGkAcAB0AGkAbwBuADoAIAAqAC8ALwAqACoAUAByAG8AdgBpAGQAZQBzACAAaQBuAGYAbwByAG0AYQB0AGkAbwBuACAAYQBiAG8AdQB0ACAAdABoAGUAIABmAHUAbgBjAHQAaQBvAG4AcwAgAGkAbgAgAHQAaABpAHMAIABtAG8AZAB1AGwAZQAqAC8ALwAqAFwAbgAgACAAIAAgAFAAYQByAGEAbQBlAHQAZQByAHMAOgBcAG4AIAAgACAAIAAgACAAIAAgACsAIABzAGUAbABlAGMAdABfAGYAdQBuAGMAdABpAG8AbgAgACAAIAA9ACAAKABvAHAAdABpAG8AbgBhAGwAKQAgAHQAaABlACAAbgBhAG0AZQAgAG8AcgAgAGkAbgBkAGUAeAAgAG4AdQBtAGIAZQByACAAbwBmACAAdABoAGUAIABmAHUAbgBjAHQAaQBvAG4AIAB0AGgAYQB0ACAAdQBzAGUAcgAgAHcAYQBuAHQAcwAgAGkAbgBmAG8AcgBtAGEAdABpAG8AbgAgAGEAYgBvAHUAdABcAG4AIAAgACAAIABFAHIAcgBvAHIAIABjAG8AZABlAHMAOgBcAG4AIAAgACAAIAAgACAAIAAgACMAWwBFAHIAcgBvAHIAOgAgAG4AYQBtAGUAIABuAG8AdAAgAHIAZQBjAG8AZwBuAGkAcwBlAGQAXQAgACAAIAA9ACAAdABoAGUAIABwAHIAbwB2AGkAZABlAGQAIABuAGEAbQBlACAAcwB0AHIAaQBuAGcAIABkAG8AZQBzACAAbgBvAHQAIABtAGEAdABjAGgAIAB0AGgAbwBzAGUAIABpAG4AIAB0AGgAZQAgAG0AbwBkAHUAbABlAFwAbgAgACAAIAAgACAAIAAgACAAIwBbAEUAcgByAG8AcgA6ACAAaQBuAGQAZQB4ACAAbgBvAHQAIAByAGUAYwBvAGcAbgBpAHMAZQBkAF0AIAAgAD0AIAB0AGgAZQAgAHAAcgBvAHYAaQBkAGUAZAAgAGkAbgBkAGUAeAAgAG4AdQBtAGIAZQByACAAZABvAGUAcwAgAG4AbwB0ACAAbQBhAHQAYwBoACAAdABoAG8AcwBlACAAaQBuACAAdABoAGUAIABtAG8AZAB1AGwAZQBcAG4AIAAgACAAIABOAG8AdABlAHMAOgBcAG4AIAAgACAAIAAgACAAIAAgAC0AIABpAGYAIAB0AGgAZQAgAHMAZQBsAGUAYwB0AF8AZgB1AG4AYwB0AGkAbwBuACAAaQBuAHAAdQB0ACAAaQBzACAAbwBtAGkAdAB0AGUAZAAgAG8AcgAgAGEAbgAgAGkAbgBkAGUAeAAgAG8AZgAgADAAIABpAHMAIABwAHIAbwB2AGkAZABlAGQAIAB0AGgAZQBuACAAYQAgAHQAYQBiAGwAZQAgAG8AZgAgAGkAbgBmAG8AcgBtAGEAdABpAG8AbgAgAGEAYgBvAHUAdAAgAHQAaABlACAAbQBvAGQAdQBsAGUAIABpAHMAIAByAGUAdAB1AHIAbgBlAGQAXABuACAAIAAgACAAIAAgACAAIAAtACAAdABoAGUAIAB1AHMAZQByACAAYwBhAG4AIABlAGkAdABoAGUAcgAgAHAAcgBvAHYAaQBkAGUAIAB0AGgAZQAgAGkAbgBkAGUAeAAgAG8AZgAgAHQAaABlACAAYwBoAG8AcwBlAG4AIABmAHUAbgBjAHQAaQBvAG4AIABhAHMAIABhAG4AIABpAG4AdABlAGcAZQByACAAKAAxACsAKQAsACAAbwByACAAdABoAGUAIABuAGEAbQBlACAAbwBmACAAdABoAGUAIABjAGgAbwBzAGUAbgAgAGYAdQBuAGMAdABpAG8AbgAgAGEAcwAgAGEAIABzAHQAcgBpAG4AZwBcAG4AKgAvAFwAbgBBAGIAbwB1AHQAIAA9ACAATABBAE0AQgBEAEEAKABbAHMAZQBsAGUAYwB0AF8AZgB1AG4AYwB0AGkAbwBuAF0ALABcAG4AIAAgACAAIABMAEUAVAAoAFwAbgAgACAAIAAgACAAIAAgACAAXwBuAHUAbQAsACAASQBGACgAIABJAFMATwBNAEkAVABUAEUARAAoAHMAZQBsAGUAYwB0AF8AZgB1AG4AYwB0AGkAbwBuACkALAAgADAALABcAG4AIAAgACAAIAAgACAAIAAgACAAIAAgACAASQBGACgAIABJAFMATgBVAE0AQgBFAFIAKABzAGUAbABlAGMAdABfAGYAdQBuAGMAdABpAG8AbgApACwAIABJAE4AVAAoAHMAZQBsAGUAYwB0AF8AZgB1AG4AYwB0AGkAbwBuACkALAAgAFwAIgAjAFwAIgApAFwAbgAgACAAIAAgACAAIAAgACAAKQAsAFwAbgAgACAAIAAgACAAIAAgACAAXwBhAHIAcgBEAGUAZgAsACAASQBGACgAXwBuAHUAbQAgAD0AIAAwACwAIABUAEUAWABUAFMAUABMAEkAVAAoAFwAbgAgACAAIAAgACAAIAAgACAAIAAgACAAIABcACIAQQBiAG8AdQB0ADoArABSAFgATAAgAEQAYQB0AGEAIABBAG4AYQBsAHkAcwBpAHMAIABUAG8AbwBsAHMAfABcACIAIAAmAFwAbgAgACAAIAAgACAAIAAgACAAIAAgACAAIABcACIArABTAHUAZwBnAGUAcwB0AGUAZAAgAG0AbwBkAHUAbABlACAAbgBhAG0AZQAgAD0AIABSAFgATABfAEQAYQB0AGEAfABcACIAIAAmAFwAbgAgACAAIAAgACAAIAAgACAAIAAgACAAIABcACIAVgBlAHIAcwBpAG8AbgA6AKwAdgAyAC4AMAA0ACAAIAAoAEoAdQBsAC0AMgAwADIANQApAHwAXAAiACAAJgBcAG4AIAAgACAAIAAgACAAIAAgACAAIAAgACAAXAAiAEEAdQB0AGgAbwByADoArABSACAAUwBpAGwAawAsACAAUgBYAEwAIABEAGUAdgBlAGwAbwBwAG0AZQBuAHQAfABcACIAIAAmAFwAbgAgACAAIAAgACAAIAAgACAAIAAgACAAIABcACIAVQBSAEwAOgCsAGgAdAB0AHAAcwA6AC8ALwBnAGkAcwB0AC4AZwBpAHQAaAB1AGIALgBjAG8AbQAvAHIALQBzAGkAbABrAC8AMwA1AGYANABlADAAMwA2ADIAMAA2ADYANAA2ADAAMAA3AGIAYwA2ADQAOQBkADAAZgBmADQAMQA5ADgAZgA0AHwAXAAiACYAXABuACAAIAAgACAAIAAgACAAIAAgACAAIAAgAFwAIgCsAHwAXAAiACAAJgBcAG4AIAAgACAAIAAgACAAIAAgACAAIAAgACAAXAAiAEYAdQBuAGMAdABpAG8AbgCsAEQAZQBzAGMAcgBpAHAAdABpAG8AbgB8AFwAIgAgACYAXABuACAAIAAgACAAIAAgACAAIAAgACAAIAAgAFwAIgAwACAALQAgAEEAYgBvAHUAdACsAFAAcgBvAHYAaQBkAGUAcwAgAGkAbgBmAG8AcgBtAGEAdABpAG8AbgAgAGEAYgBvAHUAdAAgAHQAaABlACAAZgB1AG4AYwB0AGkAbwBuAHMAIABpAG4AIAB0AGgAaQBzACAAbQBvAGQAdQBsAGUAfABcACIAIAAmAFwAbgAgACAAIAAgACAAIAAgACAAIAAgACAAIABcACIAMQAgAC0AIABDAHIAbwBzAHMASgBvAGkAbgCsAFIAZQB0AHUAcgBuAHMAIABhACAAYwByAG8AcwBzAC0AagBvAGkAbgAgAGIAZQB0AHcAZQBlAG4AIAB0AHcAbwAgAGkAbgBwAHUAdAAgAGwAaQBzAHQAcwB8AFwAIgAgACYAXABuACAAIAAgACAAIAAgACAAIAAgACAAIAAgAFwAIgAyACAALQAgAEYAaQBuAGQASQB0AGUAbQCsAFIAZQB0AHUAcgBuAHMAIABtAGEAdABjAGgAaQBuAGcAIAB2AGEAbAB1AGUAcwAgAHcAaQB0AGgAaQBuACAAYQAgAHMAbwB1AHIAYwBlACAAYQByAHIAYQB5AHwAXAAiACAAJgBcAG4AIAAgACAAIAAgACAAIAAgACAAIAAgACAAXAAiADMAIAAtACAASgBvAGkAbgCsAEoAbwBpAG4AcwAgAHQAdwBvACAAZABhAHQAYQAgAHQAYQBiAGwAZQBzACAAbQBhAHQAYwBoAGkAbgBnACAAZABhAHQAYQAgAHIAbwB3AHMAfABcACIAIAAmAFwAbgAgACAAIAAgACAAIAAgACAAIAAgACAAIABcACIANAAgAC0AIABVAG4AaQBvAG4ArABTAHQAYQBjAGsAcwAgAHQAdwBvACAAZABhAHQAYQAgAHQAYQBiAGwAZQBzACAAbQBhAHQAYwBoAGkAbgBnACAAZABhAHQAYQAgAGMAbwBsAHUAbQBuAHMAfABcACIAIAAmAFwAbgAgACAAIAAgACAAIAAgACAAIAAgACAAIABcACIANQAgAC0AIABVAG4AUABpAHYAbwB0AKwAVQBuAHAAaQB2AG8AdABzACAAYQAgADIARAAgAGEAcgByAGEAeQAgAHQAbwAgAHYAZQByAHQAaQBjAGEAbAAgAGQAYQB0AGEAIAB0AGEAYgBsAGUAXAAiACwAXABuACAAIAAgACAAIAAgACAAIAAgACAAIAAgAFwAIgCsAFwAIgAsACAAXAAiAHwAXAAiACkALABcAG4AIAAgACAAIAAgACAAIAAgACAAIAAgACAAXAAiAFwAIgBcAG4AIAAgACAAIAAgACAAIAAgACkALABcAG4AIAAgACAAIAAgACAAIAAgAF8AYQByAHIATgBhAG0AZQBzACwAIABUAEUAWABUAFMAUABMAEkAVAAoAFwAbgAgACAAIAAgACAAIAAgACAAIAAgACAAIABcACIAQwByAG8AcwBzAEoAbwBpAG4ApgBcACIAIAAmAFwAbgAgACAAIAAgACAAIAAgACAAIAAgACAAIABcACIARgBpAG4AZABJAHQAZQBtAKYAXAAiACAAJgBcAG4AIAAgACAAIAAgACAAIAAgACAAIAAgACAAXAAiAEoAbwBpAG4ApgBcACIAIAAmAFwAbgAgACAAIAAgACAAIAAgACAAIAAgACAAIABcACIAVQBuAGkAbwBuAKYAXAAiACAAJgBcAG4AIAAgACAAIAAgACAAIAAgACAAIAAgACAAXAAiAFUAbgBQAGkAdgBvAHQAXAAiACwAXABuACAAIAAgACAAIAAgACAAIAAgACAAIAAgAFwAIgCmAFwAIgBcAG4AIAAgACAAIAAgACAAIAAgACkALABcAG4AIAAgACAAIAAgACAAIAAgAF8AYQByAHIASABlAGwAcAAsACAAVABFAFgAVABTAFAATABJAFQAKABcAG4AIAAgACAAIAAgACAAIAAgACAAIAAgACAAXAAiAE4AQQBNAEUAOgCsAEMAcgBvAHMAcwBKAG8AaQBuAHwAXAAiACAAJgBcAG4AIAAgACAAIAAgACAAIAAgACAAIAAgACAAXAAiAEQARQBTAEMAUgBJAFAAVABJAE8ATgA6AKwAUgBlAHQAdQByAG4AcwAgAGEAIABjAHIAbwBzAHMALQBqAG8AaQBuACAAYgBlAHQAdwBlAGUAbgAgAHQAdwBvACAAaQBuAHAAdQB0ACAAbABpAHMAdABzAHwAXAAiACAAJgBcAG4AIAAgACAAIAAgACAAIAAgACAAIAAgACAAXAAiAFYARQBSAFMASQBPAE4AOgCsAHYAMQAuADAANgAgACgAMQAyAC0AQQBwAHIALQAyADAAMgA1ACkAfABcACIAIAAmAFwAbgAgACAAIAAgACAAIAAgACAAIAAgACAAIABcACIAUABBAFIAQQBNAEUAVABFAFIAUwA6AKwAfABcACIAIAAmAFwAbgAgACAAIAAgACAAIAAgACAAIAAgACAAIABcACIAbABpAHMAdABfAG8AbgBlAKwAKAByAGUAcQB1AGkAcgBlAGQAKQAgAHQAaABlACAAMQBzAHQAIABpAG4AcAB1AHQAIABsAGkAcwB0AC8AYQByAHIAYQB5AHwAXAAiACAAJgBcAG4AIAAgACAAIAAgACAAIAAgACAAIAAgACAAXAAiAGwAaQBzAHQAXwB0AHcAbwCsACgAcgBlAHEAdQBpAHIAZQBkACkAIAB0AGgAZQAgADIAbgBkACAAaQBuAHAAdQB0ACAAbABpAHMAdAAvAGEAcgByAGEAeQB8AFwAIgAgACYAXABuACAAIAAgACAAIAAgACAAIAAgACAAIAAgAFwAIgBjAG8AbgB2AGUAcgB0AF8AbABpAHMAdABfAG8AbgBlAKwAKABvAHAAdABpAG8AbgBhAGwAKQAgAGMAaABvAG8AcwBlACAAdABvACAAYwBvAG4AdgBlAHIAdAAgAGwAaQBzAHQAXwBvAG4AZQAgAHQAbwAgAGEAIAAxAEQAIABhAHIAcgBhAHkAIAAoAFQAcgB1AGUALwBGAGEAbABzAGUAKQB8AFwAIgAgACYAXABuACAAIAAgACAAIAAgACAAIAAgACAAIAAgAFwAIgBsAGkAcwB0AF8AbwBuAGUAXwBiAHkAXwBjAG8AbAB1AG0AbgCsACgAbwBwAHQAaQBvAG4AYQBsACkAIABzAGMAYQBuACAAbABpAHMAdABfAG8AbgBlACAAYgB5ACAAYwBvAGwAdQBtAG4AIAB3AGgAZQBuACAAYwBvAG4AdgBlAHIAdABpAG4AZwAgAHQAbwAgADEARAAgAGEAcgByAGEAeQAgACgAVAByAHUAZQAvAEYAYQBsAHMAZQApAHwAXAAiACAAJgBcAG4AIAAgACAAIAAgACAAIAAgACAAIAAgACAAXAAiAGMAbwBuAHYAZQByAHQAXwBsAGkAcwB0AF8AdAB3AG8ArAAoAG8AcAB0AGkAbwBuAGEAbAApACAAYwBoAG8AbwBzAGUAIAB0AG8AIABjAG8AbgB2AGUAcgB0ACAAbABpAHMAdABfAHQAdwBvACAAdABvACAAYQAgADEARAAgAGEAcgByAGEAeQAgACgAVAByAHUAZQAvAEYAYQBsAHMAZQApAHwAXAAiACAAJgBcAG4AIAAgACAAIAAgACAAIAAgACAAIAAgACAAXAAiAGwAaQBzAHQAXwBvAG4AZQBfAGIAeQBfAGMAbwBsAHUAbQBuAKwAKABvAHAAdABpAG8AbgBhAGwAKQAgAHMAYwBhAG4AIABsAGkAcwB0AF8AdAB3AG8AIABiAHkAIABjAG8AbAB1AG0AbgAgAHcAaABlAG4AIABjAG8AbgB2AGUAcgB0AGkAbgBnACAAdABvACAAMQBEACAAYQByAHIAYQB5ACAAKABUAHIAdQBlAC8ARgBhAGwAcwBlACkAfABcACIAIAAmAFwAbgAgACAAIAAgACAAIAAgACAAIAAgACAAIABcACIAcgBlAHAAbABhAGMAZQBfAGIAbABhAG4AawBzAKwAKABvAHAAdABpAG8AbgBhAGwAKQAgAHYAYQBsAHUAZQAgAHQAbwAgAHIAZQBwAGwAYQBjAGUAIABiAGwAYQBuAGsAcwAgAGkAbgAgAHQAaABlACAAaQBuAHAAdQB0ACAAbABpAHMAdABzAC8AYQByAHIAYQB5AHMAfABcACIAIAAmAFwAbgAgACAAIAAgACAAIAAgACAAIAAgACAAIABcACIAZgBpAGwAdABlAHIAXwBiAGwAYQBuAGsAcwCsACgAbwBwAHQAaQBvAG4AYQBsACkAIABjAGgAbwBvAHMAZQAgAHQAbwAgAGYAaQBsAHQAZQByACAAbwB1AHQAIABiAGwAYQBuAGsAIAByAG8AdwBzACAAYgBlAGYAbwByAGUAIABqAG8AaQBuAGkAbgBnACAAbABpAHMAdABzACAAKABUAHIAdQBlAC8ARgBhAGwAcwBlACkAfABcACIAIAAmAFwAbgAgACAAIAAgACAAIAAgACAAIAAgACAAIABcACIAZgBpAGwAdABlAHIAXwBlAHIAcgBvAHIAcwCsACgAbwBwAHQAaQBvAG4AYQBsACkAIABjAGgAbwBvAHMAZQAgAHQAbwAgAGYAaQBsAHQAZQByACAAbwB1AHQAIABlAHIAcgBvAHIAIAB2AGEAbAB1AGUAcwAgAGIAZQBmAG8AcgBlACAAagBvAGkAbgBpAG4AZwAgAGwAaQBzAHQAcwAgACgAVAByAHUAZQAvAEYAYQBsAHMAZQApAHwAXAAiACAAJgBcAG4AIAAgACAAIAAgACAAIAAgACAAIAAgACAAXAAiAGQAaQBzAHQAaQBuAGMAdABfAHIAbwB3AHMArAAoAG8AcAB0AGkAbwBuAGEAbAApACAAYwBoAG8AbwBzAGUAIAB0AG8AIABrAGUAZQBwACAAbwBuAGwAeQAgAGQAaQBzAHQAaQBuAGMAdAAvAHUAbgBpAHEAdQBlACAAcgBvAHcAcwAgAGEAZgB0AGUAcgAgAGoAbwBpAG4AaQBuAGcAIABsAGkAcwB0AHMAIAAoAFQAcgB1AGUALwBGAGEAbABzAGUAKQB8AFwAIgAgACYAXABuACAAIAAgACAAIAAgACAAIAAgACAAIAAgAFwAIgB2AGUAcgB0AGkAYwBhAGwAXwBvAHUAdABwAHUAdACsACgAbwBwAHQAaQBvAG4AYQBsACkAIABjAGgAbwBvAHMAZQAgAHQAbwAgAG8AdQB0AHAAdQB0ACAAdABoAGUAIABjAHIAZQBhAHQAZQBkACAAagBvAGkAbgAgAGkAbgAgAHYAZQByAHQAaQBjAGEAbAAgAG8AcgBpAGUAbgB0AGEAdABpAG8AbgAgACgAVAByAHUAZQAvAEYAYQBsAHMAZQApAFwAIgAgACYAXABuACAAIAAgACAAIAAgACAAIAAgACAAIAAgAFwAIgCmAFwAIgAgACYAXABuACAAIAAgACAAIAAgACAAIAAgACAAIAAgAFwAIgBOAEEATQBFADoArABGAGkAbgBkAEkAdABlAG0AfABcACIAIAAmAFwAbgAgACAAIAAgACAAIAAgACAAIAAgACAAIABcACIARABFAFMAQwBSAEkAUABUAEkATwBOADoArABSAGUAdAB1AHIAbgBzACAAbQBhAHQAYwBoAGkAbgBnACAAdgBhAGwAdQBlAHMAIAB3AGkAdABoAGkAbgAgAGEAIABzAG8AdQByAGMAZQAgAGEAcgByAGEAeQB8AFwAIgAgACYAXABuACAAIAAgACAAIAAgACAAIAAgACAAIAAgAFwAIgBWAEUAUgBTAEkATwBOADoArAB2ADEALgAwADcAIAAoADAAOAAtAEEAcAByAC0AMgAwADIANQApAHwAXAAiACAAJgBcAG4AIAAgACAAIAAgACAAIAAgACAAIAAgACAAXAAiAFAAQQBSAEEATQBFAFQARQBSAFMAOgCsAHwAXAAiACAAJgBcAG4AIAAgACAAIAAgACAAIAAgACAAIAAgACAAXAAiAHIAYQBuAGcAZQCsACgAcgBlAHEAdQBpAHIAZQBkACkAIAByAGEAbgBnAGUAIABvAGYAIABjAGUAbABsAHMAIABjAG8AbgB0AGEAaQBuAGkAbgBnACAAdABoAGUAIABkAGEAdABhAHwAXAAiACAAJgBcAG4AIAAgACAAIAAgACAAIAAgACAAIAAgACAAXAAiAGYAaQBuAGQAXwBpAHQAZQBtAKwAKAByAGUAcQB1AGkAcgBlAGQAKQAgAHYAYQBsAHUAZQAgAHQAbwAgAGYAaQBuAGQAIABpAG4AIAByAGEAbgBnAGUAfABcACIAIAAmAFwAbgAgACAAIAAgACAAIAAgACAAIAAgACAAIABcACIAbQBhAHQAYwBoAF8AdAB5AHAAZQCsACgAbwBwAHQAaQBvAG4AYQBsACkAIABtAGEAdABjAGgAIAB0AHkAcABlACAAdABvACAAdQBzAGUAIAAoAG4AdQBtAGIAZQByACAAMAAtAHQAbwAtADYAKQB8AFwAIgAgACYAXABuACAAIAAgACAAIAAgACAAIAAgACAAIAAgAFwAIgBvAHUAdABwAHUAdABfAHQAeQBwAGUArAAoAG8AcAB0AGkAbwBuAGEAbAApACAAdABoAGUAIABmAHUAbgBjAHQAaQBvAG4AIABvAHUAdABwAHUAdAAgAHQAeQBwAGUAIAAoAG4AdQBtAGIAZQByACAAMAAtAHQAbwAtADUAKQB8AFwAIgAgACYAXABuACAAIAAgACAAIAAgACAAIAAgACAAIAAgAFwAIgBpAGYAXwBuAG8AdABfAGYAbwB1AG4AZACsACgAbwBwAHQAaQBvAG4AYQBsACkAIAB2AGEAbAB1AGUAIAB0AG8AIAByAGUAdAB1AHIAbgAgAGkAZgAgAG4AbwAgAG0AYQB0AGMAaABlAHMAIABmAG8AdQBuAGQAfABcACIAIAAmAFwAbgAgACAAIAAgACAAIAAgACAAIAAgACAAIABcACIAYQBkAGQAXwBoAGUAYQBkAGUAcgCsACgAbwBwAHQAaQBvAG4AYQBsACkAIABjAGgAbwBvAHMAZQAgAHQAbwAgAGEAZABkACAAYwBvAGwAdQBtAG4AIABoAGUAYQBkAGUAcgBzACAAdABvACAAdABoAGUAIABvAHUAdABwAHUAdAAgACgAVAByAHUAZQAvAEYAYQBsAHMAZQApAHwAXAAiACAAJgBcAG4AIAAgACAAIAAgACAAIAAgACAAIAAgACAAXAAiAHMAcABsAGkAdABfAG8AdQB0AHAAdQB0AKwAKABvAHAAdABpAG8AbgBhAGwAKQAgAGMAaABvAG8AcwBlACAAdABvACAAcwBwAGwAaQB0ACAAdABoAGUAIABvAHUAdABwAHUAdAAgAGkAbgB0AG8AIAB0AHcAbwAgAGMAbwBsAHUAbQBuAHMAIAAoAFQAcgB1AGUALwBGAGEAbABzAGUAKQBcACIAIAAmAFwAbgAgACAAIAAgACAAIAAgACAAIAAgACAAIABcACIApgBcACIAIAAmAFwAbgAgACAAIAAgACAAIAAgACAAIAAgACAAIABcACIATgBBAE0ARQA6AKwASgBvAGkAbgB8AFwAIgAgACYAXABuACAAIAAgACAAIAAgACAAIAAgACAAIAAgAFwAIgBEAEUAUwBDAFIASQBQAFQASQBPAE4AOgCsAEoAbwBpAG4AcwAgAHQAdwBvACAAZABhAHQAYQAgAHQAYQBiAGwAZQBzACAAbQBhAHQAYwBoAGkAbgBnACAAZABhAHQAYQAgAHIAbwB3AHMAIABiAGEAcwBlAGQAIABvAG4AIABjAGgAbwBzAGUAbgAgAG0AYQB0AGMAaAAgAGMAbwBsAHUAbQBuAHMAfABcACIAIAAmAFwAbgAgACAAIAAgACAAIAAgACAAIAAgACAAIABcACIAVgBFAFIAUwBJAE8ATgA6AKwAdgAxAC4AMAA1ACAAKAAyADkALQBKAHUAbAAtADIAMAAyADUAKQB8AFwAIgAgACYAXABuACAAIAAgACAAIAAgACAAIAAgACAAIAAgAFwAIgBQAEEAUgBBAE0ARQBUAEUAUgBTADoArAB8AFwAIgAgACYAXABuACAAIAAgACAAIAAgACAAIAAgACAAIAAgAFwAIgBmAGkAcgBzAHQAXwBhAHIAcgBhAHkArAAoAHIAZQBxAHUAaQByAGUAZAApACAAZgBpAHIAcwB0ACAAKABwAHIAaQBtAGEAcgB5AC8AbABlAGYAdAApACAAZABhAHQAYQAgAHQAYQBiAGwAZQAgAGEAcgByAGEAeQB8AFwAIgAgACYAXABuACAAIAAgACAAIAAgACAAIAAgACAAIAAgAFwAIgBzAGUAYwBvAG4AZABfAGEAcgByAGEAeQCsACgAcgBlAHEAdQBpAHIAZQBkACkAIABzAGUAYwBvAG4AZAAgACgAcwBlAGMAbwBuAGQAYQByAHkALwByAGkAZwBoAHQAKQAgAGQAYQB0AGEAIAB0AGEAYgBsAGUAIABhAHIAcgBhAHkAfABcACIAIAAmAFwAbgAgACAAIAAgACAAIAAgACAAIAAgACAAIABcACIAZgBpAHIAcwB0AF8AbQBhAHQAYwBoAF8AaQBuAGQAZQB4AKwAKAByAGUAcQB1AGkAcgBlAGQAKQAgAHQAaABlACAAZgBpAHIAcwB0AF8AYQByAHIAYQB5ACAAYwBvAGwAdQBtAG4AIABuAHUAbQBiAGUAcgAoAHMAKQAgAHQAbwAgAHUAcwBlACAAZgBvAHIAIAByAG8AdwAgAG0AYQB0AGMAaABpAG4AZwB8AFwAIgAgACYAXABuACAAIAAgACAAIAAgACAAIAAgACAAIAAgAFwAIgBzAGUAYwBvAG4AZABfAG0AYQB0AGMAaABfAGkAbgBkAGUAeACsACgAcgBlAHEAdQBpAHIAZQBkACkAIAB0AGgAZQAgAHMAZQBjAG8AbgBkAF8AYQByAHIAYQB5ACAAYwBvAGwAdQBtAG4AIABuAHUAbQBiAGUAcgAoAHMAKQAgAHQAbwAgAHUAcwBlACAAZgBvAHIAIAByAG8AdwAgAG0AYQB0AGMAaABpAG4AZwB8AFwAIgAgACYAXABuACAAIAAgACAAIAAgACAAIAAgACAAIAAgAFwAIgBqAG8AaQBuAF8AdAB5AHAAZQCsACgAbwBwAHQAaQBvAG4AYQBsACkAIABzAGUAdAAgAHQAaABlACAASgBPAEkATgAgAHQAeQBwAGUAIAB0AG8AIABvAHUAdABwAHUAdAAgACgAbgB1AG0AYgBlAHIAIAAwAC0AdABvAC0AMwAgAG8AcgAgAHQAZQB4AHQAKQB8AFwAIgAgACYAXABuACAAIAAgACAAIAAgACAAIAAgACAAIAAgAFwAIgBmAGkAcgBzAHQAXwBhAHIAcgBhAHkAXwBjAG8AbABzAKwAKABvAHAAdABpAG8AbgBhAGwAKQAgAHQAaABlACAAZgBpAHIAcwB0AF8AYQByAHIAYQB5ACAAYwBvAGwAdQBtAG4AcwAgAHQAbwAgAGkAbgBjAGwAdQBkAGUAIABpAG4AIAB0AGgAZQAgAG8AdQB0AHAAdQB0ACAAYQBuAGQAIABvAHIAZABlAHIAfABcACIAIAAmAFwAbgAgACAAIAAgACAAIAAgACAAIAAgACAAIABcACIAcwBlAGMAbwBuAGQAXwBhAHIAcgBhAHkAXwBjAG8AbABzAKwAKABvAHAAdABpAG8AbgBhAGwAKQAgAHQAaABlACAAcwBlAGMAbwBuAGQAXwBhAHIAcgBhAHkAIABjAG8AbAB1AG0AbgBzACAAdABvACAAaQBuAGMAbAB1AGQAZQAgAGkAbgAgAHQAaABlACAAbwB1AHQAcAB1AHQAIABhAG4AZAAgAG8AcgBkAGUAcgB8AFwAIgAgACYAXABuACAAIAAgACAAIAAgACAAIAAgACAAIAAgAFwAIgBzAG8AcgB0AKwAKABvAHAAdABpAG8AbgBhAGwAKQAgAGMAaABvAG8AcwBlACAAdwBoAGUAdABoAGUAcgAgAHQAbwAgAHMAbwByAHQAIAB0AGgAZQAgAG8AdQB0AHAAdQB0ACAAYgB5ACAAbQBhAHQAYwBoACAAYwBvAGwAdQBtAG4AcwAgACgAbgB1AG0AYgBlAHIAIAAtADEALQB0AG8ALQAxACwAIABUAHIAdQBlAC8ARgBhAGwAcwBlACkAfABcACIAIAAmAFwAbgAgACAAIAAgACAAIAAgACAAIAAgACAAIABcACIAcgBlAHAAbABhAGMAZQBfAG4AYQCsACgAbwBwAHQAaQBvAG4AYQBsACkAIABjAGgAbwBvAHMAZQAgAHcAaABlAHQAaABlAHIAIAB0AG8AIAByAGUAcABsAGEAYwBlACAAIwBOAC8AQQAgAHYAYQBsAHUAZQBzACAAaQBuACAAdABoAGUAIABmAHUAbgBjAHQAaQBvAG4AIABvAHUAdABwAHUAdAAgAHcAaQB0AGgAIABhACAAZABpAGYAZgBlAHIAZQBuAHQAIAB2AGEAbAB1AGUAXAAiACAAJgBcAG4AIAAgACAAIAAgACAAIAAgACAAIAAgACAAXAAiAKYAXAAiACAAJgBcAG4AIAAgACAAIAAgACAAIAAgACAAIAAgACAAXAAiAE4AQQBNAEUAOgCsAFUAbgBpAG8AbgB8AFwAIgAgACYAXABuACAAIAAgACAAIAAgACAAIAAgACAAIAAgAFwAIgBEAEUAUwBDAFIASQBQAFQASQBPAE4AOgCsAFMAdABhAGMAawBzACAAdAB3AG8AIABkAGEAdABhACAAdABhAGIAbABlAHMAIABtAGEAdABjAGgAaQBuAGcAIABkAGEAdABhACAAYwBvAGwAdQBtAG4AcwAgAGIAYQBzAGUAZAAgAG8AbgAgAGMAbwBsAHUAbQBuACAAdABpAHQAbABlAHMALwBoAGUAYQBkAGUAcgBzAHwAXAAiACAAJgBcAG4AIAAgACAAIAAgACAAIAAgACAAIAAgACAAXAAiAFYARQBSAFMASQBPAE4AOgCsAHYAMQAuADAANQAgACgAMAAzAC0ASgB1AGwALQAyADAAMgA1ACkAfABcACIAIAAmAFwAbgAgACAAIAAgACAAIAAgACAAIAAgACAAIABcACIAUABBAFIAQQBNAEUAVABFAFIAUwA6AKwAfABcACIAIAAmAFwAbgAgACAAIAAgACAAIAAgACAAIAAgACAAIABcACIAZgBpAHIAcwB0AF8AYQByAHIAYQB5AKwAKAByAGUAcQB1AGkAcgBlAGQAKQAgAGYAaQByAHMAdAAgACgAcAByAGkAbQBhAHIAeQApACAAZABhAHQAYQAgAGEAcgByAGEAeQB8AFwAIgAgACYAXABuACAAIAAgACAAIAAgACAAIAAgACAAIAAgAFwAIgBzAGUAYwBvAG4AZABfAGEAcgByAGEAeQCsACgAcgBlAHEAdQBpAHIAZQBkACkAIABzAGUAYwBvAG4AZAAgACgAcwBlAGMAbwBuAGQAYQByAHkAKQAgAGQAYQB0AGEAIABhAHIAcgBhAHkALAAgAHcAaABpAGMAaAAgAGkAcwAgAGEAZABkAGUAZAAgAHQAbwAgAHQAaABlACAAZgBpAHIAcwB0ACAAZABhAHQAYQAgAGEAcgByAGEAeQB8AFwAIgAgACYAXABuACAAIAAgACAAIAAgACAAIAAgACAAIAAgAFwAIgBmAGkAcgBzAHQAXwB0AGkAdABsAGUAcwCsACgAbwBwAHQAaQBvAG4AYQBsACkAIABjAG8AbAB1AG0AbgAgAHQAaQB0AGwAZQBzAC8AaABlAGEAZABlAHIAcwAgAGEAcwBzAG8AYwBpAGEAdABlAGQAIAB3AGkAdABoACAAdABoAGUAIABmAGkAcgBzAHQAIABkAGEAdABhACAAYQByAHIAYQB5AHwAXAAiACAAJgBcAG4AIAAgACAAIAAgACAAIAAgACAAIAAgACAAXAAiAHMAZQBjAG8AbgBkAF8AdABpAHQAbABlAHMArAAoAG8AcAB0AGkAbwBuAGEAbAApACAAYwBvAGwAdQBtAG4AIAB0AGkAdABsAGUAcwAvAGgAZQBhAGQAZQByAHMAIABhAHMAcwBvAGMAaQBhAHQAZQBkACAAdwBpAHQAaAAgAHQAaABlACAAcwBlAGMAbwBuAGQAIABkAGEAdABhACAAYQByAHIAYQB5AHwAXAAiACAAJgBcAG4AIAAgACAAIAAgACAAIAAgACAAIAAgACAAXAAiAG8AdQB0AHAAdQB0AF8AdABpAHQAbABlAHMArAAoAG8AcAB0AGkAbwBuAGEAbAApACAAYwBoAG8AbwBzAGUAIAB3AGgAZQB0AGgAZQByACAAdABvACAAaQBuAGMAbAB1AGQAZQAgAGMAbwBsAHUAbQBuACAAdABpAHQAbABlAHMALwBoAGUAYQBkAGUAcgBzACAAYQBzACAAdABoAGUAIABmAGkAcgBzAHQAIAByAG8AdwAgAG8AZgAgAHQAaABlACAAbwB1AHQAcAB1AHQAfABcACIAIAAmAFwAbgAgACAAIAAgACAAIAAgACAAIAAgACAAIABcACIAcwBpAG0AcABsAGUAXwBzAHQAYQBjAGsArAAoAG8AcAB0AGkAbwBuAGEAbAApACAAYwBoAG8AbwBzAGUAIAB3AGgAZQB0AGgAZQByACAAdABvACAAdQBzAGUAIABzAGkAbQBwAGwAZQAgAHMAdABhAGMAawBpAG4AZwAgAG8AcgAgAGMAbwBsAHUAbQBuACAAbQBhAHQAYwBoAGkAbgBnACAAZgBvAHIAIAB0AGgAZQAgAHUAbgBpAG8AbgB8AFwAIgAgACYAXABuACAAIAAgACAAIAAgACAAIAAgACAAIAAgAFwAIgByAGUAcABsAGEAYwBlAF8AbgBhAKwAKABvAHAAdABpAG8AbgBhAGwAKQAgAGMAaABvAG8AcwBlACAAdwBoAGUAdABoAGUAcgAgAHQAbwAgAHIAZQBwAGwAYQBjAGUAIAAjAE4ALwBBACAAdgBhAGwAdQBlAHMAIABpAG4AIAB0AGgAZQAgAGYAdQBuAGMAdABpAG8AbgAgAG8AdQB0AHAAdQB0ACAAdwBpAHQAaAAgAGEAIABkAGkAZgBmAGUAcgBlAG4AdAAgAHYAYQBsAHUAZQBcACIAIAAmAFwAbgAgACAAIAAgACAAIAAgACAAIAAgACAAIABcACIApgBcACIAIAAmAFwAbgAgACAAIAAgACAAIAAgACAAIAAgACAAIABcACIATgBBAE0ARQA6AKwAVQBuAFAAaQB2AG8AdAB8AFwAIgAgACYAXABuACAAIAAgACAAIAAgACAAIAAgACAAIAAgAFwAIgBEAEUAUwBDAFIASQBQAFQASQBPAE4AOgCsAFUAbgBwAGkAdgBvAHQAcwAgAGEAIAAyAEQAIABhAHIAcgBhAHkAIAB0AG8AIAB2AGUAcgB0AGkAYwBhAGwAIABkAGEAdABhACAAdABhAGIAbABlAHwAXAAiACAAJgBcAG4AIAAgACAAIAAgACAAIAAgACAAIAAgACAAXAAiAFYARQBSAFMASQBPAE4AOgCsAHYAMQAuADAANgAgACgAMgA3AC0ATQBhAHIALQAyADAAMgA1ACkAfABcACIAIAAmAFwAbgAgACAAIAAgACAAIAAgACAAIAAgACAAIABcACIAUABBAFIAQQBNAEUAVABFAFIAUwA6AKwAfABcACIAIAAmAFwAbgAgACAAIAAgACAAIAAgACAAIAAgACAAIABcACIAZABhAHQAYQCsACgAcgBlAHEAdQBpAHIAZQBkACkAIABhAHIAcgBhAHkAIABjAG8AbgB0AGEAaQBuAGkAbgBnACAAdABoAGUAIABtAGEAaQBuACAAZABhAHQAYQAgAHAAbwBpAG4AdABzAHwAXAAiACAAJgBcAG4AIAAgACAAIAAgACAAIAAgACAAIAAgACAAXAAiAHIAbwB3AF8AaABlAGEAZABlAHIAcwCsACgAcgBlAHEAdQBpAHIAZQBkACkAIABhAHIAcgBhAHkAIABjAG8AbgB0AGEAaQBuAGkAbgBnACAAdABoAGUAIABkAGEAdABhACAAcgBvAHcAIABoAGUAYQBkAGUAcgBzAHwAXAAiACAAJgBcAG4AIAAgACAAIAAgACAAIAAgACAAIAAgACAAXAAiAGMAbwBsAHUAbQBuAF8AaABlAGEAZABlAHIAcwCsACgAcgBlAHEAdQBpAHIAZQBkACkAIABhAHIAcgBhAHkAIABjAG8AbgB0AGEAaQBuAGkAbgBnACAAdABoAGUAIABkAGEAdABhACAAYwBvAGwAdQBtAG4AIABoAGUAYQBkAGUAcgBzAHwAXAAiACAAJgBcAG4AIAAgACAAIAAgACAAIAAgACAAIAAgACAAXAAiAGIAeQBfAGMAbwBsAHUAbQBuAKwAKABvAHAAdABpAG8AbgBhAGwAKQAgAGMAaABvAG8AcwBlACAAdABvACAAcwBjAGEAbgAgAHQAaABlACAAZABhAHQAYQAgAGEAcgByAGEAeQAgAGIAeQAgAGMAbwBsAHUAbQBuACAAKABUAHIAdQBlAC8ARgBhAGwAcwBlACkAfABcACIAIAAmAFwAbgAgACAAIAAgACAAIAAgACAAIAAgACAAIABcACIAcgBlAHAAbABhAGMAZQBfAGQAYQB0AGEAXwBiAGwAYQBuAGsAcwCsACgAbwBwAHQAaQBvAG4AYQBsACkAIAB2AGEAbAB1AGUAIAB0AG8AIAByAGUAcABsAGEAYwBlACAAYgBsAGEAbgBrAHMAIABpAG4AIAB0AGgAZQAgAGQAYQB0AGEAIABhAHIAcgBhAHkAcwB8AFwAIgAgACYAXABuACAAIAAgACAAIAAgACAAIAAgACAAIAAgAFwAIgBmAGkAbAB0AGUAcgBfAGIAbABhAG4AawBzAKwAKABvAHAAdABpAG8AbgBhAGwAKQAgAGMAaABvAG8AcwBlACAAdABvACAAZgBpAGwAdABlAHIAIABvAHUAdAAgAGIAbABhAG4AawAgAHYAYQBsAHUAZQBzACAAZgByAG8AbQAgAHQAaABlACAAZABhAHQAYQAgAGEAcgByAGEAeQAgACgAVAByAHUAZQAvAEYAYQBsAHMAZQApAHwAXAAiACAAJgBcAG4AIAAgACAAIAAgACAAIAAgACAAIAAgACAAXAAiAGYAaQBsAHQAZQByAF8AZQByAHIAbwByAHMArAAoAG8AcAB0AGkAbwBuAGEAbAApACAAYwBoAG8AbwBzAGUAIAB0AG8AIABmAGkAbAB0AGUAcgAgAG8AdQB0ACAAZQByAHIAbwByACAAdgBhAGwAdQBlAHMAIABmAHIAbwBtACAAdABoAGUAIABkAGEAdABhACAAYQByAHIAYQB5ACAAKABUAHIAdQBlAC8ARgBhAGwAcwBlACkAfABcACIAIAAmAFwAbgAgACAAIAAgACAAIAAgACAAIAAgACAAIABcACIAZgBpAGwAbABfAHIAbwB3AF8AYgBsAGEAbgBrAHMArAAoAG8AcAB0AGkAbwBuAGEAbAApACAAYwBoAG8AbwBzAGUAIAB3AGgAZQB0AGgAZQByACAAdABvACAAZgBpAGwAbAAgAGIAbABhAG4AawAgAHYAYQBsAHUAZQBzACAAaQBuACAAdABoAGUAIAByAG8AdwBfAGgAZQBhAGQAZQByAHMAIABpAG4AcAB1AHQAIABhAHIAcgBhAHkAfABcACIAIAAmAFwAbgAgACAAIAAgACAAIAAgACAAIAAgACAAIABcACIAZgBpAGwAbABfAGMAbwBsAHUAbQBuAF8AYgBsAGEAbgBrAHMArAAoAG8AcAB0AGkAbwBuAGEAbAApACAAYwBoAG8AbwBzAGUAIAB3AGgAZQB0AGgAZQByACAAdABvACAAZgBpAGwAbAAgAGIAbABhAG4AawAgAHYAYQBsAHUAZQBzACAAaQBuACAAdABoAGUAIABjAG8AbAB1AG0AbgBfAGgAZQBhAGQAZQByAHMAIABpAG4AcAB1AHQAIABhAHIAcgBhAHkAfABcACIAIAAmAFwAbgAgACAAIAAgACAAIAAgACAAIAAgACAAIABcACIAbwB1AHQAcAB1AHQAXwB2AGUAcgB0AGkAYwBhAGwArAAoAG8AcAB0AGkAbwBuAGEAbAApACAAYwBoAG8AbwBzAGUAIAB0AG8AIABvAHUAdABwAHUAdAAgAHQAaABlACAAZgB1AG4AYwB0AGkAbwBuACAAcgBlAHMAdQBsAHQAIABpAG4AIAB2AGUAcgB0AGkAYwBhAGwAIABvAHIAaQBlAG4AdABhAHQAaQBvAG4AIAAoAFQAcgB1AGUALwBGAGEAbABzAGUAKQBcACIALABcAG4AIAAgACAAIAAgACAAIAAgACAAIAAgACAAXAAiAKYAXAAiAFwAbgAgACAAIAAgACAAIAAgACAAKQAsAFwAbgAgACAAIAAgACAAIAAgACAAXwBhAHIAcgBPAHUAdAAsACAASQBGACgAXwBuAHUAbQAgAD0AIABcACIAIwBcACIALABcAG4AIAAgACAAIAAgACAAIAAgACAAIAAgACAATABFAFQAKABcAG4AIAAgACAAIAAgACAAIAAgACAAIAAgACAAIAAgACAAIAAgAF8AaQBkAHgALAAgAFMAVQBNACgAIABTAEUAUQBVAEUATgBDAEUAKAAxACwAIABDAE8AVQBOAFQAQQAoAF8AYQByAHIATgBhAG0AZQBzACkAKQAgACoAIAAoAF8AYQByAHIATgBhAG0AZQBzACAAPQAgAHMAZQBsAGUAYwB0AF8AZgB1AG4AYwB0AGkAbwBuACkAKQAsAFwAbgAgACAAIAAgACAAIAAgACAAIAAgACAAIAAgACAAIAAgACAASQBGACgAXwBpAGQAeAAgAD4AIAAwACwAIABUAEUAWABUAFMAUABMAEkAVAAoACAASQBOAEQARQBYACgAXwBhAHIAcgBIAGUAbABwACwAIABfAGkAZAB4ACkALAAgAFwAIgCsAFwAIgAsACAAXAAiAHwAXAAiACkALAAgAFwAIgAjAFsARQByAHIAbwByADoAIABuAGEAbQBlACAAbgBvAHQAIAByAGUAYwBvAGcAbgBpAHMAZQBkAF0AXAAiACkAXABuACAAIAAgACAAIAAgACAAIAAgACAAIAAgACkALABcAG4AIAAgACAAIAAgACAAIAAgACAAIAAgACAASQBGACgAXwBuAHUAbQAgADwAPgAgADAALAAgAEkARgBFAFIAUgBPAFIAKAAgAFQARQBYAFQAUwBQAEwASQBUACgAIABJAE4ARABFAFgAKABfAGEAcgByAEgAZQBsAHAALAAgAF8AbgB1AG0AKQAsACAAXAAiAKwAXAAiACwAIABcACIAfABcACIAKQAsACAAXAAiACMAWwBFAHIAcgBvAHIAOgAgAGkAbgBkAGUAeAAgAG4AbwB0ACAAcgBlAGMAbwBnAG4AaQBzAGUAZABdAFwAIgApACwAXABuACAAIAAgACAAIAAgACAAIAAgACAAIAAgAFwAIgBcACIAKQBcAG4AIAAgACAAIAAgACAAIAAgACkALABcAG4AIAAgACAAIAAgACAAIAAgAEkARgAoAF8AYQByAHIARABlAGYAIAA9ACAAXAAiAFwAIgAsACAAXwBhAHIAcgBPAHUAdAAsACAAXwBhAHIAcgBEAGUAZgApAFwAbgAgACAAIAAgACkAXABuACkAOwBcAG4AXABuAC8AKgBcAG4AIAAgACAAIABOAGEAbQBlADoAIAAgACAAIAAgACAAIAAgAEMAcgBvAHMAcwBKAG8AaQBuACgAKQBcAG4AIAAgACAAIABWAGUAcgBzAGkAbwBuADoAIAAgACAAIAAgADEALgAwADYAIAAoADEAMgAtAEEAcAByAC0AMgAwADIANQApACAALQAtACAAUgAgAFMAaQBsAGsALAAgAFIAWABMACAARABlAHYAZQBsAG8AcABtAGUAbgB0AFwAbgAgACAAIAAgAEQAZQBzAGMAcgBpAHAAdABpAG8AbgA6ACAAKgAvAC8AKgAqAEMAcgBlAGEAdABlAGEAIABhACAAYwByAG8AcwBzACAAagBvAGkAbgAgACgAQwBhAHIAdABlAHMAaQBhAG4AIABqAG8AaQBuACkAIABiAGUAdAB3AGUAZQBuACAAdAB3AG8AIABsAGkAcwB0AHMAOwAgAGUAYQBjAGgAIAByAG8AdwAgAG8AZgAgADIAbgBkACAAbABpAHMAdAAgAGkAcwAgAGoAbwBpAG4AZQBkACAAdABvACAAZQBhAGMAaAAgAHIAbwB3ACAAbwBmACAAMQBzAHQAIABsAGkAcwB0ACoALwAvACoAXABuACAAIAAgACAAIAAgACAAIAAgACAAIAAgACAAIAAgACAAIABUAGgAZQAgAHAAcgBvAHYAaQBkAGUAZAAgAGkAbgBwAHUAdAAgAGwAaQBzAHQAcwAgAGMAYQBuACAAYgBlACAAMQBEACAAbwByACAAMgBEACAAYQByAHIAYQB5AHMALAAgAGEAbgBkACAAYwBhAG4AIABiAGUAIAB2AGUAcgB0AGkAYwBhAGwAbAB5ACAAbwByACAAaABvAHIAaQB6AG8AbgB0AGEAbABsAHkAIABvAHIAaQBlAG4AdABlAGQAXABuACAAIAAgACAAIAAgACAAIAAgACAAIAAgACAAIAAgACAAIABXAGgAZQByAGUAIABhACAAMgBEACAAaQBuAHAAdQB0ACAAYQByAHIAYQB5ACAAaQBzACAAcAByAG8AdgBpAGQAZQBkACAAdABoAGUAIABmAHUAbgBjAHQAaQBvAG4AIABjAGEAbgAgAG8AcAB0AGkAbwBuAGEAbABsAHkAIABjAG8AbgB2AGUAcgB0ACAAdABoAGkAcwAgAHQAbwAgADEARAAgAGEAcgByAGEAeQAvAGwAaQBzAHQAIABwAHIAaQBvAHIAIAB0AG8AIABqAG8AaQBuAGkAbgBnACAAdABoAGUAIABpAG4AcAB1AHQAIABsAGkAcwB0AHMAXABuACAAIAAgACAAUABhAHIAYQBtAGUAdABlAHIAcwA6AFwAbgAgACAAIAAgACAAIAAgACAAKwAgAGwAaQBzAHQAXwBvAG4AZQAgACAAIAAgACAAIAAgACAAIAAgACAAIAAgACAAPQAgACgAcgBlAHEAdQBpAHIAZQBkACkAIABUAGgAZQAgADEAcwB0ACAAaQBuAHAAdQB0ACAAYQByAHIAYQB5AC8AbABpAHMAdAAgAHQAbwAgAHcAaABpAGMAaAAgAHQAaABlACAAMgBuAGQAIABpAG4AcAB1AHQAIABhAHIAcgBhAHkAIAB3AGkAbABsACAAYgBlACAAagBvAGkAbgBlAGQAOwAgAHMAaABvAHUAbABkACAAYgBlACAAYQAgAHYAYQBsAGkAZAAgAGMAZQBsAGwAIAByAGUAZgBlAHIAZQBuAGMAZQBcAG4AIAAgACAAIAAgACAAIAAgACsAIABsAGkAcwB0AF8AdAB3AG8AIAAgACAAIAAgACAAIAAgACAAIAAgACAAIAAgAD0AIAAoAHIAZQBxAHUAaQByAGUAZAApACAAVABoAGUAIAAyAG4AZAAgAGkAbgBwAHUAdAAgAGEAcgByAGEAeQAvAGwAaQBzAHQAIAB3AGgAaQBjAGgAIABpAHMAIABqAG8AaQBuAGUAZAAgAHQAbwAgAHQAaABlACAAMQBzAHQAIABpAG4AcAB1AHQAIABhAHIAcgBhAHkALwBsAGkAcwB0ADsAIABzAGgAbwB1AGwAZAAgAGIAZQAgAGEAIAB2AGEAbABpAGQAIABjAGUAbABsACAAcgBlAGYAZQByAGUAbgBjAGUAXABuACAAIAAgACAAIAAgACAAIAArACAAYwBvAG4AdgBlAHIAdABfAGwAaQBzAHQAXwBvAG4AZQAgACAAIAAgACAAIAA9ACAAKABvAHAAdABpAG8AbgBhAGwAKQAgAEEAIABUAHIAdQBlAC8ARgBhAGwAcwBlACAAdgBhAGwAdQBlACAAdwBoAGkAYwBoACAAZABlAHQAZQByAG0AaQBuAGUAcwAgAHcAaABlAHQAaABlAHIAIAB0AG8AIABjAG8AbgB2AGUAcgB0ACAAbABpAHMAdABfAG8AbgBlACAAdABvACAAYQAgADEARAAgAGwAaQBzAHQAIAAvACAAYQAgAHMAaQBuAGcAbABlACAAYwBvAGwAdQBtAG4AIABsAGkAcwB0ACAAYgBlAGYAbwByAGUAIAB0AGgAZQAgAGoAbwBpAG4AXABuACAAIAAgACAAIAAgACAAIAAgACAAIAAgACAAIAAgACAAIAAgACAAIAAgACAAIAAgACAAIAAgACAAIAAgACAAIAAgACAAIAAgACAAIAAgACAAIAAgACAAIAAgAFcAaQBsAGwAIABkAGUAZgBhAHUAbAB0ACAAdABvACAARgBBAEwAUwBFACAAKAAwACkAIABpAGYAIABuAG8AdAAgAHMAdQBwAHAAbABpAGUAZABcAG4AIAAgACAAIAAgACAAIAAgACsAIABsAGkAcwB0AF8AbwBuAGUAXwBiAHkAXwBjAG8AbAB1AG0AbgAgACAAIAAgAD0AIAAoAG8AcAB0AGkAbwBuAGEAbAApACAAQQAgAFQAcgB1AGUALwBGAGEAbABzAGUAIAB2AGEAbAB1AGUAIAAtAC0AIABpAGYAIABsAGkAcwB0AF8AbwBuAGUAIABpAHMAIAB0AG8AIABiAGUAIABjAG8AbgB2AGUAcgB0AGUAZAAgAHQAbwAgAGEAIAAxAEQAIABsAGkAcwB0ACwAIAB0AGgAaQBzACAAaQBuAHAAdQB0ACAAZABlAHQAZQByAG0AaQBuAGUAcwAgAHcAaABlAHQAaABlAHIAIAB0AG8AIAByAGUAYQBkACAAbABpAHMAdABfAG8AbgBlACAAYgB5ACAAYwBvAGwAdQBtAG4AIAAoAFQAUgBVAEUAKQAgAG8AcgAgAGIAeQAgAHIAbwB3ACAAKABGAEEATABTAEUAKQBcAG4AIAAgACAAIAAgACAAIAAgACAAIAAgACAAIAAgACAAIAAgACAAIAAgACAAIAAgACAAIAAgACAAIAAgACAAIAAgACAAIAAgACAAIAAgACAAIAAgACAAIAAgACAAVwBpAGwAbAAgAGQAZQBmAGEAdQBsAHQAIAB0AG8AIABUAFIAVQBFACAAKAAxACkAIABpAGYAIABuAG8AdAAgAHMAdQBwAHAAbABpAGUAZABcAG4AIAAgACAAIAAgACAAIAAgACsAIABjAG8AbgB2AGUAcgB0AF8AbABpAHMAdABfAHQAdwBvACAAIAAgACAAIAAgAD0AIAAoAG8AcAB0AGkAbwBuAGEAbAApACAAQQAgAFQAcgB1AGUALwBGAGEAbABzAGUAIAB2AGEAbAB1AGUAIAB3AGgAaQBjAGgAIABkAGUAdABlAHIAbQBpAG4AZQBzACAAdwBoAGUAdABoAGUAcgAgAHQAbwAgAGMAbwBuAHYAZQByAHQAIABsAGkAcwB0AF8AdAB3AG8AIAB0AG8AIABhACAAMQBEACAAbABpAHMAdAAgAC8AIABhACAAcwBpAG4AZwBsAGUAIABjAG8AbAB1AG0AbgAgAGwAaQBzAHQAIABiAGUAZgBvAHIAZQAgAHQAaABlACAAagBvAGkAbgBcAG4AIAAgACAAIAAgACAAIAAgACAAIAAgACAAIAAgACAAIAAgACAAIAAgACAAIAAgACAAIAAgACAAIAAgACAAIAAgACAAIAAgACAAIAAgACAAIAAgACAAIAAgACAAVwBpAGwAbAAgAGQAZQBmAGEAdQBsAHQAIAB0AG8AIABGAEEATABTAEUAIAAoADAAKQAgAGkAZgAgAG4AbwB0ACAAcwB1AHAAcABsAGkAZQBkAFwAbgAgACAAIAAgACAAIAAgACAAKwAgAGwAaQBzAHQAXwB0AHcAbwBfAGIAeQBfAGMAbwBsAHUAbQBuACAAIAAgACAAPQAgACgAbwBwAHQAaQBvAG4AYQBsACkAIABBACAAVAByAHUAZQAvAEYAYQBsAHMAZQAgAHYAYQBsAHUAZQAgAC0ALQAgAGkAZgAgAGwAaQBzAHQAXwB0AHcAbwAgAGkAcwAgAHQAbwAgAGIAZQAgAGMAbwBuAHYAZQByAHQAZQBkACAAdABvACAAYQAgADEARAAgAGwAaQBzAHQALAAgAHQAaABpAHMAIABpAG4AcAB1AHQAIABkAGUAdABlAHIAbQBpAG4AZQBzACAAdwBoAGUAdABoAGUAcgAgAHQAbwAgAHIAZQBhAGQAIABsAGkAcwB0AF8AdAB3AG8AIABiAHkAIABjAG8AbAB1AG0AbgAgACgAVABSAFUARQApACAAbwByACAAYgB5ACAAcgBvAHcAIAAoAEYAQQBMAFMARQApAFwAbgAgACAAIAAgACAAIAAgACAAIAAgACAAIAAgACAAIAAgACAAIAAgACAAIAAgACAAIAAgACAAIAAgACAAIAAgACAAIAAgACAAIAAgACAAIAAgACAAIAAgACAAIABXAGkAbABsACAAZABlAGYAYQB1AGwAdAAgAHQAbwAgAFQAUgBVAEUAIAAoADEAKQAgAGkAZgAgAG4AbwB0ACAAcwB1AHAAcABsAGkAZQBkAFwAbgAgACAAIAAgACAAIAAgACAAKwAgAHIAZQBwAGwAYQBjAGUAXwBiAGwAYQBuAGsAcwAgACAAIAAgACAAIAAgACAAPQAgACgAbwBwAHQAaQBvAG4AYQBsACkAIABBACAAdgBhAGwAdQBlACAAKABuAHUAbQBiAGUAcgAgAG8AcgAgAHMAdAByAGkAbgBnACkAIAB3AGgAaQBjAGgAIABpAHMAIAB1AHMAZQBkACAAdABvACAAcgBlAHAAbABhAGMAZQAgAGEAbgB5ACAAYgBsAGEAbgBrACAAYwBlAGwAbAAgAHYAYQBsAHUAZQBzACAAaQBuACAAbABpAHMAdABfAG8AbgBlACAAYQBuAGQAIABsAGkAcwB0AF8AdAB3AG8AIABiAGUAZgBvAHIAZQAgAHQAaABlACAAagBvAGkAbgBcAG4AIAAgACAAIAAgACAAIAAgACsAIABmAGkAbAB0AGUAcgBfAGIAbABhAG4AawBzACAAIAAgACAAIAAgACAAIAAgAD0AIAAoAG8AcAB0AGkAbwBuAGEAbAApACAAQQAgAFQAcgB1AGUALwBGAGEAbABzAGUAIAB2AGEAbAB1AGUAIAB3AGgAaQBjAGgAIABkAGUAdABlAHIAbQBpAG4AZQBzACAAdwBoAGUAdABoAGUAcgAgAHQAbwAgAGYAaQBsAHQAZQByACAAbwB1AHQAIABiAGwAYQBuAGsAIAByAG8AdwBzACAAaQBuACAAbABpAHMAdABfAG8AbgBlACAAYQBuAGQALwBvAHIAIABsAGkAcwB0AF8AdAB3AG8AIABiAGUAZgBvAHIAZQAgAHQAaABlACAAagBvAGkAbgBcAG4AIAAgACAAIAAgACAAIAAgACAAIAAgACAAIAAgACAAIAAgACAAIAAgACAAIAAgACAAIAAgACAAIAAgACAAIAAgACAAIAAgACAAIAAgACAAIAAgACAAIAAgACAAVwBpAGwAbAAgAGQAZQBmAGEAdQBsAHQAIAB0AG8AIABGAEEATABTAEUAIAAoADAAKQAgAGkAZgAgAG4AbwB0ACAAcwB1AHAAcABsAGkAZQBkAFwAbgAgACAAIAAgACAAIAAgACAAKwAgAGYAaQBsAHQAZQByAF8AZQByAHIAbwByAHMAIAAgACAAIAAgACAAIAAgACAAPQAgACgAbwBwAHQAaQBvAG4AYQBsACkAIABBACAAVAByAHUAZQAvAEYAYQBsAHMAZQAgAHYAYQBsAHUAZQAgAHcAaABpAGMAaAAgAGQAZQB0AGUAcgBtAGkAbgBlAHMAIAB3AGgAZQB0AGgAZQByACAAdABvACAAZgBpAGwAdABlAHIAIABvAHUAdAAgAHIAbwB3AHMAIABpAG4AIABsAGkAcwB0AF8AbwBuAGUAIABhAG4AZAAvAG8AcgAgAGwAaQBzAHQAXwB0AHcAbwAgAHcAaABpAGMAaAAgAGMAbwBuAHQAYQBpAG4AIABlAHIAcgBvAHIAIAB2AGEAbAB1AGUAcwAgAC0ALQAgAGYAaQBsAHQAZQByAGkAbgBnACAAbwBjAGMAdQByAHMAIABiAGUAZgBvAHIAZQAgAHQAaABlACAAagBvAGkAbgBcAG4AIAAgACAAIAAgACAAIAAgACAAIAAgACAAIAAgACAAIAAgACAAIAAgACAAIAAgACAAIAAgACAAIAAgACAAIAAgACAAIAAgACAAIAAgACAAIAAgACAAIAAgACAAVwBpAGwAbAAgAGQAZQBmAGEAdQBsAHQAIAB0AG8AIABGAEEATABTAEUAIAAoADAAKQAgAGkAZgAgAG4AbwB0ACAAcwB1AHAAcABsAGkAZQBkAFwAbgAgACAAIAAgACAAIAAgACAAKwAgAGQAaQBzAHQAaQBuAGMAdABfAHIAbwB3AHMAIAAgACAAIAAgACAAIAAgACAAPQAgACgAbwBwAHQAaQBvAG4AYQBsACkAIABBACAAVAByAHUAZQAvAEYAYQBsAHMAZQAgAHYAYQBsAHUAZQAgAHcAaABpAGMAaAAgAGQAZQB0AGUAcgBtAGkAbgBlAHMAIAB3AGgAZQB0AGgAZQByACAAdABvACAAawBlAGUAcAAgAG8AbgBsAHkAIABkAGkAcwB0AGkAbgBjAHQALwB1AG4AaQBxAHUAZQAgAHIAbwB3AHMAIAB3AGkAdABoAGkAbgAgAHQAaABlACAAbwB1AHQAcAB1AHQAIABhAHIAcgBhAHkAIAAoAFQAUgBVAEUAKQAgAG8AcgAgAHAAcgBvAHYAaQBkAGUAIABhAGwAbAAgAGMAYQBsAGMAdQBsAGEAdABlAGQAIAByAG8AdwBzACAAKABGAEEATABTAEUAKQAgAC0ALQAgAGEAcwBzAGUAcwBzAGUAZAAgAGEAZgB0AGUAcgAgAHQAaABlACAAagBvAGkAbgBcAG4AIAAgACAAIAAgACAAIAAgACAAIAAgACAAIAAgACAAIAAgACAAIAAgACAAIAAgACAAIAAgACAAIAAgACAAIAAgACAAIAAgACAAIAAgACAAIAAgACAAIAAgACAAVwBpAGwAbAAgAGQAZQBmAGEAdQBsAHQAIAB0AG8AIABGAEEATABTAEUAIAAoADAAKQAgAGkAZgAgAG4AbwB0ACAAcwB1AHAAcABsAGkAZQBkAFwAbgAgACAAIAAgACAAIAAgACAAKwAgAHYAZQByAHQAaQBjAGEAbABfAG8AdQB0AHAAdQB0ACAAIAAgACAAIAAgACAAPQAgACgAbwBwAHQAaQBvAG4AYQBsACkAIABBACAAVAByAHUAZQAvAEYAYQBzAGwAZQAgAHYAYQBsAHUAZQAgAHcAaABpAGMAaAAgAGQAZQB0AGUAcgBtAGkAbgBlAHMAIAB3AGgAZQB0AGgAZQByACAAdABvACAAcAByAG8AdgBpAGQAZQAgAHQAaABlACAAYwBhAGwAYwB1AGwAYQB0AGUAZAAgAG8AdQB0AHAAdQB0ACAAYQByAHIAYQB5ACAAaQBuACAAYQAgAHYAZQByAHQAaQBjAGEAbAAgACgAVABSAFUARQApACAAbwByACAAaABvAHIAaQB6AG8AbgB0AGEAbAAgACgARgBBAEwAUwBFACkAIABvAHIAaQBlAG4AdABhAHQAaQBvAG4AXABuACAAIAAgACAAIAAgACAAIAAgACAAIAAgACAAIAAgACAAIAAgACAAIAAgACAAIAAgACAAIAAgACAAIAAgACAAIAAgACAAIAAgACAAIAAgACAAIAAgACAAIAAgAFcAaQBsAGwAIABkAGUAZgBhAHUAbAB0ACAAdABvACAAVABSAFUARQAgACgAMQApACAAaQBmACAAbgBvAHQAIABzAHUAcABwAGwAaQBlAGQAXABuACAAIAAgACAARQByAHIAbwByACAAYwBvAGQAZQBzADoAXABuACAAIAAgACAAIAAgACAAIAAgACAAIAAgACMAUgBFAEYAIQAgACAAIAAgACAAIAAgAD0AIABPAGMAYwB1AHIAcwAgAHcAaABlAHIAZQAgAGUAaQB0AGgAZQByACAAdABoAGUAIABsAGkAcwB0AF8AbwBuAGUAIABvAHIAIABsAGkAcwB0AF8AdAB3AG8AIABpAG4AcAB1AHQAcwAgAGEAcgBlACAAbgBvAHQAIAB2AGEAbABpAGQAIAByAGUAZgBlAHIAZQBuAGMAZQBzAFwAbgAgACAAIAAgACAAIAAgACAAIAAgACAAIAAjAFYAQQBMAFUARQAhACAAIAAgACAAIAA9ACAATwBjAGMAdQByAHMAIAB3AGgAZQBuACAAbwBuAGUAIABvAGYAIAB0AGgAZQAgAG8AcAB0AGkAbwBuAGEAbAAgAGkAbgBwAHUAdABzACAAKABvAHQAaABlAHIAIAB0AGgAYQBuACAAdABoAGUAIAByAGUAcABsAGEAYwBlAF8AYgBsAGEAbgBrAHMAIABpAG4AcAB1AHQAKQAgAGkAcwAgAG4AbwB0ACAAYQAgAHYAYQBsAGkAZAAgAGkAbgBwAHUAdAAsACAAaQAuAGUALgAgAGEAIABuAHUAbQBiAGUAcgAgAG8AZgAgAGEAIABsAG8AZwBpAGMAYQBsAC8AQgBvAG8AbABlAGEAbgAgAHYAYQBsAHUAZQBcAG4AIAAgACAAIABOAG8AdABlAHMAOgBcAG4AIAAgACAAIAAgACAAIAAgAC0AIABUAGgAZQAgAGkAbgBwAHUAdAAgAGEAcgByAGEAeQBzAC8AbABpAHMAdABzACAAKABsAGkAcwB0AF8AbwBuAGUALAAgAGwAaQBzAHQAXwB0AHcAbwApACAAYwBhAG4AIABiAGUAIABwAHIAbwB2AGkAZABlAGQAIABhAHMAIABlAGkAdABoAGUAcgAgADEARAAgACgAcwBpAG4AZwBsAGUAIAByAG8AdwAgAG8AcgAgAHMAaQBuAGcAbABlACAAYwBvAGwAdQBtAG4AKQAgAG8AcgAgADIARAAgAGEAcgByAGEAeQBzACAAKABtAHUAbAB0AGkAcABsAGUAIAByAG8AdwBzACAAYQBuAGQAIABjAG8AbAB1AG0AbgBzACkALgBcAG4AIAAgACAAIAAgACAAIAAgACAAIAAgACAALQAtACAAdABoAGUAIABmAHUAbgBjAHQAaQBvAG4AIAB3AGkAbABsACAAZQB2AGEAbAB1AGEAdABlACAAdwBoAGUAdABoAGUAcgAgAHQAaABlACAAaQBuAHAAdQB0ACAAbABpAHMAdABzACAAcwBoAG8AdQBsAGQAIABiAGUAIABjAG8AbgBzAGkAZABlAHIAZQBkACAAdgBlAHIAdABpAGMAYQBsACAAKABtAG8AcgBlACAAcgBvAHcAcwAgAHQAaABhAG4AIABjAG8AbAB1AG0AbgBzACkAIABvAHIAIABoAG8AcgBpAHoAdABvAG4AYQBsACAAKABtAG8AcgBlACAAYwBvAGwAdQBtAG4AcwAgAHQAaABhAG4AIAByAG8AdwBzACkAIABhAG4AZAAgAHQAcgBhAG4AcwBwAG8AcwBlACAAYQBzACAAYQBwAHAAcgBvAHAAcgBpAGEAdABlACAAcwBvACAAdABoAGEAdAAgAGIAbwB0AGgAIABsAGkAcwB0AHMAIABhAHIAZQAgAHYAZQByAHQAaQBjAGEAbAAgAGIAZQBmAG8AcgBlACAAdABoAGUAIABqAG8AaQBuAC4AXABuACAAIAAgACAAIAAgACAAIAAgACAAIAAgAC0ALQAgAHQAaABpAHMAIABmAHUAbgBjAHQAaQBvAG4AYQBsAGkAdAB5ACAAZABlAGYAYQB1AGwAdABzACAAdABvACAAYQBuACAAYQBzAHMAdQBtAGUAZAAgAHYAZQByAHQAaQBjAGEAbAAgAG8AcgBpAGUAbgB0AGEAdABpAG8AbgAgAGkAZgAgAHQAaABlACAAaQBuAHAAdQB0ACAAbABpAHMAdAAgAGgAYQBzACAAYQBuACAAZQBxAHUAYQBsACAAbgB1AG0AYgBlAHIAIABvAGYAIAByAG8AdwBzACAAYQBuAGQAIABjAG8AbAB1AG0AbgBzACAAXABuACAAIAAgACAAIAAgACAAIAAtACAASQBmACAAYQAgADIARAAgAGkAbgBwAHUAdAAgAGEAcgByAGEAeQAgAGkAcwAgAHAAcgBvAHYAaQBkAGUAZAAgAGYAbwByACAAZQBpAHQAaABlAHIAIABsAGkAcwB0AF8AbwBuAGUAIABvAHIAIABsAGkAcwB0AF8AdAB3AG8ALAAgAHQAaABpAHMAIABjAGEAbgAgAGIAZQAgAGMAbwBuAHYAZQByAHQAZQBkACAAdABvACAAYQAgADEARAAgAGEAcgByAGEAeQAgACgAcwBpAG4AZwBsAGUAIABjAG8AbAB1AG0AbgApACAAYgBlAGYAbwByAGUAIAB0AGgAZQAgAGoAbwBpAG4ALgAgAFwAbgAgACAAIAAgACAAIAAgACAALQAgAFUAcwBpAG4AZwAgAHQAaABlACAAZgBpAGwAdABlAHIAXwBiAGwAYQBuAGsAcwAgAHAAYQByAGEAbQBlAHQAZQByACwAIABpAG4AcAB1AHQAIAByAG8AdwBzACAAdwBoAGUAcgBlACAAYQBsAGwAIABjAGUAbABsAHMAIABhAHIAZQAgAGIAbABhAG4AawAgAHYAYQBsAHUAZQBzACAAYwBhAG4AIABiAGUAIABmAGkAbAB0AGUAcgBlAGQAIABvAHUAdAA7ACAAaQBmACAAYQB0ACAAbABlAGEAcwB0ACAAbwBuAGUAIAB2AGEAbAB1AGUAIABvAG4AIAB0AGgAZQAgAHIAbwB3ACAAaQBzACAAbgBvAHQAIABiAGwAYQBuAGsAIAB0AGgAZQBuACAAdABoAGUAIAByAG8AdwAgAGkAcwAgAG4AbwB0ACAAZgBpAGwAdABlAHIAZQBkACAAbwB1AHQALgBcAG4AIAAgACAAIAAgACAAIAAgAC0AIABBAHMAIAB0AGgAZQAgAHIAZQBwAGwAYQBjAGUAbQBlAG4AdAAgAG8AZgAgAGEAbgB5ACAAYgBsAGEAbgBrACAAdgBhAGwAdQBlAHMAIAAoAHUAcwBpAG4AZwAgAGEAbgB5ACAAcwB1AHAAcABsAGkAZQBkACAAcgBlAHAAbABhAGMAZQBfAGIAbABhAG4AawBzACAAaQBuAHAAdQB0ACkAIABpAHMAIABwAHIAbwBjAGUAcwBzAGUAZAAgAHAAcgBpAG8AcgAgAHQAbwAgAGYAaQBsAHQAZQByAGkAbgBnACAAcwB0AGUAcABzACwAIABpAGYAIAB0AGgAZQAgAHIAZQBwAGwAYQBjAGUAXwBiAGwAYQBuAGsAcwAgAGkAbgBwAHUAdAAgAGkAcwAgAHUAcwBlAGQAIAB0AGgAZQBuACAAdABoAGUAIABmAGkAbAB0AGUAcgBfAGIAbABhAG4AawBzACAAcABhAHIAYQBtAGUAdABlAHIAIAB3AGkAbABsACAAaABhAHYAZQAgAG4AbwAgAGUAZgBmAGUAYwB0AC4AXABuACAAIAAgACAAIAAgACAAIAAtACAAVQBzAGkAbgBnACAAdABoAGUAIABmAGkAbAB0AGUAcgBfAGUAcgByAG8AcgBzACAAcABhAHIAYQBtAGUAdABlAHIALAAgAGkAbgBwAHUAdAAgAHIAbwB3AHMAIAB3AGgAZQByAGUAIABhAHQAIABsAGUAYQBzAHQAIABvAG4AZQAgAGMAZQBsAGwAIAB2AGEAbAB1AGUAIABpAHMAIABhAG4AIABlAHIAcgBvAHIAIABjAG8AZABlACwAIAB0AGgAZQBuACAAdABoAGUAIAByAG8AdwAgAGkAcwAgAGYAaQBsAHQAZQByAGUAZAAgAG8AdQB0AC4AXABuACoALwBcAG4AQwByAG8AcwBzAEoAbwBpAG4AIAA9ACAATABBAE0AQgBEAEEAKABcAG4AIAAgACAAIAAvAC8AIABQAGEAcgBhAG0AZQB0AGUAcgAgAGQAZQBmAGkAbgBpAHQAaQBvAG4AcwBcAG4AIAAgACAAIABsAGkAcwB0AF8AbwBuAGUALABcAG4AIAAgACAAIABsAGkAcwB0AF8AdAB3AG8ALABcAG4AIAAgACAAIABbAGMAbwBuAHYAZQByAHQAXwBsAGkAcwB0AF8AbwBuAGUAXQAsAFwAbgAgACAAIAAgAFsAbABpAHMAdABfAG8AbgBlAF8AYgB5AF8AYwBvAGwAdQBtAG4AXQAsAFwAbgAgACAAIAAgAFsAYwBvAG4AdgBlAHIAdABfAGwAaQBzAHQAXwB0AHcAbwBdACwAXABuACAAIAAgACAAWwBsAGkAcwB0AF8AdAB3AG8AXwBiAHkAXwBjAG8AbAB1AG0AbgBdACwAXABuACAAIAAgACAAWwByAGUAcABsAGEAYwBlAF8AYgBsAGEAbgBrAHMAXQAsAFwAbgAgACAAIAAgAFsAZgBpAGwAdABlAHIAXwBiAGwAYQBuAGsAcwBdACwAXABuACAAIAAgACAAWwBmAGkAbAB0AGUAcgBfAGUAcgByAG8AcgBzAF0ALABcAG4AIAAgACAAIABbAGQAaQBzAHQAaQBuAGMAdABfAHIAbwB3AHMAXQAsAFwAbgAgACAAIAAgAFsAdgBlAHIAdABpAGMAYQBsAF8AbwB1AHQAcAB1AHQAXQAsAFwAbgAgACAAIAAgAC8ALwAgAE0AYQBpAG4AIABmAHUAbgBjAHQAaQBvAG4AIABiAG8AZAB5AC8AYwBhAGwAYwB1AGwAYQB0AGkAbwBuAHMAXABuACAAIAAgACAATABFAFQAKABcAG4AIAAgACAAIAAgACAAIAAgAC8ALwAgAEQAZQBhAGwAaQBuAGcAIAB3AGkAdABoACAAbwBwAHQAaQBvAG4AYQBsACAAcABhAHIAYQBtAGUAdABlAHIAcwBcAG4AIAAgACAAIAAgACAAIAAgAF8AYwB2AHQAMQAsACAASQBGACgAIABJAFMATwBNAEkAVABUAEUARAAoAGMAbwBuAHYAZQByAHQAXwBsAGkAcwB0AF8AbwBuAGUAKQAsACAARgBBAEwAUwBFACwAIABjAG8AbgB2AGUAcgB0AF8AbABpAHMAdABfAG8AbgBlACkALABcAG4AIAAgACAAIAAgACAAIAAgAF8AYgB5AEMAbwBsADEALAAgAEkARgAoACAASQBTAE8ATQBJAFQAVABFAEQAKABsAGkAcwB0AF8AbwBuAGUAXwBiAHkAXwBjAG8AbAB1AG0AbgApACwAIABUAFIAVQBFACwAIABsAGkAcwB0AF8AbwBuAGUAXwBiAHkAXwBjAG8AbAB1AG0AbgApACwAXABuACAAIAAgACAAIAAgACAAIABfAGMAdgB0ADIALAAgAEkARgAoACAASQBTAE8ATQBJAFQAVABFAEQAKABjAG8AbgB2AGUAcgB0AF8AbABpAHMAdABfAHQAdwBvACkALAAgAEYAQQBMAFMARQAsACAAYwBvAG4AdgBlAHIAdABfAGwAaQBzAHQAXwB0AHcAbwApACwAXABuACAAIAAgACAAIAAgACAAIABfAGIAeQBDAG8AbAAyACwAIABJAEYAKAAgAEkAUwBPAE0ASQBUAFQARQBEACgAbABpAHMAdABfAHQAdwBvAF8AYgB5AF8AYwBvAGwAdQBtAG4AKQAsACAAVABSAFUARQAsACAAbABpAHMAdABfAHQAdwBvAF8AYgB5AF8AYwBvAGwAdQBtAG4AKQAsAFwAbgAgACAAIAAgACAAIAAgACAAXwByAGUAcAAsACAASQBGACgAIABJAFMATwBNAEkAVABUAEUARAAoAHIAZQBwAGwAYQBjAGUAXwBiAGwAYQBuAGsAcwApACwAIABcACIAXAAiACwAIAByAGUAcABsAGEAYwBlAF8AYgBsAGEAbgBrAHMAKQAsAFwAbgAgACAAIAAgACAAIAAgACAAXwBiAGwAbgBrACwAIABJAEYAKAAgAEkAUwBPAE0ASQBUAFQARQBEACgAZgBpAGwAdABlAHIAXwBiAGwAYQBuAGsAcwApACwAIABGAEEATABTAEUALAAgAGYAaQBsAHQAZQByAF8AYgBsAGEAbgBrAHMAKQAsAFwAbgAgACAAIAAgACAAIAAgACAAXwBlAHIAcgBzACwAIABJAEYAKAAgAEkAUwBPAE0ASQBUAFQARQBEACgAZgBpAGwAdABlAHIAXwBlAHIAcgBvAHIAcwApACwAIABGAEEATABTAEUALAAgAGYAaQBsAHQAZQByAF8AZQByAHIAbwByAHMAKQAsAFwAbgAgACAAIAAgACAAIAAgACAAXwBkAHMAdAAsACAASQBGACgAIABJAFMATwBNAEkAVABUAEUARAAoAGQAaQBzAHQAaQBuAGMAdABfAHIAbwB3AHMAKQAsACAARgBBAEwAUwBFACwAIABkAGkAcwB0AGkAbgBjAHQAXwByAG8AdwBzACkALABcAG4AIAAgACAAIAAgACAAIAAgAF8AdgByAHQALAAgAEkARgAoACAASQBTAE8ATQBJAFQAVABFAEQAKAB2AGUAcgB0AGkAYwBhAGwAXwBvAHUAdABwAHUAdAApACwAIABUAFIAVQBFACwAIAB2AGUAcgB0AGkAYwBhAGwAXwBvAHUAdABwAHUAdAApACwAXABuACAAIAAgACAAIAAgACAAIAAvAC8AIABJAG4AcAB1AHQAIABjAGgAZQBjAGsAcwAgAGYAbwByACAAdABoAGUAIABvAHAAdABpAG8AbgBhAGwAIABwAGEAcgBhAG0AZQB0AGUAcgBzACAAYQBuAGQAIAByAGUAcQB1AGkAcgBlAGQAIABwAGEAcgBhAG0AZQB0AGUAcgBzACwAIAByAGUAdAB1AHIAbgBpAG4AZwAgAHQAaABlACAAXwBpAG4AcABDAGgAawAgAHYAYQBsAHUAZQAgAGEAcwAgADEALQB0AG8ALQAzAFwAbgAgACAAIAAgACAAIAAgACAAXwBjAGgAawAsACAAUgBFAEQAVQBDAEUAKAAwACwAXABuACAAIAAgACAAIAAgACAAIAAgACAAIAAgAFYAUwBUAEEAQwBLACgAXwBjAHYAdAAxACwAIABfAGIAeQBDAG8AbAAxACwAIABfAGMAdgB0ADIALAAgAF8AYgB5AEMAbwBsADIALAAgAF8AYgBsAG4AawAsACAAXwBlAHIAcgBzACwAIABfAGQAcwB0ACwAIABfAHYAcgB0ACkALABcAG4AIAAgACAAIAAgACAAIAAgACAAIAAgACAATABBAE0AQgBEAEEAKABfAGEAYwBjACwAXwB2AGEAbAAsACAAXwBhAGMAYwAgACsAIABBAE4ARAAoACAATgBPAFQAKABJAFMATABPAEcASQBDAEEATAAoAF8AdgBhAGwAKQApACwAIABOAE8AVAAoAEkAUwBOAFUATQBCAEUAUgAoAF8AdgBhAGwAKQApACkAKQBcAG4AIAAgACAAIAAgACAAIAAgACkALABcAG4AIAAgACAAIAAgACAAIAAgAF8AaQBuAHAAQwBoAGsALAAgAEkARgAoAFwAbgAgACAAIAAgACAAIAAgACAAIAAgACAAIABPAFIAKAAgAE4ATwBUACgASQBTAFIARQBGACgAbABpAHMAdABfAG8AbgBlACkAKQAsACAATgBPAFQAKABJAFMAUgBFAEYAKABsAGkAcwB0AF8AdAB3AG8AKQApACkALAAgADIALABcAG4AIAAgACAAIAAgACAAIAAgACAAIAAgACAASQBGACgAXwBjAGgAawAgAD4AIAAwACwAIAAzACwAXABuACAAIAAgACAAIAAgACAAIAAgACAAIAAgADEAKQBcAG4AIAAgACAAIAAgACAAIAAgACkALABcAG4AIAAgACAAIAAgACAAIAAgAC8ALwAgAEQAZQB0AGUAcgBtAGkAbgBlACAAaQBmACAAdABoAGUAIABpAG4AcAB1AHQAIABhAHIAcgBhAHkAIABsAGkAcwB0AHMAIABhAHIAZQAgAHQAbwAgAGIAZQAgAGMAbwBuAHMAaQBkAGUAcgBlAGQAIAB2AGUAcgB0AGkAYwBhAGwAbAB5ACAAbwByACAAaABvAHIAaQB6AG8AbgB0AGEAbABsAHkAIABvAHIAaQBlAG4AdABlAGQAIAAoAGEAcwBzAHUAbQBlAHMAIAB2AGUAcgB0AGkAYwBhAGwAIABpAGYAIABzAHEAdQBhAHIAZQAgAGkAbgAgAGQAaQBtAGUAbgBzAGkAbwBuAHMAKQBcAG4AIAAgACAAIAAgACAAIAAgAC8ALwAgACAALQAtACAAYQBzAHMAdQBtAGUAcwAgAHYAZQByAHQAaQBjAGEAbAAgAG8AcgBpAGUAbgB0AGEAdABpAG8AbgAgAGIAeQAgAGQAZQBmAGEAdQBsAHQALAAgAGUALgBnAC4AIABpAGYAIAB0AGgAZQByAGUAIABhAHIAZQAgAHMAcQB1AGEAcgBlACAAZABpAG0AZQBuAHMAaQBvAG4AcwBcAG4AIAAgACAAIAAgACAAIAAgAF8AaAB6ADEALAAgACgAQwBPAEwAVQBNAE4AUwAoAGwAaQBzAHQAXwBvAG4AZQApACAAPgAgAFIATwBXAFMAKABsAGkAcwB0AF8AbwBuAGUAKQApACwAXABuACAAIAAgACAAIAAgACAAIABfAGgAegAyACwAIAAoAEMATwBMAFUATQBOAFMAKABsAGkAcwB0AF8AdAB3AG8AKQAgAD4AIABSAE8AVwBTACgAbABpAHMAdABfAHQAdwBvACkAKQAsAFwAbgAgACAAIAAgACAAIAAgACAALwAvACAAUgBlAHAAbABhAGMAZQAgAGIAbABhAG4AawAgAHYAYQBsAHUAZQBzACAAdwBpAHQAaAAgAHQAaABlACAAcgBlAHAAbABhAGMAZQBtAGUAbgB0ACAAcwB0AHIAaQBuAGcAIABhAHMAIABhAHAAcAByAG8AcAByAGkAYQB0AGUAXABuACAAIAAgACAAIAAgACAAIABfAGwAaQBzAHQAMQAsACAASQBGACgAIABJAFMAQgBMAEEATgBLACgAbABpAHMAdABfAG8AbgBlACkALAAgAF8AcgBlAHAALAAgAGwAaQBzAHQAXwBvAG4AZQApACwAXABuACAAIAAgACAAIAAgACAAIABfAGwAaQBzAHQAMgAsACAASQBGACgAIABJAFMAQgBMAEEATgBLACgAbABpAHMAdABfAHQAdwBvACkALAAgAF8AcgBlAHAALAAgAGwAaQBzAHQAXwB0AHcAbwApACwAXABuACAAIAAgACAAIAAgACAAIAAvAC8AIABSAGUALQBvAHIAaQBlAG4AdABhAHQAZQAgAHQAaABlACAAaQBuAHAAdQB0ACAAbABpAHMAdABzACAAaQBmACAAbgBvAHQAIAB2AGUAcgB0AGkAYwBhAGwALAAgAGEAbgBkACAAYwBvAG4AdgBlAHIAdAAgAHQAbwAgAGEAIABzAGkAbgBnAGwAZQAgAHYAZQByAHQAaQBjAGEAbAAgADEARAAgAGEAcgByAGEAeQAgAGkAZgAgAGMAaABvAHMAZQBuACAAYgB5ACAAdABoAGUAIAB1AHMAZQByAFwAbgAgACAAIAAgACAAIAAgACAAXwB0AGIAbAAxACwAIABMAEUAVAAoAFwAbgAgACAAIAAgACAAIAAgACAAIAAgACAAIABfAHQAVAAsACAASQBGACgAXwBoAHoAMQAsACAAVABSAEEATgBTAFAATwBTAEUAKABfAGwAaQBzAHQAMQApACwAIABfAGwAaQBzAHQAMQApACwAXABuACAAIAAgACAAIAAgACAAIAAgACAAIAAgAEkARgAoAF8AYwB2AHQAMQAsAFwAbgAgACAAIAAgACAAIAAgACAAIAAgACAAIAAgACAAIAAgAFQATwBDAE8ATAAoAF8AdABUACwAIAAwACwAIABJAEYAKABfAGgAegAxACwAIABOAE8AVAAoAF8AYgB5AEMAbwBsADEAKQAsACAAXwBiAHkAQwBvAGwAMQApACkALABcAG4AIAAgACAAIAAgACAAIAAgACAAIAAgACAAIAAgACAAIABfAHQAVABcAG4AIAAgACAAIAAgACAAIAAgACAAIAAgACAAKQBcAG4AIAAgACAAIAAgACAAIAAgACkALABcAG4AIAAgACAAIAAgACAAIAAgAF8AdABiAGwAMgAsACAATABFAFQAKABcAG4AIAAgACAAIAAgACAAIAAgACAAIAAgACAAXwB0AFQALAAgAEkARgAoAF8AaAB6ADIALAAgAFQAUgBBAE4AUwBQAE8AUwBFACgAXwBsAGkAcwB0ADIAKQAsACAAXwBsAGkAcwB0ADIAKQAsAFwAbgAgACAAIAAgACAAIAAgACAAIAAgACAAIABJAEYAKABfAGMAdgB0ADIALABcAG4AIAAgACAAIAAgACAAIAAgACAAIAAgACAAIAAgACAAIABUAE8AQwBPAEwAKABfAHQAVAAsACAAMAAsACAASQBGACgAXwBoAHoAMgAsACAATgBPAFQAKABfAGIAeQBDAG8AbAAyACkALAAgAF8AYgB5AEMAbwBsADIAKQApACwAXABuACAAIAAgACAAIAAgACAAIAAgACAAIAAgACAAIAAgACAAXwB0AFQAXABuACAAIAAgACAAIAAgACAAIAAgACAAIAAgACkAXABuACAAIAAgACAAIAAgACAAIAApACwAXABuACAAIAAgACAAIAAgACAAIAAvAC8AIABGAG8AcgAgAHQAaABlACAAdgBlAHIAdABpAGMAYQBsACAAYQBuAGQAIABjAG8AbgB2AGUAcgB0AGUAZAAgAGwAaQBzAHQAcwAsACAAYwByAGUAYQB0AGUAIABhACAAZgBpAGwAdABlAHIAIABpAG4AYwBsAHUAcwBpAG8AbgAgAGwAaQBzAHQAIABhAG4AZAAgAGYAaQBsAHQAZQByACAAYQBzACAAZABlAHQAZQByAG0AaQBuAGUAZAAgAGIAeQAgAHQAaABlACAAdQBzAGUAcgAgAGkAbgBwAHUAdABzAFwAbgAgACAAIAAgACAAIAAgACAAXwBpAG4AYwAxACwAIABCAFkAUgBPAFcAKABfAHQAYgBsADEALAAgAEwAQQBNAEIARABBACgAXwByAG8AdwAsACAASQBGACgAXwBiAGwAbgBrACwAIABTAFUATQAoAC0ALQAoAEkARgBOAEEAKABfAHIAbwB3ACwAIABcACIAIwBcACIAKQAgADwAPgAgAFwAIgBcACIAKQApACwAIAAxACkAIAAqACAASQBGACgAXwBlAHIAcgBzACwAIABOAE8AVAAoAEkAUwBFAFIAUgBPAFIAKABTAFUATQAoAF8AcgBvAHcAKQApACkALAAgADEAKQApACkALABcAG4AIAAgACAAIAAgACAAIAAgAF8AaQBuAGMAMgAsACAAQgBZAFIATwBXACgAXwB0AGIAbAAyACwAIABMAEEATQBCAEQAQQAoAF8AcgBvAHcALAAgAEkARgAoAF8AYgBsAG4AawAsACAAUwBVAE0AKAAtAC0AKABJAEYATgBBACgAXwByAG8AdwAsACAAXAAiACMAXAAiACkAIAA8AD4AIABcACIAXAAiACkAKQAsACAAMQApACAAKgAgAEkARgAoAF8AZQByAHIAcwAsACAATgBPAFQAKABJAFMARQBSAFIATwBSACgAUwBVAE0AKABfAHIAbwB3ACkAKQApACwAIAAxACkAKQApACwAXABuACAAIAAgACAAIAAgACAAIABfAGYAbAB0AHIAMQAsACAARgBJAEwAVABFAFIAKABfAHQAYgBsADEALAAgAF8AaQBuAGMAMQApACwAXABuACAAIAAgACAAIAAgACAAIABfAGYAbAB0AHIAMgAsACAARgBJAEwAVABFAFIAKABfAHQAYgBsADIALAAgAF8AaQBuAGMAMgApACwAXABuACAAIAAgACAAIAAgACAAIAAvAC8AIABDAGEAbABjAHUAbABhAHQAZQAgAHQAaABlACAAbgB1AG0AYgBlAHIAIABvAGYAIAByAG8AdwBzACAAYQBuAGQAIABjAG8AbAB1AG0AbgBzACAAZgBvAHIAIABlAGEAYwBoACAAbwBmACAAdABoAGUAIABmAGkAbAB0AGUAcgBlAGQAIABsAGkAcwB0AHMAXABuACAAIAAgACAAIAAgACAAIABfAHIAcgAxACwAIABSAE8AVwBTACgAXwBmAGwAdAByADEAKQAsAFwAbgAgACAAIAAgACAAIAAgACAAXwByAHIAMgAsACAAUgBPAFcAUwAoAF8AZgBsAHQAcgAyACkALABcAG4AIAAgACAAIAAgACAAIAAgAF8AYwBjADEALAAgAEMATwBMAFUATQBOAFMAKABfAGYAbAB0AHIAMQApACwAXABuACAAIAAgACAAIAAgACAAIABfAGMAYwAyACwAIABDAE8ATABVAE0ATgBTACgAXwBmAGwAdAByADIAKQAsAFwAbgAgACAAIAAgACAAIAAgACAALwAvACAAQwBhAGwAYwB1AGwAYQB0AGUAIAB0AGgAZQAgAG8AdQB0AHAAdQB0ACAAYQByAHIAYQB5AFwAbgAgACAAIAAgACAAIAAgACAAXwByAHQAbgAsACAATABFAFQAKABcAG4AIAAgACAAIAAgACAAIAAgACAAIAAgACAALwAvACAAQwByAGUAYQB0AGUAIAB0AGgAZQAgAHIAZQBwAGUAYQB0AGUAZAAgAGwAaQBzAHQAcwAgAGEAbgBkACAAcwB0AGEAYwBrACAAaABvAHIAaQB6AG8AbgB0AGEAbABsAHkAXABuACAAIAAgACAAIAAgACAAIAAgACAAIAAgAF8AYwBUACwAIABIAFMAVABBAEMASwAoAFwAbgAgACAAIAAgACAAIAAgACAAIAAgACAAIAAgACAAIAAgAE0AQQBLAEUAQQBSAFIAQQBZACgAXwByAHIAMQAgACoAIABfAHIAcgAyACwAIABfAGMAYwAxACwAIABMAEEATQBCAEQAQQAoAF8AcgBvAHcALABfAGMAbwBsACwAIABJAE4ARABFAFgAKABfAGYAbAB0AHIAMQAsACAAUgBPAFUATgBEAFUAUAAoAF8AcgBvAHcAIAAvACAAXwByAHIAMgAsACAAMAApACwAIABfAGMAbwBsACkAKQApACwAXABuACAAIAAgACAAIAAgACAAIAAgACAAIAAgACAAIAAgACAATQBBAEsARQBBAFIAUgBBAFkAKABfAHIAcgAxACAAKgAgAF8AcgByADIALAAgAF8AYwBjADIALAAgAEwAQQBNAEIARABBACgAXwByAG8AdwAsAF8AYwBvAGwALAAgAEkATgBEAEUAWAAoAF8AZgBsAHQAcgAyACwAIABNAE8ARAAoAF8AcgBvAHcAIAAtACAAMQAsACAAXwByAHIAMgApACAAKwAgADEALAAgAF8AYwBvAGwAKQApACkAXABuACAAIAAgACAAIAAgACAAIAAgACAAIAAgACkALABcAG4AIAAgACAAIAAgACAAIAAgACAAIAAgACAALwAvACAATABpAG0AaQB0ACAAdABvACAAdQBuAGkAcQB1AGUAIAByAG8AdwBzACAAbwBuAGwAeQAgAGEAcwAgAHIAZQBxAHUAaQByAGUAZAAgAGIAeQAgAHUAcwBlAHIAIABpAG4AcAB1AHQAcwBcAG4AIAAgACAAIAAgACAAIAAgACAAIAAgACAAXwBkAFQALAAgAEkARgAoAF8AZABzAHQALABcAG4AIAAgACAAIAAgACAAIAAgACAAIAAgACAAIAAgACAAIABVAE4ASQBRAFUARQAoAF8AYwBUACkALABcAG4AIAAgACAAIAAgACAAIAAgACAAIAAgACAAIAAgACAAIABfAGMAVABcAG4AIAAgACAAIAAgACAAIAAgACAAIAAgACAAKQAsAFwAbgAgACAAIAAgACAAIAAgACAAIAAgACAAIAAvAC8AIABUAHIAYQBuAHMAcABvAHMAZQAgAHQAaABlACAAdgBlAHIAdABpAGMAYQBsACAAbwB1AHQAcAB1AHQAIABhAHIAcgBhAHkAIAB0AG8AIABoAG8AcgBpAHoAdABvAG4AYQBsACAAKABsAGUAZgB0AC0AdABvAC0AcgBpAGcAaAB0ACkAIABhAHMAIAByAGUAcQB1AGkAcgBlAGQAIABiAHkAIAB1AHMAZQByACAAaQBuAHAAdQB0AHMAXABuACAAIAAgACAAIAAgACAAIAAgACAAIAAgAF8AcgBUACwAIABJAEYAKABOAE8AVAAoAF8AdgByAHQAKQAsAFwAbgAgACAAIAAgACAAIAAgACAAIAAgACAAIAAgACAAIAAgAFQAUgBBAE4AUwBQAE8AUwBFACgAXwBkAFQAKQAsAFwAbgAgACAAIAAgACAAIAAgACAAIAAgACAAIAAgACAAIAAgAF8AZABUAFwAbgAgACAAIAAgACAAIAAgACAAIAAgACAAIAApACwAIABfAHIAVABcAG4AIAAgACAAIAAgACAAIAAgACkALABcAG4AIAAgACAAIAAgACAAIAAgAC8ALwAgAEMAaABlAGMAawAgAGkAZgAgAGEAbgAgAGkAbgBwAHUAdAAgAGMAaABlAGMAawAgAGgAYQBzACAAZgBsAGEAZwBnAGUAZABcAG4AIAAgACAAIAAgACAAIAAgAC8ALwAgACAALQAtACAAaQBmACAAcwBvACwAIABvAHUAdABwAHUAdAAgAHQAaABlACAAYQBwAHAAcgBvAHAAcgBpAGEAdABlACAAZQByAHIAbwByACAAYwBvAGQAZQBcAG4AIAAgACAAIAAgACAAIAAgAC8ALwAgACAALQAtACAAaQBmACAAbgBvAHQAIABvAHUAdABwAHUAdAAgAHQAaABlACAAYwBhAGwAYwB1AGwAYQB0AGUAZAAgAG8AdQB0AHAAdQB0ACAAYQByAHIAYQB5AFwAbgAgACAAIAAgACAAIAAgACAAQwBIAE8ATwBTAEUAKABfAGkAbgBwAEMAaABrACwAIABfAHIAdABuACwAIABJAE4ARABJAFIARQBDAFQAKABcACIAXAAiACkALAAgACMAVgBBAEwAVQBFACEAKQBcAG4AIAAgACAAIAApAFwAbgApADsAXABuAFwAbgAvACoAXABuACAAIAAgACAATgBhAG0AZQA6ACAAIAAgACAAIAAgACAAIABGAGkAbgBkAEkAdABlAG0AKAApAFwAbgAgACAAIAAgAFYAZQByAHMAaQBvAG4AOgAgACAAIAAgACAAMQAuADAANwAgACgAMAA4AC0AQQBwAHIALQAyADAAMgA1ACkAIAAtAC0AIABSACAAUwBpAGwAawAsACAAUgBYAEwAIABEAGUAdgBlAGwAbwBwAG0AZQBuAHQAXABuACAAIAAgACAARABlAHMAYwByAGkAcAB0AGkAbwBuADoAIAAqAC8ALwAqACoARgB1AG4AYwB0AGkAbwBuACAAZgBvAHIAIABmAGkAbgBkAGkAbgBnACAAbQBhAHQAYwBoAGkAbgBnACAAdgBhAGwAdQBlAHMAIAB3AGkAdABoAGkAbgAgAGEAIABzAG8AdQByAGMAZQAgAGEAcgByAGEAeQAqAC8ALwAqAFwAbgAgACAAIAAgACAAIAAgACAAIAAgACAAIAAgACAAIAAgACAARgBvAHIAIABlAGEAYwBoACAAbQBhAHQAYwBoACAAdABoAGEAdAAgAGkAcwAgAGYAbwB1AG4AZAAsACAAdABoAGUAIABmAHUAbgBjAHQAaQBvAG4AIABjAGEAbgAgAHIAZQB0AHUAcgBuACAAdABoAGUAIABtAGEAdABjAGgAZQBkACAAdgBhAGwAdQBlAHMALAAgAHIAZQBsAGEAdABpAHYAZQAgAHAAbwBzAGkAdABpAG8AbgAgAG8AZgAgAHQAaABlACAAbQBhAHQAYwBoACAAdwBpAHQAaABpAG4AIAB0AGgAZQAgAHMAbwB1AHIAYwBlACAAYQByAHIAYQB5ACAAbwByACAAdwBvAHIAawBzAGgAZQBlAHQALAAgAG8AcgAgAHQAaABlACAAYwBlAGwAbAAgAEEAZABkAHIAZQBzAHMALgBcAG4AIAAgACAAIAAgACAAIAAgACAAIAAgACAAIAAgACAAIAAgAE0AYQB0AGMAaAAgAGwAbwBnAGkAYwAgAGMAYQBuACAAYgBlACAAYwBoAG8AcwBlAG4AIABiAGUAeQBvAG4AZAAgAHMAaQBtAHAAbAB5ACAAZQBxAHUAYQBsAC0AdABvAC0AbQBhAHQAYwBoAGkAbgBnACAAbABvAGcAaQBjACwAIABpAG4AYwBsAHUAZABpAG4AZwAgAGEAIABwAGEAcgB0AGkAYQBsACAAdABlAHgAdAAgAG0AYQB0AGMAaAAgAGEAbgBkACAAcgBlAGcAdQBsAGEAcgAgAGUAeABvAHIAZQBzAHMAaQBvAG4AIAAoAFIAZQBnAEUAeAApACAAdABlAHMAdAAuAFwAbgAgACAAIAAgAFAAYQByAGEAbQBlAHQAZQByAHMAOgBcAG4AIAAgACAAIAAgACAAIAAgACsAIAByAGEAbgBnAGUAIAAgACAAIAAgACAAIAAgACAAPQAgACgAcgBlAHEAdQBpAHIAZQBkACkAIABSAGEAbgBnAGUAIABvAGYAIABjAGUAbABsAHMAIABjAG8AbgB0AGEAaQBuAGkAbgBnACAAdABoAGUAIABzAG8AdQByAGMAZQAgAGEAcgByAGEAeQAgAHQAbwAgAGwAbwBvAGsAIAB3AGkAdABoAGkAbgA7ACAAYwBhAG4AIABiAGUAIABhACAAMQBEACAAbwByACAAMgBEACAAYQByAHIAYQB5ACAAaQBuACAAYQBuAHkAIABvAHIAdABpAGUAbgB0AGEAdABpAG8AbgAuAFwAbgAgACAAIAAgACAAIAAgACAAKwAgAGYAaQBuAGQAXwBpAHQAZQBtACAAIAAgACAAIAA9ACAAKAByAGUAcQB1AGkAcgBlAGQAKQAgAFQAaABlACAAdgBhAGwAdQBlACAAdABvACAAbABvAG8AawAgAGYAbwByACAAdwBpAHQAaABpAG4AIAB0AGgAZQAgAHMAbwB1AHIAYwBlACAAcgBhAG4AZwBlAC4AXABuACAAIAAgACAAIAAgACAAIAAgACAAIAAgACAAIAAgACAAIAAgACAAIAAgACAAIAAgACAAIAAgACAAIAAgACAAIAAgACAAIAAgACAAVABoAGkAcwAgAGMAYQBuACAAYgBlACAAYQAgAG4AdQBtAGIAZQByACwAIABhACAAdABlAHgAdAAgAHMAdAByAGkAbgBnACwAIABvAHIAIABhACAAYwBlAGwAbAAgAHIAZQBmAGUAcgBlAG4AYwBlACwAIABiAHUAdAAgAHMAaABvAHUAbABkACAAYgBlACAAYQAgAHMAaQBuAGcAbABlACAAdgBhAGwAdQBlACAAcgBhAHQAaABlAHIAIAB0AGgAYQBuACAAYQBuACAAYQByAHIAYQB5AC4AXABuACAAIAAgACAAIAAgACAAIAAgACAAIAAgACAAIAAgACAAIAAgACAAIAAgACAAIAAgACAAIAAgACAAIAAgACAAIAAgACAAIAAgACAASQBmACAAdABoAGUAIABSAGUAZwBFAHgAIABtAGEAdABjAGgAXwB0AHkAcABlACAAbwBwAHQAaQBvAG4AIABpAHMAIABzAGUAbABlAGMAdABlAGQALAAgAHQAaABlACAAZgBpAG4AZABfAGkAdABlAG0AIAB2AGEAbAB1AGUAIABpAHMAIAB1AHMAZQBkACAAYQBzACAAdABoAGUAIAByAGUAZwB1AGwAYQByACAAZQB4AHAAcgBlAHMAcwBpAG8AbgAgAHMAdAByAGkAbgBnAC4AXABuACAAIAAgACAAIAAgACAAIAArACAAbQBhAHQAYwBoAF8AdAB5AHAAZQAgACAAIAAgAD0AIAAoAG8AcAB0AGkAbwBuAGEAbAApACAAUwBpAG4AZwBsAGUAIAB2AGEAbAB1AGUAIAAoAGMAYQBuACAAYgBlACAAYQAgAG4AdQBtAGIAZQByACAAbwByACAAdABlAHgAdAAgAHMAdAByAGkAbgBnACkAIAB0AG8AIABkAGUAdABlAHIAbQBpAG4AZQAgAHQAaABlACAAbQBhAHQAYwBoACAAdAB5AHAAZQAgAHQAbwAgAHUAcwBlACAAdABvACAAZgBpAG4AZAAgAHYAYQBsAHUAZQBzAC4AXABuACAAIAAgACAAIAAgACAAIAAgACAAIAAgACAAIAAgACAAIAAgACAAIAAgACAAIAAgACAAIAAgACAAIAAgACAAIAAgACAAIAAgACAAVgBhAGwAaQBkACAAaQBuAHAAdQB0AHMAIABhAHIAZQAgAGEAIABuAHUAbQBiAGUAcgAgAGIAZQB0AHcAZQBlAG4AIAAwACAAYQBuAGQAIAA2ACwAIABvAHIAIABhACAAdgBhAGwAaQBkACAAcwB0AHIAaQBuAGcAIABmAHIAbwBtACAAdABoAGUAIABsAGkAcwB0ACAAYgBlAGwAbwB3ADsAIABJAGYAIABuAG8AdAAgAHMAdQBwAHAAbABpAGUAZAAsACAAdwBpAGwAbAAgAGQAZQBmAGEAdQBsAHQAIAB0AG8AIAAwAC4AXABuACAAIAAgACAAIAAgACAAIAAgACAAIAAgACAAIAAgACAAIAAgACAAIAAgACAAIAAgACAAIAAgACAAIAAgACAAIAAgAFwAIgA9AFwAIgAgACAAMAAgAD0AIAAoAGQAZQBmAGEAdQBsAHQAKQAgAHUAcwBlAHMAIABlAHUAcQBhAGwALQB0AG8AIABtAGEAdABjAGgAaQBuAGcAIABsAG8AZwBpAGMAXABuACAAIAAgACAAIAAgACAAIAAgACAAIAAgACAAIAAgACAAIAAgACAAIAAgACAAIAAgACAAIAAgACAAIAAgACAAIABcACIAPAA+AFwAIgAgACAAMQAgAD0AIAB1AHMAZQBzACAAbgBvAHQALQBlAHEAdQBhAGwALQB0AG8AIABtAGEAdABjAGgAaQBuAGcAIABsAG8AZwBpAGMAXABuACAAIAAgACAAIAAgACAAIAAgACAAIAAgACAAIAAgACAAIAAgACAAIAAgACAAIAAgACAAIAAgACAAIAAgACAAIAAgAFwAIgA+AFwAIgAgACAAMgAgAD0AIAB1AHMAZQBzACAAZwByAGUAYQB0AGUAcgAtAHQAaABhAG4AIABtAGEAdABjAGgAaQBuAGcAIABsAG8AZwBpAGMAXABuACAAIAAgACAAIAAgACAAIAAgACAAIAAgACAAIAAgACAAIAAgACAAIAAgACAAIAAgACAAIAAgACAAIAAgACAAIAAgAFwAIgA8AFwAIgAgACAAMwAgAD0AIAB1AHMAZQBzACAAbABlAHMAcwAtAHQAaABhAG4AIABtAGEAdABjAGgAaQBuAGcAIABsAG8AZwBpAGMAXABuACAAIAAgACAAIAAgACAAIAAgACAAIAAgACAAIAAgACAAIAAgACAAIAAgACAAIAAgACAAIAAgACAAIAAgACAAIABcACIAPgA9AFwAIgAgACAANAAgAD0AIAB1AHMAZQBzACAAZwByAGUAYQB0AGUAcgAtAHQAaABhAG4ALQBvAHIALQBlAHEAdQBhAGwALQB0AG8AIABtAGEAdABjAGgAaQBuAGcAIABsAG8AZwBpAGMAXABuACAAIAAgACAAIAAgACAAIAAgACAAIAAgACAAIAAgACAAIAAgACAAIAAgACAAIAAgACAAIAAgACAAIAAgACAAIABcACIAPAA9AFwAIgAgACAANQAgAD0AIAB1AHMAZQBzACAAbABlAHMAcwAtAHQAaABhAG4ALQBvAHIALQBlAHEAdQBhAGwALQB0AG8AIABtAGEAdABjAGgAaQBuAGcAIABsAG8AZwBpAGMAXABuACAAIAAgACAAIAAgACAAIAAgACAAIAAgACAAIAAgACAAIAAgACAAIAAgACAAIAAgACAAIAAgACAAIAAgAFwAIgBmAGkAbgBkAFwAIgAgACAANgAgAD0AIABhAHQAdABlAG0AcAB0AHMAIAB0AG8AIABmAGkAbgBkACAAYQAgAHMAdQBiAC0AcwB0AHIAaQBuAGcAIAAvACAAcABhAHIAdAAtAHMAdAByAGkAbgBnACAAdwBpAHQAaABpAG4AIAB0AGgAZQAgAHMAbwB1AHIAYwBlACAAdgBhAGwAdQBlAHMAOwAgAHUAcwBlAHMAIABuAG8AbgAtAGMAYQBzAGUAIABzAGUAbgBzAGkAdABpAHYAZQAgAHMAZQBhAHIAYwBoAFwAbgAgACAAIAAgACAAIAAgACAAIAAgACAAIAAgACAAIAAgACAAIAAgACAAIAAgACAAIAAgACAAIAAgACAAXAAiAHIAZQBnAGUAeABcACIAIAAgADcAIAA9ACAAdQBzAGUAcwAgAGEAIAByAGUAZwB1AGwAYQByACAAZQB4AHAAcgBlAHMAcwBpAG8AbgAgACgAUgBlAGcARQB4ACkAIAB0AG8AIAB0AGUAcwB0ACAAdABoAGUAIABzAG8AdQByAGMAZQAgAHYAYQBsAHUAZQBzACAAYQBuAGQAIABtAGEAdABjAGgAIABpAGYAIABUAFIAVQBFAFwAbgAgACAAIAAgACAAIAAgACAAKwAgAG8AdQB0AHAAdQB0AF8AdAB5AHAAZQAgACAAIAA9ACAAKABvAHAAdABpAG8AbgBhAGwAKQAgAFMAaQBuAGcAbABlACAAbgB1AG0AYgBlAHIAIABiAGUAdAB3AGUAZQBuACAAMAAgAGEAbgBkACAANQAgAHQAbwAgAGQAZQB0AGUAcgBtAGkAbgBlACAAdABoAGUAIABmAHUAbgBjAHQAaQBvAG4AIABvAHUAdABwAHUAdAAgAHQAeQBwAGUALwBmAG8AcgBtAGEAdAA7ACAAaQBmACAAbgBvACAAdgBhAGwAdQBlACAAaQBzACAAcAByAG8AdgBpAGQAZQBkACwAIAB3AGkAbABsACAAZABlAGYAYQB1AGwAdAAgAHQAbwAgADAALgBcAG4AIAAgACAAIAAgACAAIAAgACAAIAAgACAAIAAgACAAIAAgACAAIAAgACAAIAAgACAAIAAgACAAIAAgACAAIAAgACAAIAAgACAAIAAgADAAIAA9ACAAKABkAGUAZgBhAHUAbAB0ACkAIABsAGkAcwB0ACAAbwBmACAAbQBhAHQAYwBoAGUAZAAgAHYAYQBsAHUAZQBzACAAaQBuACAAdgBlAHIAdABpAGMAYQBsACAAbwByAGkAZQBuAHQAYQB0AGkAbwBuAFwAbgAgACAAIAAgACAAIAAgACAAIAAgACAAIAAgACAAIAAgACAAIAAgACAAIAAgACAAIAAgACAAIAAgACAAIAAgACAAIAAgACAAIAAgACAAMQAgAD0AIAB0AGgAZQAgAHIAZQBsAGEAdABpAHYAZQAgAHAAbwBzAGkAdABpAG8AbgAgAG8AZgAgAGUAYQBjAGgAIABtAGEAdABjAGgAIAB3AGkAdABoAGkAbgAgAHQAaABlACAAcwBvAHUAcgBjAGUAIABhAHIAcgBhAHkALAAgAGkAbgAgAHQAaABlACAAZgBvAHIAbQBhAHQAOgAgAFsAcgBvAHcAXQAsAFsAYwBvAGwAXQBcAG4AIAAgACAAIAAgACAAIAAgACAAIAAgACAAIAAgACAAIAAgACAAIAAgACAAIAAgACAAIAAgACAAIAAgACAAIAAgACAAIAAgACAAIAAgADIAIAA9ACAAdABoAGUAIABhAGIAcwBvAGwAdQB0AGUAIABwAG8AcwBpAHQAaQBvAG4AIABvAGYAIABlAGEAYwBoACAAbQBhAHQAYwBoACAAdwBpAHQAaABpAG4AIAB0AGgAZQAgAHMAbwB1AHIAYwBlACAAdwBvAHIAawBzAGgAZQBlAHQALAAgAGkAbgAgAHQAaABlACAAZgBvAHIAbQBhAHQAOgAgAFsAcgBvAHcAXQAsAFsAYwBvAGwAXQBcAG4AIAAgACAAIAAgACAAIAAgACAAIAAgACAAIAAgACAAIAAgACAAIAAgACAAIAAgACAAIAAgACAAIAAgACAAIAAgACAAIAAgACAAIAAgADMAIAA9ACAAdABoAGUAIABjAGUAbABsACAAYQBkAGQAcgBlAHMAcwAgAG8AZgAgAGUAYQBjAGgAIABtAGEAdABjAGgAIAB1AHMAaQBuAGcAIAB0AGgAZQAgAGMAZQBsAGwAIAByAGUAZgBlAHIAZQBuAGMAZQAgAGYAbwByAG0AYQB0ADoAIABBADEAXABuACAAIAAgACAAIAAgACAAIAAgACAAIAAgACAAIAAgACAAIAAgACAAIAAgACAAIAAgACAAIAAgACAAIAAgACAAIAAgACAAIAAgACAAIAA0ACAAPQAgAHQAaABlACAAYQBiAHMAbwBsAHUAdABlACAAYwBlAGwAbAAgAGEAZABkAHIAZQBzAHMAIABvAGYAIABlAGEAYwBoACAAbQBhAHQAYwBoACAAdQBzAGkAbgBnACAAdABoAGUAIABjAGUAbABsACAAcgBlAGYAZQByAGUAbgBjAGUAIABmAG8AcgBtAGEAdAA6ACAAJABBACQAMQBcAG4AIAAgACAAIAAgACAAIAAgACAAIAAgACAAIAAgACAAIAAgACAAIAAgACAAIAAgACAAIAAgACAAIAAgACAAIAAgACAAIAAgACAAIAAgADUAIAA9ACAAdABoAGUAIABjAG8AdQBuAHQAIABvAGYAIAB0AGgAZQAgAG4AdQBtAGIAZQByACAAbwBmACAAZgBvAHUAbgBkACAAbQBhAHQAYwBoAGUAcwBcAG4AIAAgACAAIAAgACAAIAAgACsAIABpAGYAXwBuAG8AdABfAGYAbwB1AG4AZAAgACAAPQAgACgAbwBwAHQAaQBvAG4AYQBsACkAIABTAGkAbgBnAGwAZQAgAHYAYQBsAHUAZQAgACgAYwBhAG4AIABiAGUAIABhACAAbgB1AG0AYgBlAHIAIABvAHIAIAB0AGUAeAB0ACAAcwB0AHIAaQBuAGcAKQAgAHcAaABpAGMAaAAgAGkAcwAgAHIAZQB0AHUAcgBuAGUAZAAgAGIAeQAgAHQAaABlACAAZgB1AG4AYwB0AGkAbwBuACAAaQBmACAAbgBvACAAbQBhAHQAYwBoAGUAcwAgAGEAcgBlACAAZgBvAHUAbgBkAC4AXABuACAAIAAgACAAIAAgACAAIAAgACAAIAAgACAAIAAgACAAIAAgACAAIAAgACAAIAAgACAAIAAgACAAIAAgACAAIAAgACAAIAAgACAASQBmACAAbgBvAHQAIABzAHUAcABwAGwAaQBlAGQALAAgAHQAaABlACAAZgB1AG4AYwB0AGkAbwBuACAAdwBpAGwAbAAgAGQAZQBmAGEAdQBsAHQAIAB0AG8AIAByAGUAdAB1AHIAbgBpAG4AZwAgAGEAIAAjAE4ALwBBACAAdgBhAGwAdQBlAC4AXABuACAAIAAgACAAIAAgACAAIAArACAAYQBkAGQAXwBoAGUAYQBkAGUAcgAgACAAIAAgAD0AIAAoAG8AcAB0AGkAbwBuAGEAbAApACAAQQAgAFQAcgB1AGUALwBGAGEAbABzAGUAIAB2AGEAbAB1AGUAIAB0AG8AIABkAGUAdABlAHIAbQBpAG4AZQAgAHcAaABlAHQAaABlAHIAIABvAHIAIABuAG8AdAAgAHQAbwAgAGEAZABkACAAYQAgAGgAZQBhAGQAZQByACAAcgBvAHcAIAB0AG8AIAB0AGgAZQAgAGYAdQBuAGMAdABpAG8AbgAgAG8AdQB0AHAAdQB0ACAAYQByAHIAYQB5AC4AXABuACAAIAAgACAAIAAgACAAIAAgACAAIAAgACAAIAAgACAAIAAgACAAIAAgACAAIAAgACAAIAAgACAAIAAgACAAIAAgACAAIAAgACAAVABoAGUAIABpAG4AcAB1AHQAIABjAGEAbgAgAGIAZQAgAGUAaQB0AGgAZQByACAAVABSAFUARQAvAEYAQQBMAFMARQAgAG8AcgAgADEALwAwAC4AXABuACAAIAAgACAAIAAgACAAIAAgACAAIAAgACAAIAAgACAAIAAgACAAIAAgACAAIAAgACAAIAAgACAAIAAgACAAIAAgACAAIAAgACAASQBmACAAbgBvAHQAIABzAHUAcABwAGwAaQBlAGQALAAgAHcAaQBsAGwAIABkAGUAZgBhAHUAbAB0ACAAdABvACAARgBBAEwAUwBFACAAKAAwACkALgBcAG4AIAAgACAAIAAgACAAIAAgACsAIABzAHAAbABpAHQAXwBvAHUAdABwAHUAdAAgACAAPQAgACgAbwBwAHQAaQBvAG4AYQBsACkAIABBACAAVAByAHUAZQAvAEYAYQBsAHMAZQAgAHYAYQBsAHUAZQAgAHQAbwAgAGQAZQB0AGUAcgBtAGkAbgBlACAAdwBoAGUAdABoAGUAcgAgAG8AcgAgAG4AbwB0ACAAcwBwAGwAaQB0ACAAdABoAGUAIABvAHUAdABwAHUAdAAgAGEAcgByAGEAeQAgAGkAbgB0AG8AIAB0AHcAbwAgAGMAbwBsAHUAbQBuAHMAIABhAHMAIABhAHAAcAByAG8AcAByAGkAYQB0AGUALgBcAG4AIAAgACAAIAAgACAAIAAgACAAIAAgACAAIAAgACAAIAAgACAAIAAgACAAIAAgACAAIAAgACAAIAAgACAAIAAgACAAIAAgACAAIABJAGYAIAB0AGgAZQAgAG8AdQB0AHAAdQB0AF8AdAB5AHAAZQAgAHMAZQBsAGUAYwB0AGUAZAAgAGkAcwAgAHIAZQBsAGEAdABpAHYAZQAgAG8AcgAgAGEAYgBvAGwAcwB1AHQAZQAgAHAAbwBzAGkAdABpAG8AbgAsACAAdABoAGUAbgAgAHQAaABpAHMAIABvAHAAdABpAG8AbgAgAGMAYQBuACAAcwBwAGwAaQB0ACAAdABoAGUAIABwAG8AcwBpAHQAaQBvAG4AIABvAGYAIABlAGEAYwBoACAAbQBhAHQAYwBoACAAaQBuAHQAbwAgAGEAIAAyACAAYwBvAGwAdQBtAG4AIABhAHIAcgBhAHkAIABmAG8AcgAgAHIAbwB3ACAAYQBuAGQAIABjAG8AbAB1AG0AbgAgAHYAYQBsAHUAZQBzAC4AXABuACAAIAAgACAAIAAgACAAIAAgACAAIAAgACAAIAAgACAAIAAgACAAIAAgACAAIAAgACAAIAAgACAAIAAgACAAIAAgACAAIAAgACAAVABoAGUAIABpAG4AcAB1AHQAIABjAGEAbgAgAGIAZQAgAGUAaQB0AGgAZQByACAAVABSAFUARQAvAEYAQQBMAFMARQAgAG8AcgAgADEALwAwAC4AXABuACAAIAAgACAAIAAgACAAIAAgACAAIAAgACAAIAAgACAAIAAgACAAIAAgACAAIAAgACAAIAAgACAAIAAgACAAIAAgACAAIAAgACAASQBmACAAbgBvAHQAIABzAHUAcABwAGwAaQBlAGQALAAgAHcAaQBsAGwAIABkAGUAZgBhAHUAbAB0ACAAdABvACAARgBBAEwAUwBFACAAKAAwACkALgBcAG4AIAAgACAAIABFAHIAcgBvAHIAIABjAG8AZABlAHMAOgBcAG4AIAAgACAAIAAgACAAIAAgACAAIAAgACAAIwBSAEUARgAhACAAIAAgACAAIAAgACAAPQAgAEkAbgB2AGEAbABpAGQAIABjAGUAbABsACAAcgBlAGYAZQByAGUAbgBjAGUAIABwAHIAbwB2AGkAZABlAGQAIABmAG8AcgAgAHQAaABlACAAcgBhAG4AZwBlACAAaQBuAHAAdQB0ACwAIABvAHIAIABhACAAYgByAG8AawBlAG4AIABjAGUAbABsACAAcgBlAGYAZQByAGUAbgBjAGUAIAB3AGkAdABoAGkAbgAgAGEAbgB5ACAAbwBmACAAdABoAGUAIABpAG4AcAB1AHQAcwBcAG4AIAAgACAAIAAgACAAIAAgACAAIAAgACAAIwBWAEEATABVAEUAIQAgACAAIAAgACAAPQAgAG0AYQB0AGMAaABfAHQAeQBwAGUAIABwAGEAcgBhAG0AZQB0AGUAcgAgAGkAcwAgAGkAbgB2AGEAbABpAGQAIAAtAC0AIABuAG8AdAAgAGEAIABuAHUAbQBiAGUAcgAgAGIAZQB0AHcAZQBlAG4AIAAwACAAYQBuAGQAIAA2ACAAbwByACAAbwBuAGUAIABvAGYAIAB0AGgAZQAgAGUAeABwAGUAYwB0AGUAZAAvAGEAbABsAG8AdwBlAGQAIABpAG4AcAB1AHQAIABzAHQAcgBpAG4AZwBzAFwAbgAgACAAIAAgACAAIAAgACAAIAAgACAAIAAjAFYAQQBMAFUARQAhACAAIAAgACAAIAA9ACAAbwB1AHQAcAB1AHQAXwB0AHkAcABlACAAcABhAHIAYQBtAGUAdABlAHIAIABpAHMAIABpAG4AdgBhAGwAaQBkACAALQAtACAAbgBvAHQAIABhACAAbgB1AG0AYgBlAHIAIABiAGUAdAB3AGUAZQBuACAAMAAgAGEAbgBkACAANQBcAG4AIAAgACAAIABOAG8AdABlAHMAOgBcAG4AIAAgACAAIAAgACAAIAAgAC0AIABUAGgAZQAgAHAAYQByAHQAaQBhAGwAIAB0AGUAeAB0ACAAbQBhAHQAYwBoACAAaQBzACAAbgBvAG4ALQBjAGEAcwBlACAAcwBlAG4AcwBpAHQAaQB2AGUAOwAgAGYAbwByACAAYQAgAGMAYQBzAGUAIABzAGUAbgBzAGkAdABpAHYAZQAgAHAAYQByAHQAaQBhAGwAIAB0AGUAeAB0ACAAbQBhAHQAYwBoACwAIAB1AHMAZQAgAHQAaABlACAAUgBlAGcARQB4ACAAdABlAHMAdAAgAG0AYQB0AGMAaABpAG4AZwAgAGwAbwBnAGkAYwAgAHcAaQB0AGgAIABhACAAcwB1AGIALQBzAHQAcgBpAG4AZwAgAHQAbwAgAGYAaQBuAGQAIAByAGEAdABoAGUAcgAgAHQAaABhAG4AIABhACAAcgBlAGcAdQBsAGEAcgAgAGUAeABwAHIAZQBzAHMAaQBvAG4AIABzAHQAcgBpAG4AZwAuAFwAbgAqAC8AXABuAEYAaQBuAGQASQB0AGUAbQAgAD0AIABMAEEATQBCAEQAQQAoAFwAbgAgACAAIAAgAC8ALwAgAFAAYQByAGEAbQBlAHQAZQByACAAZABlAGMAbABhAHIAYQB0AGkAbwBuAHMAXABuACAAIAAgACAAcgBhAG4AZwBlACwAXABuACAAIAAgACAAZgBpAG4AZABfAGkAdABlAG0ALABcAG4AIAAgACAAIABbAG0AYQB0AGMAaABfAHQAeQBwAGUAXQAsAFwAbgAgACAAIAAgAFsAbwB1AHQAcAB1AHQAXwB0AHkAcABlAF0ALABcAG4AIAAgACAAIABbAGkAZgBfAG4AbwB0AF8AZgBvAHUAbgBkAF0ALABcAG4AIAAgACAAIABbAGEAZABkAF8AaABlAGEAZABlAHIAXQAsAFwAbgAgACAAIAAgAFsAcwBwAGwAaQB0AF8AbwB1AHQAcAB1AHQAXQAsAFwAbgAgACAAIAAgAC8ALwAgAE0AYQBpAG4AIABwAHIAbwBjAGUAZAB1AHIAZQBcAG4AIAAgACAAIABMAEUAVAAoAFwAbgAgACAAIAAgACAAIAAgACAAXwByAG4AZwAsACAAcgBhAG4AZwBlACwAXABuACAAIAAgACAAIAAgACAAIABfAGkAdABtACwAIABmAGkAbgBkAF8AaQB0AGUAbQAsAFwAbgAgACAAIAAgACAAIAAgACAALwAvACAARABlAGEAbAAgAHcAaQB0AGgAIAB0AGgAZQAgAG8AcAB0AGkAbwBuAGEAbAAgAGkAbgBwAHUAdAAgAHAAYQByAGEAbQBlAHQAZQByAHMAIABhAG4AZAAgAHMAZQB0ACAAZABlAGYAYQB1AGwAdAAgAHYAYQBsAHUAZQBzACAAZgBvAHIAIABhAG4AeQAgAG8AbQBpAHQAdABlAGQAIABwAGEAcgBhAG0AZQB0AGUAcgBzAFwAbgAgACAAIAAgACAAIAAgACAAXwBtAEkAbgBwACwAIABJAEYAKAAgAE8AUgAoACAASQBTAE8ATQBJAFQAVABFAEQAKABtAGEAdABjAGgAXwB0AHkAcABlACkALAAgAEkAUwBCAEwAQQBOAEsAKABtAGEAdABjAGgAXwB0AHkAcABlACkAKQAsACAAMAAsACAASQBOAFQAKABtAGEAdABjAGgAXwB0AHkAcABlACkAKQAsAFwAbgAgACAAIAAgACAAIAAgACAAXwB0AHkAcAAsACAASQBGACgAIABJAFMATgBVAE0AQgBFAFIAKABfAG0ASQBuAHAAKQAsACAAXwBtAEkAbgBwACAAKwAgADEALAAgAEkARgBOAEEAKAAgAE0AQQBUAEMASAAoACAATABPAFcARQBSACgAbQBhAHQAYwBoAF8AdAB5AHAAZQApACwAIAB7AFwAIgA9AFwAIgAsAFwAIgA8AD4AXAAiACwAXAAiAD4AXAAiACwAXAAiADwAXAAiACwAXAAiAD4APQBcACIALABcACIAPAA9AFwAIgAsAFwAIgBmAGkAbgBkAFwAIgAsAFwAIgByAGUAZwBlAHgAXAAiAH0ALAAgADAAKQAsACAALQAxACkAKQAsAFwAbgAgACAAIAAgACAAIAAgACAAXwBvAHAAdABuACwAIABJAEYAKAAgAE8AUgAoACAASQBTAE8ATQBJAFQAVABFAEQAKABvAHUAdABwAHUAdABfAHQAeQBwAGUAKQAsACAASQBTAEIATABBAE4ASwAoAG8AdQB0AHAAdQB0AF8AdAB5AHAAZQApACkALAAgADAALAAgAEkATgBUACgAbwB1AHQAcAB1AHQAXwB0AHkAcABlACkAKQAsAFwAbgAgACAAIAAgACAAIAAgACAAXwByAGUAcAAsACAASQBGACgAIABPAFIAKAAgAEkAUwBPAE0ASQBUAFQARQBEACgAaQBmAF8AbgBvAHQAXwBmAG8AdQBuAGQAKQAsACAASQBTAEIATABBAE4ASwAoAGkAZgBfAG4AbwB0AF8AZgBvAHUAbgBkACkAKQAsACAATgBBACgAKQAsACAAaQBmAF8AbgBvAHQAXwBmAG8AdQBuAGQAKQAsAFwAbgAgACAAIAAgACAAIAAgACAAXwBhAGQAZAAsACAASQBGACgAIABPAFIAKAAgAEkAUwBPAE0ASQBUAFQARQBEACgAYQBkAGQAXwBoAGUAYQBkAGUAcgApACwAIABJAFMAQgBMAEEATgBLACgAYQBkAGQAXwBoAGUAYQBkAGUAcgApACkALAAgAEYAQQBMAFMARQAsACAAYQBkAGQAXwBoAGUAYQBkAGUAcgApACwAXABuACAAIAAgACAAIAAgACAAIABfAHMAcABsAHQALAAgAEkARgAoACAATwBSACgAIABJAFMATwBNAEkAVABUAEUARAAoAHMAcABsAGkAdABfAG8AdQB0AHAAdQB0ACkALAAgAEkAUwBCAEwAQQBOAEsAKABzAHAAbABpAHQAXwBvAHUAdABwAHUAdAApACkALAAgAEYAQQBMAFMARQAsACAAcwBwAGwAaQB0AF8AbwB1AHQAcAB1AHQAKQAsAFwAbgAgACAAIAAgACAAIAAgACAALwAvACAAQwBoAGUAYwBrACAAaQBuAHAAdQB0AHMAXABuACAAIAAgACAAIAAgACAAIAAvAC8AIAAgAC0ALQA+ACAAaQBuAHYAYQBsAGkAZAAgAGMAZQBsAGwAIAByAGUAZgBlAHIAZQBuAGMAZQAgAGkAbgAgAHQAaABlACAAcgBhAG4AZwBlACAAcABhAHIAYQBtAGUAdABlAHIAIAB3AGkAbABsACAAZwBpAHYAZQAgAGEAIAAjAFIARQBGACEAIABlAHIAcgBvAHIAXABuACAAIAAgACAAIAAgACAAIAAvAC8AIAAgAC0ALQA+ACAAaQBuAHYAYQBsAGkAZAAgAGkAbgBwAHUAdABzACAAcAByAG8AdgBpAGQAZQBkACAAZgBvAHIAIAB0AGgAZQAgAG0AYQB0AGMAaABfAHQAeQBwAGUAIABvAHIAIABvAHUAdABwAHUAdABfAHQAeQBwAGUAIABwAGEAcgBhAG0AZQB0AGUAcgBzACAAdwBpAGwAbAAgAGcAaQB2AGUAIABhACAAIwBWAEEATABVAEUAIQAgAEUAcgByAG8AcgBcAG4AIAAgACAAIAAgACAAIAAgAF8AaQBuAHAAQwBoAGsALAAgAEkARgAoAFwAbgAgACAAIAAgACAAIAAgACAAIAAgACAAIABOAE8AVAAoAEkAUwBSAEUARgAoAHIAYQBuAGcAZQApACkALAAgADIALABcAG4AIAAgACAAIAAgACAAIAAgACAAIAAgACAAIAAgACAAIABJAEYAKABcAG4AIAAgACAAIAAgACAAIAAgACAAIAAgACAAIAAgACAAIAAgACAAIAAgAE8AUgAoAFwAbgAgACAAIAAgACAAIAAgACAAIAAgACAAIAAgACAAIAAgACAAIAAgACAAIAAgACAAIABfAHQAeQBwACAAPAAgADEALAAgAF8AdAB5AHAAIAA+ACAAOAAsAFwAbgAgACAAIAAgACAAIAAgACAAIAAgACAAIAAgACAAIAAgACAAIAAgACAAIAAgACAAIABOAE8AVAAoAEkAUwBOAFUATQBCAEUAUgAoAF8AbwBwAHQAbgApACkALAAgAF8AbwBwAHQAbgAgADwAIAAwACwAIABfAG8AcAB0AG4AIAA+ACAANQBcAG4AIAAgACAAIAAgACAAIAAgACAAIAAgACAAIAAgACAAIAAgACAAIAAgACkALABcAG4AIAAgACAAIAAgACAAIAAgACAAIAAgACAAMwAsACAAMQApAFwAbgAgACAAIAAgACAAIAAgACAAKQAsAFwAbgAgACAAIAAgACAAIAAgACAALwAvACAAQwByAGUAYQB0AGUAcwAgAGEAbgAgAGEAcgByAGEAeQAgAG8AZgAgAHQAaABlACAAYwBoAG8AcwBlAG4AIABvAHUAdABwAHUAdAAgAHQAeQBwAGUALwBmAG8AcgBtAGEAdAAgAHQAbwAgAHQAaABlACAAcwBhAG0AZQAgAGQAaQBtAGUAbgBzAGkAbwBuAHMAIABhAHMAIAB0AGgAZQAgAHMAbwB1AHIAYwBlACAAYQByAHIAYQB5AFwAbgAgACAAIAAgACAAIAAgACAALwAvACAAIAAtAC0APgAgAHQAaABlACAAQwBIAE8ATwBTAEUAKAApACAAZgB1AG4AYwB0AGkAbwBuACAAZABlAHQAZQByAG0AaQBuAGUAcwAgAHcAaABpAGMAaAAgAG8AdQB0AHAAdQB0ACAAdAB5AHAAZQAgAHQAbwAgAHUAcwBlAFwAbgAgACAAIAAgACAAIAAgACAAXwB0AGIAbAAsACAAQwBIAE8ATwBTAEUAKABfAG8AcAB0AG4AIAArACAAMQAsAFwAbgAgACAAIAAgACAAIAAgACAAIAAgACAAIABfAHIAbgBnACwAXABuACAAIAAgACAAIAAgACAAIAAgACAAIAAgACgAUgBPAFcAKABfAHIAbgBnACkAIAAtACAAUgBPAFcAKAAgAFQAQQBLAEUAKABfAHIAbgBnACwAIAAxACkAKQAgACsAIAAxACkAIAAmACAAXAAiACwAXAAiACAAJgAgACgAQwBPAEwAVQBNAE4AKABfAHIAbgBnACkAIAAtACAAQwBPAEwAVQBNAE4AKAAgAFQAQQBLAEUAKABfAHIAbgBnACwAIAAsACAAMQApACkAIAArACAAMQApACwAXABuACAAIAAgACAAIAAgACAAIAAgACAAIAAgAFIATwBXACgAXwByAG4AZwApACAAJgAgAFwAIgAsAFwAIgAgACYAIABDAE8ATABVAE0ATgAoAF8AcgBuAGcAKQAsAFwAbgAgACAAIAAgACAAIAAgACAAIAAgACAAIABBAEQARABSAEUAUwBTACgAIABSAE8AVwAoAF8AcgBuAGcAKQAsACAAQwBPAEwAVQBNAE4AKABfAHIAbgBnACkALAAgADQALAAgADEAKQAsAFwAbgAgACAAIAAgACAAIAAgACAAIAAgACAAIABBAEQARABSAEUAUwBTACgAIABSAE8AVwAoAF8AcgBuAGcAKQAsACAAQwBPAEwAVQBNAE4AKABfAHIAbgBnACkALAAgADEALAAgADEAKQAsAFwAbgAgACAAIAAgACAAIAAgACAAIAAgACAAIABfAHIAbgBnAFwAbgAgACAAIAAgACAAIAAgACAAKQAsAFwAbgAgACAAIAAgACAAIAAgACAALwAvACAAQwBhAGwAYwB1AGwAYQB0AGUAIAB0AGgAZQAgAG8AdQB0AHAAdQB0ACAAYQByAHIAYQB5AFwAbgAgACAAIAAgACAAIAAgACAALwAvACAAIAAtAC0APgAgAHQAaABlACAAQwBIAE8ATwBTAEUAKAApACAAZgB1AG4AYwB0AGkAbwBuACAAZABlAHQAZQByAG0AaQBuAGUAcwAgAHcAaABpAGMAaAAgAG0AYQB0AGMAaAAgAHQAeQBwAGUAIAB0AG8AIAB1AHMAZQBcAG4AIAAgACAAIAAgACAAIAAgAC8ALwAgACAALQAtAD4AIAB0AGgAZQAgAEkARgAoACkAIABmAHUAbgBjAHQAaQBvAG4AcwAgAGcAbwAgAHQAaAByAG8AdQBnAGgAIAB0AGgAZQAgAHMAbwB1AHIAYwBlACAAYQByAHIAYQB5ACAAYQBuAGQAIABwAHIAZQBzAGUAcgB2AGUAcwAgAGEAbgB5ACAAbQBhAHQAYwBoAGUAcwAgACgAZgByAG8AbQAgAHQAaABlACAAYwByAGUAYQB0AGUAZAAgAG8AdQB0AHAAdQB0AHMAIABhAHIAcgBhAHkALAAgAF8AdABiAGwAKQAgAGEAbgBkACAAcwBlAHQAcwAgAG4AbwBuAC0AbQBhAHQAYwBoAGUAcwAgAHQAbwAgACMATgAvAEEAXABuACAAIAAgACAAIAAgACAAIAAvAC8AIAAgAC0ALQA+ACAAdABoAGUAIABUAE8AQwBPAEwAKAApACAAZgB1AG4AYwB0AGkAbwBuACAAYwBvAG4AdgBlAHIAdABzACAAdABoAGUAIAB1AHAAZABhAHQAZQBkACAAYQByAHIAYQB5ACAAdABvACAAYQAgAHMAaQBuAGcAbABlACAAdgBlAHIAdABpAGMAYQBsACAAMQBEACAAYQByAHIAYQB5ACAAYQBuAGQAIABmAGkAbAB0AGUAcgBzACAAbwB1AHQAIAAjAE4ALwBBACAAdgBhAGwAdQBlAHMAIAB0AG8AIABsAGUAYQB2AGUAIABvAG4AbAB5ACAAYQBuAHkAIABtAGEAdABjAGgAZQBzAFwAbgAgACAAIAAgACAAIAAgACAAXwBtAHQAYwBoACwAIABUAE8AQwBPAEwAKAAgAEMASABPAE8AUwBFACgAXwB0AHkAcAAsAFwAbgAgACAAIAAgACAAIAAgACAAIAAgACAAIABJAEYAKABfAHIAbgBnACAAPQAgAF8AaQB0AG0ALAAgAF8AdABiAGwALAAgAE4AQQAoACkAKQAsAFwAbgAgACAAIAAgACAAIAAgACAAIAAgACAAIABJAEYAKABfAHIAbgBnACAAPAA+ACAAXwBpAHQAbQAsACAAXwB0AGIAbAAsACAATgBBACgAKQApACwAXABuACAAIAAgACAAIAAgACAAIAAgACAAIAAgAEkARgAoAF8AcgBuAGcAIAA+ACAAXwBpAHQAbQAsACAAXwB0AGIAbAAsACAATgBBACgAKQApACwAXABuACAAIAAgACAAIAAgACAAIAAgACAAIAAgAEkARgAoAF8AcgBuAGcAIAA8ACAAXwBpAHQAbQAsACAAXwB0AGIAbAAsACAATgBBACgAKQApACwAXABuACAAIAAgACAAIAAgACAAIAAgACAAIAAgAEkARgAoAF8AcgBuAGcAIAA+AD0AIABfAGkAdABtACwAIABfAHQAYgBsACwAIABOAEEAKAApACkALABcAG4AIAAgACAAIAAgACAAIAAgACAAIAAgACAASQBGACgAXwByAG4AZwAgADwAPQAgAF8AaQB0AG0ALAAgAF8AdABiAGwALAAgAE4AQQAoACkAKQAsAFwAbgAgACAAIAAgACAAIAAgACAAIAAgACAAIABJAEYAKAAgAEkAUwBOAFUATQBCAEUAUgAoACAARgBJAE4ARAAoACAATABPAFcARQBSACgAXwBpAHQAbQApACwAIABMAE8AVwBFAFIAKABfAHIAbgBnACkAKQApACwAIABfAHQAYgBsACwAIABOAEEAKAApACkALABcAG4AIAAgACAAIAAgACAAIAAgACAAIAAgACAASQBGACgAIABSAEUARwBFAFgAVABFAFMAVAAoAF8AcgBuAGcALAAgAF8AaQB0AG0AKQAsACAAXwB0AGIAbAAsACAATgBBACgAKQApACkALABcAG4AIAAgACAAIAAgACAAIAAgADIAKQAsAFwAbgAgACAAIAAgACAAIAAgACAALwAvACAARABlAHQAZQByAG0AaQBuAGUAIAB3AGgAZQB0AGgAZQByACAAdABoAGUAIAByAGUAdAB1AHIAbgAgAHIAZQBzAHUAbAB0ACAAcwBoAG8AdQBsAGQAIABiAGUAIAB0AGgAZQAgAGYAaQBsAHQAZQByAGUAZAAvAG0AYQB0AGMAaABlAGQAIABvAHUAdABwAHUAdAAgAGEAcgByAGEAeQAgAG8AcgAgAHQAaABlACAAYwBvAHUAbgB0ACAAbwBmACAAdABoAGUAIABmAGkAbAB0AGUAcgBlAGQALwBtAGEAdABjAGgAZQBkACAAbwB1AHQAcAB1AHQAIABhAHIAcgBhAHkAXABuACAAIAAgACAAIAAgACAAIABfAGMAYQBsAGMALAAgAEkARgAoAF8AbwBwAHQAbgAgADwAPgAgADUALAAgAF8AbQB0AGMAaAAsACAATQBBAFgAKAAgAFIATwBXAFMAKABfAG0AdABjAGgAKQApACkALABcAG4AIAAgACAAIAAgACAAIAAgAC8ALwAgAEMAaABlAGMAawAgAGkAZgAgAHQAaABlACAAYwBhAGwAYwB1AGwAYQB0AGUAZAAgAHIAZQBzAHUAbAB0ACAAcgBlAHQAdQByAG4AcwAgAGEAbgAgAGUAcgByAG8AcgAgAHMAdQBnAGcAZQBzAHQAaQBuAGcAIABuAG8AdAAgAG0AYQB0AGMAaAAgAC0ALQAgAGkAZgAgAHMAbwAgAHIAZQB0AHUAcgBuACAAdABoAGUAIABjAG8AcgByAGUAYwB0ACAAXAAiAG4AbwB0ACAAZgBvAHUAbgBkAFwAIgAgAHYAYQBsAHUAZQBcAG4AIAAgACAAIAAgACAAIAAgAF8AYQByAHIALAAgAEkARgAoACAASQBTAEUAUgBSAE8AUgAoAF8AYwBhAGwAYwApACwAIABJAEYAKABfAG8AcAB0AG4AIAA9ACAANQAsACAAMAAsACAAXwByAGUAcAApACwAIABfAGMAYQBsAGMAKQAsAFwAbgAgACAAIAAgACAAIAAgACAALwAvACAAQwByAGUAYQB0AGUAIAB0AGgAZQAgAHIAZQBxAHUAaQByAGUAZAAgAGgAZQBhAGQAZQByACAAYgBhAHMAZQBkACAAbwBuACAAdABoAGUAIABjAGgAbwBzAGUAbgAgAG8AdQB0AHAAdQB0ACAAdAB5AHAAZQAsACAAYQBuAGQAIABzAHQAYQBjAGsAIAB0AGgAaQBzACAAbwBuACAAdABvAHAAIABvAGYAIAB0AGgAZQAgAGMAYQBsAGMAdQBsAGEAdABlAGQAIAByAGUAcwB1AGwAdABzACAAYQByAHIAYQB5AFwAbgAgACAAIAAgACAAIAAgACAAXwBoAGQAcgAsACAAQwBIAE8ATwBTAEUAKABfAG8AcAB0AG4AIAArACAAMQAsAFwAbgAgACAAIAAgACAAIAAgACAAIAAgACAAIABcACIATQBhAHQAYwBoAGUAcwBcACIALABcAG4AIAAgACAAIAAgACAAIAAgACAAIAAgACAAXAAiAFIAbwB3ACwAQwBvAGwAdQBtAG4AXAAiACwAXABuACAAIAAgACAAIAAgACAAIAAgACAAIAAgAFwAIgBSAG8AdwAsAEMAbwBsAHUAbQBuAFwAIgAsAFwAbgAgACAAIAAgACAAIAAgACAAIAAgACAAIABcACIAQwBlAGwAbAAgAEEAZABkAHIAZQBzAHMAXAAiACwAXABuACAAIAAgACAAIAAgACAAIAAgACAAIAAgAFwAIgBDAGUAbABsACAAQQBkAGQAcgBlAHMAcwBcACIALABcAG4AIAAgACAAIAAgACAAIAAgACAAIAAgACAAXAAiAEMAbwB1AG4AdAAgAG8AZgAgAE0AYQB0AGMAaABlAHMAXAAiAFwAbgAgACAAIAAgACAAIAAgACAAKQAsAFwAbgAgACAAIAAgACAAIAAgACAAXwBpAG4AYwAsACAAVgBTAFQAQQBDAEsAKABfAGgAZAByACwAIABfAGEAcgByACkALABcAG4AIAAgACAAIAAgACAAIAAgAC8ALwAgAEkAZgAgAHQAaABlACAAcgBlAGwAYQB0AGkAdgBlACAAbwByACAAYQBiAHMAbwBsAHUAdABlACAAYwBlAGwAbAAgAHAAbwBzAGkAdABpAG8AbgAgAG8AdQB0AHAAdQB0ACAAdAB5AHAAZQAgAGkAcwAgAGMAaABvAHMAZQBuACAAYQBuAGQAIAB0AGgAZQAgAHMAcABsAGkAdABfAG8AdQB0AHAAdQB0ACAAcABhAHIAYQBtAGUAdABlAHIAIABpAHMAIABUAFIAVQBFACAAdABoAGUAbgAgAHQAaABlACAAaABlAGEAZABlAHIAIABhAG4AZAAgAHIAZQBzAHUAbAB0AHMAIABhAHIAZQAgAHMAcABsAGkAdAAgAGkAbgB0AG8AIAB0AHcAbwAgAGMAbwBsAHUAbQBuAHMAXABuACAAIAAgACAAIAAgACAAIABfAHIAcwBsAHQALAAgAEkARgAoACAAQQBOAEQAKABfAHMAcABsAHQALAAgAF8AbwBwAHQAbgAgAD4AIAAwACwAIABfAG8AcAB0AG4AIAA8ACAAMwApACwAXABuACAAIAAgACAAIAAgACAAIAAgACAAIAAgAEQAUgBPAFAAKAAgAFIARQBEAFUAQwBFACgAXAAiAFwAIgAsACAAXwBpAG4AYwAsACAATABBAE0AQgBEAEEAKABfAGEAYwBjACwAXwB2AGEAbAAsACAAVgBTAFQAQQBDAEsAKABfAGEAYwBjACwAIABUAEUAWABUAFMAUABMAEkAVAAoAF8AdgBhAGwALAAgAFwAIgAsAFwAIgAsACAALAAgAFQAUgBVAEUAKQApACkAKQAsACAAMQApACwAXABuACAAIAAgACAAIAAgACAAIAAgACAAIAAgAF8AaQBuAGMAXABuACAAIAAgACAAIAAgACAAIAApACwAXABuACAAIAAgACAAIAAgACAAIAAvAC8AIABJAGYAIAB0AGgAZQAgAGEAZABkAF8AaABlAGEAZABlAHIAIABwAGEAcgBhAG0AZQB0AGUAcgAgAGkAcwAgAEYAQQBMAFMARQAgAHQAaABlAG4AIAByAGUAbQBvAHYAZQAgAHQAaABlACAAaABlAGEAZABlAHIAIAByAG8AdwBcAG4AIAAgACAAIAAgACAAIAAgAF8AbwB1AHQALAAgAEQAUgBPAFAAKABfAHIAcwBsAHQALAAgAEkARgAoAF8AYQBkAGQALAAgADAALAAgADEAKQApACwAXABuACAAIAAgACAAIAAgACAAIAAvAC8AIABJAGYAIAB0AGgAZQByAGUAIABhAHIAZQAgAGEAbgB5ACAAIwBOAC8AQQAgAHYAYQBsAHUAZQBzACAAaQBuACAAdABoAGUAIABvAHUAdABwAHUAdAAgAGEAcgByAGEAeQAgAHQAaABlAHMAZQAgAHIAZQBwAGwAYQBjAGUAZAAgAHcAaQB0AGgAIAB0AGgAZQAgAGkAZgBfAG4AbwB0AF8AZgBvAHUAbgBkACAAdgBhAGwAdQBlAFwAbgAgACAAIAAgACAAIAAgACAAXwByAHQAbgAsACAASQBGACgAIABJAFMATgBBACgAXwBvAHUAdAApACwAIABfAHIAZQBwACwAIABfAG8AdQB0ACkALABcAG4AIAAgACAAIAAgACAAIAAgAC8ALwAgAEkAZgAgAHQAaABlACAAaQBuAHAAdQB0ACAAYwBoAGUAYwBrAHMAIAAoAF8AaQBuAHAAQwBoAGsAKQAgAGgAYQB2AGUAIABmAGwAYQBnAGcAZQBkACAAdABoAGUAbgAgAHIAZQB0AHUAcgBuACAAdABoAGUAIAByAGUAcQB1AGkAcgBlAGQAIABFAHgAYwBlAGwAIABlAHIAcgBvAHIAIABjAG8AZABlACwAIABvAHQAaABlAHIAdwBpAHMAZQAgAHIAZQB0AHUAcgBuACAAdABoAGUAIABjAGEAbABjAHUAbABhAHQAZQBkACAAcgBlAHMAdQBsAHQAIAAoAF8AcgB0AG4AKQBcAG4AIAAgACAAIAAgACAAIAAgAEMASABPAE8AUwBFACgAXwBpAG4AcABDAGgAawAsACAAXwByAHQAbgAsACAASQBOAEQASQBSAEUAQwBUACgAXAAiAFwAIgApACwAIAAjAFYAQQBMAFUARQAhACkAXABuACAAIAAgACAAKQBcAG4AKQA7AFwAbgBcAG4ALwAqAFwAbgAgACAAIAAgAE4AYQBtAGUAOgAgACAAIAAgACAAIAAgACAASgBvAGkAbgAoACkAXABuACAAIAAgACAAVgBlAHIAcwBpAG8AbgA6ACAAIAAgACAAIAAxAC4AMAA1ACAAKAAyADkALQBKAHUAbAAtADIAMAAyADUAKQAgAC0ALQAgAFIAIABTAGkAbABrACwAIABSAFgATAAgAEQAZQB2AGUAbABvAHAAbQBlAG4AdABcAG4AIAAgACAAIABEAGUAcwBjAHIAaQBwAHQAaQBvAG4AOgAgACoALwAvACoAKgBKAG8AaQBuAHMAIAB0AHcAbwAgAGQAYQB0AGEAIAB0AGEAYgBsAGUAcwAgAHQAbwBnAGUAdABoAGUAcgAgAG0AYQB0AGMAaABpAG4AZwAgAHIAbwB3AHMAIABiAGEAcwBlAGQAIABvAG4AIABjAGgAbwBzAGUAbgAgAGMAbwBsAHUAbQBuAHMAIABmAHIAbwBtACAAZQBhAGMAaAAgAGkAbgBwAHUAdAAgAGEAcgByAGEAeQA7ACAAcwBpAG0AaQBsAGEAcgAgAHQAbwAgAHQAaABlACAAUwBRAEwAIABKAE8ASQBOACAAbwBwAGUAcgBhAHQAaQBvAG4AKgAvAC8AKgBcAG4AIAAgACAAIABQAGEAcgBhAG0AZQB0AGUAcgBzADoAXABuACAAIAAgACAAIAAgACAAIAArACAAZgBpAHIAcwB0AF8AYQByAHIAYQB5ACAAIAAgACAAIAAgACAAIAAgAD0AIAAoAHIAZQBxAHUAaQByAGUAZAApACAAVABoAGUAIABmAGkAcgBzAHQAIABvAHIAIABtAGEAaQBuACAAKABwAHIAaQBtAGEAcgB5AC8AbABlAGYAdAApACAAZABhAHQAYQAgAGEAcgByAGEAeQAsACAAdABvACAAdwBoAGkAYwBoACAAdABoAGUAIABzAGUAYwBvAG4AZAAgACgAcwBlAGMAbwBuAGQAYQByAHkALwByAGkAZwBoAHQAKQAgAGQAYQB0AGEAIABhAHIAcgBhAHkAIAB3AGkAbABsACAAYgBlACAAagBvAGkAbgBlAGQAXABuACAAIAAgACAAIAAgACAAIAArACAAcwBlAGMAbwBuAGQAXwBhAHIAcgBhAHkAIAAgACAAIAAgACAAIAAgAD0AIAAoAHIAZQBxAHUAaQByAGUAZAApACAAVABoAGUAIABzAGUAYwBvAG4AZAAgACgAcwBlAGMAbwBuAGQAYQByAHkALwByAGkAZwBoAHQAKQAgAGQAYQB0AGEAIABhAHIAcgBhAHkALAAgAHcAaABpAGMAaAAgAGkAcwAgAGoAbwBpAG4AZQBkACAAdABvACAAdABoAGUAIABmAGkAcgBzAHQAIAAoAHAAcgBpAG0AYQByAHkALwBsAGUAZgB0ACkAIABkAGEAdABhACAAYQByAHIAYQB5AFwAbgAgACAAIAAgACAAIAAgACAAKwAgAGYAaQByAHMAdABfAG0AYQB0AGMAaABfAGkAbgBkAGUAeAAgACAAIAA9ACAAKAByAGUAcQB1AGkAcgBlAGQAKQAgAFQAaABlACAAYwBvAGwAdQBtAG4AIABuAHUAbQBiAGUAcgAoAHMAKQAgAG8AZgAgAHQAaABlACAAYwBvAGwAdQBtAG4AKABzACkAIAB0AG8AIAB1AHMAZQAgAGYAbwByACAAbQBhAHQAYwBoAGkAbgBnACAAaQBuACAAdABoAGUAIABmAGkAcgBzAHQAXwBhAHIAcgBhAHkAIAAoAGUALgBnAC4AIAAxACAAZgBvAHIAIAB0AGgAZQAgADEAcwB0ACAAYwBvAGwAdQBtAG4AIABvAGYAIAB0AGgAZQAgAGEAcgByAGEAeQAsACAAMgAgAGYAbwByACAAdABoAGUAIAAyAG4AZAAgAGMAbwBsAHUAbQBuACwAIABlAHQAYwAuACkAXABuACAAIAAgACAAIAAgACAAIAArACAAcwBlAGMAbwBuAGQAXwBtAGEAdABjAGgAXwBpAG4AZABlAHgAIAAgAD0AIAAoAHIAZQBxAHUAaQByAGUAZAApACAAVABoAGUAIABjAG8AbAB1AG0AbgAgAG4AdQBtAGIAZQByACgAcwApACAAbwBmACAAdABoAGUAIABjAG8AbAB1AG0AbgAoAHMAKQAgAHQAbwAgAHUAcwBlACAAZgBvAHIAIABtAGEAdABjAGgAaQBuAGcAIABpAG4AIAB0AGgAZQAgAHMAZQBjAG8AbgBkAF8AYQByAHIAYQB5ACAAKABlAC4AZwAuACAAMQAgAGYAbwByACAAdABoAGUAIAAxAHMAdAAgAGMAbwBsAHUAbQBuACAAbwBmACAAdABoAGUAIABhAHIAcgBhAHkALAAgADIAIABmAG8AcgAgAHQAaABlACAAMgBuAGQAIABjAG8AbAB1AG0AbgAsACAAZQB0AGMALgApAFwAbgAgACAAIAAgACAAIAAgACAAKwAgAGoAbwBpAG4AXwB0AHkAcABlACAAIAAgACAAIAAgACAAIAAgACAAIAA9ACAAKABvAHAAdABpAG8AbgBhAGwAKQAgAEQAZQB0AGUAcgBtAGkAbgBlAHMAIAB0AGgAZQAgAHQAeQBwAGUAIABvAGYAIABqAG8AaQBuACAAbwB1AHQAcAB1AHQAIAB3AGgAaQBjAGgAIAB0AGgAZQAgAGYAdQBuAGMAdABpAG8AbgAgAHAAcgBvAGQAdQBjAGUAcwBcAG4AIAAgACAAIAAgACAAIAAgACAAIAAgACAAIAAgACAAIAAgACAAIAAgACAAIAAgACAAIAAgACAAIAAgACAAIAAgACAAIAAgACAAIAAgACAAIAAgACAAIAAgAEMAYQBuACAAYgBlACAAaQBuAHAAdQB0ACAAYQBzACAAZQBpAHQAaABlAHIAIABhACAAbgB1AG0AYgBlAHIAIABvAHIAIAB0AGUAeAB0ACAAcwB0AHIAaQBuAGcAIABmAHIAbwBtACAAdABoAGUAIABsAGkAcwB0ACAAbwBmACAAbwBwAHQAaQBvAG4AcwAgAGIAZQBsAG8AdwA6AFwAbgAgACAAIAAgACAAIAAgACAAIAAgACAAIAAgACAAIAAgACAAIAAgACAAIAAgACAAIAAgACAAIAAgACAAIAAgACAAIAAgACAAIAAgACAAIAAgACAAIAAgACAAIAAgADAAIAAgAFwAIgBsAGUAZgB0AFwAIgAgACAAIAA9ACAATABFAEYAVAAgAEoATwBJAE4AIAAgACAAIAAgACAAIAAgAD4APgAgAG8AdQB0AHAAdQB0AHMAIABhAGwAbAAgAHIAbwB3AHMAIABmAHIAbwBtACAAdABoAGUAIABwAHIAaQBtAGEAcgB5ACAAKABsAGUAZgB0ACkAIABhAHIAcgBhAHkALAAgAGkAbgBjAGwAdQBkAGkAbgBnACAAYQBuAHkAIAB1AG4AbQBhAHQAYwBoAGUAZAAgAHIAbwB3AHMAXABuACAAIAAgACAAIAAgACAAIAAgACAAIAAgACAAIAAgACAAIAAgACAAIAAgACAAIAAgACAAIAAgACAAIAAgACAAIAAgACAAIAAgACAAIAAgACAAIAAgACAAIAAgACAAMQAgACAAXAAiAHIAaQBnAGgAdABcACIAIAAgAD0AIABSAEkARwBIAFQAIABKAE8ASQBOACAAIAAgACAAIAAgACAAPgA+ACAAbwB1AHQAcAB1AHQAcwAgAHQAaABlACAAbQBhAHQAYwBoAGUAZAAgAGEAbgBkACAAagBvAGkAbgBlAGQAIAByAG8AdwBzACAAZgByAG8AbQAgAHQAaABlACAAcAByAGkAbQBhAHIAeQAgACgAbABlAGYAdAApACAAYQByAHIAYQB5ACAAZgBvAGwAbABvAHcAZQBkACAAYgB5ACAAYQBuAHkAIAB1AG4AbQBhAHQAYwBoAGUAZAAgAHIAbwB3AHMAIABmAHIAbwBtACAAdABoAGUAIABzAGUAYwBvAG4AZABhAHIAeQAgACgAcgBpAGcAaAB0ACkAIABhAHIAcgBhAHkAXABuACAAIAAgACAAIAAgACAAIAAgACAAIAAgACAAIAAgACAAIAAgACAAIAAgACAAIAAgACAAIAAgACAAIAAgACAAIAAgACAAIAAgACAAIAAgACAAIAAgACAAIAAgACAAMgAgACAAXAAiAGkAbgBuAGUAcgBcACIAIAAgAD0AIABJAE4ATgBFAFIAIABKAE8ASQBOACAAIAAgACAAIAAgACAAPgA+ACAAbwB1AHQAcAB1AHQAcwAgAG8AbgBsAHkAIAB0AGgAZQAgAHIAbwB3AHMAIABmAHIAbwBtACAAdABoAGUAIABwAHIAaQBtAGEAcgB5ACAAKABsAGUAZgB0ACkAIABhAHIAcgBhAHkAIAB3AGgAaQBjAGgAIABhAHIAZQAgAG0AYQB0AGMAaABlAGQAIABhAG4AZAAgAGoAbwBpAG4AZQBkACAAdABvACAAdABoAGUAIABzAGUAYwBvAG4AZABhAHIAeQAgACgAcgBpAGcAaAB0ACkAIABhAHIAcgBhAHkAXABuACAAIAAgACAAIAAgACAAIAAgACAAIAAgACAAIAAgACAAIAAgACAAIAAgACAAIAAgACAAIAAgACAAIAAgACAAIAAgACAAIAAgACAAIAAgACAAIAAgACAAIAAgACAAMwAgACAAXAAiAGYAdQBsAGwAXAAiACAAIAAgAD0AIABGAFUATABMAC8ATwBVAFQARQBSACAASgBPAEkATgAgACAAPgA+ACAAbwB1AHQAcAB1AHQAcwAgAGEAbABsACAAcgBvAHcAcwAgAGYAcgBvAG0AIAB0AGgAZQAgAHAAcgBpAG0AYQByAHkAIAAoAGwAZQBmAHQAKQAgAGEAcgByAGEAeQAgAGYAbwBsAGwAbwB3AGUAZAAgAGIAeQAgAHUAbgBtAGEAdABjAGgAZQBkACAAcgBvAHcAcwAgAGYAcgBvAG0AIAB0AGgAZQAgAHMAZQBjAG8AbgBkAGEAcgB5ACAAKAByAGkAZwBoAHQAKQAgAGEAcgByAGEAeQBcAG4AIAAgACAAIAAgACAAIAAgACAAIAAgACAAIAAgACAAIAAgACAAIAAgACAAIAAgACAAIAAgACAAIAAgACAAIAAgACAAIAAgACAAIAAgACAAIAAgACAAIAAgAEkAZgAgAG4AbwAgAGkAbgBwAHUAdAAgAHYAYQBsAHUAZQAgAGkAcwAgAHAAcgBvAHYAaQBkAGUAZAAsACAAdwBpAGwAbAAgAGQAZQBmAGEAdQBsAHQAIAB0AG8AIAAwACAAKABMAEUARgBUACAASgBPAEkATgApAFwAbgAgACAAIAAgACAAIAAgACAAKwAgAGYAaQByAHMAdABfAGEAcgByAGEAeQBfAGMAbwBsAHMAIAAgACAAIAA9ACAAKABvAHAAdABpAG8AbgBhAGwAKQAgAEEAbgAgAGEAcgByAGEAeQAgAG8AZgAgAGMAbwBsAHUAbQBuACAAaQBuAGQAZQB4ACAAdgBhAGwAdQBlAHMAIAB0AGgAYQB0ACAAZABlAHQAZQByAG0AaQBuAGUAcwAgAHcAaABpAGMAaAAgAGMAbwBsAHUAbQBuAHMAIABmAHIAbwBtACAAdABoAGUAIABmAGkAcgBzAHQAXwBhAHIAcgBhAHkAIAAoAHAAcgBpAG0AYQByAHkALwBsAGUAZgB0ACAAYQByAHIAYQB5ACkAIAB3AGkAbABsACAAYgBlACAAaQBuAGMAbAB1AGQAZQBkACAAaQBuACAAdABoAGUAIABmAHUAbgBjAHQAaQBvAG4AIABvAHUAdABwAHUAdABcAG4AIAAgACAAIAAgACAAIAAgACAAIAAgACAAIAAgACAAIAAgACAAIAAgACAAIAAgACAAIAAgACAAIAAgACAAIAAgACAAIAAgACAAIAAgACAAIAAgACAAIAAgAFQAaABlACAAaQBuAHAAdQB0ACAAcwBoAG8AdQBsAGQAIABiAGUAIABwAHIAbwB2AGkAZABlAGQAIABhAHMAIABhACAAcwBpAG4AZwBsAGUAIAByAG8AdwAgAG8AZgAgAGMAbwBtAG0AYQAtAHMAZQBwAGEAcgBhAHQAZQBkACAAaQBuAHQAZQBnAGUAcgAgAHYAYQBsAHUAZQBzACwAIABlAC4AZwAuACAAewAxACwAMgAsADMAfQBcAG4AIAAgACAAIAAgACAAIAAgACAAIAAgACAAIAAgACAAIAAgACAAIAAgACAAIAAgACAAIAAgACAAIAAgACAAIAAgACAAIAAgACAAIAAgACAAIAAgACAAIAAgAEkAZgAgAG4AbwAgAGkAbgBwAHUAdAAgAGkAcwAgAHAAcgBvAHYAaQBkAGUAZAAsACAAdwBpAGwAbAAgAGQAZQBmAGEAdQBsAHQAIAB0AG8AIABpAG4AYwBsAHUAZABpAG4AZwAgAGEAbABsACAAYwBvAGwAdQBtAG4AcwAgAGYAcgBvAG0AIAB0AGgAZQAgAGYAaQByAHMAdABfAGEAcgByAGEAeQBcAG4AIAAgACAAIAAgACAAIAAgACsAIABzAGUAYwBvAG4AZABfAGEAcgByAGEAeQBfAGMAbwBsAHMAIAAgACAAPQAgACgAbwBwAHQAaQBvAG4AYQBsACkAIABBAG4AIABhAHIAcgBhAHkAIABvAGYAIABjAG8AbAB1AG0AbgAgAGkAbgBkAGUAeAAgAHYAYQBsAHUAZQBzACAAdABoAGEAdAAgAGQAZQB0AGUAcgBtAGkAbgBlAHMAIAB3AGgAaQBjAGgAIABjAG8AbAB1AG0AbgBzACAAZgByAG8AbQAgAHQAaABlACAAcwBlAGMAbwBuAGQAXwBhAHIAcgBhAHkAIAAoAHMAZQBjAG8AbgBkAGEAcgB5AC8AcgBpAGcAaAB0ACAAYQByAHIAYQB5ACkAIAB3AGkAbABsACAAYgBlACAAaQBuAGMAbAB1AGQAZQBkACAAaQBuACAAdABoAGUAIABmAHUAbgBjAHQAaQBvAG4AIABvAHUAdABwAHUAdABcAG4AIAAgACAAIAAgACAAIAAgACAAIAAgACAAIAAgACAAIAAgACAAIAAgACAAIAAgACAAIAAgACAAIAAgACAAIAAgACAAIAAgACAAIAAgACAAIAAgACAAIAAgAFQAaABlACAAaQBuAHAAdQB0ACAAcwBoAG8AdQBsAGQAIABiAGUAIABwAHIAbwB2AGkAZABlAGQAIABhAHMAIABhACAAcwBpAG4AZwBsAGUAIAByAG8AdwAgAG8AZgAgAGMAbwBtAG0AYQAtAHMAZQBwAGEAcgBhAHQAZQBkACAAaQBuAHQAZQBnAGUAcgAgAHYAYQBsAHUAZQBzACwAIABlAC4AZwAuACAAewAxACwAMgAsADMAfQBcAG4AIAAgACAAIAAgACAAIAAgACAAIAAgACAAIAAgACAAIAAgACAAIAAgACAAIAAgACAAIAAgACAAIAAgACAAIAAgACAAIAAgACAAIAAgACAAIAAgACAAIAAgAEkAZgAgAG4AbwAgAGkAbgBwAHUAdAAgAGkAcwAgAHAAcgBvAHYAaQBkAGUAZAAsACAAdwBpAGwAbAAgAGQAZQBmAGEAdQBsAHQAIAB0AG8AIABpAG4AYwBsAHUAZABpAG4AZwAgAGEAbABsACAAYwBvAGwAdQBtAG4AcwAgAGYAcgBvAG0AIAB0AGgAZQAgAHMAZQBjAG8AbgBkAF8AYQByAHIAYQB5AFwAbgAgACAAIAAgACAAIAAgACAAKwAgAHMAbwByAHQAIAAgACAAIAAgACAAIAAgACAAIAAgACAAIAAgACAAIAA9ACAAKABvAHAAdABpAG8AbgBhAGwAKQAgAEEAbABsAG8AdwBzACAAdABoAGUAIAB1AHMAZQByACAAdABvACAAcwBvAHIAdAAgAHQAaABlACAAZgB1AG4AYwB0AGkAbwBuACAAbwB1AHQAcAB1AHQAIABiAGEAcwBlAGQAIABvAG4AIAB0AGgAZQAgAG0AYQB0AGMAaAAgAGMAbwBsAHUAbQBuACgAcwApAFwAbgAgACAAIAAgACAAIAAgACAAIAAgACAAIAAgACAAIAAgACAAIAAgACAAIAAgACAAIAAgACAAIAAgACAAIAAgACAAIAAgACAAIAAgACAAIAAgACAAIAAgACAAQwBhAG4AIABiAGUAIABpAG4AcAB1AHQAIABhAHMAIABlAGkAdABoAGUAcgAgAGEAIABuAHUAbQBiAGUAcgAgAG8AcgAgAGEAIABsAG8AZwBpAGMAYQBsAC8AQgBvAG8AbABlAGEAbgAgAHYAYQBsAHUAZQA6AFwAbgAgACAAIAAgACAAIAAgACAAIAAgACAAIAAgACAAIAAgACAAIAAgACAAIAAgACAAIAAgACAAIAAgACAAIAAgACAAIAAgACAAIAAgACAAIAAgACAAIAAgACAAIAAgACAAIAAwACAAIAAgACAAPQAgAG4AbwAgAHMAbwByAHQAaQBuAGcAXABuACAAIAAgACAAIAAgACAAIAAgACAAIAAgACAAIAAgACAAIAAgACAAIAAgACAAIAAgACAAIAAgACAAIAAgACAAIAAgACAAIAAgACAAIAAgACAAIAAgACAAIAAgACAAIAArADEAIAAgACAAIAA9ACAAZgB1AG4AYwB0AGkAbwBuACAAbwB1AHQAcAB1AHQAIABzAG8AcgB0AGUAZAAgAGkAbgAgAGEAcwBjAGUAbgBkAGkAbgBnACAAbwByAGQAZQByACAAKABlAC4AZwAuACAAQQAtAFoAIABvAHIAIAAxAC0AOQApAFwAbgAgACAAIAAgACAAIAAgACAAIAAgACAAIAAgACAAIAAgACAAIAAgACAAIAAgACAAIAAgACAAIAAgACAAIAAgACAAIAAgACAAIAAgACAAIAAgACAAIAAgACAAIAAgACAALQAxACAAIAAgACAAPQAgAGYAdQBuAGMAdABpAG8AbgAgAG8AdQB0AHAAdQB0ACAAcwBvAHIAdABlAGQAIABpAG4AIABkAGUAcwBjAGUAbgBkAGkAbgBnACAAbwByAGQAZQByACAAKABlAC4AZwAuACAAWgAtAEEAIABvAHIAIAA5AC0AMQApAFwAbgAgACAAIAAgACAAIAAgACAAIAAgACAAIAAgACAAIAAgACAAIAAgACAAIAAgACAAIAAgACAAIAAgACAAIAAgACAAIAAgACAAIAAgACAAIAAgACAAIAAgACAAIAAgAFQAUgBVAEUAIAAgACAAPQAgAGYAdQBuAGMAdABpAG8AbgAgAG8AdQB0AHAAdQB0ACAAcwBvAHIAdABlAGQAIABpAG4AIABhAHMAYwBlAG4AZABpAG4AZwAgAG8AcgBkAGUAcgAgACgAZQAuAGcALgAgAEEALQBaACAAbwByACAAMQAtADkAKQBcAG4AIAAgACAAIAAgACAAIAAgACAAIAAgACAAIAAgACAAIAAgACAAIAAgACAAIAAgACAAIAAgACAAIAAgACAAIAAgACAAIAAgACAAIAAgACAAIAAgACAAIAAgACAAIABGAEEATABTAEUAIAAgAD0AIABuAG8AIABzAG8AcgB0AGkAbgBnAFwAbgAgACAAIAAgACAAIAAgACAAIAAgACAAIAAgACAAIAAgACAAIAAgACAAIAAgACAAIAAgACAAIAAgACAAIAAgACAAIAAgACAAIAAgACAAIAAgACAAIAAgACAASQBmACAAbgBvACAAaQBuAHAAdQB0ACAAaQBzACAAcAByAG8AdgBpAGQAZQBkACwAIAB3AGkAbABsACAAZABlAGYAYQB1AGwAdAAgAHQAbwAgAGEAbgAgAHUAbgBzAG8AcgB0AGUAZAAgAG8AdQB0AHAAdQB0ACAAKAAwAC8ARgBBAEwAUwBFACkAXABuACAAIAAgACAAIAAgACAAIAArACAAcgBlAHAAbABhAGMAZQBfAG4AYQAgACAAIAAgACAAIAAgACAAIAAgAD0AIAAoAG8AcAB0AGkAbwBuAGEAbAApACAAQQBsAGwAbwB3AHMAIAB0AGgAZQAgAHUAcwBlAHIAIAB0AG8AIAByAGUAcABsAGEAYwBlACAAYQBuAHkAIAAjAE4ALwBBACAAdgBhAGwAdQBlAHMAIABpAG4AIAB0AGgAZQAgAGYAdQBuAGMAdABpAG8AbgAgAG8AdQB0AHAAdQB0ACAAdABvACAAYgBlACAAcgBlAHAAbABhAGMAZQBkACAAdwBpAHQAaAAgAGEAIABwAHIAbwB2AGkAZABlAGQAIAB2AGEAbAB1AGUAIABvAHIAIABhACAAYgBsAGEAbgBrACAAdABlAHgAdAAgAHMAdAByAGkAbgBnACAAKABcACIAXAAiACkAXABuACAAIAAgACAAIAAgACAAIAAgACAAIAAgACAAIAAgACAAIAAgACAAIAAgACAAIAAgACAAIAAgACAAIAAgACAAIAAgACAAIAAgACAAIAAgACAAIAAgACAAIABDAGEAbgAgAGIAZQAgAGkAbgBwAHUAdAAgAGEAcwAgAGUAaQB0AGgAZQByACAAYQAgAGwAbwBnAGkAYwBhAGwALwBCAG8AbwBsAGUAYQBuACAAdgBhAGwAdQBlACAAbwByACAAYQBuAHkAIABvAHQAaABlAHIAIAB2AGEAbAB1AGUAOgBcAG4AIAAgACAAIAAgACAAIAAgACAAIAAgACAAIAAgACAAIAAgACAAIAAgACAAIAAgACAAIAAgACAAIAAgACAAIAAgACAAIAAgACAAIAAgACAAIAAgACAAIAAgACAAIABUAFIAVQBFACAAIAAgAD0AIABuAG8AIAByAGUAcABsAGEAYwBlAG0AZQBuAHQAIABvAGYAIAAjAE4ALwBBACAAdgBhAGwAdQBlAHMAXABuACAAIAAgACAAIAAgACAAIAAgACAAIAAgACAAIAAgACAAIAAgACAAIAAgACAAIAAgACAAIAAgACAAIAAgACAAIAAgACAAIAAgACAAIAAgACAAIAAgACAAIAAgACAARgBBAEwAUwBFACAAIAA9ACAAcgBlAHAAbABhAGMAaQBuAGcAIAAjAE4ALwBBACAAdgBhAGwAdQBlAHMAIAB3AGkAdABoACAAYQAgAGIAbABhAG4AawAgAHQAZQB4AHQAIABzAHQAcgBpAG4AZwAgACgAXAAiAFwAIgApAFwAbgAgACAAIAAgACAAIAAgACAAIAAgACAAIAAgACAAIAAgACAAIAAgACAAIAAgACAAIAAgACAAIAAgACAAIAAgACAAIAAgACAAIAAgACAAIAAgACAAIAAgACAAIABbAG8AdABoAGUAcgBdACAAPQAgAHIAZQBwAGwAYQBjAGkAbgBnACAAIwBOAC8AQQAgAHYAYQBsAHUAZQBzACAAdwBpAHQAaAAgAHQAaABlACAAdgBhAGwAdQBlACAAcAByAG8AdgBpAGQAZQBkAFwAbgAgACAAIAAgACAAIAAgACAAIAAgACAAIAAgACAAIAAgACAAIAAgACAAIAAgACAAIAAgACAAIAAgACAAIAAgACAAIAAgACAAIAAgACAAIAAgACAAIAAgACAASQBmACAAbgBvACAAaQBuAHAAdQB0ACAAaQBzACAAcAByAG8AdgBpAGQAZQBkACwAIAB3AGkAbABsACAAZABlAGYAYQB1AGwAdAAgAHQAbwAgAG4AbwAgAHIAZQBwAGwAYQBjAGUAbQBlAG4AdAAgACgARgBBAEwAUwBFACkAXABuACAAIAAgACAARQByAHIAbwByACAAYwBvAGQAZQBzADoAXABuACAAIAAgACAAIAAgACAAIAAgACAAIAAgACMAVgBBAEwAVQBFACEAIAAgACAAIAAgAFIAZQBxAHUAaQByAGUAZAAgAGkAbgBwAHUAdAAgAHAAYQByAGEAbQBlAHQAZQByAHMAIAAoAGYAaQByAHMAdABfAGEAcgByAGEAeQAsACAAcwBlAGMAbwBuAGQAXwBhAHIAcgBhAHkALAAgAGYAaQByAHMAdABfAG0AYQB0AGMAaABfAGkAbgBkAGUAeAAsACAAcwBlAGMAbwBuAGQAXwBtAGEAdABjAGgAXwBpAG4AZABlAHgAKQAgAGgAYQB2AGUAIABuAG8AdAAgAGIAZQBlAG4AIABwAHIAbwB2AGkAZABlAGQAXABuACAAIAAgACAAIAAgACAAIAAgACAAIAAgACMAQwBBAEwAQwAhACAAIAAgACAAIAAgAFQAaABlACAAdgBhAGwAdQBlACgAcwApACAAcAByAG8AdgBpAGQAZQBkACAAZgBvAHIAIAB0AGgAZQAgAGYAaQByAHMAdABfAG0AYQB0AGMAaABfAGkAbgBkAGUAeAAgAGEAbgBkAC8AbwByACAAcwBlAGMAbwBuAGQAXwBtAGEAdABjAGgAXwBpAG4AZABlAHgAIABhAHIAZQAgAGkAbgB2AGEAbABpAGQAIAAoAGUALgBnAC4AIAB0AGUAeAB0ACAAbwByACAAZQByAHIAbwByACAAdgBhAGwAdQBlAHMAKQAgAG8AcgAgAGUAeABjAGUAZQBkACAAdABoAGUAIABjAG8AcgByAGUAcwBwAG8AbgBkAGkAbgBnACAAYwBvAGwAdQBtAG4AIABpAG4AZABlAHgAIAByAGEAbgBnAGUAcwBcAG4AIAAgACAAIAAgACAAIAAgACAAIAAgACAAIAAgACAAIAAgACAAIAAgACAAIAAgACAAIAAgACAAIABlAC4AZwAuACAAYQAgAG4AdQBtAGIAZQByACAAbABlAHMAcwAgAHQAaABhAG4AIAAxACAAbwByACAAYQAgAG4AdQBtAGIAZQByACAAZwByAGUAYQB0AGUAcgAgAHQAaABhAG4AIAB0AGgAZQAgAG4AdQBtAGIAZQByACAAbwBmACAAYwBvAGwAdQBtAG4AcwAgAGkAbgAgAHQAaABlACAAZgBpAHIAcwB0AF8AYQByAHIAYQB5ACAAbwByACAAcwBlAGMAbwBuAGQAXwBhAHIAcgBhAHkAXABuACAAIAAgACAAIAAgACAAIAAgACAAIAAgACMAQwBBAEwAQwAhACAAIAAgACAAIAAgAFQAaABlACAAdgBhAGwAdQBlACgAcwApACAAcAByAG8AdgBpAGQAZQBkACAAaQBuACAAdABoAGUAIABmAGkAcgBzAHQAXwBhAHIAcgBhAHkAXwBjAG8AbABzACAAYQBuAGQALwBvAHIAIABzAGUAYwBvAG4AZABfAGEAcgByAGEAeQBfAGMAbwBsAHMAIABhAHIAZQAgAGkAbgB2AGEAbABpAGQAIAAoAGUALgBnAC4AIAB0AGUAeAB0ACAAbwByACAAZQByAHIAbwByACAAdgBhAGwAdQBlAHMAKQAgAG8AcgAgAGUAeABjAGUAZQBkACAAdABoAGUAIABjAG8AcgByAGUAcwBwAG8AbgBkAGkAbgBnACAAYwBvAGwAdQBtAG4AIABpAG4AZABlAHgAIAByAGEAbgBnAGUAcwBcAG4AIAAgACAAIAAgACAAIAAgACAAIAAgACAAIAAgACAAIAAgACAAIAAgACAAIAAgACAAIAAgACAAIABlAC4AZwAuACAAYQAgAG4AdQBtAGIAZQByACAAbABlAHMAcwAgAHQAaABhAG4AIAAxACAAbwByACAAYQAgAG4AdQBtAGIAZQByACAAZwByAGUAYQB0AGUAcgAgAHQAaABhAG4AIAB0AGgAZQAgAG4AdQBtAGIAZQByACAAbwBmACAAYwBvAGwAdQBtAG4AcwAgAGkAbgAgAHQAaABlACAAZgBpAHIAcwB0AF8AYQByAHIAYQB5ACAAbwByACAAcwBlAGMAbwBuAGQAXwBhAHIAcgBhAHkAXABuACAAIAAgACAAIAAgACAAIAAgACAAIAAgACMAVgBBAEwAVQBFACEAIAAgACAAIAAgAE8AcAB0AGkAbwBuAGEAbAAgAGkAbgBwAHUAdAAgAHAAYQByAGEAbQBlAHQAZQByAHMAIABqAG8AaQBuAF8AdAB5AHAAZQAgAGEAbgBkACAAcwBvAHIAdAAgAGgAYQB2AGUAIABpAG4AdgBhAGwAaQBkACAAaQBuAHAAdQB0ACAAdgBhAGwAdQBlAHMAIABwAHIAbwB2AGkAZABlAGQAXABuACAAIAAgACAAIAAgACAAIAAgACAAIAAgACAAIAAgACAAIAAgACAAIAAgACAAIAAgACAAIAAgACAAZQAuAGcALgAgAGYAbwByACAAagBvAGkAbgBfAHQAeQBwAGUAIABhACAAbgB1AG0AYgBlAHIAIABvAHUAdABzAGkAZABlACAAbwBmACAAdABoAGUAIAByAGEAbgBnAGUAIAAwAC0AdABvAC0AMwAgAG8AcgAgAGEAIAB0AGUAeAB0ACAAcwB0AHIAaQBuAGcAIABuAG8AdAAgAGYAcgBvAG0AIABlAHgAcABlAGMAdABlAGQAIABvAHAAdABpAG8AbgBzADsAIABmAG8AcgAgAHMAbwByAHQAIABhACAAbgB1AG0AYgBlAHIAIABvAHUAdABzAGkAZABlACAAbwBmACAAdABoAGUAIAByAGEAbgBnAGUAIAAtADEALQB0AG8ALQAxACAAbwByACAAYQAgAHYAYQBsAHUAZQAgAG8AdABoAGUAcgAgAHQAaABhAG4AIABUAFIAVQBFAC8ARgBBAEwAUwBFAFwAbgAgACAAIAAgAE4AbwB0AGUAcwA6AFwAbgAgACAAIAAgACAAIAAgACAALQAgAFQAaABlACAAbQBhAGkAbgAvAHAAcgBpAG0AYQByAHkAIAAoAGwAZQBmAHQAKQAgAGEAcgByAGEAeQAgAGkAcwAgAGcAaQB2AGUAbgAgAHAAcgBlAGYAZQByAGUAbgBjAGUAIABvAHYAZQByACAAdABoAGUAIABzAGUAYwBvAG4AZABhAHIAeQAgACgAcgBpAGcAaAB0ACkAIABhAHIAcgBhAHkAIAB3AGkAdABoACAAdABoAGUAIAByAG8AdwAgAG8AcgBkAGUAcgAgAG8AZgAgAHAAcgBpAG0AYQByAHkAIAAoAGwAZQBmAHQAKQAgAGIAZQBpAG4AZwAgAHUAcwBlAGQAIABmAG8AcgAgAHQAaABlACAAbQBhAGkAbgAgAGYAdQBuAGMAdABpAG8AbgAgAG8AdQB0AHAAdQB0AC4AIABGAG8AcgAgAGUAeABhAG0AcABsAGUALAAgAHcAaQB0AGgAIAB0AGgAZQAgAEYAVQBMAEwAIAAvACAATwBVAFQARQBSACAASgBPAEkATgAgAHMAdAB5AGwAZQBcAG4AIAAgACAAIAAgACAAIAAgACAAIABvAHUAdABwAHUAdAAsACAAdABoAGUAIABwAHIAaQBtAGEAcgB5ACAAKABsAGUAZgB0ACkAIAByAG8AdwBzACAAYQByAGUAIAByAGUAdAB1AHIAbgBlAGQAIABpAG4AIAB0AGgAZQBpAHIAIABvAHIAaQBnAGkAbgBhAGwAIAByAG8AdwAgAG8AcgBkAGUAcgAsACAAZgBvAGwAbABvAHcAZQBkACAAYgB5ACAAYQBuAHkAIAB1AG4AbQBhAHQAYwBoAGUAZAAgAHIAbwB3AHMAIABmAHIAbwBtACAAdABoAGUAIABzAGUAYwBvAG4AZABhAHIAeQAgACgAcgBpAGcAaAB0ACkAIABhAHIAcgBhAHkAIABtAGEAaQBuAHQAYQBpAG4AaQBuAGcAIAB0AGgAZQAgAG8AcgBpAGcAaQBuAGEAbAAgAHIAbwB3ACAAbwByAGQAZQByACAAbwBmACAAdABoAGUAIABzAGUAYwBvAG4AZABhAHIAeQAgACgAcgBpAGcAaAB0ACkAIABhAHIAcgBhAHkALgBcAG4AIAAgACAAIAAgACAAIAAgAC0AIABUAGgAZQAgAG0AYQB0AGMAaABpAG4AZwAgAGMAbwBsAHUAbQBuACAAaQBuAGQAaQBjAGUAcwAgACgAZgBpAHIAcwB0AF8AbQBhAHQAYwBoAF8AaQBuAGQAZQB4ACwAIABzAGUAYwBvAG4AZABfAG0AYQB0AGMAaABfAGkAbgBkAGUAeAApACAAYwBhAG4AIABiAGUAIABzAHUAcABwAGwAaQBlAGQAIABhAHMAIABlAGkAdABoAGUAcgAgAGEAIABzAGkAbgBnAGwAZQAgAG4AdQBtAGIAZQByACAAbwByACAAYQBuACAAYQByAHIAYQB5ACAAbwBmACAAbgB1AG0AYgBlAHIAcwAuACAAVwBoAGUAcgBlACAAYQBuACAAYQByAHIAYQB5ACAAbwBmACAAaQBuAGQAaQBjAGUAcwAgAGkAcwAgAHUAcwBlAGQAIAB0AGgAZQAgAHIAbwB3ACAAbQBhAHQAYwBoAGkAbgBnACAAdwBpAGwAbAAgAGIAZQAgAGIAYQBzAGUAZAAgAG8AbgBcAG4AIAAgACAAIAAgACAAIAAgACAAIAB0AGgAZQAgAGMAbwBtAGIAaQBuAGEAdABpAG8AbgAgAG8AZgAgAHYAYQBsAHUAZQBzACAAZgByAG8AbQAgAGUAYQBjAGgAIABvAGYAIAB0AGgAZQAgAHMAZQBsAGUAYwB0AGUAZAAgAGkAbgBwAHUAdAAgAGEAcgByAGEAeQAgAGMAbwBsAHUAbQBuAHMALgAgAFQAaABlACAAYwBoAG8AcwBlAG4AIABjAG8AbAB1AG0AbgBzACAAYwBhAG4AIABnAGIAZQAgAGYAcgBvAG0AIABhAG4AeQAgAHAAbwBzAGkAdABpAG8AbgAgAGkAbgAgAHQAaABlACAAYwBvAHIAcgBlAHMAcABuAGQAaQBuAGcAIABpAG4AcAB1AHQAIABhAHIAcgBhAHkAIABhAG4AZAAgAGQAbwAgAG4AbwB0ACAAaABhAHYAZQAgAHQAbwAgAGIAZQAgAGEAZABqAGEAYwBlAG4AdAAgACgAZQAuAGcALgAgAHMAZQBsAGUAYwB0AGkAbgBnACAAdABoAGUAIAAxAHMAdAAgAFwAbgAgACAAIAAgACAAIAAgACAAIAAgAGEAbgBkACAAMwByAGQAIABjAG8AbAB1AG0AbgBzACAAdQBzAGkAbgBnACAAewAxACwAMwB9ACkALgBcAG4AIAAgACAAIAAgACAAIAAgAC0AIABJAGYAIAB0AGgAZQAgAHMAbwByAHQAIABvAHAAdABpAG8AbgAgAGkAcwAgAHUAcwBlAGQALAAgAHMAbwByAHQAaQBuAGcAIABpAHMAIABhAHAAcABsAGkAZQBkACAAYQBmAHQAZQByACAAdABoAGUAIABvAHUAdABwAHUAdAAgAGgAYQBzACAAYgBlAGUAbgAgAGMAbwBuAHMAdAByAHUAYwB0AGUAZAAgAGEAbgBkACAAZgBpAGwAdABlAHIAZQBkACAAYQBzACAAYQBwAHAAcgBvAHAAcgBpAGEAdABlACwAIABzAG8AIAB0AGgAZQAgAHIAbwB3ACAAbwByAGQAZQByACAAaQBzACAAcAB1AHIAZQBsAHkAIABiAGEAcwBlAGQAIABvAG4AIABzAG8AcgB0AGkAbgBnACAAbwBmACAAdABoAGUAIABjAG8AbQBiAGkAbgBlAGQAIABtAGEAdABjAGgAIABjAG8AbAB1AG0AbgAoAHMAKQAgAHYAYQBsAHUAZQBzACAAZgByAG8AbQAgAGIAbwB0AGgAXABuACAAIAAgACAAIAAgACAAIAAgACAAdABoAGUAIABmAGkAcgBzAHQAXwBhAHIAcgBhAHkAIABhAG4AZAAgAHMAZQBjAG8AbgBkAF8AYQByAHIAYQB5AC4AXABuACAAIAAgACAAIAAgACAAIAAtACAAVABoAGUAIABhAHIAcgBhAHkAIABvAHUAdABwAHUAdAAgAGMAbwBsAHUAbQBuACAAaQBuAGQAZQB4ACAAdgBhAGwAdQBlAHMAIAAoAGYAaQByAHMAdABfAGEAcgByAGEAeQBfAGMAbwBsAHMALAAgAHMAZQBjAG8AbgBkAF8AYQByAHIAYQB5AF8AYwBvAGwAcwApACAAYwBhAG4AIABiAGUAIABlAG4AdABlAHIAZQBkACAAaQBuACAAYQBuAHkAIABvAHIAZABlAHIAIAB0AG8AIAByAGUALQBhAHIAcgBhAG4AZwBlACAAdABoAGUAIABvAHIAZABlAHIAIAB0AGgAYQB0ACAAdABoAGUAeQAgAGEAcgBlACAAbwB1AHQAcAB1AHQAIABiAHkAIAB0AGgAZQAgAGYAdQBuAGMAdABpAG8AbgAuACAASABvAHcAZQB2AGUAcgAsACAAdABoAGUAIABjAGgAbwBzAGUAbgAgAGMAbwBsAHUAbQBuAHMAXABuACAAIAAgACAAIAAgACAAIAAgACAAZgByAG8AbQAgAHQAaABlACAAcAByAGkAbQBhAHIAeQAgACgAbABlAGYAdAApACAAYQByAHIAYQB5ACAAdwBpAGwAbAAgAGIAZQAgAG8AdQB0AHAAdQB0ACAAZgBpAHIAcwB0ACAAZgBvAGwAbABvAHcAZQBkACAAYgB5ACAAdABoAGUAIABjAGgAbwBzAGUAbgAgAGMAbwBsAHUAbQBuAHMAIABmAHIAbwBtACAAdABoAGUAIABzAGUAYwBvAG4AZABhAHIAeQAgACgAcgBpAGcAaAB0ACAAYQByAHIAYQB5ACkALgAgAFQAaABlACAAYQByAHIAYQB5ACAAYwBvAGwAdQBtAG4AKABzACkAIAB1AHMAZQBkACAAZgBvAHIAIAByAG8AdwAgAG0AYQB0AGMAaABpAG4AZwAgAGQAbwAgAG4AbwB0ACAAaABhAHYAZQAgAHQAbwAgAGIAZQAgAGkAbgBjAGwAdQBkAGUAZAAgAGkAbgAgAHQAaABlACAAbwB1AHQAcAB1AHQAIABiAHUAdAAgAGMAYQBuACAAYgBlAC4AXABuACoALwBcAG4ASgBvAGkAbgAgAD0AIABMAEEATQBCAEQAQQAoAFwAbgAgACAAIAAgAC8ALwAgAFAAYQByAGEAbQBlAHQAZQByACAAZABlAGYAaQBuAGkAdABpAG8AbgBzAFwAbgAgACAAIAAgAGYAaQByAHMAdABfAGEAcgByAGEAeQAsAFwAbgAgACAAIAAgAHMAZQBjAG8AbgBkAF8AYQByAHIAYQB5ACwAXABuACAAIAAgACAAZgBpAHIAcwB0AF8AbQBhAHQAYwBoAF8AaQBuAGQAZQB4ACwAXABuACAAIAAgACAAcwBlAGMAbwBuAGQAXwBtAGEAdABjAGgAXwBpAG4AZABlAHgALABcAG4AIAAgACAAIABbAGoAbwBpAG4AXwB0AHkAcABlAF0ALABcAG4AIAAgACAAIABbAGYAaQByAHMAdABfAGEAcgByAGEAeQBfAGMAbwBsAHMAXQAsAFwAbgAgACAAIAAgAFsAcwBlAGMAbwBuAGQAXwBhAHIAcgBhAHkAXwBjAG8AbABzAF0ALABcAG4AIAAgACAAIABbAHMAbwByAHQAXQAsAFwAbgAgACAAIAAgAFsAcgBlAHAAbABhAGMAZQBfAG4AYQBdACwAXABuACAAIAAgACAALwAvACAATQBhAGkAbgAgAGYAdQBuAGMAdABpAG8AbgAgAGIAbwBkAHkALwBjAGEAbABjAHUAbABhAHQAaQBvAG4AcwBcAG4AIAAgACAAIABMAEUAVAAoAFwAbgAgACAAIAAgACAAIAAgACAAXwBhAHIAcgAxACwAIABmAGkAcgBzAHQAXwBhAHIAcgBhAHkALABcAG4AIAAgACAAIAAgACAAIAAgAF8AYQByAHIAMgAsACAAcwBlAGMAbwBuAGQAXwBhAHIAcgBhAHkALABcAG4AIAAgACAAIAAgACAAIAAgAF8AYwBvAGwAMQAsACAAZgBpAHIAcwB0AF8AbQBhAHQAYwBoAF8AaQBuAGQAZQB4ACwAXABuACAAIAAgACAAIAAgACAAIABfAGMAbwBsADIALAAgAHMAZQBjAG8AbgBkAF8AbQBhAHQAYwBoAF8AaQBuAGQAZQB4ACwAXABuACAAIAAgACAAIAAgACAAIAAvAC8AIABEAGUAYQBsAGkAbgBnACAAdwBpAHQAaAAgAG8AcAB0AGkAbwBuAGEAbAAgAHAAYQByAGEAbQBlAHQAZQByAHMAXABuACAAIAAgACAAIAAgACAAIABfAGkAZAB4ADEALAAgAEkARgAoACAASQBTAE8ATQBJAFQAVABFAEQAKABmAGkAcgBzAHQAXwBhAHIAcgBhAHkAXwBjAG8AbABzACkALAAgAFMARQBRAFUARQBOAEMARQAoADEALAAgAEMATwBMAFUATQBOAFMAKABfAGEAcgByADEAKQApACwAXABuACAAIAAgACAAIAAgACAAIAAgACAAIAAgAEkARgAoACAAUwBVAE0AKAAtAC0ASQBTAEUAUgBSAE8AUgAoAGYAaQByAHMAdABfAGEAcgByAGEAeQBfAGMAbwBsAHMAKQApACAAPgAgADAALAAgADAALAAgAGYAaQByAHMAdABfAGEAcgByAGEAeQBfAGMAbwBsAHMAKQApACwAXABuACAAIAAgACAAIAAgACAAIABfAGkAZAB4ADIALAAgAEkARgAoACAASQBTAE8ATQBJAFQAVABFAEQAKABzAGUAYwBvAG4AZABfAGEAcgByAGEAeQBfAGMAbwBsAHMAKQAsACAAUwBFAFEAVQBFAE4AQwBFACgAMQAsACAAQwBPAEwAVQBNAE4AUwAoAF8AYQByAHIAMgApACkALABcAG4AIAAgACAAIAAgACAAIAAgACAAIAAgACAASQBGACgAIABTAFUATQAoAC0ALQBJAFMARQBSAFIATwBSACgAcwBlAGMAbwBuAGQAXwBhAHIAcgBhAHkAXwBjAG8AbABzACkAKQAgAD4AIAAwACwAIAAwACwAIABzAGUAYwBvAG4AZABfAGEAcgByAGEAeQBfAGMAbwBsAHMAKQApACwAXABuACAAIAAgACAAIAAgACAAIABfAGkAbgBwAFQALAAgAEkARgAoACAASQBTAE8ATQBJAFQAVABFAEQAKABqAG8AaQBuAF8AdAB5AHAAZQApACwAIAAwACwAIABJAE4AVAAoAGoAbwBpAG4AXwB0AHkAcABlACkAKQAsAFwAbgAgACAAIAAgACAAIAAgACAAXwB0AHkAcAAsACAASQBGACgAIABJAFMATgBVAE0AQgBFAFIAKABfAGkAbgBwAFQAKQAsACAAXwBpAG4AcABUACAAKwAgADEALABcAG4AIAAgACAAIAAgACAAIAAgACAAIAAgACAASQBGAE4AQQAoACAATQBBAFQAQwBIACgAIABMAE8AVwBFAFIAKABqAG8AaQBuAF8AdAB5AHAAZQApACwAIAB7AFwAIgBsAGUAZgB0AFwAIgAsAFwAIgByAGkAZwBoAHQAXAAiACwAXAAiAGkAbgBuAGUAcgBcACIALABcACIAZgB1AGwAbABcACIAfQAsACAAMAApACwAIAAtADEAKQBcAG4AIAAgACAAIAAgACAAIAAgACkALABcAG4AIAAgACAAIAAgACAAIAAgAF8AcwByAHQALAAgAEkARgAoACAASQBTAE8ATQBJAFQAVABFAEQAKABzAG8AcgB0ACkALAAgADAALABcAG4AIAAgACAAIAAgACAAIAAgACAAIAAgACAASQBGACgAIABJAFMARQBSAFIATwBSACgAcwBvAHIAdAApACwAIABcACIAXAAiACwAIABJAE4AVAAoAHMAbwByAHQAKQApACkALABcAG4AIAAgACAAIAAgACAAIAAgAF8AaQBuAHAAUgAsACAASQBGACgAIABJAFMATwBNAEkAVABUAEUARAAoAHIAZQBwAGwAYQBjAGUAXwBuAGEAKQAsACAARgBBAEwAUwBFACwAIABJAE4ARABFAFgAKAByAGUAcABsAGEAYwBlAF8AbgBhACwAIAAxACwAIAAxACkAKQAsAFwAbgAgACAAIAAgACAAIAAgACAAXwByAGUAcAAsACAASQBGACgAIABJAFMATABPAEcASQBDAEEATAAoAF8AaQBuAHAAUgApACwAXABuACAAIAAgACAAIAAgACAAIAAgACAAIAAgAEkARgAoAF8AaQBuAHAAUgAsACAAXAAiAFwAIgAsACAATgBBACgAKQApACwAXABuACAAIAAgACAAIAAgACAAIAAgACAAIAAgAF8AaQBuAHAAUgBcAG4AIAAgACAAIAAgACAAIAAgACkALABcAG4AIAAgACAAIAAgACAAIAAgAC8ALwAgAEkAbgBwAHUAdAAgAGMAaABlAGMAawBzACAAZgBvAHIAIAB0AGgAZQAgAG8AcAB0AGkAbwBuAGEAbAAgAHAAYQByAGEAbQBlAHQAZQByAHMAIABhAG4AZAAgAHIAZQBxAHUAaQByAGUAZAAgAHAAYQByAGEAbQBlAHQAZQByAHMALAAgAHIAZQB0AHUAcgBuAGkAbgBnACAAdABoAGUAIABfAGkAbgBwAEMAaABrACAAdgBhAGwAdQBlACAAYQBzACAAMQAtAHQAbwAtADMAXABuACAAIAAgACAAIAAgACAAIABfAGkAbgBwAEMAaABrACwAIABJAEYAKABcAG4AIAAgACAAIAAgACAAIAAgACAAIAAgACAATwBSACgAXABuACAAIAAgACAAIAAgACAAIAAgACAAIAAgACAAIAAgACAATgBPAFQAKABJAFMATgBVAE0AQgBFAFIAKABfAGMAbwBsADEAKQApACwAIABOAE8AVAAoAEkAUwBOAFUATQBCAEUAUgAoAF8AYwBvAGwAMgApACkALABcAG4AIAAgACAAIAAgACAAIAAgACAAIAAgACAAIAAgACAAIABNAEkATgAoAF8AYwBvAGwAMQApACAAPAAgADEALAAgAE0AQQBYACgAXwBjAG8AbAAxACkAIAA+ACAAQwBPAEwAVQBNAE4AUwAoAF8AYQByAHIAMQApACwAXABuACAAIAAgACAAIAAgACAAIAAgACAAIAAgACAAIAAgACAATQBJAE4AKABfAGMAbwBsADIAKQAgADwAIAAxACwAIABNAEEAWAAoAF8AYwBvAGwAMgApACAAPgAgAEMATwBMAFUATQBOAFMAKABfAGEAcgByADIAKQAsAFwAbgAgACAAIAAgACAAIAAgACAAIAAgACAAIAAgACAAIAAgAE4ATwBUACgASQBTAE4AVQBNAEIARQBSACgAXwBpAGQAeAAxACkAKQAsACAATgBPAFQAKABJAFMATgBVAE0AQgBFAFIAKABfAGkAZAB4ADIAKQApACwAXABuACAAIAAgACAAIAAgACAAIAAgACAAIAAgACAAIAAgACAATQBJAE4AKABfAGkAZAB4ADEAKQAgADwAIAAxACwAIABNAEEAWAAoAF8AaQBkAHgAMQApACAAPgAgAEMATwBMAFUATQBOAFMAKABfAGEAcgByADEAKQAsAFwAbgAgACAAIAAgACAAIAAgACAAIAAgACAAIAAgACAAIAAgAE0ASQBOACgAXwBpAGQAeAAyACkAIAA8ACAAMQAsACAATQBBAFgAKABfAGkAZAB4ADIAKQAgAD4AIABDAE8ATABVAE0ATgBTACgAXwBhAHIAcgAyACkAXABuACAAIAAgACAAIAAgACAAIAAgACAAIAAgACkALAAgADIALABcAG4AIAAgACAAIAAgACAAIAAgACAAIAAgACAASQBGACgAIABPAFIAKABcAG4AIAAgACAAIAAgACAAIAAgACAAIAAgACAAIAAgACAAIABfAHQAeQBwACAAPAAgADEALAAgAF8AdAB5AHAAIAA+ACAANAAsAFwAbgAgACAAIAAgACAAIAAgACAAIAAgACAAIAAgACAAIAAgAEkAUwBFAFIAUgBPAFIAKABfAHMAcgB0ACkALAAgAF8AcwByAHQAIAA8ACAALQAxACwAIABfAHMAcgB0ACAAPgAgADEAXABuACAAIAAgACAAIAAgACAAIAAgACAAIAAgACkALAAgADMALABcAG4AIAAgACAAIAAgACAAIAAgACAAIAAgACAAMQApAFwAbgAgACAAIAAgACAAIAAgACAAKQAsAFwAbgAgACAAIAAgACAAIAAgACAALwAvACAAQwByAGUAYQB0AGkAbgBnACAAdABoAGUAIABtAGEAdABjAGgAaQBuAGcAIABjAG8AbAB1AG0AbgBzACAAKABfAHUASQBkACkAIABhAG4AZAAgAHMAZQB0AHQAaQBuAGcAIAB0AGgAZQAgAGMAbwBsAHUAbQBuAHMAIABmAG8AcgAgAGUAYQBjAGgAIABvAHUAdABwAHUAdAAgAGEAcgByAGEAeQAgACgAXwBvAHUAdAApACAAcAByAGkAbwByACAAdABvACAAdABoAGUAIABKAE8ASQBOAFwAbgAgACAAIAAgACAAIAAgACAAXwB1AEkAZAAxACwAIABTAEMAQQBOACgAMAAsACAAUwBFAFEAVQBFAE4AQwBFACgAUgBPAFcAUwAoAF8AYQByAHIAMQApACkALAAgAEwAQQBNAEIARABBACgAXwBhAGMAYwAsAF8AdgBhAGwALAAgAEMATwBOAEMAQQBUACgASQBOAEQARQBYACgAXwBhAHIAcgAxACwAIABfAHYAYQBsACwAIABfAGMAbwBsADEAKQApACkAKQAsAFwAbgAgACAAIAAgACAAIAAgACAAXwB1AEkAZAAyACwAIABTAEMAQQBOACgAMAAsACAAUwBFAFEAVQBFAE4AQwBFACgAUgBPAFcAUwAoAF8AYQByAHIAMgApACkALAAgAEwAQQBNAEIARABBACgAXwBhAGMAYwAsAF8AdgBhAGwALAAgAEMATwBOAEMAQQBUACgASQBOAEQARQBYACgAXwBhAHIAcgAyACwAIABfAHYAYQBsACwAIABfAGMAbwBsADIAKQApACkAKQAsAFwAbgAgACAAIAAgACAAIAAgACAAXwBvAHUAdAAxACwAIABDAEgATwBPAFMARQBDAE8ATABTACgAXwBhAHIAcgAxACwAIABfAGkAZAB4ADEAKQAsAFwAbgAgACAAIAAgACAAIAAgACAAXwBvAHUAdAAyACwAIABDAEgATwBPAFMARQBDAE8ATABTACgAXwBhAHIAcgAyACwAIABfAGkAZAB4ADIAKQAsAFwAbgAgACAAIAAgACAAIAAgACAALwAvACAAQwBhAGwAYwB1AGwAYQB0AGkAbgBnACAAdABoAGUAIABuAHUAbQBiAGUAcgAgAG8AZgAgAGMAbwBsAHUAbQBuAHMAIABpAG4AIABlAGEAYwBoACAAbwBmACAAdABoAGUAIABvAHUAdABwAHUAdAAgAGEAcgByAGEAeQBzACAAKABfAGMAYwApAFwAbgAgACAAIAAgACAAIAAgACAAXwBjAGMAMQAsACAAQwBPAEwAVQBNAE4AUwAoAF8AbwB1AHQAMQApACwAXABuACAAIAAgACAAIAAgACAAIABfAGMAYwAyACwAIABDAE8ATABVAE0ATgBTACgAXwBvAHUAdAAyACkALABcAG4AIAAgACAAIAAgACAAIAAgAF8AYwBjAFMALAAgAF8AYwBjADEAIAArACAASQBGACgAXwBzAHIAdAAgADwAPgAgADAALAAgADEALAAgADAAKQAsAFwAbgAgACAAIAAgACAAIAAgACAALwAvACAAQwBvAG0AcABhAHIAaQBuAGcAIABlAGEAYwBoACAAcgBvAHcAIABvAGYAIAB0AGgAZQAgAGYAaQByAHMAdABfAGEAcgByAGEAeQAgAG0AYQB0AGMAaAAgAGMAbwBsAHUAbQBuACAAKABfAHUASQBkADEAKQAgAGEAZwBhAGkAbgBzAHQAIAB0AGgAZQAgAHMAZQBjAG8AbgBkAF8AYQByAHIAYQB5ACAAbQBhAHQAYwBoACAAYwBvAGwAdQBtAG4AIAAoAF8AdQBJAGQAMgApAFwAbgAgACAAIAAgACAAIAAgACAALwAvACAAYQBuAGQAIABjAHIAZQBhAHQAaQBuAGcAIABhAG4AIABpAG4AZABlAHgAIABvAGYAIABtAGEAdABjAGgAaQBuAGcAIABzAGUAYwBvAG4AZABfAGEAcgByAGEAeQAgAHIAbwB3AHMAIABmAG8AcgAgAHQAaABlACAAZgBpAHIAcwB0AF8AYQByAHIAYQB5ACAAcgBvAHcAIABvAHIAZABlAHIAIAAoAF8AbQB0AGMAaAApAFwAbgAgACAAIAAgACAAIAAgACAALwAvACAAQQBuACAAYQByAHIAYQB5ACAAbwBmACAAbQBhAHQAYwBoAGUAZAAgAHMAZQBjAG8AbgBkAF8AYQByAHIAYQB5ACAAcgBvAHcAcwAgAGkAcwAgAGMAcgBlAGEAdABlAGQAIAAoAF8AYQByAHIATgApACAAaQBuACAAdABoAGUAIABjAG8AcgByAGUAYwB0ACAAbwByAGQAZQByACAAdABvACAAbQBhAHQAYwBoACAAdABoAGUAIABmAGkAcgBzAHQAXwBhAHIAcgBhAHkALABcAG4AIAAgACAAIAAgACAAIAAgAC8ALwAgAHcAaQB0AGgAIAB1AG4AbQBhAHQAYwBoAGUAZAAgAHIAbwB3AHMAIABiAGUAaQBuAGcAIABmAGkAbABsAGUAZAAgAGIAeQAgAGEAIAByAG8AdwAgAG8AZgAgAGIAbABhAG4AawAgAHYAYQBsAHUAZQBzAFwAbgAgACAAIAAgACAAIAAgACAAXwBtAHQAYwBoACwAIABEAFIATwBQACgAUgBFAEQAVQBDAEUAKAAwACwAIABfAHUASQBkADEALAAgAEwAQQBNAEIARABBACgAXwBhAGMAYwAsAF8AdgBhAGwALAAgAFYAUwBUAEEAQwBLACgAXwBhAGMAYwAsACAASQBGAE4AQQAoAE0AQQBUAEMASAAoAF8AdgBhAGwALAAgAF8AdQBJAGQAMgAsACAAMAApACwAIAAwACkAKQApACkALAAgADEAKQAsAFwAbgAgACAAIAAgACAAIAAgACAAXwBiAGwAbgBrACwAIABNAEEASwBFAEEAUgBSAEEAWQAoADEALAAgAF8AYwBjADIALAAgAEwAQQBNAEIARABBACgAXwByACwAXwBjACwAIABOAEEAKAApACkAKQAsAFwAbgAgACAAIAAgACAAIAAgACAAXwBhAHIAcgBOACwAIABEAFIATwBQACgAUgBFAEQAVQBDAEUAKAAwACwAIABfAG0AdABjAGgALAAgAEwAQQBNAEIARABBACgAXwBhAGMAYwAsAF8AdgBhAGwALAAgAFYAUwBUAEEAQwBLACgAXwBhAGMAYwAsACAASQBGACgAXwB2AGEAbAAgAD0AIAAwACwAIABfAGIAbABuAGsALAAgAEkATgBEAEUAWAAoAF8AbwB1AHQAMgAsACAAXwB2AGEAbAAsACAAUwBFAFEAVQBFAE4AQwBFACgAMQAsACAAXwBjAGMAMgApACkAKQApACkAKQAsACAAMQApACwAXABuACAAIAAgACAAIAAgACAAIAAvAC8AIABUAGgAZQAgAHMAZQBjAG8AbgBkAF8AYQByAHIAYQB5ACAAaQBzACAAZgBpAGwAdABlAHIAZQBkACAAdABvACAAbABlAGEAdgBlACAAYQBuAHkAIAB1AG4AbQBhAHQAYwBoAGUAZAAgAHIAbwB3AHMAIAAoAF8AYQByAHIAUgApACAAdABvACAAYgBlACAAYQBkAGQAZQBkACAAdABvACAAdABoAGUAIABlAG4AZAAgAG8AZgAgAHQAaABlACAAbQBhAGkAbgBcAG4AIAAgACAAIAAgACAAIAAgAC8ALwAgAGYAdQBuAGMAdABpAG8AbgAgAG8AdQB0AHAAdQB0AFwAbgAgACAAIAAgACAAIAAgACAAXwBhAHIAcgBSACwAIABMAEUAVAAoAFwAbgAgACAAIAAgACAAIAAgACAAIAAgACAAIABfAGYAbAB0AHIALAAgAFMAQwBBAE4AKAAwACwAIABTAEUAUQBVAEUATgBDAEUAKAAgAFIATwBXAFMAKABfAG8AdQB0ADIAKQAsACAAMQApACwAIABMAEEATQBCAEQAQQAoAF8AYQBjAGMALABfAHYAYQBsACwAIABJAEYAKAAgAEkAUwBOAEEAKABNAEEAVABDAEgAKABfAHYAYQBsACwAIABfAG0AdABjAGgALAAgADAAKQApACwAIAAxACwAIAAwACkAKQApACwAXABuACAAIAAgACAAIAAgACAAIAAgACAAIAAgAF8AYQByAHIALAAgAEYASQBMAFQARQBSACgAXwBvAHUAdAAyACwAIABfAGYAbAB0AHIAIAA9ACAAMQAsACAAXAAiACMAWwBFAG0AcAB0AHkAXQBcACIAKQAsAFwAbgAgACAAIAAgACAAIAAgACAAIAAgACAAIABfAG0AQwBsACwAIABGAEkATABUAEUAUgAoAF8AdQBJAGQAMgAsACAAXwBmAGwAdAByACAAPQAgADEALAAgAE4AQQAoACkAKQAsAFwAbgAgACAAIAAgACAAIAAgACAAIAAgACAAIABfAGIAbABuAGsALAAgAE0AQQBLAEUAQQBSAFIAQQBZACgAIABSAE8AVwBTACgAXwBhAHIAcgApACwAIABfAGMAYwAxACwAIABMAEEATQBCAEQAQQAoAF8AcgAsAF8AYwAsACAATgBBACgAKQApACkALABcAG4AIAAgACAAIAAgACAAIAAgACAAIAAgACAASQBGACgAXwBzAHIAdAAgADwAPgAgADAALABcAG4AIAAgACAAIAAgACAAIAAgACAAIAAgACAAIAAgACAAIABIAFMAVABBAEMASwAoAF8AbQBDAGwALAAgAF8AYgBsAG4AawAsACAAXwBhAHIAcgApACwAXABuACAAIAAgACAAIAAgACAAIAAgACAAIAAgACAAIAAgACAASABTAFQAQQBDAEsAKABfAGIAbABuAGsALAAgAF8AYQByAHIAKQBcAG4AIAAgACAAIAAgACAAIAAgACAAIAAgACAAKQBcAG4AIAAgACAAIAAgACAAIAAgACkALABcAG4AIAAgACAAIAAgACAAIAAgAC8ALwAgAFQAaABlACAAbQBhAGkAbgAgAGoAbwBpAG4AZQBkACAAbwB1AHQAcAB1AHQAIABpAHMAIABjAHIAZQBhAHQAZQBkACAAKABfAGEAcgByAEMAKQAgAHUAcwBpAG4AZwAgAHQAaABlACAAZgBpAHIAcwB0AF8AYQByAHIAYQB5ACAAbwB1AHQAcAB1AHQAIABjAG8AbAB1AG0AbgBzACAAKABfAG8AdQB0ADEAKQAgAGEAbgBkACAAdABoAGUAIABcAG4AIAAgACAAIAAgACAAIAAgAC8ALwAgAG0AYQB0AGMAaABlAGQAIABzAGUAYwBvAG4AZABfAGEAcgByAGEAeQAgAG8AdQB0AHAAdQB0ACAAYwBvAGwAdQBtAG4AcwAgACgAXwBhAHIAcgBSACkAXABuACAAIAAgACAAIAAgACAAIABfAGEAcgByAEMALAAgAEkARgAoAF8AcwByAHQAIAA8AD4AIAAwACwAXABuACAAIAAgACAAIAAgACAAIAAgACAAIAAgAEgAUwBUAEEAQwBLACgAXwB1AEkAZAAxACwAIABfAG8AdQB0ADEALAAgAF8AYQByAHIATgApACwAXABuACAAIAAgACAAIAAgACAAIAAgACAAIAAgAEgAUwBUAEEAQwBLACgAXwBvAHUAdAAxACwAIABfAGEAcgByAE4AKQBcAG4AIAAgACAAIAAgACAAIAAgACkALABcAG4AIAAgACAAIAAgACAAIAAgAC8ALwAgAFQAaABlACAAZgB1AGwAbAAgAGYAaQByAHMAdABfAGEAcgByAGEAeQAgAG8AdQB0AHAAdQB0ACAAYwBvAGwAdQBtAG4AcwAgACgAXwBvAHUAdAAxACkAIAB0AG8AIAByAGUAbQBvAHYAZQAgAGEAbgB5ACAAdQBuAG0AYQB0AGMAaABlAGQAIAByAG8AdwBzACAAYgBhAHMAZQBkACAAbwBuACAAdABoAGUAIABqAG8AaQBuAC0AdAB5AHAAZQAgAGMAaABvAHMAZQBuAFwAbgAgACAAIAAgACAAIAAgACAAXwBhAHIAcgBMACwAIABJAEYAKAAgAE8AUgAoAF8AdAB5AHAAIAA9ACAAMgAsACAAXwB0AHkAcAAgAD0AIAAzACkALABcAG4AIAAgACAAIAAgACAAIAAgACAAIAAgACAARgBJAEwAVABFAFIAKABfAGEAcgByAEMALAAgAF8AbQB0AGMAaAAgADwAPgAgADAALAAgAFwAIgAjAFsARQBtAHAAdAB5AF0AXAAiACkALABcAG4AIAAgACAAIAAgACAAIAAgACAAIAAgACAAXwBhAHIAcgBDAFwAbgAgACAAIAAgACAAIAAgACAAKQAsAFwAbgAgACAAIAAgACAAIAAgACAALwAvACAAVABoAGUAIABmAHUAbgBjAHQAaQBvAG4AIABvAHUAdABwAHUAdAAgAGEAcgByAGEAeQAgAGkAcwAgAGMAcgBlAGEAdABlAGQAIAAoAF8AYwBhAGwAYwApACAAYgBhAHMAZQBkACAAbwBuACAAdABoAGUAIABqAG8AaQBuACAAdAB5AHAAZQAgAGMAaABvAHMAZQBuACAAKABfAHQAeQBwACkAXABuACAAIAAgACAAIAAgACAAIAAvAC8AIABXAGgAZQByAGUAIABvAG4AZQAgAG8AZgAgAHQAaABlACAAYwBvAG4AcwB0AHIAdQBjAHQAZQBkACAAYQBuAGQAIABmAGkAbAB0AGUAcgBlAGQAIABhAHIAcgBhAHkAcwAgAGkAcwAgAGUAbQBwAHQAeQAgAGkAdAAgAGkAcwAgAGUAaQB0AGgAZQByACAAcgBlAHAAbABhAGMAZQBkACAAdwBpAHQAaAAgAGIAbABhAG4AawBzACAAbwByAFwAbgAgACAAIAAgACAAIAAgACAALwAvACAAbgBvAHQAIABpAG4AYwBsAHUAZABlAGQAIABkAGUAcABlAG4AZABpAG4AZwAgAHQAaABlACAAYwBoAG8AcwBlAG4AIABmAHUAbgBjAHQAaQBvAG4AIABvAHUAdABwAHUAdAAgAHQAeQBwAGUAXABuACAAIAAgACAAIAAgACAAIABfAGMAYQBsAGMALAAgAEMASABPAE8AUwBFACgAXwB0AHkAcAAsAFwAbgAgACAAIAAgACAAIAAgACAAIAAgACAAIABfAGEAcgByAEwALABcAG4AIAAgACAAIAAgACAAIAAgACAAIAAgACAASQBGACgAIABJAE4ARABFAFgAKABfAGEAcgByAEwALAAgADEALAAgADEAKQAgAD0AIABcACIAIwBbAEUAbQBwAHQAeQBdAFwAIgAsAFwAbgAgACAAIAAgACAAIAAgACAAIAAgACAAIAAgACAAIAAgAF8AYQByAHIAUgAsAFwAbgAgACAAIAAgACAAIAAgACAAIAAgACAAIAAgACAAIAAgAEkARgAoACAASQBOAEQARQBYACgAXwBhAHIAcgBSACwAIAAxACwAIABfAGMAYwBTACAAKwAgADEAKQAgAD0AIABcACIAIwBbAEUAbQBwAHQAeQBdAFwAIgAsAFwAbgAgACAAIAAgACAAIAAgACAAIAAgACAAIAAgACAAIAAgACAAIAAgACAAXwBhAHIAcgBMACwAXABuACAAIAAgACAAIAAgACAAIAAgACAAIAAgACAAIAAgACAAIAAgACAAIABWAFMAVABBAEMASwAoAF8AYQByAHIATAAsACAAXwBhAHIAcgBSACkAXABuACAAIAAgACAAIAAgACAAIAAgACAAIAAgACAAIAAgACAAKQBcAG4AIAAgACAAIAAgACAAIAAgACAAIAAgACAAKQAsAFwAbgAgACAAIAAgACAAIAAgACAAIAAgACAAIABJAEYAKAAgAEkATgBEAEUAWAAoAF8AYQByAHIATAAsACAAMQAsACAAMQApACAAPQAgAFwAIgAjAFsARQBtAHAAdAB5AF0AXAAiACwAXABuACAAIAAgACAAIAAgACAAIAAgACAAIAAgACAAIAAgACAATQBBAEsARQBBAFIAUgBBAFkAKAAxACwAIABfAGMAYwBTACAAKwAgAF8AYwBjADIALAAgAEwAQQBNAEIARABBACgAXwByACwAXwBjACwAIABOAEEAKAApACkAKQAsAFwAbgAgACAAIAAgACAAIAAgACAAIAAgACAAIAAgACAAIAAgAF8AYQByAHIATABcAG4AIAAgACAAIAAgACAAIAAgACAAIAAgACAAKQAsAFwAbgAgACAAIAAgACAAIAAgACAAIAAgACAAIABJAEYAKAAgAEkATgBEAEUAWAAoAF8AYQByAHIAUgAsACAAMQAsACAAXwBjAGMAUwAgACsAIAAxACkAIAA9ACAAXAAiACMAWwBFAG0AcAB0AHkAXQBcACIALABcAG4AIAAgACAAIAAgACAAIAAgACAAIAAgACAAIAAgACAAIABfAGEAcgByAEwALABcAG4AIAAgACAAIAAgACAAIAAgACAAIAAgACAAIAAgACAAIABWAFMAVABBAEMASwAoAF8AYQByAHIATAAsACAAXwBhAHIAcgBSACkAXABuACAAIAAgACAAIAAgACAAIAAgACAAIAAgACkAXABuACAAIAAgACAAIAAgACAAIAApACwAXABuACAAIAAgACAAIAAgACAAIABfAHIAdABuACwAIABMAEUAVAAoAFwAbgAgACAAIAAgACAAIAAgACAAIAAgACAAIAAvAC8AIABJAGYAIABjAGgAbwBzAGUAbgAgAHQAaABlACAAYwByAGUAYQB0AGUAZAAgAGEAbgBkACAAZgBpAGwAdABlAHIAZQBkACwAIABtAGEAdABjAGgAZQBkACAAbwB1AHQAcAB1AHQAIABhAHIAcgBhAHkAIABpAHMAIABzAG8AcgB0AGUAZAAgACgAXwBzAHIAdAApACAAYgBhAHMAZQBkACAAbwBuACAAdABoAGUAIABjAG8AbQBiAGkAbgBlAGQAIABtAGEAdABjAGgAIABjAG8AbAB1AG0AbgBzACAAKABfAHUASQBkACkAXABuACAAIAAgACAAIAAgACAAIAAgACAAIAAgAF8AYQByAHIAUwAsACAASQBGACgAXwBzAHIAdAAgADwAPgAgADAALABcAG4AIAAgACAAIAAgACAAIAAgACAAIAAgACAAIAAgACAAIABEAFIATwBQACgAIABTAE8AUgBUAEIAWQAoAF8AYwBhAGwAYwAsACAAQwBIAE8ATwBTAEUAQwBPAEwAUwAoAF8AYwBhAGwAYwAsACAAMQApACwAIABfAHMAcgB0ACkALAAgADAALAAgADEAKQAsAFwAbgAgACAAIAAgACAAIAAgACAAIAAgACAAIAAgACAAIAAgAF8AYwBhAGwAYwBcAG4AIAAgACAAIAAgACAAIAAgACAAIAAgACAAKQAsAFwAbgAgACAAIAAgACAAIAAgACAAIAAgACAAIAAvAC8AIABJAGYAIAByAGUAcQB1AGkAcgBlAGQALAAgAGEAbgB5ACAAIwBOAC8AQQAgAHYAYQBsAHUAZQBzACAAaQBuACAAdABoAGUAIABmAHUAbgBjAHQAaQBvAG4AIABvAHUAdABwAHUAdAAgAGEAcgByAGEAeQAgAGEAcgBlACAAcgBlAHAAbABhAGMAZQBkACAAdwBpAHQAaAAgAHQAaABlACAAYwBoAG8AcwBlAG4AIAB2AGEAbAB1AGUALwB0AGUAeAB0ACAAKABfAHIAZQBwACkAXABuACAAIAAgACAAIAAgACAAIAAgACAAIAAgAF8AYQBSAGUAcAAsACAASQBGACgAIABJAFMATgBBACgAXwByAGUAcAApACwAXABuACAAIAAgACAAIAAgACAAIAAgACAAIAAgACAAIAAgACAAXwBhAHIAcgBTACwAXABuACAAIAAgACAAIAAgACAAIAAgACAAIAAgACAAIAAgACAASQBGACgAIABJAFMATgBBACgAXwBhAHIAcgBTACkALAAgAF8AcgBlAHAALAAgAF8AYQByAHIAUwApAFwAbgAgACAAIAAgACAAIAAgACAAIAAgACAAIAApACwAXABuACAAIAAgACAAIAAgACAAIAAgACAAIAAgAF8AYQBSAGUAcABcAG4AIAAgACAAIAAgACAAIAAgACkALABcAG4AIAAgACAAIAAgACAAIAAgAC8ALwAgAEkAZgAgAHQAaABlACAAaQBuAHAAdQB0ACAAYwBoAGUAYwBrAHMAIAAoAF8AaQBuAHAAQwBoAGsAKQAgAGgAYQB2AGUAIABmAGwAYQBnAGcAZQBkACAAdABoAGUAbgAgAHQAaABlACAAcgBlAHEAdQBpAHIAZQBkACAARQB4AGMAZQBsACAAZQByAHIAbwByACAAYwBvAGQAZQAgAGkAcwAgAHIAZQB0AHUAcgBuAGUAZAAsACAAbwB0AGgAZQByAHcAaQBzAGUAIAB0AGgAZQAgAGMAYQBsAGMAdQBsAGEAdABlAGQAIAByAGUAcwB1AGwAdAAgACgAXwByAHQAbgApACAAaQBzACAAcgBlAHQAdQByAG4AZQBkAFwAbgAgACAAIAAgACAAIAAgACAAQwBIAE8ATwBTAEUAKABfAGkAbgBwAEMAaABrACwAIABfAHIAdABuACwAIABMAEEATQBCAEQAQQAoADAAKQAsACAAIwBWAEEATABVAEUAIQApAFwAbgAgACAAIAAgACkAXABuACkAOwBcAG4AXABuAC8AKgBcAG4AIAAgACAAIABOAGEAbQBlADoAIAAgACAAIAAgACAAIAAgAFUAbgBpAG8AbgAoACkAXABuACAAIAAgACAAVgBlAHIAcwBpAG8AbgA6ACAAIAAgACAAIAAxAC4AMAA1ACAAKAAwADMALwAwADYALwAyADAAMgA1ACkAIAAtAC0AIABSACAAUwBpAGwAawAsACAAUgBYAEwAIABEAGUAdgBlAGwAbwBwAG0AZQBuAHQAXABuACAAIAAgACAARABlAHMAYwByAGkAcAB0AGkAbwBuADoAIAAqAC8ALwAqACoAUwB0AGEAYwBrAHMAIAB0AHcAbwAgAGQAYQB0AGEAIAB0AGEAYgBsAGUAcwAgAHQAbwBnAGUAdABoAGUAcgAgAG0AYQB0AGMAaABpAG4AZwAgAGQAYQB0AGEAIABjAG8AbAB1AG0AbgBzACAAYgBhAHMAZQBkACAAbwBuACAAYwBvAGwAdQBtAG4AIAB0AGkAdABsAGUAcwAvAGgAZQBhAGQAZQByAHMAOwAgAHMAaQBtAGkAbABhAHIAIAB0AG8AIAB0AGgAZQAgAFMAUQBMACAAVQBOAEkATwBOACAAbwBwAGUAcgBhAHQAaQBvAG4AKgAvAC8AKgBcAG4AIAAgACAAIABQAGEAcgBhAG0AZQB0AGUAcgBzADoAXABuACAAIAAgACAAIAAgACAAIAArACAAZgBpAHIAcwB0AF8AYQByAHIAYQB5ACAAIAAgAD0AIAAoAHIAZQBxAHUAaQByAGUAZAApACAAVABoAGUAIABmAGkAcgBzAHQAIABvAHIAIABtAGEAaQBuACAAKABwAHIAaQBtAGEAcgB5ACkAIABkAGEAdABhACAAYQByAHIAYQB5ACwAIAB0AG8AIAB3AGgAaQBjAGgAIAB0AGgAZQAgAHMAZQBjAG8AbgBkACAAKABzAGUAYwBvAG4AZABhAHIAeQApACAAZABhAHQAYQAgAGEAcgByAGEAeQAgAHcAaQBsAGwAIABiAGUAIABhAGQAZABlAGQAXABuACAAIAAgACAAIAAgACAAIAArACAAcwBlAGMAbwBuAGQAXwBhAHIAcgBhAHkAIAAgAD0AIAAoAHIAZQBxAHUAaQByAGUAZAApACAAVABoAGUAIABzAGUAYwBvAG4AZAAgACgAcwBlAGMAbwBuAGQAYQByAHkAKQAgAGQAYQB0AGEAIABhAHIAcgBhAHkALAAgAHcAaABpAGMAaAAgAGkAcwAgAGEAZABkAGUAZAAgAHQAbwAgAHQAaABlACAAZgBpAHIAcwB0ACAAKABwAHIAaQBtAGEAcgB5ACkAIABkAGEAdABhACAAYQByAHIAYQB5AFwAbgAgACAAIAAgACAAIAAgACAAKwAgAGYAaQByAHMAdABfAHQAaQB0AGwAZQBzACAAIAA9ACAAKABvAHAAdABpAG8AbgBhAGwAKQAgAFQAaABlACAAYwBvAGwAdQBtAG4AIAB0AGkAdABsAGUAcwAvAGgAZQBhAGQAZQByAHMAIABhAHMAcwBvAGMAaQBhAHQAZQBkACAAdwBpAHQAaAAgAHQAaABlACAAZgBpAHIAcwB0ACAAKABwAHIAaQBtAGEAcgB5ACkAIABpAG4AcAB1AHQAIABkAGEAdABhACAAYQByAHIAYQB5AFwAbgAgACAAIAAgACAAIAAgACAAIAAgACAAIAAgACAAIAAgACAAIAAgACAAIAAgACAAIAAgACAAIAAgACAAIAAgACAAIAAgACAAIAAgAFQAaABlACAAYwBvAGwAdQBtAG4AIAB0AGkAdABsAGUAcwAgAGMAYQBuACAAYgBlACAAcABhAHMAcwBlAGQAIABhAHMAIABhACAAcgBhAG4AZwBlAC8AYwBlAGwAbAAgAHIAZQBmAGUAcgBlAG4AYwBlAHMAIABvAHIAIABhAHMAIABhACAAbQBhAG4AdQBhAGwAbAB5ACAAaQBuAHAAdQB0ACAAYQByAHIAYQB5AFwAbgAgACAAIAAgACAAIAAgACAAIAAgACAAIAAgACAAIAAgACAAIAAgACAAIAAgACAAIAAgACAAIAAgACAAIAAgACAAIAAgACAAIAAgAEkAZgAgAG4AbwAgAGkAbgBwAHUAdAAgAGkAcwAgAHAAcgBvAHYAaQBkAGUAZAAgAHQAaABlACAAcgBlAGwAYQB0AGkAdgBlACAAcABvAHMAaQB0AGkAbwBuACAAbwBmACAAdABoAGUAIABjAG8AbAB1AG0AbgBzACAAaQBuACAAdABoAGUAIABmAGkAcgBzAHQAXwBhAHIAcgBhAHkAIABpAG4AcAB1AHQAIABpAHMAIAB1AHMAZQBkACAAdABvACAAbABhAGIAZQBsACAAdABoAGUAIABjAG8AbAB1AG0AbgBzAFwAbgAgACAAIAAgACAAIAAgACAAKwAgAHMAZQBjAG8AbgBkAF8AdABpAHQAbABlAHMAIAA9ACAAKABvAHAAdABpAG8AbgBhAGwAKQAgAFQAaABlACAAYwBvAGwAdQBtAG4AIAB0AGkAdABsAGUAcwAvAGgAZQBhAGQAZQByAHMAIABhAHMAcwBvAGMAaQBhAHQAZQBkACAAdwBpAHQAaAAgAHQAaABlACAAcwBlAGMAbwBuAGQAIAAoAHMAZQBjAG8AbgBkAGEAcgB5ACkAIABpAG4AcAB1AHQAIABkAGEAdABhACAAYQByAHIAYQB5AFwAbgAgACAAIAAgACAAIAAgACAAIAAgACAAIAAgACAAIAAgACAAIAAgACAAIAAgACAAIAAgACAAIAAgACAAIAAgACAAIAAgACAAIAAgAEEAcwAgAHQAaABlACAAZgBpAHIAcwB0ACAAKABwAHIAaQBtAGEAcgB5ACkAIABkAGEAdABhACAAYQByAHIAYQB5ACAAaQBzACAAdQBzAGUAZAAgAGEAcwAgAHQAaABlACAAYgBhAHMAaQBzACAAZgBvAHIAIABtAGEAdABjAGgAaQBuAGcALAAgAHQAaABlACAAdQBzAGUAcgAgAGMAYQBuACAAZQBuAHQAZQByACAAYQBuACAAYQByAHIAYQB5ACAAbwBmACAAbgB1AG0AZQByAGkAYwAgAHYAYQBsAHUAZQBzACAAdABvACAAZwBpAHYAZQAgAHQAaABlACAAcABvAHMAaQB0AGkAbwBuACAAbwBmACAAdABoAGUAIABzAGUAYwBvAG4AZABfAGEAcgByAGEAeQAgAGMAbwBsAHUAbQBuAHMAIAByAGUAbABhAHQAaQB2AGUAIAB0AG8AIAB0AGgAZQAgAGYAaQByAHMAdABfAGEAcgByAGEAeQBcAG4AIAAgACAAIAAgACAAIAAgACAAIAAgACAAIAAgACAAIAAgACAAIAAgACAAIAAgACAAIAAgACAAIAAgACAAIAAgACAAIAAgACAAIABUAGgAZQAgAGMAbwBsAHUAbQBuACAAdABpAHQAbABlAHMAIABjAGEAbgAgAGIAZQAgAHAAYQBzAHMAZQBkACAAYQBzACAAYQAgAHIAYQBuAGcAZQAvAGMAZQBsAGwAIAByAGUAZgBlAHIAZQBuAGMAZQBzACAAbwByACAAYQBzACAAYQAgAG0AYQBuAHUAYQBsAGwAeQAgAGkAbgBwAHUAdAAgAGEAcgByAGEAeQBcAG4AIAAgACAAIAAgACAAIAAgACAAIAAgACAAIAAgACAAIAAgACAAIAAgACAAIAAgACAAIAAgACAAIAAgACAAIAAgACAAIAAgACAAIABJAGYAIABuAG8AIABpAG4AcAB1AHQAIABpAHMAIABwAHIAbwB2AGkAZABlAGQAIAB0AGgAZQAgAHIAZQBsAGEAdABpAHYAZQAgAHAAbwBzAGkAdABpAG8AbgAgAG8AZgAgAHQAaABlACAAYwBvAGwAdQBtAG4AcwAgAGkAbgAgAHQAaABlACAAcwBlAGMAbwBuAGQAXwBhAHIAcgBhAHkAIABpAG4AcAB1AHQAIABpAHMAIAB1AHMAZQBkACAAdABvACAAbABhAGIAZQBsACAAdABoAGUAIABjAG8AbAB1AG0AbgBzAFwAbgAgACAAIAAgACAAIAAgACAAKwAgAG8AdQB0AHAAdQB0AF8AdABpAHQAbABlAHMAIAA9ACAAKABvAHAAdABpAG8AbgBhAGwAKQAgAEQAZQB0AGUAcgBtAGkAbgBlAHMAIAB3AGgAZQB0AGgAZQByACAAdABvACAAaQBuAGMAbAB1AGQAZQAgAGMAbwBsAHUAbQBuACAAdABpAHQAbABlAHMALwBoAGUAYQBkAGUAcgBzACAAYQBzACAAdABoAGUAIABmAGkAcgBzAHQAIAByAG8AdwAgAG8AZgAgAHQAaABlACAAZgB1AG4AYwB0AGkAbwBuACAAbwB1AHQAcAB1AHQAXABuACAAIAAgACAAIAAgACAAIAAgACAAIAAgACAAIAAgACAAIAAgACAAIAAgACAAIAAgACAAIAAgACAAIAAgACAAIAAgACAAIAAgACAAIAAgACAASQBmACAAaQBuAHAAdQB0ACAAYQBzACAARgBBAEwAUwBFAC8AMAAgACgAZABlAGYAYQB1AGwAdAApACAAdABoAGUAbgAgAG4AbwAgAHQAaQB0AGwAZQBzACAAcgBvAHcAIABpAHMAIABhAGQAZABlAGQAIAB0AG8AIAB0AGgAZQAgAG8AdQB0AHAAdQB0AFwAbgAgACAAIAAgACAAIAAgACAAIAAgACAAIAAgACAAIAAgACAAIAAgACAAIAAgACAAIAAgACAAIAAgACAAIAAgACAAIAAgACAAIAAgACAAIAAgAEkAZgAgAGkAbgBwAHUAdAAgAGEAcwAgAFQAUgBVAEUALwAxACAAdABoAGUAbgAgAGEAIAB0AGkAdABsAGUAcwAgAHIAbwB3ACAAaQBzACAAYQBkAGQAZQBkACAAdABvACAAdABoAGUAIABvAHUAdABwAHUAdAAgAG0AYQBkAGUAIAB1AHAAIABvAGYAIAB0AGgAZQAgAGMAbwBtAGIAaQBuAGUAZAAvAG0AYQB0AGMAaABlAGQAIABhAHIAcgBhAHkAIAB0AGkAdABsAGUAcwAgAGYAcgBvAG0AIAB0AGgAZQAgAGYAaQByAHMAdABfAHQAaQB0AGwAZQBzACAAYQBuAGQAIABzAGUAYwBvAG4AZABfAHQAaQB0AGwAZQBzACAAaQBuAHAAdQB0AHMAXABuACAAIAAgACAAIAAgACAAIAAgACAAIAAgACAAIAAgACAAIAAgACAAIAAgACAAIAAgACAAIAAgACAAIAAgACAAIAAgACAAIAAgACAAIAAgACAASQBmACAAYQBuACAAYQByAHIAYQB5ACAAbwBmACAAdgBhAGwAdQBlAHMAIABvAHIAIABhAG4AeQAgAG8AdABoAGUAcgAgAHYAYQBsAHUAZQAgACgAaQAuAGUALgAgAG4AbwB0ACAAYQAgAHMAaQBuAGcAbABlACAAbABvAGcAaQBjAGEAbAAgAG8AcgAgAG4AdQBtAGUAcgBpAGMAIAB2AGEAbAB1AGUAKQAgAGkAcwAgAHAAcgBvAHYAaQBkAGUAZAAgAHQAaABpAHMAIAB3AGkAbABsACAAYgBlACAAdQBzAGUAZAAgAGEAcwAgAHQAaABlACAAYwBvAGwAdQBtAG4AIAB0AGkAdABsAGUAcwAgAHIAbwB3ACAAaQBuACAAdABoAGUAIABvAHUAdABwAHUAdABcAG4AIAAgACAAIAAgACAAIAAgACsAIABzAGkAbQBwAGwAZQBfAHMAdABhAGMAawAgACAAPQAgACgAbwBwAHQAaQBvAG4AYQBsACkAIABEAGUAdABlAHIAbQBpAG4AZQBzACAAdwBoAGUAdABoAGUAcgAgAHQAbwAgAHUAcwBlACAAcwBpAG0AcABsAGUAIABzAHQAYQBjAGsAaQBuAGcAIABmAG8AcgAgAHQAaABlACAAdQBuAGkAbwBuACAAbwByACAAdABvACAAdQBzAGUAIAB0AGgAZQAgAGMAbwBsAHUAbQBuACAAbQBhAHQAYwBoAGkAbgBnACAAdQBuAGkAbwBuACAAZgB1AG4AYwB0AGkAbwBuAGEAbABpAHQAeQBcAG4AIAAgACAAIAAgACAAIAAgACAAIAAgACAAIAAgACAAIAAgACAAIAAgACAAIAAgACAAIAAgACAAIAAgACAAIAAgACAAIAAgACAAIABDAGEAbgAgAGIAZQAgAGkAbgBwAHUAdAAgAGEAcwAgAGUAaQB0AGgAZQByACAAVABSAFUARQAvAEYAQQBMAFMARQAgAG8AcgAgADEALwAwAFwAbgAgACAAIAAgACAAIAAgACAAIAAgACAAIAAgACAAIAAgACAAIAAgACAAIAAgACAAIAAgACAAIAAgACAAIAAgACAAIAAgACAAIAAgAFcAaQBsAGwAIABkAGUAZgBhAHUAbAB0ACAAdABvACAARgBBAEwAUwBFAC8AMAAgAGkAZgAgAG4AbwAgAGkAbgBwAHUAdAAgAGkAcwAgAHAAcgBvAHYAaQBkAGUAZAAgAC0ALQA+ACAAYwBvAGwAdQBtAG4AIABtAGEAdABjAGgAaQBuAGcAXABuACAAIAAgACAAIAAgACAAIAArACAAcgBlAHAAbABhAGMAZQBfAG4AYQAgACAAIAAgAD0AIAAoAG8AcAB0AGkAbwBuAGEAbAApACAARABlAHQAZQByAG0AaQBuAGUAcwAgAHcAaABlAHQAaABlAHIAIAB0AG8AIAByAGUAcABsAGEAYwBlACAAIwBOAC8AQQAgAHYAYQBsAHUAZQBzACAAaQBuACAAdABoAGUAIABmAHUAbgBjAHQAaQBvAG4AIABvAHUAdABwAHUAdAAgAHcAaQB0AGgAIABhACAAZABpAGYAZgBlAHIAZQBuAHQAIAB2AGEAbAB1AGUAXABuACAAIAAgACAAIAAgACAAIAAgACAAIAAgACAAIAAgACAAIAAgACAAIAAgACAAIAAgACAAIAAgACAAIAAgACAAIAAgACAAIAAgACAAIAAgACAASQBmACAAaQBuAHAAdQB0ACAAYQBzACAARgBBAEwAUwBFAC8AMAAgACgAZABlAGYAYQB1AGwAdAApACAAdABoAGUAbgAgACMATgAvAEEAIAB2AGEAbAB1AGUAcwAgAHcAaQBsAGwAIABuAG8AdAAgAGIAZQAgAHIAZQBwAGwAYQBjAGUAXABuACAAIAAgACAAIAAgACAAIAAgACAAIAAgACAAIAAgACAAIAAgACAAIAAgACAAIAAgACAAIAAgACAAIAAgACAAIAAgACAAIAAgACAAIAAgACAASQBmACAAaQBuAHAAdQB0ACAAYQBzACAAVABSAFUARQAvADEAIAB0AGgAZQBuACAAIwBOAC8AQQAgAHYAYQBsAHUAZQBzACAAdwBpAGwAbAAgAGIAZQAgAHIAZQBwAGwAYQBjAGUAZAAgAHcAaQB0AGgAIABhACAAYgBsAGEAbgBrACAAcwB0AHIAaQBuAGcAIAAoAFwAIgBcACIAKQBcAG4AIAAgACAAIAAgACAAIAAgACAAIAAgACAAIAAgACAAIAAgACAAIAAgACAAIAAgACAAIAAgACAAIAAgACAAIAAgACAAIAAgACAAIAAgACAAIABJAGYAIABhAG4AeQAgAG8AdABoAGUAcgAgAHYAYQBsAHUAZQAgAGkAcwAgAHAAcgBvAHYAaQBkAGUAZAAgAHQAaABlAG4AIAB0AGgAaQBzACAAdwBpAGwAbAAgAGIAZQAgAHUAcwBlAGQAIAB0AG8AIAByAGUAcABsAGEAYwBlACAAYQBuAHkAIAAjAE4ALwBBACAAdgBhAGwAdQBlAHMAXABuACAAIAAgACAARQByAHIAbwByACAAYwBvAGQAZQBzADoAXABuACAAIAAgACAAIAAgACAAIAAgACAAIAAgACMAVgBBAEwAVQBFACEAIAAgACAAIAAgAD0AIABSAGUAcQB1AGkAcgBlAGQAIABpAG4AcAB1AHQAIABwAGEAcgBhAG0AZQB0AGUAcgBzACAAKABmAGkAcgBzAHQAXwBhAHIAcgBhAHkALAAgAHMAZQBjAG8AbgBkAF8AYQByAHIAYQB5ACkAIABoAGEAdgBlACAAbgBvAHQAIABiAGUAZQBuACAAcAByAG8AdgBpAGQAZQBkACAAbwByACAAYQByAGUAIABpAG4AdgBhAGwAaQBkAFwAbgAgACAAIAAgACAAIAAgACAAIAAgACAAIAAjAEMAQQBMAEMAIQAgACAAIAAgACAAIAA9ACAAVABoAGUAIABuAHUAbQBiAGUAcgAgAG8AZgAgAGMAbwBsAHUAbQBuAHMAIABpAG4AIAB0AGgAZQAgAGYAaQByAHMAdABfAHQAaQB0AGwAZQBzACAAYQBuAGQAIABzAGUAYwBvAG4AZABfAHQAaQB0AGwAZQBzACAAaQBuAHAAdQB0AHMAIABkAG8AIABuAG8AdAAgAG0AYQB0AGMAaAAgAHQAaABvAHMAZQAgAG8AZgAgAHQAaABlACAAZgBpAHIAcwB0AF8AYQByAHIAYQB5ACAAYQBuAGQAIABzAGUAYwBvAG4AZABfAGEAcgByAGEAeQAgAGkAbgBwAHUAdABzACAAcgBlAHMAcABlAGMAdABpAHYAZQBsAHkAXABuACAAIAAgACAAIAAgACAAIAAgACAAIAAgACMAVgBBAEwAVQBFACEAIAAgACAAIAAgAD0AIABJAGYAIAB0AGgAZQAgAG8AdQB0AHAAdQB0AF8AdABpAHQAbABlAHMAIABpAG4AcAB1AHQAIABwAGEAcgBhAG0AZQB0AGUAcgAgAGkAcwAgAHAAcgBvAHYAaQBkAGUAZAAgAGEAcwAgAGEAbgAgAGEAcgByAGEAeQAgAG8AZgAgAHYAYQBsAHUAZQBzACAAdABoAGkAcwAgAG0AdQBzAHQAIABiAGUAIABhACAAMQBEACAAYQByAHIAYQB5ACAAdwBpAHQAaAAgAGEAIABzAGkAbgBnAGwAZQAgAHIAbwB3ACAAbwBuAGwAeQBcAG4AIAAgACAAIAAgACAAIAAgACAAIAAgACAAIwBWAEEATABVAEUAIQAgACAAIAAgACAAPQAgAG8AdQB0AHAAdQB0AF8AdABpAHQAbABlAHMALAAgAHMAaQBtAHAAbABlAF8AcwB0AGEAYwBrACwAIABvAHIAIAByAGUAcABsAGEAYwBlAF8AbgBhACAAaQBuAHAAdQB0ACAAcABhAHIAYQBtAGUAdABlAHIAcwAgAGEAcgBlACAAaQBuAHYAYQBsAGkAZAAgAC0ALQAgAHMAaQBtAHAAbABlAF8AcwB0AGEAYwBrACAAcwBoAG8AdQBsAGQAIABiAGUAIABhACAATABvAGcAaQBjAGEAbAAgAG8AcgAgAG4AdQBtAGUAcgBpAGMAIAB2AGEAbAB1AGUAOwAgAHIAZQBwAGwAYQBjAGUAXwBuAGEAIABpAG4AcAB1AHQAIABtAHUAcwB0ACAAYgBlACAAYQAgAHMAaQBuAGcAbABlACAAdgBhAGwAdQBlACwAIABhAG4AZAAgAG4AbwBuAC0ARQB4AGMAZQBsACAAZQByAHIAbwByACAAdgBhAGwAdQBlAFwAbgAgACAAIAAgAE4AbwB0AGUAcwA6AFwAbgAgACAAIAAgACAAIAAgACAALQAgAEEAdAB0AGUAbQBwAHQAcwAgAHQAbwAgAHIAZQBwAGwAaQBjAGEAdABlACAAdABoAGUAIABTAFEATAAgAFUATgBJAE8ATgAgAG8AcABlAHIAYQB0AGkAbwBuACAAcwB0AGEAYwBrAGkAbgBnACAAZABhAHQAYQAgAHQAYQBiAGwAZQBzACAAbQBhAHQAYwBoAGkAbgBnACAAYwBvAGwAdQBtAG4AcwAgAGIAeQAgAGYAaQBlAGwAZAAgAG4AYQBtAGUALwB0AGkAdABsAGUALwBoAGUAYQBkAGUAcgBcAG4AIAAgACAAIAAgACAAIAAgAC0AIABUAGgAZQAgAGYAaQByAHMAdABfAGEAcgByAGEAeQAgAGkAcwAgAGcAaQB2AGUAbgAgAHAAcgBlAGYAZQByAGUAbgBjAGUAIABhAG4AZAAgAHQAaABlACAAcwBlAGMAbwBuAGQAXwBhAHIAcgBhAHkAIABpAHMAIABtAGEAdABjAGgAZQBkACAAdABvACAAdABoAGkAcwAsACAAbQBlAGEAbgBpAG4AZwAgAHQAaABhAHQAIAB0AGgAZQAgAG8AcgBkAGUAcgAgAG8AZgAgAHQAaABlACAAYwBvAGwAdQBtAG4AcwAgAGkAbgAgAHQAaABlACAAZgBpAHIAcwB0AF8AYQByAHIAYQB5ACAAdwBpAGwAbAAgAGIAZQAgAHUAbgBjAGgAYQBuAGcAZQBkAFwAbgAgACAAIAAgACAAIAAgACAALQAgAEMAbwBsAHUAbQBuACAAdABpAHQAbABlAHMAIAAoAGkAbgAgAHAAYQByAHQALgAgAHMAZQBjAG8AbgBkAF8AdABpAHQAbABlAHMAKQAgAGMAYQBuACAAYgBlACAAcABhAHMAcwBlAGQAIABhAHMAIABhAG4AIABhAHIAcgBhAHkAIABvAGYAIABuAHUAbQBiAGUAcgBzACAAcwBoAG8AdwBpAG4AZwAgAHQAaABlACAAaQBuAHQAZQBuAGQAZQBkACAAbwB1AHQAcAB1AHQAIABwAG8AcwBpAHQAaQBvAG4AIAByAGUAbABhAHQAaQB2AGUAIAB0AG8AIAB0AGgAZQAgAGYAaQByAHMAdABfAGEAcgByAGEAeQAgAGMAbwBsAHUAbQBuAHMAIABvAHIAZABlAHIAXABuACAAIAAgACAAIAAgACAAIAAtACAAVABoAGUAIABmAHUAbgBjAHQAaQBvAG4AIABvAHUAdABwAHUAdAAgAGMAYQBuACAAbwBwAHQAaQBvAG4AYQBsAGwAeQAgAGkAbgBjAGwAdQBkAGUAIABjAG8AbAB1AG0AbgAgAHQAaQB0AGwAZQBzAC8AaABlAGEAZABlAHIAcwAgAGkAbgAgAHQAaABlACAAbwB1AHQAcAB1AHQAIABhAHMAIAB0AGgAZQAgAGYAaQByAHMAdAAgAHIAbwB3ACwAIABlAGkAdABoAGUAcgAgAGMAcgBlAGEAdABpAG4AZwAgAGEAIABjAG8AbQBiAGkAbgBlAGQAIABhAHIAcgBhAHkAIABvAGYAIAB0AGkAdABsAGUAcwAgAG8AcgAgAHcAaQB0AGgAIABhACAAdQBzAGUAcgAgAGkAbgBwAHUAdAAgAGEAcgByAGEAeQAgAG8AZgAgAHQAaQB0AGwAZQBzAFwAbgAgACAAIAAgACAAIAAgACAAIAAgACAAIAAtAC0AIABXAGgAZQByAGUAIABhACAAdQBzAGUAcgAgAGkAbgBwAHUAdAAgAGEAcgByAGEAeQAgAG8AZgAgAGMAbwBsAHUAbQBuACAAdABpAHQAbABlAHMAIABpAHMAIAB1AHMAZQBkACAAdABoAGUAIABvAHUAdABwAHUAdAAgAHcAaQBsAGwAIABiAGUAIAByAGUAcwB0AHIAaQBjAHQAZQBkACAAdABvACAAdABoAGUAIABuAHUAbQBiAGUAcgAgAG8AZgAgAGMAbwBsAHUAbQBuAHMAIABpAG4AIAB0AGgAZQAgAGMAbwBtAGIAaQBuAGUAZAAvAHMAdABhAGMAawBlAGQAIABkAGEAdABhACAAdABhAGIAbABlAHMAIABcAG4AKgAvAFwAbgBVAG4AaQBvAG4AIAA9ACAATABBAE0AQgBEAEEAKABcAG4AIAAgACAAIAAvAC8AIABQAGEAcgBhAG0AZQB0AGUAcgAgAGQAZQBjAGwAYQByAGEAdABpAG8AbgBzAFwAbgAgACAAIAAgAGYAaQByAHMAdABfAGEAcgByAGEAeQAsAFwAbgAgACAAIAAgAHMAZQBjAG8AbgBkAF8AYQByAHIAYQB5ACwAXABuACAAIAAgACAAWwBmAGkAcgBzAHQAXwB0AGkAdABsAGUAcwBdACwAXABuACAAIAAgACAAWwBzAGUAYwBvAG4AZABfAHQAaQB0AGwAZQBzAF0ALABcAG4AIAAgACAAIABbAG8AdQB0AHAAdQB0AF8AdABpAHQAbABlAHMAXQAsAFwAbgAgACAAIAAgAFsAcwBpAG0AcABsAGUAXwBzAHQAYQBjAGsAXQAsAFwAbgAgACAAIAAgAFsAcgBlAHAAbABhAGMAZQBfAG4AYQBdACwAXABuACAAIAAgACAALwAvACAATQBhAGkAbgAgAHAAcgBvAGMAZQBkAHUAcgBlAFwAbgAgACAAIAAgAEwARQBUACgAXABuACAAIAAgACAAIAAgACAAIABfAGkAbgBwADEALAAgAGYAaQByAHMAdABfAGEAcgByAGEAeQAsAFwAbgAgACAAIAAgACAAIAAgACAAXwBpAG4AcAAyACwAIABzAGUAYwBvAG4AZABfAGEAcgByAGEAeQAsAFwAbgAgACAAIAAgACAAIAAgACAAXwBjAGMAMQAsACAAQwBPAEwAVQBNAE4AUwAoAF8AaQBuAHAAMQApACwAXABuACAAIAAgACAAIAAgACAAIABfAGMAYwAyACwAIABDAE8ATABVAE0ATgBTACgAXwBpAG4AcAAyACkALABcAG4AIAAgACAAIAAgACAAIAAgAC8ALwAgAEQAZQBhAGwAIAB3AGkAdABoACAAbwBwAHQAaQBvAG4AYQBsACAAaQBuAHAAdQB0ACAAcABhAHIAYQBtAGUAdABlAHIAcwAgAGEAbgBkACAAcwBlAHQAIABkAGUAZgBhAHUAbAB0ACAAdgBhAGwAdQBlAHMAIABmAG8AcgAgAGEAbgB5ACAAbwBtAGkAdAB0AGUAZAAgAHAAYQByAGEAbQBlAHQAZQByAHMAXABuACAAIAAgACAAIAAgACAAIAAvAC8AIAAgAC0ALQA+ACAAcgBlAHMAdAByAGkAYwB0AHMAIAB0AGgAZQAgAGMAbwBsAHUAbQBuACAAdABpAHQAbABlAHMAIAB0AG8AIABhACAAcwBpAG4AZwBsAGUAIAByAG8AdwAsACAAYQBuAGQAIAB1AHMAZQBzACAAcABvAHMAaQB0AGkAbwBuAGEAbAAgAG4AdQBtAGUAcgBpAGMAIAB2AGEAbAB1AGUAcwAgAGkAZgAgAG8AbQBpAHQAdABlAGQAXABuACAAIAAgACAAIAAgACAAIABfAHQAdABsADEALAAgAEkARgAoACAASQBTAE8ATQBJAFQAVABFAEQAKABmAGkAcgBzAHQAXwB0AGkAdABsAGUAcwApACwAXABuACAAIAAgACAAIAAgACAAIAAgACAAIAAgAFMARQBRAFUARQBOAEMARQAoADEALAAgAF8AYwBjADEALAAgADEAKQAsAFwAbgAgACAAIAAgACAAIAAgACAAIAAgACAAIABUAEEASwBFACgAZgBpAHIAcwB0AF8AdABpAHQAbABlAHMALAAgADEAKQApACwAXABuACAAIAAgACAAIAAgACAAIABfAHQAdABsADIALAAgAEkARgAoACAASQBTAE8ATQBJAFQAVABFAEQAKABzAGUAYwBvAG4AZABfAHQAaQB0AGwAZQBzACkALABcAG4AIAAgACAAIAAgACAAIAAgACAAIAAgACAAUwBFAFEAVQBFAE4AQwBFACgAMQAsACAAXwBjAGMAMgAsACAAXwBjAGMAMQAgACsAIAAxACkALABcAG4AIAAgACAAIAAgACAAIAAgACAAIAAgACAAVABBAEsARQAoAHMAZQBjAG8AbgBkAF8AdABpAHQAbABlAHMALAAgADEAKQApACwAXABuACAAIAAgACAAIAAgACAAIABfAGgAZAByACwAIABJAEYAKAAgAEkAUwBPAE0ASQBUAFQARQBEACgAbwB1AHQAcAB1AHQAXwB0AGkAdABsAGUAcwApACwAIAAwACwAIABvAHUAdABwAHUAdABfAHQAaQB0AGwAZQBzACkALABcAG4AIAAgACAAIAAgACAAIAAgAF8AYwBjAEgALAAgAEMATwBMAFUATQBOAFMAKABfAGgAZAByACkALABcAG4AIAAgACAAIAAgACAAIAAgAF8AaQBuAGMALAAgAEkARgAoACAAQQBOAEQAKABfAGMAYwBIACAAPQAgADEALAAgAE8AUgAoAEkAUwBMAE8ARwBJAEMAQQBMACgAXwBoAGQAcgApACwAIABJAFMATgBVAE0AQgBFAFIAKABfAGgAZAByACkAKQApACwAXABuACAAIAAgACAAIAAgACAAIAAgACAAIAAgAEkARgAoAF8AaABkAHIALAAgADEALAAgADAAKQAsAFwAbgAgACAAIAAgACAAIAAgACAAIAAgACAAIAAtADEAKQAsAFwAbgAgACAAIAAgACAAIAAgACAAXwBzAHQAawAsACAASQBGACgAIABJAFMATwBNAEkAVABUAEUARAAoAHMAaQBtAHAAbABlAF8AcwB0AGEAYwBrACkALAAgAEYAQQBMAFMARQAsACAAcwBpAG0AcABsAGUAXwBzAHQAYQBjAGsAKQAsAFwAbgAgACAAIAAgACAAIAAgACAAXwByAGUAcAAsACAASQBGACgAIABJAFMATwBNAEkAVABUAEUARAAoAHIAZQBwAGwAYQBjAGUAXwBuAGEAKQAsAFwAbgAgACAAIAAgACAAIAAgACAAIAAgACAAIABGAEEATABTAEUALABcAG4AIAAgACAAIAAgACAAIAAgACAAIAAgACAASQBGACgAIABBAE4ARAAoACAASQBTAEwATwBHAEkAQwBBAEwAKAByAGUAcABsAGEAYwBlAF8AbgBhACkALAAgAHIAZQBwAGwAYQBjAGUAXwBuAGEAIAA9ACAARgBBAEwAUwBFACkALAAgAEYAQQBMAFMARQAsACAAVABSAFUARQApACkALABcAG4AIAAgACAAIAAgACAAIAAgAF8AcwB0AHIALAAgAEkARgAoACAASQBTAE8ATQBJAFQAVABFAEQAKAByAGUAcABsAGEAYwBlAF8AbgBhACkALAAgADAALAAgAFwAbgAgACAAIAAgACAAIAAgACAAIAAgACAAIABJAEYAKAAgAEEATgBEACgAIABJAFMATABPAEcASQBDAEEATAAoAHIAZQBwAGwAYQBjAGUAXwBuAGEAKQAsACAAcgBlAHAAbABhAGMAZQBfAG4AYQApACwAIABcACIAXAAiACwAIAByAGUAcABsAGEAYwBlAF8AbgBhACkAKQAsAFwAbgAgACAAIAAgACAAIAAgACAALwAvACAAQwBoAGUAYwBrACAAaQBuAHAAdQB0AHMAXABuACAAIAAgACAAIAAgACAAIAAvAC8AIAAgAC0ALQA+ACAAZQBuAHMAdQByAGUAcwAgAHQAaABhAHQAIAB0AGgAZQAgAG4AdQBtAGIAZQByACAAbwBmACAAYwBvAGwAdQBtAG4AcwAgAGkAbgAgAHQAaABlACAAYQBzAHMAbwBjAGkAYQB0AGUAZAAgAGMAbwBsAHUAbQBuACAAdABpAHQAbABlAHMAIABpAG4AcAB1AHQAcwAgAG0AYQB0AGMAaAAgAHQAaABlACAAbgB1AG0AYgBlAHIAIABvAGYAIABjAG8AbAB1AG0AbgBzACAAaQBuACAAdABoAGUAIABkAGEAdABhACAAdABhAGIAbABlACAAaQBuAHAAdQB0AHMAXABuACAAIAAgACAAIAAgACAAIAAvAC8AIAAgAC0ALQA+ACAAZQBuAHMAdQByAGUAcwAgAGkAZgAgAGMAdQBzAHQAbwBtACAAbwB1AHQAcAB1AHQAIABjAG8AbAB1AG0AbgAgAHQAaQB0AGwAZQBzACAAYQByAGUAIABwAHIAbwB2AGkAZABlAGQAIAB0AGgAZQB5ACAAYQByAGUAIAByAGUAcwB0AHIAaQBjAHQAZQBkACAAdABvACAAYQAgAHMAaQBuAGcAbABlACAAcgBvAHcAIAAoADEARAAgAGEAcgByAGEAeQApAFwAbgAgACAAIAAgACAAIAAgACAALwAvACAAIAAtAC0APgAgAGUAbgBzAHUAcgBlAHMAIAB0AGgAYQB0ACAAYQBuAHkAIAByAGUAcABsAGEAYwBlAF8AbgBhACAAaQBuAHAAdQB0ACAAaQBzACAAYQAgAHMAaQBuAGcAbABlACAAdgBhAGwAdQBlACAAKABuAG8AbgAtAGEAcgByAGEAeQApACAAYQBuAGQAIABpAHMAIABuAG8AdAAgAGEAbgAgAGUAcgByAG8AcgAgAHYAYQBsAHUAZQBcAG4AIAAgACAAIAAgACAAIAAgAF8AaQBuAHAAQwBoAGsALAAgAEkARgBTACgAXABuACAAIAAgACAAIAAgACAAIAAgACAAIAAgAE8AUgAoAFwAbgAgACAAIAAgACAAIAAgACAAIAAgACAAIAAgACAAIAAgAEMATwBMAFUATQBOAFMAKABfAHQAdABsADEAKQAgADwAPgAgAF8AYwBjADEALABcAG4AIAAgACAAIAAgACAAIAAgACAAIAAgACAAIAAgACAAIABDAE8ATABVAE0ATgBTACgAXwB0AHQAbAAyACkAIAA8AD4AIABfAGMAYwAyAFwAbgAgACAAIAAgACAAIAAgACAAIAAgACAAIAApACwAIAAyACwAXABuACAAIAAgACAAIAAgACAAIAAgACAAIAAgAE8AUgAoAFwAbgAgACAAIAAgACAAIAAgACAAIAAgACAAIAAgACAAIAAgAFIATwBXAFMAKABfAGgAZAByACkAIAA8AD4AIAAxACwAXABuACAAIAAgACAAIAAgACAAIAAgACAAIAAgACAAIAAgACAAUgBPAFcAUwAoAF8AcwB0AHIAKQAgADwAPgAgADEALAAgAEMATwBMAFUATQBOAFMAKABfAHMAdAByACkAIAA8AD4AIAAxACwAIABJAFMARQBSAFIATwBSACgAXwBzAHQAcgApACwAXABuACAAIAAgACAAIAAgACAAIAAgACAAIAAgACAAIAAgACAAUgBPAFcAUwAoAF8AcwB0AGsAKQAgADwAPgAgADEALAAgAEMATwBMAFUATQBOAFMAKABfAHMAdABrACkAIAA8AD4AIAAxACwAXABuACAAIAAgACAAIAAgACAAIAAgACAAIAAgACAAIAAgACAAQQBOAEQAKABOAE8AVAAoAEkAUwBMAE8ARwBJAEMAQQBMACgAXwBzAHQAawApACkALAAgAE4ATwBUACgASQBTAE4AVQBNAEIARQBSACgAXwBzAHQAawApACkAKQBcAG4AIAAgACAAIAAgACAAIAAgACAAIAAgACAAKQAsACAAMwAsAFwAbgAgACAAIAAgACAAIAAgACAAIAAgACAAIABUAFIAVQBFACwAIAAxAFwAbgAgACAAIAAgACAAIAAgACAAKQAsAFwAbgAgACAAIAAgACAAIAAgACAALwAvACAAUwB0AGEAcgB0AHMAIABiAHkAIABhAHQAdABlAG0AcAB0AGkAbgBnACAAdABvACAAbQBhAHQAYwBoACAAdABoAGUAIABzAGUAYwBvAG4AZABfAHQAaQB0AGwAZQBzACAAYQByAHIAYQB5ACAAKABfAHQAdABsADIAKQAgAHQAbwAgAHQAaABlACAAZgBpAHIAcwB0AF8AdABpAHQAbABlAHMAIABhAHIAcgBhAHkAIAAoAF8AdAB0AGwAMQApACAAYQBuAGQAIABjAG8AbgBzAHQAcgB1AGMAdABzACAAYQAgAGMAbwBtAGIAaQBuAGUAZAAgAHQAaQB0AGwAZQBzACAAYQByAHIAYQB5ACAAKABfAHQAdABsAEMAKQBcAG4AIAAgACAAIAAgACAAIAAgAC8ALwAgACAALQAtAD4AIABpAGYAIABhACAAcwBpAG0AcABsAGUAIABzAHQAYQBjAGsAIABvAHUAdABwAHUAdAAgAGkAcwAgAGMAaABvAHMAZQBuACwAIAB0AGgAZQAgAGMAbwBtAGIAaQBuAGUAZAAgAHQAaQB0AGwAZQBzACAAYQByAHIAYQB5ACAAaQBzACAAYQBzACAAdwBpAGQAZQAgAGEAcwAgAHQAaABlACAAbQBhAHgAaQBtAHUAbQAgAG4AdQBtAGIAZQByACAAbwBmACAAaQBuAHAAdQB0ACAAYwBvAGwAdQBtAG4AcwAgAGEAbgBkACAAZwBpAHYAZQBzACAAcAByAGUAZgBlAHIAZQBuAGMAZQAgAHQAbwAgAGYAaQByAHMAdABfAHQAaQB0AGwAZQBzACAAdgBhAGwAdQBlAHMAXABuACAAIAAgACAAIAAgACAAIABfAHQAdABsAEMALAAgAEkARgAoAF8AcwB0AGsALABcAG4AIAAgACAAIAAgACAAIAAgACAAIAAgACAARABSAE8AUAAoAFwAbgAgACAAIAAgACAAIAAgACAAIAAgACAAIAAgACAAIAAgAFIARQBEAFUAQwBFACgAXAAiAFwAIgAsACAAUwBFAFEAVQBFAE4AQwBFACgAMQAsACAATQBBAFgAKABfAGMAYwAxACwAIABfAGMAYwAyACkAKQAsACAATABBAE0AQgBEAEEAKABfAGEAYwBjACwAXwB2AGEAbAAsACAASABTAFQAQQBDAEsAKABfAGEAYwBjACwAIABJAEYAKABfAHYAYQBsACAAPAA9ACAAXwBjAGMAMQAsACAASQBOAEQARQBYACgAXwB0AHQAbAAxACwAIAAsACAAXwB2AGEAbAApACwAIABJAE4ARABFAFgAKABfAHQAdABsADIALAAgACwAIABfAHYAYQBsACkAKQApACkAKQAsAFwAbgAgACAAIAAgACAAIAAgACAAIAAgACAAIAAsACAAMQApACwAXABuACAAIAAgACAAIAAgACAAIAAgACAAIAAgAFIARQBEAFUAQwBFACgAXwB0AHQAbAAxACwAIABfAHQAdABsADIALAAgAEwAQQBNAEIARABBACgAXwBhAGMAYwAsAF8AdgBhAGwALAAgAEkARgAoACAASQBTAE4AQQAoACAATQBBAFQAQwBIACgAXwB2AGEAbAAsACAAXwB0AHQAbAAxACwAIAAwACkAKQAsACAASABTAFQAQQBDAEsAKABfAGEAYwBjACwAIABfAHYAYQBsACkALAAgAF8AYQBjAGMAKQApACkAXABuACAAIAAgACAAIAAgACAAIAApACwAXABuACAAIAAgACAAIAAgACAAIAAvAC8AIABBAG4AIABhAHIAcgBhAHkAIABvAGYAIABjAG8AbAB1AG0AbgAgAGkAbgBkAGUAeAAvAHAAbwBzAGkAdABpAG8AbgAgAHYAYQBsAHUAZQBzACAAZgBvAHIAIAB0AGgAZQAgAHMAZQBjAG8AbgBkACAAZABhAHQAYQAgAHQAYQBiAGwAZQAgAGkAcwAgAGMAcgBlAGEAdABlAGQAIAAoAF8AaQBkAHgAKQBcAG4AIAAgACAAIAAgACAAIAAgAF8AaQBkAHgALAAgAEQAUgBPAFAAKABcAG4AIAAgACAAIAAgACAAIAAgACAAIAAgACAAUgBFAEQAVQBDAEUAKAAwACwAIABfAHQAdABsAEMALAAgAEwAQQBNAEIARABBACgAXwBhAGMAYwAsAF8AdgBhAGwALAAgAEgAUwBUAEEAQwBLACgAXwBhAGMAYwAsACAASQBGAE4AQQAoAE0AQQBUAEMASAAoAF8AdgBhAGwALAAgAF8AdAB0AGwAMgAsACAAMAApACwAIAAwACkAKQApACkALABcAG4AIAAgACAAIAAgACAAIAAgACwAIAAxACkALABcAG4AIAAgACAAIAAgACAAIAAgAC8ALwAgAFUAcwBpAG4AZwAgAHQAaABlACAAcwBlAGMAbwBuAGQAIABkAGEAdABhACAAdABhAGIAbABlACAAaQBuAGQAZQB4ACAAYQByAHIAYQB5ACAAKABfAGkAZAB4ACkAIABhACAAbgBlAHcAIABzAGUAYwBvAG4AZAAgAGQAYQB0AGEAIABhAHIAcgBhAHkAIABpAHMAIABjAG8AbgBzAHQAcgB1AGMAdABlAGQAIAAoAF8AYQByAHIAKQAgAHcAaABpAGMAaAAgAHcAaQBsAGwAIABjAG8AcgByAGUAYwB0AGwAeQAgAGwAaQBuAGUAIAB1AHAAIAB3AGkAdABoACAAdABoAGUAIABmAGkAcgBzAHQAIABkAGEAdABhACAAdABhAGIAbABlACAAdwBoAGUAbgAgAHMAdABhAGMAawBlAGQAXABuACAAIAAgACAAIAAgACAAIABfAGEAcgByACwAIABJAEYAKABfAHMAdABrACwAXABuACAAIAAgACAAIAAgACAAIAAgACAAIAAgAF8AaQBuAHAAMgAsAFwAbgAgACAAIAAgACAAIAAgACAAIAAgACAAIABEAFIATwBQACgAXABuACAAIAAgACAAIAAgACAAIAAgACAAIAAgACAAIAAgACAAUgBFAEQAVQBDAEUAKAAwACwAIABfAGkAZAB4ACwAIABMAEEATQBCAEQAQQAoAF8AYQBjAGMALABfAHYAYQBsACwAIABIAFMAVABBAEMASwAoAF8AYQBjAGMALAAgAEkARgAoAF8AdgBhAGwAIAA+ACAAMAAsACAAQwBIAE8ATwBTAEUAQwBPAEwAUwAoAF8AaQBuAHAAMgAsACAAXwB2AGEAbAApACwAIABcACIApgBcACIAKQApACkAKQAsAFwAbgAgACAAIAAgACAAIAAgACAAIAAgACAAIAAsACAAMQApAFwAbgAgACAAIAAgACAAIAAgACAAKQAsAFwAbgAgACAAIAAgACAAIAAgACAAXwBuAGUAdwAsACAASQBGACgAXwBhAHIAcgAgAD0AIABcACIApgBcACIALAAgAE4AQQAoACkALAAgAF8AYQByAHIAKQAsAFwAbgAgACAAIAAgACAAIAAgACAALwAvACAAUwB0AGEAYwBrAHMAIAB0AGgAZQAgAGYAaQByAHMAdAAgACgAXwBpAG4AcAAxACkAIABhAG4AZAAgAHUAcABkAGEAdABlAGQAIABzAGUAYwBvAG4AZAAgACgAXwBhAHIAcgApACAAZABhAHQAYQAgAHQAYQBiAGwAZQBzACAAdgBlAHIAdABpAGMAYQBsAGwAeQA7ACAAcwBlAGMAbwBuAGQAIABiAGUAbABvAHcAIABmAGkAcgBzAHQAXABuACAAIAAgACAAIAAgACAAIABfAGMAYQBsAGMALAAgAFYAUwBUAEEAQwBLACgAXwBpAG4AcAAxACwAIABfAG4AZQB3ACkALABcAG4AIAAgACAAIAAgACAAIAAgAC8ALwAgAEEAZABkAHMAIAB0AGgAZQAgAGMAbwBsAHUAbQBuACAAdABpAHQAbABlAHMALwBoAGUAYQBkAGUAcgBzACAAYQBzACAAdABoAGUAIABmAGkAcgBzAHQAIAByAG8AdwAgAG8AZgAgAHQAaABlACAAbwB1AHQAcAB1AHQAIABhAHIAcgBhAHkAIABhAHMAIAByAGUAcQB1AGkAcgBlAGQAXABuACAAIAAgACAAIAAgACAAIAAvAC8AIAAgAC0ALQA+ACAAdABoAGUAIABfAGkAbgBjACAAdgBhAHIAaQBhAGIAbABlAHMAIABkAGUAdABlAHIAbQBpAG4AZQBzACAAdwBoAGUAdABoAGUAcgAgAHQAbwAgAGEAZABkACAAdABoAGUAIABjAHIAZQBhAHQAZQBkACAAYwBvAG0AYgBpAG4AZQBkACAAdABpAHQAbABlAHMAIABhAHIAcgBhAHkAIAAoADEAIAA9ACAAXwB0AHQAbABDACkALAAgAHQAaABlACAAYwB1AHMAdABvAG0AIAB1AHMAZQByACAAdABpAHQAbABlAHMAIAAoAC0AMQAgAD0AIABfAGgAZAByACkALAAgAG8AcgAgAG4AbwAgAHQAaQB0AGwAZQBzACAAKAAwACkAXABuACAAIAAgACAAIAAgACAAIABfAG8AdQB0ACwAIABJAEYAKABfAGkAbgBjACAAPAAgADAALAAgAFYAUwBUAEEAQwBLACgAIABUAEEASwBFACgAXwBoAGQAcgAsACAAMQAsACAATQBJAE4AKABfAGMAYwBIACwAIABDAE8ATABVAE0ATgBTACgAXwBjAGEAbABjACkAKQApACwAIABfAGMAYQBsAGMAKQAsAFwAbgAgACAAIAAgACAAIAAgACAAIAAgACAAIABJAEYAKABfAGkAbgBjACAAPgAgADAALAAgAFYAUwBUAEEAQwBLACgAXwB0AHQAbABDACwAIABfAGMAYQBsAGMAKQAsACAAXwBjAGEAbABjACkAXABuACAAIAAgACAAIAAgACAAIAApACwAXABuACAAIAAgACAAIAAgACAAIAAvAC8AIABJAGYAIAB0AGgAZQAgAHUAcwBlAHIAIABoAGEAcwAgAGMAaABvAHMAZQBuACAAdABvACAAcgBlAHAAbABhAGMAZQAgACMATgAvAEEAIAB2AGEAbAB1AGUAcwAgACgAXwByAGUAcAApACAAdABoAGUAbgAgAGQAbwAgAHMAbwAgAHUAcwBpAG4AZwAgAHQAaABlACAAYQBwAHAAcgBvAHAAcgBpAGEAdABlACAAcgBlAHAAbABhAGMAZQBtAGUAbgB0ACAAdgBhAGwAdQBlACAAKABfAHMAdAByACkAXABuACAAIAAgACAAIAAgACAAIABfAHIAdABuACwAIABJAEYAKABfAHIAZQBwACwAXABuACAAIAAgACAAIAAgACAAIAAgACAAIAAgAEkARgAoAEkAUwBOAEEAKABfAG8AdQB0ACkALAAgAF8AcwB0AHIALAAgAF8AbwB1AHQAKQAsAFwAbgAgACAAIAAgACAAIAAgACAAIAAgACAAIABfAG8AdQB0AFwAbgAgACAAIAAgACAAIAAgACAAKQAsAFwAbgAgACAAIAAgACAAIAAgACAALwAvACAASQBmACAAdABoAGUAIABpAG4AcAB1AHQAIABjAGgAZQBjAGsAcwAgACgAXwBpAG4AcABDAGgAawApACAAaABhAHYAZQAgAGYAbABhAGcAZwBlAGQAIAB0AGgAZQBuACAAcgBlAHQAdQByAG4AIAB0AGgAZQAgAHIAZQBxAHUAaQByAGUAZAAgAEUAeABjAGUAbAAgAGUAcgByAG8AcgAgAGMAbwBkAGUALAAgAG8AdABoAGUAcgB3AGkAcwBlACAAcgBlAHQAdQByAG4AIAB0AGgAZQAgAGMAYQBsAGMAdQBsAGEAdABlAGQAIAByAGUAcwB1AGwAdAAgACgAXwByAHQAbgApAFwAbgAgACAAIAAgACAAIAAgACAAQwBIAE8ATwBTAEUAKABfAGkAbgBwAEMAaABrACwAIABfAHIAdABuACwAIABMAEEATQBCAEQAQQAoADAAKQAsACAAIwBWAEEATABVAEUAIQApAFwAbgAgACAAIAAgACkAXABuACkAOwBcAG4AXABuAC8AKgBcAG4AIAAgACAAIABOAGEAbQBlADoAIAAgACAAIAAgACAAIAAgAFUAbgBQAGkAdgBvAHQAKAApAFwAbgAgACAAIAAgAFYAZQByAHMAaQBvAG4AOgAgACAAIAAgACAAMQAuADAANwAgACgAMAA3AC0ATQBhAHkALQAyADAAMgA1ACkAIAAtAC0AIABSACAAUwBpAGwAawAsACAAUgBYAEwAIABEAGUAdgBlAGwAbwBwAG0AZQBuAHQAXABuACAAIAAgACAARABlAHMAYwByAGkAcAB0AGkAbwBuADoAIAAqAC8ALwAqACoAVQBuAHAAaQB2AG8AdAAgACgAXAAiAGYAbABhAHQAdABlAG4AXAAiACkAIABhACAAMgBEACAAcwBvAHUAcgBjAGUAIABhAHIAcgBhAHkAIABpAG4AdABvACAAYQAgAHYAZQByAHQAaQBjAGEAbAAgAGQAYQB0AGEAIAB0AGEAYgBsAGUAOwAgAGUAYQBjAGgAIABzAG8AdQByAGMAZQAgAGQAYQB0AGEAIABwAG8AaQBuAHQAIAByAGUAcAByAGUAcwBlAG4AdABlAGQAIABhAHMAIABhAG4AIABpAG4AZABpAHYAaQBkAHUAYQBsACAAcgBvAHcAKgAvAC8AKgBcAG4AIAAgACAAIAAgACAAIAAgACAAIAAgACAAIAAgACAAIAAgAFQAaABlACAAbQBhAGkAbgAgAGQAYQB0AGEAIABwAG8AaQBuAHQAcwAgAGEAcgBlACAAaABlAGwAZAAgAHcAaQB0AGgAaQBuACAAYQAgAFYAYQBsAHUAZQBzACAAYwBvAGwAdQBtAG4ALAAgAGEAbgBkACAAdABoAGUAIAByAG8AdwAgAHQAaQB0AGwAZQBzAC8AaABlAGEAZABlAHIAcwAgAGEAbgBkACAAYwBvAGwAdQBtAG4AIABoAGUAYQBkAGUAcgBzACAAZgByAG8AbQAgAHQAaABlACAAcwBvAHUAcgBjAGUAIABkAGEAdABhACAAdABhAGIAbABlACAAYQByAGUAIAB1AHMAZQBkACAAdABvACAAYQBkAGQAIABkAGUAdABhAGkAbABzACAAYQBzACAASwBlAHkAIABhAG4AZAAgAE4AYQBtAGUAIABjAG8AbAB1AG0AbgBzAFwAbgAgACAAIAAgAFAAYQByAGEAbQBlAHQAZQByAHMAOgBcAG4AIAAgACAAIAAgACAAIAAgACsAIABkAGEAdABhACAAIAAgACAAIAAgACAAIAAgACAAIAAgACAAIAAgACAAPQAgACgAcgBlAHEAdQBpAHIAZQBkACkAIABBAG4AIABhAHIAcgBhAHkAIABjAG8AbgB0AGEAaQBuAGkAbgBnACAAdABoAGUAIABtAGEAaQBuACAAZABhAHQAYQAgAHAAbwBpAG4AdABzACAAZgByAG8AbQAgAHQAaABlACAAdABhAGIAbABlACAAdABvACAAdQBuAHAAaQB2AG8AdAAgAG8AcgAgAFwAIgBmAGwAYQB0AC0AZgBpAGwAZQBcACIALgBcAG4AIAAgACAAIAAgACAAIAAgACsAIAByAG8AdwBfAGgAZQBhAGQAZQByAHMAIAAgACAAIAAgACAAIAAgACAAPQAgACgAcgBlAHEAdQBpAHIAZQBkACkAIABBAG4AIABhAHIAcgBhAHkAIABvAGYAIAB2AGEAbAB1AGUAcwAgAHcAaABpAGMAaAAgAHIAZQBwAHIAZQBzAGUAbgB0ACAAdABoAGUAIAByAG8AdwAgAGgAZQBhAGQAZQByAHMALwB0AGkAdABsAGUAcwAgAGYAbwByACAAdABoAGUAIABtAGEAaQBuACAAZABhAHQAYQAgAGkAbgBwAHUAdAAgAGEAcgByAGEAeQAuAFwAbgAgACAAIAAgACAAIAAgACAAIAAgACAAIAAgACAAIAAgACAAIAAgACAAIAAgACAAIAAgACAAIAAgACAAIAAgACAAIAAgACAAIAAgACAAIAAgACAAIAAgAFQAaABlACAAcgBvAHcAXwBoAGUAYQBkAGUAcgBzACAAaQBuAHAAdQB0ACAAYQByAHIAYQB5ACAAcwBoAG8AdQBsAGQAIABoAGEAdgBlACAAdABoAGUAIABzAGEAbQBlACAAbgB1AG0AYgBlAHIAIABvAGYAIAByAG8AdwBzACAAYQBzACAAdABoAGUAIABkAGEAdABhACAAaQBuAHAAdQB0ACAAYQByAHIAYQB5ADsAIAB0AGgAZQByAGUAIABjAGEAbgAgAGIAZQAgAG8AbgBlACAAbwByACAAbQBvAHIAZQAgAGMAbwBsAHUAbQBuAHMAIABpAG4AIAB0AGgAZQAgAHIAbwB3AF8AaABlAGEAZABlAHIAcwAgAGkAbgBwAHUAdAAgAGEAcgByAGEAeQAuAFwAbgAgACAAIAAgACAAIAAgACAAKwAgAGMAbwBsAHUAbQBuAF8AaABlAGEAZABlAHIAcwAgACAAIAAgACAAIAA9ACAAKAByAGUAcQB1AGkAcgBlAGQAKQAgAEEAbgAgAGEAcgByAGEAeQAgAG8AZgAgAHYAYQBsAHUAZQBzACAAdwBoAGkAYwBoACAAcgBlAHAAcgBlAHMAZQBuAHQAIAB0AGgAZQAgAGMAbwBsAHUAbQBuACAAaABlAGEAZABlAHIAcwAvAHQAaQB0AGwAZQBzACAAZgBvAHIAIAB0AGgAZQAgAG0AYQBpAG4AIABkAGEAdABhACAAaQBuAHAAdQB0ACAAYQByAHIAYQB5AC4AXABuACAAIAAgACAAIAAgACAAIAAgACAAIAAgACAAIAAgACAAIAAgACAAIAAgACAAIAAgACAAIAAgACAAIAAgACAAIAAgACAAIAAgACAAIAAgACAAIAAgACAAVABoAGUAIABjAG8AbAB1AG0AbgBfAGgAZQBhAGQAZQByAHMAIABpAG4AcAB1AHQAIABhAHIAcgBhAHkAIABzAGgAbwB1AGwAZAAgAGgAYQB2AGUAIAB0AGgAZQAgAHMAYQBtAGUAIABuAHUAbQBiAGUAcgAgAG8AZgAgAGMAbwBsAHUAbQBuAHMAIABhAHMAIAB0AGgAZQAgAGQAYQB0AGEAIABpAG4AcAB1AHQAIABhAHIAcgBhAHkAOwAgAHQAaABlAHIAZQAgAGMAYQBuACAAYgBlACAAbwBuAGUAIABvAHIAIABtAG8AcgBlACAAcgBvAHcAcwAgAGkAbgAgAHQAaABlACAAYwBvAGwAdQBtAG4AXwBoAGUAYQBkAGUAcgBzACAAaQBuAHAAdQB0ACAAYQByAHIAYQB5AC4AXABuACAAIAAgACAAIAAgACAAIAArACAAYgB5AF8AYwBvAGwAdQBtAG4AIAAgACAAIAAgACAAIAAgACAAIAAgAD0AIAAoAG8AcAB0AGkAbwBuAGEAbAApACAAQQAgAFQAcgB1AGUALwBGAGEAbABzAGUAIABpAG4AcAB1AHQAIAB3AGgAaQBjAGgAIABkAGUAdABlAHIAbQBpAG4AZQBzACAAdwBoAGUAdABoAGUAcgAgAHQAaABlACAAbQBhAGkAbgAgAGQAYQB0AGEAIABpAG4AcAB1AHQAIABhAHIAcgBhAHkAIABzAGgAbwB1AGwAZAAgAGIAZQAgAHIAZQBhAGQAIABiAHkAIABjAG8AbAB1AG0AbgAgACgAVABSAFUARQApACwAIABvAHIAIABiAHkAIAByAG8AdwAgACgARgBBAEwAUwBFACkALgBcAG4AIAAgACAAIAAgACAAIAAgACAAIAAgACAAIAAgACAAIAAgACAAIAAgACAAIAAgACAAIAAgACAAIAAgACAAIAAgACAAIAAgACAAIAAgACAAIAAgACAAIAAgACAAIABUAFIAVQBFACAAPQAgAHQAaABlACAAZABhAHQAYQAgAGEAcgByAGEAeQAgAGkAcwAgAHIAZQBhAGQAIABiAHkAIABnAG8AaQBuAGcAIABkAG8AdwBuACAAZQBhAGMAaAAgAGMAbwBsAHUAbQBuACAAKAB0AG8AcAAtAHQAbwAtAGIAbwB0AHQAbwBtACkALAAgAHUAcwBpAG4AZwAgAHQAaABlACAAYwBvAGwAdQBtAG4AXwBoAGUAYQBkAGUAcgBzACAAYQBzACAAdABoAGUAIABLAGUAeQAgAGMAbwBsAHUAbQBuACgAcwApACAAYQBuAGQAIAB0AGgAZQAgAHIAbwB3AF8AaABlAGEAZABlAHIAcwAgAGEAcwAgAHQAaABlACAATgBhAG0AZQAgAGMAbwBsAHUAbQBuACgAcwApAFwAbgAgACAAIAAgACAAIAAgACAAIAAgACAAIAAgACAAIAAgACAAIAAgACAAIAAgACAAIAAgACAAIAAgACAAIAAgACAAIAAgACAAIAAgACAAIAAgACAAIAAgACAAIABGAEEATABTAEUAIAA9ACAAdABoAGUAIABkAGEAdABhACAAYQByAHIAYQB5ACAAaQBzACAAcgBlAGEAZAAgAGIAeQAgAGcAbwBpAG4AZwAgAGEAYwByAG8AcwBzACAAZQBhAGMAaAAgAHIAbwB3ACAAKABsAGUAZgB0AC0AdABvAC0AcgBpAGcAaAB0ACkALAAgAHUAcwBpAG4AZwAgAHQAaABlACAAcgBvAHcAXwBoAGUAYQBkAGUAcgBzACAAYQBzACAAdABoAGUAIABLAGUAeQAgAGMAbwBsAHUAbQBuACgAcwApACAAYQBuAGQAIAB0AGgAZQAgAGMAbwBsAHUAbQBuAF8AaABlAGEAZABlAHIAcwAgAGEAcwAgAHQAaABlACAATgBhAG0AZQAgAGMAbwBsAHUAbQBuACgAcwApAFwAbgAgACAAIAAgACAAIAAgACAAIAAgACAAIAAgACAAIAAgACAAIAAgACAAIAAgACAAIAAgACAAIAAgACAAIAAgACAAIAAgACAAIAAgACAAIAAgACAAIAAgAEkAZgAgAG4AbwB0ACAAcwB1AHAAcABsAGkAZQBkACwAIAB3AGkAbABsACAAZABlAGYAYQB1AGwAdAAgAHQAbwAgAEYAQQBMAFMARQAgACgAdABoAGUAcgBlAGYAbwByAGUAIAByAGUAYQBkAGkAbgBnACAAdABoAGUAIABkAGEAdABhACAAYQByAHIAYQB5ACAAYgB5ACAAcgBvAHcAKQAuAFwAbgAgACAAIAAgACAAIAAgACAAKwAgAHIAZQBwAGwAYQBjAGUAXwBkAGEAdABhAF8AYgBsAGEAbgBrAHMAIAA9ACAAKABvAHAAdABpAG8AbgBhAGwAKQAgAEEAIAB2AGEAbAB1AGUAIAB3AGgAaQBjAGgAIABjAGEAbgAgAGIAZQAgAHUAcwBlAGQAIAB0AG8AIAByAGUAcABsAGEAYwBlACAAYQBuAHkAIABiAGwAYQBuAGsAIABkAGEAdABhACAAcABvAGkAbgB0AHMAIABpAG4AIAB0AGgAZQAgAFYAYQBsAHUAZQAgAGMAbwBsAHUAbQBuACwAIABhAHMAIABwAGUAcgAgAHQAaABlACAAbQBhAGkAbgAgAGQAYQB0AGEAIABpAG4AcAB1AHQAIABhAHIAcgBhAHkALgBcAG4AIAAgACAAIAAgACAAIAAgACAAIAAgACAAIAAgACAAIAAgACAAIAAgACAAIAAgACAAIAAgACAAIAAgACAAIAAgACAAIAAgACAAIAAgACAAIAAgACAAIABJAGYAIAB0AGgAZQAgAGkAbgBwAHUAdAAgAHAAcgBvAHYAaQBkAGUAZAAgAGkAcwAgAGEAIABuAHUAbQBiAGUAcgAgAG8AcgAgAHQAZQB4AHQAIABzAHQAcgBpAG4AZwAsACAAdABoAGUAbgAgAHQAaABpAHMAIAB2AGEAbAB1AGUAIABpAHMAIAB1AHMAZQBkACAAdABvACAAcgBlAHAAbABhAGMAZQAgAGEAbgB5ACAAYgBsAGEAbgBrACAAZABhAHQAYQAgAHAAbwBpAG4AdABzAC4AXABuACAAIAAgACAAIAAgACAAIAAgACAAIAAgACAAIAAgACAAIAAgACAAIAAgACAAIAAgACAAIAAgACAAIAAgACAAIAAgACAAIAAgACAAIAAgACAAIAAgACAASQBmACAAdABoAGUAIABpAG4AcAB1AHQAIABwAHIAbwB2AGkAZABlAGQAIABpAHMAIABhACAAbABvAGcAaQBjAGEAbAAvAEIAbwBvAGwAZQBhAG4AIAB2AGEAbAB1AGUAOgBcAG4AIAAgACAAIAAgACAAIAAgACAAIAAgACAAIAAgACAAIAAgACAAIAAgACAAIAAgACAAIAAgACAAIAAgACAAIAAgACAAIAAgACAAIAAgACAAIAAgACAAIAAgACAAIABUAFIAVQBFACAAPQAgAGIAbABhAG4AawAgAGQAYQB0AGEAIABwAG8AaQBuAHQAcwAgAHcAaQBsAGwAIABiAGUAIAByAGUAcABsAGEAYwBlAGQAIAB3AGkAdABoACAAYQAgACMATgAvAEEAIABlAHIAcgBvAHIAIAB2AGEAbAB1AGUAXABuACAAIAAgACAAIAAgACAAIAAgACAAIAAgACAAIAAgACAAIAAgACAAIAAgACAAIAAgACAAIAAgACAAIAAgACAAIAAgACAAIAAgACAAIAAgACAAIAAgACAAIAAgAEYAQQBMAFMARQAgAD0AIABiAGwAYQBuAGsAIABkAGEAdABhACAAcABvAGkAbgB0AHMAIAB3AGkAbABsACAAbgBvAHQAIABiAGUAIAByAGUAcABsAGEAYwBlAGQAXABuACAAIAAgACAAIAAgACAAIAAgACAAIAAgACAAIAAgACAAIAAgACAAIAAgACAAIAAgACAAIAAgACAAIAAgACAAIAAgACAAIAAgACAAIAAgACAAIAAgACAASQBmACAAbgBvAHQAIABzAHUAcABwAGwAaQBlAGQALAAgAHcAaQBsAGwAIABkAGUAZgBhAHUAbAB0ACAAdABvACAAYQBuACAAZQBmAGYAZQBjAHQAaQB2AGUAIABiAGwAYQBuAGsAIABzAHQAcgBpAG4AZwAgAHYAYQBsAHUAZQAgACgAIABcACIAXAAiACAAKQAuAFwAbgAgACAAIAAgACAAIAAgACAAKwAgAGYAaQBsAHQAZQByAF8AYgBsAGEAbgBrAHMAIAAgACAAIAAgACAAIAA9ACAAKABvAHAAdABpAG8AbgBhAGwAKQAgAEEAIABUAHIAdQBlAC8ARgBhAGwAcwBlACAAaQBuAHAAdQB0ACAAdwBoAGkAYwBoACAAZABlAHQAZQByAG0AaQBuAGUAcwAgAHcAaABlAHQAaABlAHIAIAB0AG8AIABmAGkAbAB0AGUAcgAgAG8AdQB0ACAAYQBuAHkAIAByAG8AdwBzACAAdwBpAHQAaAAgAGIAbABhAG4AawAgAGQAYQB0AGEAIABwAG8AaQBuAHQAcwAgAHcAaQB0AGgAaQBuACAAdABoAGUAIABWAGEAbAB1AGUAcwAgAGMAbwBsAHUAbQBuAC4AXABuACAAIAAgACAAIAAgACAAIAAgACAAIAAgACAAIAAgACAAIAAgACAAIAAgACAAIAAgACAAIAAgACAAIAAgACAAIAAgACAAIAAgACAAIAAgACAAIAAgACAAQwBhAG4AIABiAGUAIABpAG4AcAB1AHQAIABhAHMAIABUAFIAVQBFAC8ARgBBAEwAUwBFACAAKABCAG8AbwBsAGUAYQBuACAAbABvAGcAaQBjAGEAbAAgAHYAYQBsAHUAZQApACAAbwByACAAMQAvADAAIAAoAG4AdQBtAGIAZQByACkALgBcAG4AIAAgACAAIAAgACAAIAAgACAAIAAgACAAIAAgACAAIAAgACAAIAAgACAAIAAgACAAIAAgACAAIAAgACAAIAAgACAAIAAgACAAIAAgACAAIAAgACAAIABJAGYAIABuAG8AdAAgAHMAdQBwAHAAbABpAGUAZAAsACAAdwBpAGwAbAAgAGQAZQBmAGEAdQBsAHQAIAB0AG8AIABGAEEATABTAEUALgBcAG4AIAAgACAAIAAgACAAIAAgACsAIABmAGkAbAB0AGUAcgBfAGUAcgByAG8AcgBzACAAIAAgACAAIAAgACAAPQAgACgAbwBwAHQAaQBvAG4AYQBsACkAIABBACAAVAByAHUAZQAvAEYAYQBsAHMAZQAgAGkAbgBwAHUAdAAgAHcAaABpAGMAaAAgAGQAZQB0AGUAcgBtAGkAbgBlAHMAIAB3AGgAZQB0AGgAZQByACAAdABvACAAZgBpAGwAdABlAHIAIABvAHUAdAAgAGEAbgB5ACAAcgBvAHcAcwAgAHcAaQB0AGgAIABlAHIAcgBvAHIAIAB2AGEAbAB1AGUAcwAgAHcAaQB0AGgAaQBuACAAdABoAGUAIABkAGEAdABhACAAdgBhAGwAdQBlAHMAIABjAG8AbAB1AG0AbgAuAFwAbgAgACAAIAAgACAAIAAgACAAIAAgACAAIAAgACAAIAAgACAAIAAgACAAIAAgACAAIAAgACAAIAAgACAAIAAgACAAIAAgACAAIAAgACAAIAAgACAAIAAgAEMAYQBuACAAYgBlACAAaQBuAHAAdQB0ACAAYQBzACAAVABSAFUARQAvAEYAQQBMAFMARQAgACgAQgBvAG8AbABlAGEAbgAgAGwAbwBnAGkAYwBhAGwAIAB2AGEAbAB1AGUAKQAgAG8AcgAgADEALwAwACAAKABuAHUAbQBiAGUAcgApAC4AXABuACAAIAAgACAAIAAgACAAIAAgACAAIAAgACAAIAAgACAAIAAgACAAIAAgACAAIAAgACAAIAAgACAAIAAgACAAIAAgACAAIAAgACAAIAAgACAAIAAgACAASQBmACAAbgBvAHQAIABzAHUAcABwAGwAaQBlAGQALAAgAHcAaQBsAGwAIABkAGUAZgBhAHUAbAB0ACAAdABvACAARgBBAEwAUwBFAC4AXABuACAAIAAgACAAIAAgACAAIAArACAAZgBpAGwAbABfAHIAbwB3AF8AYgBsAGEAbgBrAHMAIAAgACAAIAAgAD0AIAAoAG8AcAB0AGkAbwBuAGEAbAApACAARABlAHQAZQByAG0AaQBuAGUAcwAgAHcAaABlAHQAaABlAHIAIABhAG4AeQAgAGIAbABhAG4AawAgAGQAYQB0AGEAIABwAG8AaQBuAHQAcwAgAGkAbgAgAHQAaABlACAAcgBvAHcAXwBoAGUAYQBkAGUAcgBzACAAaQBuAHAAdQB0ACAAYQByAHIAYQB5ACAAcwBoAG8AdQBsAGQAIABiAGUAIABmAGkAbABsAGUAZAAgAGEAbgBkACAAdwBoAGEAdAAgAHYAYQBsAHUAZQAgAHMAaABvAHUAbABkACAAYgBlACAAdQBzAGUAZAAuAFwAbgAgACAAIAAgACAAIAAgACAAIAAgACAAIAAgACAAIAAgACAAIAAgACAAIAAgACAAIAAgACAAIAAgACAAIAAgACAAIAAgACAAIAAgACAAIAAgACAAIAAgAFQAaABlACAAYgBsAGEAbgBrACAAYwBlAGwAbABzACAAYwBhAG4AIABiAGUAIABmAGkAbABsAGUAZAAgAHcAaQB0AGgAIAB0AGgAZQAgAHYAYQBsAHUAZQBzACAAZgByAG8AbQAgAHQAaABlACAAYwBlAGwAbABzACAAYQBiAG8AdgBlACAAbwByACAAYgBlAGwAbwB3ACAAdABoAGUAIABiAGwAYQBuAGsAIABjAGUAbABsACwAIABvAHIAIAB3AGkAdABoACAAYQAgAHMAcABlAGMAaQBmAGkAZQBkACAAdgBhAGwAdQBlAC4AXABuACAAIAAgACAAIAAgACAAIAAgACAAIAAgACAAIAAgACAAIAAgACAAIAAgACAAIAAgACAAIAAgACAAIAAgACAAIAAgACAAIAAgACAAIAAgACAAIAAgACAAIAAgACAAIAAgACsAMQAgAD0AIABmAGkAbABsAHMAIAB0AGgAZQAgAGIAbABhAG4AawAgAGQAYQB0AGEAIABwAG8AaQBuAHQAIAB3AGkAdABoACAAdABoAGUAIABjAGUAbABsACAAdgBhAGwAdQBlACAAZgByAG8AbQAgAHQAaABlACAAcgBvAHcAIABhAGIAbwB2AGUAIABcAG4AIAAgACAAIAAgACAAIAAgACAAIAAgACAAIAAgACAAIAAgACAAIAAgACAAIAAgACAAIAAgACAAIAAgACAAIAAgACAAIAAgACAAIAAgACAAIAAgACAAIAAgACAAIAAgACAALQAxACAAPQAgAGYAaQBsAGwAcwAgAHQAaABlACAAYgBsAGEAbgBrACAAZABhAHQAYQAgAHAAbwBpAG4AdAAgAHcAaQB0AGgAIAB0AGgAZQAgAGMAZQBsAGwAIAB2AGEAbAB1AGUAIABmAHIAbwBtACAAdABoAGUAIAByAG8AdwAgAGIAZQBsAG8AdwBcAG4AIAAgACAAIAAgACAAIAAgACAAIAAgACAAIAAgACAAIAAgACAAIAAgACAAIAAgACAAIAAgACAAIAAgACAAIAAgACAAIAAgACAAIAAgACAAIAAgACAAIAAgACAAIAAgACAAIAAwACAAPQAgAGQAbwBlAHMAIABuAG8AdAAgAGYAaQBsAGwAIAB0AGgAZQAgAGIAbABhAG4AawAgAHYAYQBsAHUAZQBzACAAZgByAG8AbQAgAHQAaABlACAAaQBuAHAAdQB0ACAAYQByAHIAYQB5ACwAIABpAG4AcwB0AGUAYQBkACAAdABoAGUAeQAgAGEAcgBlACAAbABlAGYAdAAgAGEAcwAgAGEAbgAgAGUAbQBwAHQAeQAgAHMAdAByAGkAbgBnACAAKAAgAFwAIgBcACIAIAApACAAaQBuACAAdABoAGUAIABvAHUAdABwAHUAdABcAG4AIAAgACAAIAAgACAAIAAgACAAIAAgACAAIAAgACAAIAAgACAAIAAgACAAIAAgACAAIAAgACAAIAAgACAAIAAgACAAIAAgACAAIAAgACAAIAAgACAAIAAgACAAIABUAFIAVQBFACAAPQAgAGYAaQBsAGwAcwAgAHQAaABlACAAYgBsAGEAbgBrACAAZABhAHQAYQAgAHAAbwBpAG4AdABzACAAdwBpAHQAaAAgAHQAaABlACAAYwBlAGwAbAAgAHYAYQBsAHUAZQAgAGYAcgBvAG0AIAB0AGgAZQAgAHIAbwB3ACAAYQBiAG8AdgBlAFwAbgAgACAAIAAgACAAIAAgACAAIAAgACAAIAAgACAAIAAgACAAIAAgACAAIAAgACAAIAAgACAAIAAgACAAIAAgACAAIAAgACAAIAAgACAAIAAgACAAIAAgACAAIABGAEEATABTAEUAIAA9ACAAZABvAGUAcwAgAG4AbwB0ACAAZgBpAGwAbAAgAHQAaABlACAAYgBsAGEAbgBrACAAdgBhAGwAdQBlAHMAIABmAHIAbwBtACAAdABoAGUAIABpAG4AcAB1AHQAIABhAHIAcgBhAHkALAAgAGkAbgBzAHQAZQBhAGQAIAB0AGgAZQB5ACAAYQByAGUAIABsAGUAZgB0ACAAYQBzACAAYQBuACAAZQBtAHAAdAB5ACAAcwB0AHIAaQBuAGcAIAAoACAAXAAiAFwAIgAgACkAIABpAG4AIAB0AGgAZQAgAG8AdQB0AHAAdQB0AFwAbgAgACAAIAAgACAAIAAgACAAIAAgACAAIAAgACAAIAAgACAAIAAgACAAIAAgACAAIAAgACAAIAAgACAAIAAgACAAIAAgACAAIAAgACAAIAAgACAAIAAgACAAWwB0AGUAeAB0AF0AIAA9ACAAYQBuAHkAIAB2AGEAbAB1AGUAIABvAHQAaABlAHIAIAB0AGgAYQBuACAAYQAgAG4AdQBtAGIAZQByACAAbwByACAAVABSAFUARQAvAEYAQQBMAFMARQAgAGkAcwAgAHAAcgBvAHYAaQBkAGUAZAAgAHQAaABpAHMAIABpAHMAIAB1AHMAZQBkACAAdABvACAAZgBpAGwAbAAgAGEAbABsACAAYgBsAGEAbgBrACAAdgBhAGwAdQBlAHMAXABuACAAIAAgACAAIAAgACAAIAAgACAAIAAgACAAIAAgACAAIAAgACAAIAAgACAAIAAgACAAIAAgACAAIAAgACAAIAAgACAAIAAgACAAIAAgACAAIAAgACAASQBmACAAbgBvAHQAIABzAHUAcABwAGwAaQBlAGQALAAgAHcAaQBsAGwAIABkAGUAZgBhAHUAbAB0ACAAdABvACAARgBBAEwAUwBFAC8AMABcAG4AIAAgACAAIAAgACAAIAAgACsAIABmAGkAbABsAF8AYwBvAGwAdQBtAG4AXwBiAGwAYQBuAGsAcwAgACAAPQAgACgAbwBwAHQAaQBvAG4AYQBsACkAIABEAGUAdABlAHIAbQBpAG4AZQBzACAAdwBoAGUAdABoAGUAcgAgAGEAbgB5ACAAYgBsAGEAbgBrACAAZABhAHQAYQAgAHAAbwBpAG4AdABzACAAaQBuACAAdABoAGUAIABjAG8AbAB1AG0AbgBfAGgAZQBhAGQAZQByAHMAIABpAG4AcAB1AHQAIABhAHIAcgBhAHkAIABzAGgAbwB1AGwAZAAgAGIAZQAgAGYAaQBsAGwAZQBkACAAYQBuAGQAIAB3AGgAYQB0ACAAdgBhAGwAdQBlACAAcwBoAG8AdQBsAGQAIABiAGUAIAB1AHMAZQBkAC4AXABuACAAIAAgACAAIAAgACAAIAAgACAAIAAgACAAIAAgACAAIAAgACAAIAAgACAAIAAgACAAIAAgACAAIAAgACAAIAAgACAAIAAgACAAIAAgACAAIAAgACAAVABoAGUAIABiAGwAYQBuAGsAIABjAGUAbABsAHMAIABjAGEAbgAgAGIAZQAgAGYAaQBsAGwAZQBkACAAdwBpAHQAaAAgAHQAaABlACAAdgBhAGwAdQBlAHMAIABmAHIAbwBtACAAdABoAGUAIABjAGUAbABsAHMAIAB0AG8AIAB0AGgAZQAgAEwAZQBmAHQAIABvAHIAIABSAGkAZwBoAHQAIABvAGYAIAB0AGgAZQAgAGIAbABhAG4AawAgAGMAZQBsAGwALAAgAG8AcgAgAHcAaQB0AGgAIABhACAAcwBwAGUAYwBpAGYAaQBlAGQAIAB2AGEAbAB1AGUALgBcAG4AIAAgACAAIAAgACAAIAAgACAAIAAgACAAIAAgACAAIAAgACAAIAAgACAAIAAgACAAIAAgACAAIAAgACAAIAAgACAAIAAgACAAIAAgACAAIAAgACAAIAAgACAAIAAgACAAKwAxACAAPQAgAGYAaQBsAGwAcwAgAHQAaABlACAAYgBsAGEAbgBrACAAZABhAHQAYQAgAHAAbwBpAG4AdAAgAHcAaQB0AGgAIAB0AGgAZQAgAGMAZQBsAGwAIAB2AGEAbAB1AGUAIABmAHIAbwBtACAAdABoAGUAIABjAGUAbABsACAAdABvACAAdABoAGUAIABMAGUAZgB0ACAAXABuACAAIAAgACAAIAAgACAAIAAgACAAIAAgACAAIAAgACAAIAAgACAAIAAgACAAIAAgACAAIAAgACAAIAAgACAAIAAgACAAIAAgACAAIAAgACAAIAAgACAAIAAgACAAIAAgAC0AMQAgAD0AIABmAGkAbABsAHMAIAB0AGgAZQAgAGIAbABhAG4AawAgAGQAYQB0AGEAIABwAG8AaQBuAHQAIAB3AGkAdABoACAAdABoAGUAIABjAGUAbABsACAAdgBhAGwAdQBlACAAZgByAG8AbQAgAHQAaABlACAAYwBlAGwAbAAgAHQAbwAgAHQAaABlACAAUgBpAGcAaAB0AFwAbgAgACAAIAAgACAAIAAgACAAIAAgACAAIAAgACAAIAAgACAAIAAgACAAIAAgACAAIAAgACAAIAAgACAAIAAgACAAIAAgACAAIAAgACAAIAAgACAAIAAgACAAIAAgACAAIAAgADAAIAA9ACAAZABvAGUAcwAgAG4AbwB0ACAAZgBpAGwAbAAgAHQAaABlACAAYgBsAGEAbgBrACAAdgBhAGwAdQBlAHMAIABmAHIAbwBtACAAdABoAGUAIABpAG4AcAB1AHQAIABhAHIAcgBhAHkALAAgAGkAbgBzAHQAZQBhAGQAIAB0AGgAZQB5ACAAYQByAGUAIABsAGUAZgB0ACAAYQBzACAAYQBuACAAZQBtAHAAdAB5ACAAcwB0AHIAaQBuAGcAIAAoACAAXAAiAFwAIgAgACkAIABpAG4AIAB0AGgAZQAgAG8AdQB0AHAAdQB0AFwAbgAgACAAIAAgACAAIAAgACAAIAAgACAAIAAgACAAIAAgACAAIAAgACAAIAAgACAAIAAgACAAIAAgACAAIAAgACAAIAAgACAAIAAgACAAIAAgACAAIAAgACAAIAAgAFQAUgBVAEUAIAA9ACAAZgBpAGwAbABzACAAdABoAGUAIABiAGwAYQBuAGsAIABkAGEAdABhACAAcABvAGkAbgB0AHMAIAB3AGkAdABoACAAdABoAGUAIABjAGUAbABsACAAdgBhAGwAdQBlACAAZgByAG8AbQAgAHQAaABlACAAYwBlAGwAbAAgAHQAbwAgAHQAaABlACAATABlAGYAdABcAG4AIAAgACAAIAAgACAAIAAgACAAIAAgACAAIAAgACAAIAAgACAAIAAgACAAIAAgACAAIAAgACAAIAAgACAAIAAgACAAIAAgACAAIAAgACAAIAAgACAAIAAgACAARgBBAEwAUwBFACAAPQAgAGQAbwBlAHMAIABuAG8AdAAgAGYAaQBsAGwAIAB0AGgAZQAgAGIAbABhAG4AawAgAHYAYQBsAHUAZQBzACAAZgByAG8AbQAgAHQAaABlACAAaQBuAHAAdQB0ACAAYQByAHIAYQB5ACwAIABpAG4AcwB0AGUAYQBkACAAdABoAGUAeQAgAGEAcgBlACAAbABlAGYAdAAgAGEAcwAgAGEAbgAgAGUAbQBwAHQAeQAgAHMAdAByAGkAbgBnACAAKAAgAFwAIgBcACIAIAApACAAaQBuACAAdABoAGUAIABvAHUAdABwAHUAdABcAG4AIAAgACAAIAAgACAAIAAgACAAIAAgACAAIAAgACAAIAAgACAAIAAgACAAIAAgACAAIAAgACAAIAAgACAAIAAgACAAIAAgACAAIAAgACAAIAAgACAAIAAgAFsAdABlAHgAdABdACAAPQAgAGEAbgB5ACAAdgBhAGwAdQBlACAAbwB0AGgAZQByACAAdABoAGEAbgAgAGEAIABuAHUAbQBiAGUAcgAgAG8AcgAgAFQAUgBVAEUALwBGAEEATABTAEUAIABpAHMAIABwAHIAbwB2AGkAZABlAGQAIAB0AGgAaQBzACAAaQBzACAAdQBzAGUAZAAgAHQAbwAgAGYAaQBsAGwAIABhAGwAbAAgAGIAbABhAG4AawAgAHYAYQBsAHUAZQBzAFwAbgAgACAAIAAgACAAIAAgACAAIAAgACAAIAAgACAAIAAgACAAIAAgACAAIAAgACAAIAAgACAAIAAgACAAIAAgACAAIAAgACAAIAAgACAAIAAgACAAIAAgAEkAZgAgAG4AbwB0ACAAcwB1AHAAcABsAGkAZQBkACwAIAB3AGkAbABsACAAZABlAGYAYQB1AGwAdAAgAHQAbwAgAEYAQQBMAFMARQAvADAAXABuACAAIAAgACAAIAAgACAAIAArACAAbwB1AHQAcAB1AHQAXwB2AGUAcgB0AGkAYwBhAGwAIAAgACAAIAAgAD0AIAAoAG8AcAB0AGkAbwBuAGEAbAApACAAQQAgAFQAcgB1AGUALwBGAGEAbABzAGUAIABpAG4AcAB1AHQAIAB3AGgAaQBjAGgAIABkAGUAdABlAHIAbQBpAG4AZQBzACAAdwBoAGUAdABoAGUAcgAgAHQAbwAgAHAAcgBvAHYAaQBkAGUAIAB0AGgAZQAgAGYAaQBuAGEAbAAgAG8AdQB0AHAAdQB0ACAAZABhAHQAYQAgAGEAcgByAGEAeQAgAGkAbgAgAHYAZQByAHQAaQBjAGEAbAAgAG8AcgBpAGUAbgB0AGEAdABpAG8AbgAgAG8AcgAgAGgAbwByAGkAegBvAG4AdABhAGwAIABvAHIAaQBlAG4AdABhAHQAaQBvAG4ALgBcAG4AIAAgACAAIAAgACAAIAAgACAAIAAgACAAIAAgACAAIAAgACAAIAAgACAAIAAgACAAIAAgACAAIAAgACAAIAAgACAAIAAgACAAIAAgACAAIAAgACAAIABDAGEAbgAgAGIAZQAgAGkAbgBwAHUAdAAgAGEAcwAgAFQAUgBVAEUALwBGAEEATABTAEUAIAAoAEIAbwBvAGwAZQBhAG4AIABsAG8AZwBpAGMAYQBsACAAdgBhAGwAdQBlACkAIABvAHIAIAAxAC8AMAAgACgAbgB1AG0AYgBlAHIAKQAuAFwAbgAgACAAIAAgACAAIAAgACAAIAAgACAAIAAgACAAIAAgACAAIAAgACAAIAAgACAAIAAgACAAIAAgACAAIAAgACAAIAAgACAAIAAgACAAIAAgACAAIAAgACAAIAAgAFQAUgBVAEUAIAA9ACAAdgBlAHIAdABpAGMAYQBsACAAbwByAGkAZQBuAHQAYQB0AGkAbwBuAFwAbgAgACAAIAAgACAAIAAgACAAIAAgACAAIAAgACAAIAAgACAAIAAgACAAIAAgACAAIAAgACAAIAAgACAAIAAgACAAIAAgACAAIAAgACAAIAAgACAAIAAgACAAIABGAEEATABTAEUAIAA9ACAAaABvAHIAaQB6AG8AbgB0AGEAbAAgAG8AcgBpAGUAbgB0AGEAdABpAG8AbgAsACAAcgB1AG4AbgBpAG4AZwAgAGwAZQBmAHQALQB0AG8ALQByAGkAZwBoAHQAIABhAGMAcgBvAHMAcwAgAHQAaABlACAAdwBvAHIAawBzAGgAZQBlAHQAXABuACAAIAAgACAAIAAgACAAIAAgACAAIAAgACAAIAAgACAAIAAgACAAIAAgACAAIAAgACAAIAAgACAAIAAgACAAIAAgACAAIAAgACAAIAAgACAAIAAgACAASQBmACAAbgBvAHQAIABzAHUAcABwAGwAaQBlAGQALAAgAHcAaQBsAGwAIABkAGUAZgBhAHUAbAB0ACAAdABvACAARgBBAEwAUwBFAC4AXABuACAAIAAgACAARQByAHIAbwByACAAYwBvAGQAZQBzADoAXABuACAAIAAgACAAIAAgACAAIAAgACAAIAAgACMAVgBBAEwAVQBFACEAIAAgACAAIAAgAD0AIABPAGMAYwB1AHIAcwAgAHcAaABlAG4AIABvAG4AZQAgAG8AcgAgAG0AbwByAGUAIABvAGYAIAB0AGgAZQAgAGkAbgBwAHUAdABzACAAcAByAG8AdgBpAGQAZQBkACAAYQByAGUAIABpAG4AdgBhAGwAaQBkAC4AXABuACAAIAAgACAAIAAgACAAIAAgACAAIAAgACMAQwBBAEwAQwAhACAAIAAgACAAIAAgAD0AIABPAGMAYwB1AHIAcwAgAHcAaABlAHIAZQAgAHQAaABlACAAZABhAHQAYQAgAGEAcgByAGEAeQAgAGQAaQBtAGUAbgBzAGkAbwBuAHMAIABhAHIAZQAgAG4AbwB0ACAAdABoAGUAIABlAHEAdQBhAGwAIAB0AG8AIAB0AGgAZQAgAGMAbwByAHIAZQBzAHAAbwBuAGQAaQBuAGcAIABkAGkAbQBlAG4AZQBzAGkAbwBuAHMAIABvAGYAIAB0AGgAZQAgAHIAbwB3ACAAYQBuAGQAIABjAG8AbAB1AG0AbgAgAGgAZQBhAGQAZQByACAAaQBuAHAAdQB0ACAAYQByAHIAYQB5AHMALgBcAG4AIAAgACAAIAAgACAAIAAgACAAIAAgACAAIAAgACAAIAAgACAAIAAgACAAIAAgACAAIAAgAGkALgBlAC4AIAB0AGgAZQAgAHIAbwB3ACAAaABlAGEAZABlAHIAcwAgAGEAcgByAGEAeQAgAGEAbgBkACAAZABhAHQAYQAgAGEAcgByAGEAeQAgAHMAaABvAHUAbABkACAAaABhAHYAZQAgAHQAaABlACAAcwBhAG0AZQAgAG4AdQBtAGIAZQByACAAbwBmACAAcgBvAHcAcwAgAFwAbgAgACAAIAAgACAAIAAgACAAIAAgACAAIAAgACAAIAAgACAAIAAgACAAIAAgACAAIAAgACAAIAAgACAAIAAgAHQAaABlACAAYwBvAGwAdQBtAG4AIABoAGUAYQBkAGUAcgBzACAAYQByAHIAYQB5ACAAYQBuAGQAIABkAGEAdABhACAAYQByAHIAYQB5ACAAcwBoAG8AdQBsAGQAIABoAGEAdgBlACAAdABoAGUAIABzAGEAbQBlACAAbgB1AG0AYgBlAHIAIABvAGYAIABjAG8AbAB1AG0AbgBzAFwAbgAgACAAIAAgAE4AbwB0AGUAcwA6AFwAbgAgACAAIAAgACAAIAAgACAALQAgAFQAaABlACAAcgBlAHAAbABhAGMAZQBfAGQAYQB0AGEAXwBiAGwAYQBuAGsAcwAsACAAZgBpAGwAdABlAHIAXwBiAGwAYQBuAGsAcwAsACAAYQBuAGQAIABmAGkAbAB0AGUAcgBfAGUAcgByAG8AcgBzACAAZgB1AG4AYwB0AGkAbwBuAGEAbABpAHQAeQAgAGQAbwBlAHMAIABuAG8AdAAgAGMAbwBuAHMAaQBkAGUAcgAgAGEAbgB5ACAAYgBsAGEAbgBrACAAbwByACAAZQByAHIAbwByACAAdgBhAGwAdQBlAHMAIAB3AGkAdABoAGkAbgAgAHQAaABlACAASwBlAHkAIABjAG8AbAB1AG0AbgAoAHMAKQAgAG8AcgAgAE4AYQBtAGUAIABjAG8AbAB1AG0AbgAoAHMAKQAsACAAbwBuAGwAeQAgAHQAaABlACAAVgBhAGwAdQBlAHMAIABjAG8AbAB1AG0AbgAgACgAZABhAHQAYQAgAGEAcgByAGEAeQApAC4AXABuACAAIAAgACAAIAAgACAAIAAtACAAQQBkAGQAaQB0AGkAbwBuAGEAbAB5ACwAIABpAGYAIAB0AGgAZQAgAHIAZQBwAGwAYQBjAGUAXwBkAGEAdABhAF8AYgBsAGEAbgBrAHMAIABvAHAAdABpAG8AbgAgAGkAcwAgAHUAcwBlAGQALAAgAHQAaABlAG4AIAB0AGgAZQAgAGYAaQBsAHQAZQByAF8AYgBsAGEAbgBrAHMAIABvAHAAdABpAG8AbgAgAHcAaQBsAGwAIABoAGEAdgBlACAAbgBvACAAZQBmAGYAZQBjAHQAIABvAG4AIAB0AGgAZQAgAG8AdQB0AHAAdQB0ACAAYQBzACAAdABoAGUAIABiAGwAYQBuAGsAIAB2AGEAbAB1AGUAcwAgAGEAcgBlACAAcgBlAHAAbABhAGMAZQBkACAAYgBlAGYAbwByAGUAIABhAG4AeQAgAGYAaQBsAHQAZQByAGkAbgBnACAAbwBjAGMAdQByAHMALgBcAG4AIAAgACAAIAAgACAAIAAgAC0AIABJAGYAIAB0AGgAZQAgAHIAZQBwAGwAYQBjAGUAXwBkAGEAdABhAF8AYgBsAGEAbgBrAHMAIABvAHAAdABpAG8AbgAgAGkAcwAgAHUAcwBlAGQAIAB0AG8AIAByAGUAcABsAGEAYwBlACAAYgBsAGEAbgBrACAAZABhAHQAYQAgAHYAYQBsAHUAZQBzACAAdwBpAHQAaAAgACMATgAvAEEAIAB2AGEAbAB1AGUAcwAsACAAdABoAGUAbgAgAHQAaABlAHMAZQAgAGMAbwB1AGwAZAAgAHQAaABlAG4AIABiAGUAIABmAGkAbAB0AGUAcgBlAGQAIABvAHUAdAAgAGIAeQAgAHQAaABlACAAZgBpAGwAdABlAHIAXwBlAHIAcgBvAHIAcwAgAG8AcAB0AGkAbwBuACAAYQBzACAAdABoAGUAIABmAGkAbAB0AGUAcgBpAG4AZwAgAG8AYwBjAHUAcgBzACAAYQBmAHQAZQByACAAZABlAGEAbABpAG4AZwAgAHcAaQB0AGgAIABiAGwAYQBuAGsAIABkAGEAdABhACAAcABvAGkAbgB0AHMALgBcAG4AKgAvAFwAbgBVAG4AUABpAHYAbwB0ACAAPQAgAEwAQQBNAEIARABBACgAXABuACAAIAAgACAALwAvACAAUABhAHIAYQBtAGUAdABlAHIAIABkAGUAZgBpAG4AaQB0AGkAbwBuAHMAXABuACAAIAAgACAAZABhAHQAYQAsAFwAbgAgACAAIAAgAHIAbwB3AF8AaABlAGEAZABlAHIAcwAsAFwAbgAgACAAIAAgAGMAbwBsAHUAbQBuAF8AaABlAGEAZABlAHIAcwAsAFwAbgAgACAAIAAgAFsAYgB5AF8AYwBvAGwAdQBtAG4AXQAsAFwAbgAgACAAIAAgAFsAcgBlAHAAbABhAGMAZQBfAGQAYQB0AGEAXwBiAGwAYQBuAGsAcwBdACwAXABuACAAIAAgACAAWwBmAGkAbAB0AGUAcgBfAGIAbABhAG4AawBzAF0ALABcAG4AIAAgACAAIABbAGYAaQBsAHQAZQByAF8AZQByAHIAbwByAHMAXQAsAFwAbgAgACAAIAAgAFsAZgBpAGwAbABfAHIAbwB3AF8AYgBsAGEAbgBrAHMAXQAsAFwAbgAgACAAIAAgAFsAZgBpAGwAbABfAGMAbwBsAHUAbQBuAF8AYgBsAGEAbgBrAHMAXQAsAFwAbgAgACAAIAAgAFsAbwB1AHQAcAB1AHQAXwB2AGUAcgB0AGkAYwBhAGwAXQAsAFwAbgAgACAAIAAgAC8ALwAgAE0AYQBpAG4AIABmAHUAbgBjAHQAaQBvAG4AIABiAG8AZAB5AC8AYwBhAGwAYwB1AGwAYQB0AGkAbwBuAHMAXABuACAAIAAgACAATABFAFQAKABcAG4AIAAgACAAIAAgACAAIAAgAF8AZABkACwAIABkAGEAdABhACwAXABuACAAIAAgACAAIAAgACAAIABfAHIAaAAsACAAcgBvAHcAXwBoAGUAYQBkAGUAcgBzACwAXABuACAAIAAgACAAIAAgACAAIABfAGMAaAAsACAAYwBvAGwAdQBtAG4AXwBoAGUAYQBkAGUAcgBzACwAXABuACAAIAAgACAAIAAgACAAIAAvAC8AIABEAGUAYQBsAGkAbgBnACAAdwBpAHQAaAAgAGQAZQBmAGEAdQBsAHQAIAB2AGEAbAB1AGUAcwAgAGYAbwByACAAbwBwAHQAaQBvAG4AYQBsACAAcABhAHIAYQBtAGUAdABlAHIAcwBcAG4AIAAgACAAIAAgACAAIAAgAF8AYgB5AEMAbwBsACwAIABJAEYAKAAgAEkAUwBPAE0ASQBUAFQARQBEACgAYgB5AF8AYwBvAGwAdQBtAG4AKQAsACAAMAAsACAASQBGACgAYgB5AF8AYwBvAGwAdQBtAG4ALAAgADEALAAgADAAKQApACwAXABuACAAIAAgACAAIAAgACAAIABfAHIAZQBwAEQALAAgAEkARgAoACAASQBTAE8ATQBJAFQAVABFAEQAKAByAGUAcABsAGEAYwBlAF8AZABhAHQAYQBfAGIAbABhAG4AawBzACkALAAgAFwAIgBcACIALABcAG4AIAAgACAAIAAgACAAIAAgACAAIAAgACAASQBGACgAIABJAFMATABPAEcASQBDAEEATAAoAHIAZQBwAGwAYQBjAGUAXwBkAGEAdABhAF8AYgBsAGEAbgBrAHMAKQAsAFwAbgAgACAAIAAgACAAIAAgACAAIAAgACAAIAAgACAAIAAgAEkARgAoAHIAZQBwAGwAYQBjAGUAXwBkAGEAdABhAF8AYgBsAGEAbgBrAHMALAAgAE4AQQAoACkALAAgAFwAIgBcACIAKQAsAFwAbgAgACAAIAAgACAAIAAgACAAIAAgACAAIAAgACAAIAAgAHIAZQBwAGwAYQBjAGUAXwBkAGEAdABhAF8AYgBsAGEAbgBrAHMAKQBcAG4AIAAgACAAIAAgACAAIAAgACkALABcAG4AIAAgACAAIAAgACAAIAAgAF8AZgBsAHQAcgBCACwAIABJAEYAKAAgAEkAUwBPAE0ASQBUAFQARQBEACgAZgBpAGwAdABlAHIAXwBiAGwAYQBuAGsAcwApACwAIAAwACwAIABJAEYAKABmAGkAbAB0AGUAcgBfAGIAbABhAG4AawBzACwAIAAxACwAIAAwACkAKQAsAFwAbgAgACAAIAAgACAAIAAgACAAXwBmAGwAdAByAEUALAAgAEkARgAoACAASQBTAE8ATQBJAFQAVABFAEQAKABmAGkAbAB0AGUAcgBfAGUAcgByAG8AcgBzACkALAAgADAALAAgAEkARgAoAGYAaQBsAHQAZQByAF8AZQByAHIAbwByAHMALAAgADEALAAgADAAKQApACwAXABuACAAIAAgACAAIAAgACAAIABfAHIAbwB3AEIALAAgAEkARgAoACAASQBTAE8ATQBJAFQAVABFAEQAKABmAGkAbABsAF8AcgBvAHcAXwBiAGwAYQBuAGsAcwApACwAIAAwACwAIABmAGkAbABsAF8AcgBvAHcAXwBiAGwAYQBuAGsAcwApACwAXABuACAAIAAgACAAIAAgACAAIABfAGMAbwBsAEIALAAgAEkARgAoACAASQBTAE8ATQBJAFQAVABFAEQAKABmAGkAbABsAF8AYwBvAGwAdQBtAG4AXwBiAGwAYQBuAGsAcwApACwAIAAwACwAIABmAGkAbABsAF8AYwBvAGwAdQBtAG4AXwBiAGwAYQBuAGsAcwApACwAXABuACAAIAAgACAAIAAgACAAIABfAHYAcgB0ACwAIABJAEYAKAAgAEkAUwBPAE0ASQBUAFQARQBEACgAbwB1AHQAcAB1AHQAXwB2AGUAcgB0AGkAYwBhAGwAKQAsACAAMQAsACAASQBGACgAbwB1AHQAcAB1AHQAXwB2AGUAcgB0AGkAYwBhAGwALAAgADEALAAgADAAKQApACwAXABuACAAIAAgACAAIAAgACAAIAAvAC8AIABEAGUAdABlAHIAbQBpAG4AZQAgAHQAaABlACAAYwBvAHIAcgBlAGMAdAAgAGYAaQBsAGwAIABkAGkAcgBlAGMAdABpAG8AbgAgAGEAbgBkACAAaQBmACAAYQAgAHIAZQBwAGwAYQBjAGUAbQBlAG4AdAAgAGkAcwAgAHMAdAByAGkAbgBnACAAaQBzACAAbgBlAGUAZABlAGQAXABuACAAIAAgACAAIAAgACAAIAAvAC8AIABmAG8AcgAgAGIAbwB0AGgAIAB0AGgAZQAgAHIAbwB3AF8AaABlAGEAZABlAHIAcwAgAGEAbgBkACAAYwBvAGwAdQBtAG4AXwBoAGUAYQBkAGUAcgBzACAAaQBuAHAAdQB0ACAAYQByAHIAYQB5AHMAXABuACAAIAAgACAAIAAgACAAIABfAHIAZQBwAFIALAAgAEkARgAoACAATwBSACgASQBTAE4AVQBNAEIARQBSACgAXwByAG8AdwBCACkALAAgAEkAUwBMAE8ARwBJAEMAQQBMACgAXwByAG8AdwBCACkAKQAsACAAXAAiAFwAIgAsACAAXwByAG8AdwBCACkALABcAG4AIAAgACAAIAAgACAAIAAgAF8AcgBlAHAAQwAsACAASQBGACgAIABPAFIAKABJAFMATgBVAE0AQgBFAFIAKABfAGMAbwBsAEIAKQAsACAASQBTAEwATwBHAEkAQwBBAEwAKABfAGMAbwBsAEIAKQApACwAIABcACIAXAAiACwAIABfAGMAbwBsAEIAKQAsAFwAbgAgACAAIAAgACAAIAAgACAAXwBkAGkAcgBSACwAIABJAEYAKAAgAE8AUgAoAEkAUwBOAFUATQBCAEUAUgAoAF8AcgBvAHcAQgApACwAIABJAFMATABPAEcASQBDAEEATAAoAF8AcgBvAHcAQgApACkALAAgAEkATgBUACgAXwByAG8AdwBCACkALAAgADAAKQAsAFwAbgAgACAAIAAgACAAIAAgACAAXwBkAGkAcgBDACwAIABJAEYAKAAgAE8AUgAoAEkAUwBOAFUATQBCAEUAUgAoAF8AYwBvAGwAQgApACwAIABJAFMATABPAEcASQBDAEEATAAoAF8AYwBvAGwAQgApACkALAAgAEkATgBUACgAXwBjAG8AbABCACkALAAgADAAKQAsAFwAbgAgACAAIAAgACAAIAAgACAALwAvACAASQBuAHAAdQB0ACAAcABhAHIAYQBtAGUAdABlAHIAIABjAGgAZQBjAGsAcwBcAG4AIAAgACAAIAAgACAAIAAgAF8AaQBuAHAAQwBoAGsALAAgAEkARgBTACgAXABuACAAIAAgACAAIAAgACAAIAAgACAAIAAgAEkARgBFAFIAUgBPAFIAKAAgAE8AUgAoACAAUgBPAFcAUwAoAF8AcgBoACkAIAA8ACAAMQAsACAAQwBPAEwAVQBNAE4AUwAoAF8AcgBoACkAIAA8ACAAMQAsACAAUgBPAFcAUwAoAF8AYwBoACkAIAA8ACAAMQAsACAAQwBPAEwAVQBNAE4AUwAoAF8AYwBoACkAIAA8ACAAMQAsACAAUgBPAFcAUwAoAF8AZABkACkAIAA8ACAAMQAsACAAQwBPAEwAVQBNAE4AUwAoAF8AZABkACkAIAA8ACAAMQApACwAIAAzACkALAAgADMALABcAG4AIAAgACAAIAAgACAAIAAgACAAIAAgACAASQBGAEUAUgBSAE8AUgAoACAATwBSACgAIABSAE8AVwBTACgAXwBkAGQAKQAgADwAPgAgAFIATwBXAFMAKABfAHIAaAApACwAIABDAE8ATABVAE0ATgBTACgAXwBkAGQAKQAgADwAPgAgAEMATwBMAFUATQBOAFMAKABfAGMAaAApACkALAAgADMAKQAsACAAMgAsAFwAbgAgACAAIAAgACAAIAAgACAAIAAgACAAIABUAFIAVQBFACwAIAAxAFwAbgAgACAAIAAgACAAIAAgACAAKQAsAFwAbgAgACAAIAAgACAAIAAgACAALwAvACAAQQBzAHMAaQBnAG4AIAB0AGgAZQAgAHIAbwB3ACAAaABlAGEAZABlAHIAIABhAG4AZAAgAGMAbwBsAHUAbQBuACAAaABlAGEAZABlAHIAIABpAG4AcAB1AHQAIABhAHIAcgBhAHkAcwAgAHQAbwAgAHQAaABlACAAawBlAHkAIABjAG8AbAB1AG0AbgBzACAAYQBuAGQAIABuAGEAbQBlACAAYwBvAGwAdQBtAG4AcwAgAGEAcgByAGEAeQBzACAAZABlAHAAZQBuAGQAaQBuAGcAIABvAG4AIAB0AGgAZQAgAGIAeQBfAGMAbwBsAHUAbQBuACAAaQBuAHAAdQB0AFwAbgAgACAAIAAgACAAIAAgACAALwAvACAAZQBuAHMAdQByAGUAIAB0AGgAYQB0ACAAYQBzAHMAaQBnAG4AZQBkACAAawBlAHkAIABhAG4AZAAgAG4AYQBtAGUAIABjAG8AbAB1AG0AbgAgAGEAcgByAGEAeQBzACAAYQByAGUAIAB2AGUAcgB0AGkAYwBhAGwAbAB5ACAAYQBsAGkAZwBuAGUAZABcAG4AIAAgACAAIAAgACAAIAAgAC8ALwAgAGcAZQB0ACAAdABoAGUAIABkAGkAbQBlAG4AcwBpAG8AbgBzACAAKAByAG8AdwBzACwAIABjAG8AbAB1AG0AbgBzACkAIABvAGYAIAB0AGgAZQAgAGEAcwBzAGkAZwBuAGUAZAAgAGEAcgByAGEAeQBzAFwAbgAgACAAIAAgACAAIAAgACAAXwBrAEMAbwBsAHMALAAgAEkARgAoAF8AYgB5AEMAbwBsACwAIABUAFIAQQBOAFMAUABPAFMARQAoAF8AYwBoACkALAAgAF8AcgBoACkALABcAG4AIAAgACAAIAAgACAAIAAgAF8AbgBDAG8AbABzACwAIABJAEYAKABfAGIAeQBDAG8AbAAsACAAXwByAGgALAAgAFQAUgBBAE4AUwBQAE8AUwBFACgAXwBjAGgAKQApACwAXABuACAAIAAgACAAIAAgACAAIABfAHIASwAsACAAUgBPAFcAUwAoAF8AawBDAG8AbABzACkALABcAG4AIAAgACAAIAAgACAAIAAgAF8AYwBLACwAIABDAE8ATABVAE0ATgBTACgAXwBrAEMAbwBsAHMAKQAsAFwAbgAgACAAIAAgACAAIAAgACAAXwByAE4ALAAgAFIATwBXAFMAKABfAG4AQwBvAGwAcwApACwAXABuACAAIAAgACAAIAAgACAAIABfAGMATgAsACAAQwBPAEwAVQBNAE4AUwAoAF8AbgBDAG8AbABzACkALABcAG4AIAAgACAAIAAgACAAIAAgAC8ALwAgAEMAbwBuAHMAdAByAHUAYwB0ACAAdABoAGUAIABrAGUAeQBzACAAKABwAHIAaQBtAGEAcgB5ACkAIABhAG4AZAAgAG4AYQBtAGUAcwAgACgAcwBlAGMAbwBuAGQAYQByAHkAKQAgAGMAbwBsAHUAbQBuAHMAIABmAG8AcgAgAHQAaABlACAAbwB1AHQAcAB1AHQAIABhAHIAcgBhAHkAXABuACAAIAAgACAAIAAgACAAIAAvAC8AIAArACAAVABoAGUAIABpAG4AcAB1AHQAIABhAHIAcgBhAHkAIABpAHMAIAByAGUAdgBlAHIAcwBlAGQAIABpAGYAIABuAGUAZQBkAGUAZAAgACgAZABlAHAAZQBuAGQAaQBuAGcAIABvAG4AIAB0AGgAZQAgAGQAaQByAGUAYwB0AGkAbwBuACAAYwBoAG8AcwBlAG4AKQAsACAAYQBuAGQAIAB0AGgAZQBuAFwAbgAgACAAIAAgACAAIAAgACAALwAvACAAIAAgAGEAIABjAG8AbQBiAGkAbgBhAHQAaQBvAG4AIABvAGYAIABSAEUARABVAEMARQAoACkALAAgAEgAUwBUAEEAQwBLACgAKQAgAGEAbgBkACAAUwBDAEEATgAoACkAIABhAHIAZQAgAHUAcwBlAGQAIAB0AG8AIABmAGkAbABsACAAYQBuAHkAIABiAGwAYQBuAGsAcwAgAHcAaQB0AGgAIABhAG4AXABuACAAIAAgACAAIAAgACAAIAAvAC8AIAAgACAAYQBuACAAYQBwAHAAcgBvAHAAcgBpAGEAdABlACAAcgBlAHAAbABhAGMAZQBtAGUAbgB0ACAAdgBhAGwAdQBlACwAIABvAG4AZQAgAGMAbwBsAHUAbQBuACAAYQB0ACAAYQAgAHQAaQBtAGUAXABuACAAIAAgACAAIAAgACAAIAAvAC8AIAArACAAVABoAGUAIAB1AHAAZABhAHQAZQBkACAAaQBuAHAAdQB0ACAAYQByAHIAYQB5ACAAaQBzACAAcgBlAHQAdQByAG4AZQBkACAAdABvACAAaQB0ACcAcwAgAG8AcgBpAGcAaQBuAGEAbAAgAGQAaQByAGUAYwB0AGkAbwBuACAAaQBmACAAbgBlAGUAZABlAGQAIABiAGUAZgBvAHIAZQAgAGIAZQBpAG4AZwBcAG4AIAAgACAAIAAgACAAIAAgAC8ALwAgACAAIAB1AHMAZQBkACAAaQBuACAAdABoAGUAIABNAEEASwBFAEEAUgBSAEEAWQAoACkAIABmAHUAbgBjAHQAaQBvAG4AIAB0AG8AIABjAG8AbgBzAHQAcgB1AGMAdAAgAHQAaABlACAAZgBpAG4AYQBsACAASwBlAHkAcwAvAE4AYQBtAGUAcwAgAGMAbwBsAHUAbQBuAC4AXABuACAAIAAgACAAIAAgACAAIABfAGsAZQB5AHMALAAgAEwARQBUACgAXABuACAAIAAgACAAIAAgACAAIAAgACAAIAAgAF8AawBSAGUAcAAsACAASQBGACgAXwBiAHkAQwBvAGwALAAgAF8AcgBlAHAAQwAsACAAXwByAGUAcABSACkALABcAG4AIAAgACAAIAAgACAAIAAgACAAIAAgACAAXwBrAEQAaQByACwAIABJAEYAKABfAGIAeQBDAG8AbAAsACAAXwBkAGkAcgBDACwAIABfAGQAaQByAFIAKQAsAFwAbgAgACAAIAAgACAAIAAgACAAIAAgACAAIABfAGsAQQByAHIALAAgAEkARgAoAF8AawBEAGkAcgAgAD0AIAAtADEALAAgAEkATgBEAEUAWAAoAF8AawBDAG8AbABzACwAIABTAEUAUQBVAEUATgBDAEUAKABfAHIASwAsACAAMQAsACAAXwByAEsALAAgAC0AMQApACwAIABTAEUAUQBVAEUATgBDAEUAKAAxACwAIABfAGMASwApACkALAAgAF8AawBDAG8AbABzACkALABcAG4AIAAgACAAIAAgACAAIAAgACAAIAAgACAAXwBrAEYAaQBsACwAIABEAFIATwBQACgAIABSAEUARABVAEMARQAoADAALAAgAFMARQBRAFUARQBOAEMARQAoAF8AYwBLACkALAAgAEwAQQBNAEIARABBACgAXwBhAHIAcgAsAF8AYwBvAGwALABcAG4AIAAgACAAIAAgACAAIAAgACAAIAAgACAAIAAgACAAIABIAFMAVABBAEMASwAoAF8AYQByAHIALABcAG4AIAAgACAAIAAgACAAIAAgACAAIAAgACAAIAAgACAAIAAgACAAIAAgAFMAQwBBAE4AKABcACIAXAAiACwAIABDAEgATwBPAFMARQBDAE8ATABTACgAXwBrAEEAcgByACwAIABfAGMAbwBsACkALABcAG4AIAAgACAAIAAgACAAIAAgACAAIAAgACAAIAAgACAAIAAgACAAIAAgACAAIAAgACAATABBAE0AQgBEAEEAKABfAGEAYwBjACwAXwB2AGEAbAAsACAASQBGACgASQBTAEIATABBAE4ASwAoAF8AdgBhAGwAKQAsACAASQBGACgAXwBrAEQAaQByACAAPQAgADAALAAgAF8AawBSAGUAcAAsACAAXwBhAGMAYwApACwAIABfAHYAYQBsACkAKQBcAG4AIAAgACAAIAAgACAAIAAgACAAIAAgACAAIAAgACAAIAAgACAAIAAgACkAXABuACAAIAAgACAAIAAgACAAIAAgACAAIAAgACAAIAAgACAAKQApACkALABcAG4AIAAgACAAIAAgACAAIAAgACAAIAAgACAALAAgADEAKQAsAFwAbgAgACAAIAAgACAAIAAgACAAIAAgACAAIABfAG8AdQB0ACwAIABJAEYAKABfAGsARABpAHIAIAA9ACAALQAxACwAIABJAE4ARABFAFgAKABfAGsARgBpAGwALAAgAFMARQBRAFUARQBOAEMARQAoAF8AcgBLACwAIAAxACwAIABfAHIASwAsACAALQAxACkALAAgAFMARQBRAFUARQBOAEMARQAoADEALAAgAF8AYwBLACkAKQAsACAAXwBrAEYAaQBsACkALABcAG4AIAAgACAAIAAgACAAIAAgACAAIAAgACAATQBBAEsARQBBAFIAUgBBAFkAKABfAHIASwAgACoAIABfAHIATgAsACAAXwBjAEsALAAgAEwAQQBNAEIARABBACgAXwByAG8AdwAsAF8AYwBvAGwALAAgAEkATgBEAEUAWAAoAF8AbwB1AHQALAAgAFIATwBVAE4ARABVAFAAKABfAHIAbwB3ACAALwAgAF8AcgBOACwAIAAwACkALAAgAF8AYwBvAGwAKQApACkAXABuACAAIAAgACAAIAAgACAAIAApACwAXABuACAAIAAgACAAIAAgACAAIABfAG4AYQBtAGUAcwAsACAATABFAFQAKABcAG4AIAAgACAAIAAgACAAIAAgACAAIAAgACAAXwBuAFIAZQBwACwAIABJAEYAKABfAGIAeQBDAG8AbAAsACAAXwByAGUAcABSACwAIABfAHIAZQBwAEMAKQAsAFwAbgAgACAAIAAgACAAIAAgACAAIAAgACAAIABfAG4ARABpAHIALAAgAEkARgAoAF8AYgB5AEMAbwBsACwAIABfAGQAaQByAFIALAAgAF8AZABpAHIAQwApACwAXABuACAAIAAgACAAIAAgACAAIAAgACAAIAAgAF8AbgBBAHIAcgAsACAASQBGACgAXwBuAEQAaQByACAAPQAgAC0AMQAsACAASQBOAEQARQBYACgAXwBuAEMAbwBsAHMALAAgAFMARQBRAFUARQBOAEMARQAoAF8AcgBOACwAIAAxACwAIABfAHIATgAsACAALQAxACkALAAgAFMARQBRAFUARQBOAEMARQAoADEALAAgAF8AYwBOACkAKQAsACAAXwBuAEMAbwBsAHMAKQAsAFwAbgAgACAAIAAgACAAIAAgACAAIAAgACAAIABfAG4ARgBpAGwALAAgAEQAUgBPAFAAKAAgAFIARQBEAFUAQwBFACgAMAAsACAAUwBFAFEAVQBFAE4AQwBFACgAXwBjAE4AKQAsACAATABBAE0AQgBEAEEAKABfAGEAcgByACwAXwBjAG8AbAAsAFwAbgAgACAAIAAgACAAIAAgACAAIAAgACAAIAAgACAAIAAgAEgAUwBUAEEAQwBLACgAXwBhAHIAcgAsAFwAbgAgACAAIAAgACAAIAAgACAAIAAgACAAIAAgACAAIAAgACAAIAAgACAAUwBDAEEATgAoAFwAIgBcACIALAAgAEMASABPAE8AUwBFAEMATwBMAFMAKABfAG4AQQByAHIALAAgAF8AYwBvAGwAKQAsAFwAbgAgACAAIAAgACAAIAAgACAAIAAgACAAIAAgACAAIAAgACAAIAAgACAAIAAgACAAIABMAEEATQBCAEQAQQAoAF8AYQBjAGMALABfAHYAYQBsACwAIABJAEYAKABJAFMAQgBMAEEATgBLACgAXwB2AGEAbAApACwAIABJAEYAKABfAG4ARABpAHIAIAA9ACAAMAAsACAAXwBuAFIAZQBwACwAIABfAGEAYwBjACkALAAgAF8AdgBhAGwAKQApAFwAbgAgACAAIAAgACAAIAAgACAAIAAgACAAIAAgACAAIAAgACAAIAAgACAAKQBcAG4AIAAgACAAIAAgACAAIAAgACAAIAAgACAAIAAgACAAIAApACkAKQAsAFwAbgAgACAAIAAgACAAIAAgACAAIAAgACAAIAAsACAAMQApACwAXABuACAAIAAgACAAIAAgACAAIAAgACAAIAAgAF8AbwB1AHQALAAgAEkARgAoAF8AbgBEAGkAcgAgAD0AIAAtADEALAAgAEkATgBEAEUAWAAoAF8AbgBGAGkAbAAsACAAUwBFAFEAVQBFAE4AQwBFACgAXwByAE4ALAAgADEALAAgAF8AcgBOACwAIAAtADEAKQAsACAAUwBFAFEAVQBFAE4AQwBFACgAMQAsACAAXwBjAE4AKQApACwAIABfAG4ARgBpAGwAKQAsAFwAbgAgACAAIAAgACAAIAAgACAAIAAgACAAIABNAEEASwBFAEEAUgBSAEEAWQAoAF8AcgBLACAAKgAgAF8AcgBOACwAIABfAGMATgAsACAATABBAE0AQgBEAEEAKABfAHIAbwB3ACwAXwBjAG8AbAAsACAASQBOAEQARQBYACgAXwBvAHUAdAAsACAATQBPAEQAKABfAHIAbwB3ACAALQAgADEALAAgAF8AcgBOACkAIAArACAAMQAsACAAXwBjAG8AbAApACkAKQBcAG4AIAAgACAAIAAgACAAIAAgACkALABcAG4AIAAgACAAIAAgACAAIAAgAC8ALwAgAEMAbwBuAHMAdAByAHUAYwB0ACAAdABoAGUAIAB2AGEAbAB1AGUAcwAgACgAZABhAHQAYQAgAHYAYQBsAHUAZQBzACkAIABjAG8AbAB1AG0AbgAgAGYAbwByACAAdABoAGUAIABvAHUAdABwAHUAdAAgAGEAcgByAGEAeQBcAG4AIAAgACAAIAAgACAAIAAgAF8AdgBhAGwAdQBlAHMALAAgAEwARQBUACgAXABuACAAIAAgACAAIAAgACAAIAAgACAAIAAgAF8AZABwACwAIABUAE8AQwBPAEwAKABfAGQAZAAsACAALAAgAF8AYgB5AEMAbwBsACkALABcAG4AIAAgACAAIAAgACAAIAAgACAAIAAgACAASQBGACgAIABJAFMAQgBMAEEATgBLACgAXwBkAHAAKQAsACAAXwByAGUAcABEACwAIABfAGQAcAApAFwAbgAgACAAIAAgACAAIAAgACAAKQAsAFwAbgAgACAAIAAgACAAIAAgACAALwAvACAAQwBvAG4AcwB0AHIAdQBjAHQAIAB0AGgAZQAgAG8AdQB0AHAAdQB0ACAAYQByAHIAYQB5AFwAbgAgACAAIAAgACAAIAAgACAAXwByAHQAbgAsACAATABFAFQAKABcAG4AIAAgACAAIAAgACAAIAAgACAAIAAgACAAXwBkAHQALAAgAEgAUwBUAEEAQwBLACgAXwBrAGUAeQBzACwAIABfAG4AYQBtAGUAcwAsACAAXwB2AGEAbAB1AGUAcwApACwAXABuACAAIAAgACAAIAAgACAAIAAgACAAIAAgAF8AdgBsACwAIABDAEgATwBPAFMARQBDAE8ATABTACgAXwBkAHQALAAgAC0AMQApACwAXABuACAAIAAgACAAIAAgACAAIAAgACAAIAAgAC8ALwAgAEEAcABwAGwAeQAgAGYAaQBsAHQAZQByAGkAbgBnACAAdABvACAAdABoAGUAIABjAG8AbgBzAHQAcgB1AGMAdABlAGQAIABvAHUAdABwAHUAdAAgAGEAcgByAGEAeQAgAGYAbwByACAAYgBsAGEAbgBrAHMAIABhAG4AZAAvAG8AcgAgAGUAcgByAG8AcgBzAFwAbgAgACAAIAAgACAAIAAgACAAIAAgACAAIAAvAC8AIABOAG8AdABlACAALQAgAGYAaQBsAHQAZQByAGkAbgBnACAAaQBzACAAbwBuAGwAeQAgAGIAYQBzAGUAZAAgAG8AbgAgAHQAaABlACAAVgBhAGwAdQBlAHMAIAAoAGQAYQB0AGEAIAB2AGEAbAB1AGUAcwApACAAYwBvAGwAdQBtAG4ALAAgAFwAbgAgACAAIAAgACAAIAAgACAAIAAgACAAIAAvAC8AIAAgACAAIAAgACAAIAAgAGIAbABhAG4AawBzACAAbwByACAAZQByAHIAbwByACAAdgBhAGwAdQBlAHMAIABpAG4AIAB0AGgAZQAgAEsAZQB5AHMAIABhAG4AZAAgAE4AYQBtAGUAcwAgAGMAbwBsAHUAbQBuAHMAIAB3AGkAbABsACAAbgBvAHQAIABiAGUAIABmAGkAbAB0AGUAcgBlAGQAXABuACAAIAAgACAAIAAgACAAIAAgACAAIAAgAF8AZABmAEIALAAgAEkARgAoAF8AZgBsAHQAcgBCACwAIABGAEkATABUAEUAUgAoAF8AZAB0ACwAIABJAEYAKAAgAEkAUwBFAFIAUgBPAFIAKABfAHYAbAApACwAIABUAFIAVQBFACwAIABJAEYATgBBACgAXwB2AGwALAAgAFwAIgAjAFwAIgApACAAPAA+ACAAXAAiAFwAIgApACkALAAgAF8AZAB0ACkALABcAG4AIAAgACAAIAAgACAAIAAgACAAIAAgACAAXwBkAGYARQAsACAASQBGACgAXwBmAGwAdAByAEUALAAgAEYASQBMAFQARQBSACgAXwBkAGYAQgAsACAATgBPAFQAKABJAFMARQBSAFIATwBSACgAIABDAEgATwBPAFMARQBDAE8ATABTACgAXwBkAGYAQgAsACAALQAxACkAKQApACkALAAgAF8AZABmAEIAKQAsAFwAbgAgACAAIAAgACAAIAAgACAAIAAgACAAIAAvAC8AIABUAHIAYQBuAHMAcABvAHMAZQAgAHQAaABlACAAbwB1AHQAcAB1AHQAIABhAHIAcgBhAHkAIABpAGYAIABuAGUAZQBkAGUAZABcAG4AIAAgACAAIAAgACAAIAAgACAAIAAgACAASQBGACgATgBPAFQAKABfAHYAcgB0ACkALAAgAFQAUgBBAE4AUwBQAE8AUwBFACgAXwBkAGYARQApACwAIABfAGQAZgBFACkAXABuACAAIAAgACAAIAAgACAAIAApACwAXABuACAAIAAgACAAIAAgACAAIAAvAC8AIABDAGgAZQBjAGsAIABpAGYAIABpAG4AcAB1AHQAIABjAGgAZQBjAGsAcwAgAGgAYQB2AGUAIABmAGwAYQBnAGcAZQBkACAALQAtACAAaQBmACAAcwBvACAAcgBlAHQAdQByAG4AIAB0AGgAZQAgAGEAcABwAHIAbwBwAHIAaQBhAHQAZQAgAGUAcgByAG8AcgAsACAAbwB0AGgAZQByAHcAaQBzAGUAIAByAGUAdAB1AHIAbgAgAHQAaABlACAAYwBhAGwAYwB1AGwAYQB0AGUAZAAgAG8AdQB0AHAAdQB0ACAAYQByAHIAYQB5AFwAbgAgACAAIAAgACAAIAAgACAAQwBIAE8ATwBTAEUAKABfAGkAbgBwAEMAaABrACwAIABfAHIAdABuACwAIABMAEEATQBCAEQAQQAoADAAKQAsACAAIwBWAEEATABVAEUAIQApAFwAbgAgACAAIAAgACkAXABuACkAOwAiAH0AXQAsACIAcAByAG8AagBlAGMAdABOAGEAbQBlAHMAIgA6AFsAIgBSAFgATABfAEQAYQB0AGEALgBBAGIAbwB1AHQAIgAsACIAUgBYAEwAXwBEAGEAdABhAC4AQwByAG8AcwBzAEoAbwBpAG4AIgAsACIAUgBYAEwAXwBEAGEAdABhAC4ARgBpAG4AZABJAHQAZQBtACIALAAiAFIAWABMAF8ARABhAHQAYQAuAEoAbwBpAG4AIgAsACIAUgBYAEwAXwBEAGEAdABhAC4AVQBuAGkAbwBuACIALAAiAFIAWABMAF8ARABhAHQAYQAuAFUAbgBQAGkAdgBvAHQ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ow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nAGIAIgB9AH0A</AFEJSONBlob>
</file>

<file path=customXml/itemProps1.xml><?xml version="1.0" encoding="utf-8"?>
<ds:datastoreItem xmlns:ds="http://schemas.openxmlformats.org/officeDocument/2006/customXml" ds:itemID="{E868B07E-8E73-453F-8EDC-C5D00DFF7CD9}">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CrossJoin</vt:lpstr>
      <vt:lpstr>Join</vt:lpstr>
      <vt:lpstr>FindItem</vt:lpstr>
      <vt:lpstr>Union</vt:lpstr>
      <vt:lpstr>UnPivot</vt:lpstr>
      <vt:lpstr>Demo</vt:lpstr>
      <vt:lpstr>VBA</vt:lpstr>
      <vt:lpstr>Lookups</vt:lpstr>
      <vt:lpstr>_OnOff</vt:lpstr>
      <vt:lpstr>_YesNo</vt:lpstr>
      <vt:lpstr>TitleList1</vt:lpstr>
      <vt:lpstr>TitleList2</vt:lpstr>
    </vt:vector>
  </TitlesOfParts>
  <Company>RXL Development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RXL Data Analysis Tools Lambda Module</dc:title>
  <dc:subject>Excel LAMBDA function development</dc:subject>
  <dc:creator>Robert Silk</dc:creator>
  <cp:keywords>https://excel-bits.net/</cp:keywords>
  <cp:lastModifiedBy>Robert Silk</cp:lastModifiedBy>
  <dcterms:created xsi:type="dcterms:W3CDTF">2023-11-03T12:13:36Z</dcterms:created>
  <dcterms:modified xsi:type="dcterms:W3CDTF">2026-05-08T18:01:16Z</dcterms:modified>
  <cp:category>LAMBDA functions</cp:category>
</cp:coreProperties>
</file>